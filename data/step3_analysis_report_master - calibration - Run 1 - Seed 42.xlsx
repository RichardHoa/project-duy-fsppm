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401" documentId="13_ncr:1_{8DA829A7-D392-410C-B92C-4D9E531A3674}" xr6:coauthVersionLast="47" xr6:coauthVersionMax="47" xr10:uidLastSave="{C350340A-ECE5-4956-A791-AF2D97E695FF}"/>
  <bookViews>
    <workbookView xWindow="-98" yWindow="-98" windowWidth="21795" windowHeight="14235" activeTab="5" xr2:uid="{00000000-000D-0000-FFFF-FFFF00000000}"/>
  </bookViews>
  <sheets>
    <sheet name="step3_calibration" sheetId="18" r:id="rId1"/>
    <sheet name="survey_responses" sheetId="16" r:id="rId2"/>
    <sheet name="step3_combined_data" sheetId="12" r:id="rId3"/>
    <sheet name="Insights" sheetId="23" r:id="rId4"/>
    <sheet name="AIx" sheetId="21" r:id="rId5"/>
    <sheet name="AIx Validation" sheetId="27" r:id="rId6"/>
    <sheet name="EMD" sheetId="19" r:id="rId7"/>
    <sheet name="SUMMARY_REPORT" sheetId="10" r:id="rId8"/>
    <sheet name="CM_REPORT" sheetId="11" r:id="rId9"/>
    <sheet name="CM_ENF1" sheetId="1" r:id="rId10"/>
    <sheet name="CM_ENF2" sheetId="2" r:id="rId11"/>
    <sheet name="CM_FAC1" sheetId="3" r:id="rId12"/>
    <sheet name="CM_FAC2" sheetId="4" r:id="rId13"/>
    <sheet name="CM_TRU1" sheetId="5" r:id="rId14"/>
    <sheet name="CM_TRU2" sheetId="6" r:id="rId15"/>
    <sheet name="CM_TRU3" sheetId="7" r:id="rId16"/>
    <sheet name="CM_TRU4" sheetId="8" r:id="rId17"/>
    <sheet name="CM_OUT1" sheetId="9" r:id="rId18"/>
  </sheets>
  <definedNames>
    <definedName name="_xlnm._FilterDatabase" localSheetId="2" hidden="1">step3_combined_data!$A$1:$BI$409</definedName>
    <definedName name="ExternalData_1" localSheetId="1" hidden="1">survey_responses!$A$1:$Q$404</definedName>
    <definedName name="ExternalData_3" localSheetId="0" hidden="1">step3_calibration!$A$1:$AS$404</definedName>
  </definedName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21" l="1"/>
  <c r="AT4" i="21"/>
  <c r="AT5" i="21"/>
  <c r="AT6" i="21"/>
  <c r="AT7" i="21"/>
  <c r="AT8" i="21"/>
  <c r="AT9" i="21"/>
  <c r="AT10" i="21"/>
  <c r="AT11" i="21"/>
  <c r="AT12" i="21"/>
  <c r="AT13" i="21"/>
  <c r="AT14" i="21"/>
  <c r="AT15" i="21"/>
  <c r="AT16" i="21"/>
  <c r="AT17" i="21"/>
  <c r="AT18" i="21"/>
  <c r="AT19" i="21"/>
  <c r="AT20" i="21"/>
  <c r="AT21" i="21"/>
  <c r="AT22" i="21"/>
  <c r="AT23" i="21"/>
  <c r="AT24" i="21"/>
  <c r="AT25" i="21"/>
  <c r="AT26" i="21"/>
  <c r="AT27" i="21"/>
  <c r="AT28" i="21"/>
  <c r="AT29" i="21"/>
  <c r="AT30" i="21"/>
  <c r="AT31" i="21"/>
  <c r="AT32" i="21"/>
  <c r="AT33" i="21"/>
  <c r="AT34" i="21"/>
  <c r="AT35" i="21"/>
  <c r="AT36" i="21"/>
  <c r="AT37" i="21"/>
  <c r="AT38" i="21"/>
  <c r="AT39" i="21"/>
  <c r="AT40" i="21"/>
  <c r="AT41" i="21"/>
  <c r="AT42" i="21"/>
  <c r="AT43" i="21"/>
  <c r="AT44" i="21"/>
  <c r="AT45" i="21"/>
  <c r="AT46" i="21"/>
  <c r="AT47" i="21"/>
  <c r="AT48" i="21"/>
  <c r="AT49" i="21"/>
  <c r="AT50" i="21"/>
  <c r="AT51" i="21"/>
  <c r="AT52" i="21"/>
  <c r="AT53" i="21"/>
  <c r="AT54" i="21"/>
  <c r="AT55" i="21"/>
  <c r="AT56" i="21"/>
  <c r="AT57" i="21"/>
  <c r="AT58" i="21"/>
  <c r="AT59" i="21"/>
  <c r="AT60" i="21"/>
  <c r="AT61" i="21"/>
  <c r="AT62" i="21"/>
  <c r="AT63" i="21"/>
  <c r="AT64" i="21"/>
  <c r="AT65" i="21"/>
  <c r="AT66" i="21"/>
  <c r="AT67" i="21"/>
  <c r="AT68" i="21"/>
  <c r="AT69" i="21"/>
  <c r="AT70" i="21"/>
  <c r="AT71" i="21"/>
  <c r="AT72" i="21"/>
  <c r="AT73" i="21"/>
  <c r="AT74" i="21"/>
  <c r="AT75" i="21"/>
  <c r="AT76" i="21"/>
  <c r="AT77" i="21"/>
  <c r="AT78" i="21"/>
  <c r="AT79" i="21"/>
  <c r="AT80" i="21"/>
  <c r="AT81" i="21"/>
  <c r="AT82" i="21"/>
  <c r="AT83" i="21"/>
  <c r="AT84" i="21"/>
  <c r="AT85" i="21"/>
  <c r="AT86" i="21"/>
  <c r="AT87" i="21"/>
  <c r="AT88" i="21"/>
  <c r="AT89" i="21"/>
  <c r="AT90" i="21"/>
  <c r="AT91" i="21"/>
  <c r="AT92" i="21"/>
  <c r="AT93" i="21"/>
  <c r="AT94" i="21"/>
  <c r="AT95" i="21"/>
  <c r="AT96" i="21"/>
  <c r="AT97" i="21"/>
  <c r="AT98" i="21"/>
  <c r="AT99" i="21"/>
  <c r="AT100" i="21"/>
  <c r="AT101" i="21"/>
  <c r="AT102" i="21"/>
  <c r="AT103" i="21"/>
  <c r="AT104" i="21"/>
  <c r="AT105" i="21"/>
  <c r="AT106" i="21"/>
  <c r="AT107" i="21"/>
  <c r="AT108" i="21"/>
  <c r="AT109" i="21"/>
  <c r="AT110" i="21"/>
  <c r="AT111" i="21"/>
  <c r="AT112" i="21"/>
  <c r="AT113" i="21"/>
  <c r="AT114" i="21"/>
  <c r="AT115" i="21"/>
  <c r="AT116" i="21"/>
  <c r="AT117" i="21"/>
  <c r="AT118" i="21"/>
  <c r="AT119" i="21"/>
  <c r="AT120" i="21"/>
  <c r="AT121" i="21"/>
  <c r="AT122" i="21"/>
  <c r="AT123" i="21"/>
  <c r="AT124" i="21"/>
  <c r="AT125" i="21"/>
  <c r="AT126" i="21"/>
  <c r="AT127" i="21"/>
  <c r="AT128" i="21"/>
  <c r="AT129" i="21"/>
  <c r="AT130" i="21"/>
  <c r="AT131" i="21"/>
  <c r="AT132" i="21"/>
  <c r="AT133" i="21"/>
  <c r="AT134" i="21"/>
  <c r="AT135" i="21"/>
  <c r="AT136" i="21"/>
  <c r="AT137" i="21"/>
  <c r="AT138" i="21"/>
  <c r="AT139" i="21"/>
  <c r="AT140" i="21"/>
  <c r="AT141" i="21"/>
  <c r="AT142" i="21"/>
  <c r="AT143" i="21"/>
  <c r="AT144" i="21"/>
  <c r="AT145" i="21"/>
  <c r="AT146" i="21"/>
  <c r="AT147" i="21"/>
  <c r="AT148" i="21"/>
  <c r="AT149" i="21"/>
  <c r="AT150" i="21"/>
  <c r="AT151" i="21"/>
  <c r="AT152" i="21"/>
  <c r="AT153" i="21"/>
  <c r="AT154" i="21"/>
  <c r="AT155" i="21"/>
  <c r="AT156" i="21"/>
  <c r="AT157" i="21"/>
  <c r="AT158" i="21"/>
  <c r="AT159" i="21"/>
  <c r="AT160" i="21"/>
  <c r="AT161" i="21"/>
  <c r="AT162" i="21"/>
  <c r="AT163" i="21"/>
  <c r="AT164" i="21"/>
  <c r="AT165" i="21"/>
  <c r="AT166" i="21"/>
  <c r="AT167" i="21"/>
  <c r="AT168" i="21"/>
  <c r="AT169" i="21"/>
  <c r="AT170" i="21"/>
  <c r="AT171" i="21"/>
  <c r="AT172" i="21"/>
  <c r="AT173" i="21"/>
  <c r="AT174" i="21"/>
  <c r="AT175" i="21"/>
  <c r="AT176" i="21"/>
  <c r="AT177" i="21"/>
  <c r="AT178" i="21"/>
  <c r="AT179" i="21"/>
  <c r="AT180" i="21"/>
  <c r="AT181" i="21"/>
  <c r="AT182" i="21"/>
  <c r="AT183" i="21"/>
  <c r="AT184" i="21"/>
  <c r="AT185" i="21"/>
  <c r="AT186" i="21"/>
  <c r="AT187" i="21"/>
  <c r="AT188" i="21"/>
  <c r="AT189" i="21"/>
  <c r="AT190" i="21"/>
  <c r="AT191" i="21"/>
  <c r="AT192" i="21"/>
  <c r="AT193" i="21"/>
  <c r="AT194" i="21"/>
  <c r="AT195" i="21"/>
  <c r="AT196" i="21"/>
  <c r="AT197" i="21"/>
  <c r="AT198" i="21"/>
  <c r="AT199" i="21"/>
  <c r="AT200" i="21"/>
  <c r="AT201" i="21"/>
  <c r="AT202" i="21"/>
  <c r="AT203" i="21"/>
  <c r="AT204" i="21"/>
  <c r="AT205" i="21"/>
  <c r="AT206" i="21"/>
  <c r="AT207" i="21"/>
  <c r="AT208" i="21"/>
  <c r="AT209" i="21"/>
  <c r="AT210" i="21"/>
  <c r="AT211" i="21"/>
  <c r="AT212" i="21"/>
  <c r="AT213" i="21"/>
  <c r="AT214" i="21"/>
  <c r="AT215" i="21"/>
  <c r="AT216" i="21"/>
  <c r="AT217" i="21"/>
  <c r="AT218" i="21"/>
  <c r="AT219" i="21"/>
  <c r="AT220" i="21"/>
  <c r="AT221" i="21"/>
  <c r="AT222" i="21"/>
  <c r="AT223" i="21"/>
  <c r="AT224" i="21"/>
  <c r="AT225" i="21"/>
  <c r="AT226" i="21"/>
  <c r="AT227" i="21"/>
  <c r="AT228" i="21"/>
  <c r="AT229" i="21"/>
  <c r="AT230" i="21"/>
  <c r="AT231" i="21"/>
  <c r="AT232" i="21"/>
  <c r="AT233" i="21"/>
  <c r="AT234" i="21"/>
  <c r="AT235" i="21"/>
  <c r="AT236" i="21"/>
  <c r="AT237" i="21"/>
  <c r="AT238" i="21"/>
  <c r="AT239" i="21"/>
  <c r="AT240" i="21"/>
  <c r="AT241" i="21"/>
  <c r="AT242" i="21"/>
  <c r="AT243" i="21"/>
  <c r="AT244" i="21"/>
  <c r="AT245" i="21"/>
  <c r="AT246" i="21"/>
  <c r="AT247" i="21"/>
  <c r="AT248" i="21"/>
  <c r="AT249" i="21"/>
  <c r="AT250" i="21"/>
  <c r="AT251" i="21"/>
  <c r="AT252" i="21"/>
  <c r="AT253" i="21"/>
  <c r="AT254" i="21"/>
  <c r="AT255" i="21"/>
  <c r="AT256" i="21"/>
  <c r="AT257" i="21"/>
  <c r="AT258" i="21"/>
  <c r="AT259" i="21"/>
  <c r="AT260" i="21"/>
  <c r="AT261" i="21"/>
  <c r="AT262" i="21"/>
  <c r="AT263" i="21"/>
  <c r="AT264" i="21"/>
  <c r="AT265" i="21"/>
  <c r="AT266" i="21"/>
  <c r="AT267" i="21"/>
  <c r="AT268" i="21"/>
  <c r="AT269" i="21"/>
  <c r="AT270" i="21"/>
  <c r="AT271" i="21"/>
  <c r="AT272" i="21"/>
  <c r="AT273" i="21"/>
  <c r="AT274" i="21"/>
  <c r="AT275" i="21"/>
  <c r="AT276" i="21"/>
  <c r="AT277" i="21"/>
  <c r="AT278" i="21"/>
  <c r="AT279" i="21"/>
  <c r="AT280" i="21"/>
  <c r="AT281" i="21"/>
  <c r="AT282" i="21"/>
  <c r="AT283" i="21"/>
  <c r="AT284" i="21"/>
  <c r="AT285" i="21"/>
  <c r="AT286" i="21"/>
  <c r="AT287" i="21"/>
  <c r="AT288" i="21"/>
  <c r="AT289" i="21"/>
  <c r="AT290" i="21"/>
  <c r="AT291" i="21"/>
  <c r="AT292" i="21"/>
  <c r="AT293" i="21"/>
  <c r="AT294" i="21"/>
  <c r="AT295" i="21"/>
  <c r="AT296" i="21"/>
  <c r="AT297" i="21"/>
  <c r="AT298" i="21"/>
  <c r="AT299" i="21"/>
  <c r="AT300" i="21"/>
  <c r="AT301" i="21"/>
  <c r="AT302" i="21"/>
  <c r="AT303" i="21"/>
  <c r="AT304" i="21"/>
  <c r="AT305" i="21"/>
  <c r="AT306" i="21"/>
  <c r="AT307" i="21"/>
  <c r="AT308" i="21"/>
  <c r="AT309" i="21"/>
  <c r="AT310" i="21"/>
  <c r="AT311" i="21"/>
  <c r="AT312" i="21"/>
  <c r="AT313" i="21"/>
  <c r="AT314" i="21"/>
  <c r="AT315" i="21"/>
  <c r="AT316" i="21"/>
  <c r="AT317" i="21"/>
  <c r="AT318" i="21"/>
  <c r="AT319" i="21"/>
  <c r="AT320" i="21"/>
  <c r="AT321" i="21"/>
  <c r="AT322" i="21"/>
  <c r="AT323" i="21"/>
  <c r="AT324" i="21"/>
  <c r="AT325" i="21"/>
  <c r="AT326" i="21"/>
  <c r="AT327" i="21"/>
  <c r="AT328" i="21"/>
  <c r="AT329" i="21"/>
  <c r="AT330" i="21"/>
  <c r="AT331" i="21"/>
  <c r="AT332" i="21"/>
  <c r="AT333" i="21"/>
  <c r="AT334" i="21"/>
  <c r="AT335" i="21"/>
  <c r="AT336" i="21"/>
  <c r="AT337" i="21"/>
  <c r="AT338" i="21"/>
  <c r="AT339" i="21"/>
  <c r="AT340" i="21"/>
  <c r="AT341" i="21"/>
  <c r="AT342" i="21"/>
  <c r="AT343" i="21"/>
  <c r="AT344" i="21"/>
  <c r="AT345" i="21"/>
  <c r="AT346" i="21"/>
  <c r="AT347" i="21"/>
  <c r="AT348" i="21"/>
  <c r="AT349" i="21"/>
  <c r="AT350" i="21"/>
  <c r="AT351" i="21"/>
  <c r="AT352" i="21"/>
  <c r="AT353" i="21"/>
  <c r="AT354" i="21"/>
  <c r="AT355" i="21"/>
  <c r="AT356" i="21"/>
  <c r="AT357" i="21"/>
  <c r="AT358" i="21"/>
  <c r="AT359" i="21"/>
  <c r="AT360" i="21"/>
  <c r="AT361" i="21"/>
  <c r="AT362" i="21"/>
  <c r="AT363" i="21"/>
  <c r="AT364" i="21"/>
  <c r="AT365" i="21"/>
  <c r="AT366" i="21"/>
  <c r="AT367" i="21"/>
  <c r="AT368" i="21"/>
  <c r="AT369" i="21"/>
  <c r="AT370" i="21"/>
  <c r="AT371" i="21"/>
  <c r="AT372" i="21"/>
  <c r="AT373" i="21"/>
  <c r="AT374" i="21"/>
  <c r="AT375" i="21"/>
  <c r="AT376" i="21"/>
  <c r="AT377" i="21"/>
  <c r="AT378" i="21"/>
  <c r="AT379" i="21"/>
  <c r="AT380" i="21"/>
  <c r="AT381" i="21"/>
  <c r="AT382" i="21"/>
  <c r="AT383" i="21"/>
  <c r="AT384" i="21"/>
  <c r="AT385" i="21"/>
  <c r="AT386" i="21"/>
  <c r="AT387" i="21"/>
  <c r="AT388" i="21"/>
  <c r="AT389" i="21"/>
  <c r="AT390" i="21"/>
  <c r="AT391" i="21"/>
  <c r="AT392" i="21"/>
  <c r="AT393" i="21"/>
  <c r="AT394" i="21"/>
  <c r="AT395" i="21"/>
  <c r="AT396" i="21"/>
  <c r="AT397" i="21"/>
  <c r="AT398" i="21"/>
  <c r="AT399" i="21"/>
  <c r="AT400" i="21"/>
  <c r="AT401" i="21"/>
  <c r="AT402" i="21"/>
  <c r="AT403" i="21"/>
  <c r="AT404" i="21"/>
  <c r="AT2" i="21"/>
  <c r="D72" i="23" l="1"/>
  <c r="C72" i="23"/>
  <c r="B72" i="23"/>
  <c r="D71" i="23"/>
  <c r="C71" i="23"/>
  <c r="B71" i="23"/>
  <c r="D70" i="23"/>
  <c r="C70" i="23"/>
  <c r="B70" i="23"/>
  <c r="D69" i="23"/>
  <c r="C69" i="23"/>
  <c r="B69" i="23"/>
  <c r="D68" i="23"/>
  <c r="C68" i="23"/>
  <c r="B68" i="23"/>
  <c r="D67" i="23"/>
  <c r="C67" i="23"/>
  <c r="B67" i="23"/>
  <c r="D66" i="23"/>
  <c r="C66" i="23"/>
  <c r="B66" i="23"/>
  <c r="D65" i="23"/>
  <c r="C65" i="23"/>
  <c r="B65" i="23"/>
  <c r="D62" i="23"/>
  <c r="C62" i="23"/>
  <c r="B62" i="23"/>
  <c r="D61" i="23"/>
  <c r="C61" i="23"/>
  <c r="B61" i="23"/>
  <c r="D60" i="23"/>
  <c r="C60" i="23"/>
  <c r="B60" i="23"/>
  <c r="D59" i="23"/>
  <c r="C59" i="23"/>
  <c r="B59" i="23"/>
  <c r="D58" i="23"/>
  <c r="C58" i="23"/>
  <c r="B58" i="23"/>
  <c r="D57" i="23"/>
  <c r="C57" i="23"/>
  <c r="B57" i="23"/>
  <c r="D56" i="23"/>
  <c r="C56" i="23"/>
  <c r="B56" i="23"/>
  <c r="D55" i="23"/>
  <c r="C55" i="23"/>
  <c r="E71" i="23" l="1"/>
  <c r="E61" i="23"/>
  <c r="E65" i="23" l="1"/>
  <c r="E56" i="23"/>
  <c r="J56" i="23" s="1"/>
  <c r="E66" i="23"/>
  <c r="J66" i="23" s="1"/>
  <c r="E62" i="23"/>
  <c r="I62" i="23" s="1"/>
  <c r="E72" i="23"/>
  <c r="H72" i="23" s="1"/>
  <c r="E57" i="23"/>
  <c r="H57" i="23" s="1"/>
  <c r="E67" i="23"/>
  <c r="J67" i="23" s="1"/>
  <c r="I61" i="23"/>
  <c r="I71" i="23"/>
  <c r="J71" i="23"/>
  <c r="H71" i="23"/>
  <c r="J61" i="23"/>
  <c r="H61" i="23"/>
  <c r="E60" i="23"/>
  <c r="H60" i="23" s="1"/>
  <c r="E70" i="23"/>
  <c r="H70" i="23" s="1"/>
  <c r="E59" i="23"/>
  <c r="J59" i="23" s="1"/>
  <c r="E69" i="23"/>
  <c r="J69" i="23" s="1"/>
  <c r="E58" i="23"/>
  <c r="J58" i="23" s="1"/>
  <c r="E68" i="23"/>
  <c r="J68" i="23" s="1"/>
  <c r="J72" i="23" l="1"/>
  <c r="H65" i="23"/>
  <c r="E64" i="23"/>
  <c r="H62" i="23"/>
  <c r="H56" i="23"/>
  <c r="I56" i="23"/>
  <c r="J65" i="23"/>
  <c r="J62" i="23"/>
  <c r="H66" i="23"/>
  <c r="I66" i="23"/>
  <c r="I57" i="23"/>
  <c r="I67" i="23"/>
  <c r="J57" i="23"/>
  <c r="H67" i="23"/>
  <c r="I65" i="23"/>
  <c r="I72" i="23"/>
  <c r="I59" i="23"/>
  <c r="I60" i="23"/>
  <c r="J70" i="23"/>
  <c r="H69" i="23"/>
  <c r="I68" i="23"/>
  <c r="H68" i="23"/>
  <c r="J60" i="23"/>
  <c r="I69" i="23"/>
  <c r="H59" i="23"/>
  <c r="I58" i="23"/>
  <c r="H58" i="23"/>
  <c r="I70" i="23"/>
  <c r="AN3" i="21" l="1"/>
  <c r="AN4" i="21"/>
  <c r="AN5" i="21"/>
  <c r="AN6" i="21"/>
  <c r="AN7" i="21"/>
  <c r="AN8" i="21"/>
  <c r="AN9" i="21"/>
  <c r="AN10" i="21"/>
  <c r="AN11" i="21"/>
  <c r="AN12" i="21"/>
  <c r="AN13" i="21"/>
  <c r="AN14" i="21"/>
  <c r="AN15" i="21"/>
  <c r="AN16" i="21"/>
  <c r="AN17" i="21"/>
  <c r="AN18" i="21"/>
  <c r="AN19" i="21"/>
  <c r="AN20" i="21"/>
  <c r="AN21" i="21"/>
  <c r="AN22" i="21"/>
  <c r="AN23" i="21"/>
  <c r="AN24" i="21"/>
  <c r="AN25" i="21"/>
  <c r="AN26" i="21"/>
  <c r="AN27" i="21"/>
  <c r="AN28" i="21"/>
  <c r="AN29" i="21"/>
  <c r="AN30" i="21"/>
  <c r="AN31" i="21"/>
  <c r="AN32" i="21"/>
  <c r="AN33" i="21"/>
  <c r="AN34" i="21"/>
  <c r="AN35" i="21"/>
  <c r="AN36" i="21"/>
  <c r="AN37" i="21"/>
  <c r="AN38" i="21"/>
  <c r="AN39" i="21"/>
  <c r="AN40" i="21"/>
  <c r="AN41" i="21"/>
  <c r="AN42" i="21"/>
  <c r="AN43" i="21"/>
  <c r="AN44" i="21"/>
  <c r="AN45" i="21"/>
  <c r="AN46" i="21"/>
  <c r="AN47" i="21"/>
  <c r="AN48" i="21"/>
  <c r="AN49" i="21"/>
  <c r="AN50" i="21"/>
  <c r="AN51" i="21"/>
  <c r="AN52" i="21"/>
  <c r="AN53" i="21"/>
  <c r="AN54" i="21"/>
  <c r="AN55" i="21"/>
  <c r="AN56" i="21"/>
  <c r="AN57" i="21"/>
  <c r="AN58" i="21"/>
  <c r="AN59" i="21"/>
  <c r="AN60" i="21"/>
  <c r="AN61" i="21"/>
  <c r="AN62" i="21"/>
  <c r="AN63" i="21"/>
  <c r="AN64" i="21"/>
  <c r="AN65" i="21"/>
  <c r="AN66" i="21"/>
  <c r="AN67" i="21"/>
  <c r="AN68" i="21"/>
  <c r="AN69" i="21"/>
  <c r="AN70" i="21"/>
  <c r="AN71" i="21"/>
  <c r="AN72" i="21"/>
  <c r="AN73" i="21"/>
  <c r="AN74" i="21"/>
  <c r="AN75" i="21"/>
  <c r="AN76" i="21"/>
  <c r="AN77" i="21"/>
  <c r="AN78" i="21"/>
  <c r="AN79" i="21"/>
  <c r="AN80" i="21"/>
  <c r="AN81" i="21"/>
  <c r="AN82" i="21"/>
  <c r="AN83" i="21"/>
  <c r="AN84" i="21"/>
  <c r="AN85" i="21"/>
  <c r="AN86" i="21"/>
  <c r="AN87" i="21"/>
  <c r="AN88" i="21"/>
  <c r="AN89" i="21"/>
  <c r="AN90" i="21"/>
  <c r="AN91" i="21"/>
  <c r="AN92" i="21"/>
  <c r="AN93" i="21"/>
  <c r="AN94" i="21"/>
  <c r="AN95" i="21"/>
  <c r="AN96" i="21"/>
  <c r="AN97" i="21"/>
  <c r="AN98" i="21"/>
  <c r="AN99" i="21"/>
  <c r="AN100" i="21"/>
  <c r="AN101" i="21"/>
  <c r="AN102" i="21"/>
  <c r="AN103" i="21"/>
  <c r="AN104" i="21"/>
  <c r="AN105" i="21"/>
  <c r="AN106" i="21"/>
  <c r="AN107" i="21"/>
  <c r="AN108" i="21"/>
  <c r="AN109" i="21"/>
  <c r="AN110" i="21"/>
  <c r="AN111" i="21"/>
  <c r="AN112" i="21"/>
  <c r="AN113" i="21"/>
  <c r="AN114" i="21"/>
  <c r="AN115" i="21"/>
  <c r="AN116" i="21"/>
  <c r="AN117" i="21"/>
  <c r="AN118" i="21"/>
  <c r="AN119" i="21"/>
  <c r="AN120" i="21"/>
  <c r="AN121" i="21"/>
  <c r="AN122" i="21"/>
  <c r="AN123" i="21"/>
  <c r="AN124" i="21"/>
  <c r="AN125" i="21"/>
  <c r="AN126" i="21"/>
  <c r="AN127" i="21"/>
  <c r="AN128" i="21"/>
  <c r="AN129" i="21"/>
  <c r="AN130" i="21"/>
  <c r="AN131" i="21"/>
  <c r="AN132" i="21"/>
  <c r="AN133" i="21"/>
  <c r="AN134" i="21"/>
  <c r="AN135" i="21"/>
  <c r="AN136" i="21"/>
  <c r="AN137" i="21"/>
  <c r="AN138" i="21"/>
  <c r="AN139" i="21"/>
  <c r="AN140" i="21"/>
  <c r="AN141" i="21"/>
  <c r="AN142" i="21"/>
  <c r="AN143" i="21"/>
  <c r="AN144" i="21"/>
  <c r="AN145" i="21"/>
  <c r="AN146" i="21"/>
  <c r="AN147" i="21"/>
  <c r="AN148" i="21"/>
  <c r="AN149" i="21"/>
  <c r="AN150" i="21"/>
  <c r="AN151" i="21"/>
  <c r="AN152" i="21"/>
  <c r="AN153" i="21"/>
  <c r="AN154" i="21"/>
  <c r="AN155" i="21"/>
  <c r="AN156" i="21"/>
  <c r="AN157" i="21"/>
  <c r="AN158" i="21"/>
  <c r="AN159" i="21"/>
  <c r="AN160" i="21"/>
  <c r="AN161" i="21"/>
  <c r="AN162" i="21"/>
  <c r="AN163" i="21"/>
  <c r="AN164" i="21"/>
  <c r="AN165" i="21"/>
  <c r="AN166" i="21"/>
  <c r="AN167" i="21"/>
  <c r="AN168" i="21"/>
  <c r="AN169" i="21"/>
  <c r="AN170" i="21"/>
  <c r="AN171" i="21"/>
  <c r="AN172" i="21"/>
  <c r="AN173" i="21"/>
  <c r="AN174" i="21"/>
  <c r="AN175" i="21"/>
  <c r="AN176" i="21"/>
  <c r="AN177" i="21"/>
  <c r="AN178" i="21"/>
  <c r="AN179" i="21"/>
  <c r="AN180" i="21"/>
  <c r="AN181" i="21"/>
  <c r="AN182" i="21"/>
  <c r="AN183" i="21"/>
  <c r="AN184" i="21"/>
  <c r="AN185" i="21"/>
  <c r="AN186" i="21"/>
  <c r="AN187" i="21"/>
  <c r="AN188" i="21"/>
  <c r="AN189" i="21"/>
  <c r="AN190" i="21"/>
  <c r="AN191" i="21"/>
  <c r="AN192" i="21"/>
  <c r="AN193" i="21"/>
  <c r="AN194" i="21"/>
  <c r="AN195" i="21"/>
  <c r="AN196" i="21"/>
  <c r="AN197" i="21"/>
  <c r="AN198" i="21"/>
  <c r="AN199" i="21"/>
  <c r="AN200" i="21"/>
  <c r="AN201" i="21"/>
  <c r="AN202" i="21"/>
  <c r="AN203" i="21"/>
  <c r="AN204" i="21"/>
  <c r="AN205" i="21"/>
  <c r="AN206" i="21"/>
  <c r="AN207" i="21"/>
  <c r="AN208" i="21"/>
  <c r="AN209" i="21"/>
  <c r="AN210" i="21"/>
  <c r="AN211" i="21"/>
  <c r="AN212" i="21"/>
  <c r="AN213" i="21"/>
  <c r="AN214" i="21"/>
  <c r="AN215" i="21"/>
  <c r="AN216" i="21"/>
  <c r="AN217" i="21"/>
  <c r="AN218" i="21"/>
  <c r="AN219" i="21"/>
  <c r="AN220" i="21"/>
  <c r="AN221" i="21"/>
  <c r="AN222" i="21"/>
  <c r="AN223" i="21"/>
  <c r="AN224" i="21"/>
  <c r="AN225" i="21"/>
  <c r="AN226" i="21"/>
  <c r="AN227" i="21"/>
  <c r="AN228" i="21"/>
  <c r="AN229" i="21"/>
  <c r="AN230" i="21"/>
  <c r="AN231" i="21"/>
  <c r="AN232" i="21"/>
  <c r="AN233" i="21"/>
  <c r="AN234" i="21"/>
  <c r="AN235" i="21"/>
  <c r="AN236" i="21"/>
  <c r="AN237" i="21"/>
  <c r="AN238" i="21"/>
  <c r="AN239" i="21"/>
  <c r="AN240" i="21"/>
  <c r="AN241" i="21"/>
  <c r="AN242" i="21"/>
  <c r="AN243" i="21"/>
  <c r="AN244" i="21"/>
  <c r="AN245" i="21"/>
  <c r="AN246" i="21"/>
  <c r="AN247" i="21"/>
  <c r="AN248" i="21"/>
  <c r="AN249" i="21"/>
  <c r="AN250" i="21"/>
  <c r="AN251" i="21"/>
  <c r="AN252" i="21"/>
  <c r="AN253" i="21"/>
  <c r="AN254" i="21"/>
  <c r="AN255" i="21"/>
  <c r="AN256" i="21"/>
  <c r="AN257" i="21"/>
  <c r="AN258" i="21"/>
  <c r="AN259" i="21"/>
  <c r="AN260" i="21"/>
  <c r="AN261" i="21"/>
  <c r="AN262" i="21"/>
  <c r="AN263" i="21"/>
  <c r="AN264" i="21"/>
  <c r="AN265" i="21"/>
  <c r="AN266" i="21"/>
  <c r="AN267" i="21"/>
  <c r="AN268" i="21"/>
  <c r="AN269" i="21"/>
  <c r="AN270" i="21"/>
  <c r="AN271" i="21"/>
  <c r="AN272" i="21"/>
  <c r="AN273" i="21"/>
  <c r="AN274" i="21"/>
  <c r="AN275" i="21"/>
  <c r="AN276" i="21"/>
  <c r="AN277" i="21"/>
  <c r="AN278" i="21"/>
  <c r="AN279" i="21"/>
  <c r="AN280" i="21"/>
  <c r="AN281" i="21"/>
  <c r="AN282" i="21"/>
  <c r="AN283" i="21"/>
  <c r="AN284" i="21"/>
  <c r="AN285" i="21"/>
  <c r="AN286" i="21"/>
  <c r="AN287" i="21"/>
  <c r="AN288" i="21"/>
  <c r="AN289" i="21"/>
  <c r="AN290" i="21"/>
  <c r="AN291" i="21"/>
  <c r="AN292" i="21"/>
  <c r="AN293" i="21"/>
  <c r="AN294" i="21"/>
  <c r="AN295" i="21"/>
  <c r="AN296" i="21"/>
  <c r="AN297" i="21"/>
  <c r="AN298" i="21"/>
  <c r="AN299" i="21"/>
  <c r="AN300" i="21"/>
  <c r="AN301" i="21"/>
  <c r="AN302" i="21"/>
  <c r="AN303" i="21"/>
  <c r="AN304" i="21"/>
  <c r="AN305" i="21"/>
  <c r="AN306" i="21"/>
  <c r="AN307" i="21"/>
  <c r="AN308" i="21"/>
  <c r="AN309" i="21"/>
  <c r="AN310" i="21"/>
  <c r="AN311" i="21"/>
  <c r="AN312" i="21"/>
  <c r="AN313" i="21"/>
  <c r="AN314" i="21"/>
  <c r="AN315" i="21"/>
  <c r="AN316" i="21"/>
  <c r="AN317" i="21"/>
  <c r="AN318" i="21"/>
  <c r="AN319" i="21"/>
  <c r="AN320" i="21"/>
  <c r="AN321" i="21"/>
  <c r="AN322" i="21"/>
  <c r="AN323" i="21"/>
  <c r="AN324" i="21"/>
  <c r="AN325" i="21"/>
  <c r="AN326" i="21"/>
  <c r="AN327" i="21"/>
  <c r="AN328" i="21"/>
  <c r="AN329" i="21"/>
  <c r="AN330" i="21"/>
  <c r="AN331" i="21"/>
  <c r="AN332" i="21"/>
  <c r="AN333" i="21"/>
  <c r="AN334" i="21"/>
  <c r="AN335" i="21"/>
  <c r="AN336" i="21"/>
  <c r="AN337" i="21"/>
  <c r="AN338" i="21"/>
  <c r="AN339" i="21"/>
  <c r="AN340" i="21"/>
  <c r="AN341" i="21"/>
  <c r="AN342" i="21"/>
  <c r="AN343" i="21"/>
  <c r="AN344" i="21"/>
  <c r="AN345" i="21"/>
  <c r="AN346" i="21"/>
  <c r="AN347" i="21"/>
  <c r="AN348" i="21"/>
  <c r="AN349" i="21"/>
  <c r="AN350" i="21"/>
  <c r="AN351" i="21"/>
  <c r="AN352" i="21"/>
  <c r="AN353" i="21"/>
  <c r="AN354" i="21"/>
  <c r="AN355" i="21"/>
  <c r="AN356" i="21"/>
  <c r="AN357" i="21"/>
  <c r="AN358" i="21"/>
  <c r="AN359" i="21"/>
  <c r="AN360" i="21"/>
  <c r="AN361" i="21"/>
  <c r="AN362" i="21"/>
  <c r="AN363" i="21"/>
  <c r="AN364" i="21"/>
  <c r="AN365" i="21"/>
  <c r="AN366" i="21"/>
  <c r="AN367" i="21"/>
  <c r="AN368" i="21"/>
  <c r="AN369" i="21"/>
  <c r="AN370" i="21"/>
  <c r="AN371" i="21"/>
  <c r="AN372" i="21"/>
  <c r="AN373" i="21"/>
  <c r="AN374" i="21"/>
  <c r="AN375" i="21"/>
  <c r="AN376" i="21"/>
  <c r="AN377" i="21"/>
  <c r="AN378" i="21"/>
  <c r="AN379" i="21"/>
  <c r="AN380" i="21"/>
  <c r="AN381" i="21"/>
  <c r="AN382" i="21"/>
  <c r="AN383" i="21"/>
  <c r="AN384" i="21"/>
  <c r="AN385" i="21"/>
  <c r="AN386" i="21"/>
  <c r="AN387" i="21"/>
  <c r="AN388" i="21"/>
  <c r="AN389" i="21"/>
  <c r="AN390" i="21"/>
  <c r="AN391" i="21"/>
  <c r="AN392" i="21"/>
  <c r="AN393" i="21"/>
  <c r="AN394" i="21"/>
  <c r="AN395" i="21"/>
  <c r="AN396" i="21"/>
  <c r="AN397" i="21"/>
  <c r="AN398" i="21"/>
  <c r="AN399" i="21"/>
  <c r="AN400" i="21"/>
  <c r="AN401" i="21"/>
  <c r="AN402" i="21"/>
  <c r="AN403" i="21"/>
  <c r="AN404" i="21"/>
  <c r="AM3" i="21"/>
  <c r="AM4" i="21"/>
  <c r="AM5" i="21"/>
  <c r="AM6" i="21"/>
  <c r="AM7" i="21"/>
  <c r="AM8" i="21"/>
  <c r="AM9" i="21"/>
  <c r="AM10" i="21"/>
  <c r="AM11" i="21"/>
  <c r="AM12" i="21"/>
  <c r="AM13" i="21"/>
  <c r="AM14" i="21"/>
  <c r="AM15" i="21"/>
  <c r="AM16" i="21"/>
  <c r="AM17" i="21"/>
  <c r="AM18" i="21"/>
  <c r="AM19" i="21"/>
  <c r="AM20" i="21"/>
  <c r="AM21" i="21"/>
  <c r="AM22" i="21"/>
  <c r="AM23" i="21"/>
  <c r="AM24" i="21"/>
  <c r="AM25" i="21"/>
  <c r="AM26" i="21"/>
  <c r="AM27" i="21"/>
  <c r="AM28" i="21"/>
  <c r="AM29" i="21"/>
  <c r="AM30" i="21"/>
  <c r="AM31" i="21"/>
  <c r="AM32" i="21"/>
  <c r="AM33" i="21"/>
  <c r="AM34" i="21"/>
  <c r="AM35" i="21"/>
  <c r="AM36" i="21"/>
  <c r="AM37" i="21"/>
  <c r="AM38" i="21"/>
  <c r="AM39" i="21"/>
  <c r="AM40" i="21"/>
  <c r="AM41" i="21"/>
  <c r="AM42" i="21"/>
  <c r="AM43" i="21"/>
  <c r="AM44" i="21"/>
  <c r="AM45" i="21"/>
  <c r="AM46" i="21"/>
  <c r="AM47" i="21"/>
  <c r="AM48" i="21"/>
  <c r="AM49" i="21"/>
  <c r="AM50" i="21"/>
  <c r="AM51" i="21"/>
  <c r="AM52" i="21"/>
  <c r="AM53" i="21"/>
  <c r="AM54" i="21"/>
  <c r="AM55" i="21"/>
  <c r="AM56" i="21"/>
  <c r="AM57" i="21"/>
  <c r="AM58" i="21"/>
  <c r="AM59" i="21"/>
  <c r="AM60" i="21"/>
  <c r="AM61" i="21"/>
  <c r="AM62" i="21"/>
  <c r="AM63" i="21"/>
  <c r="AM64" i="21"/>
  <c r="AM65" i="21"/>
  <c r="AM66" i="21"/>
  <c r="AM67" i="21"/>
  <c r="AM68" i="21"/>
  <c r="AM69" i="21"/>
  <c r="AM70" i="21"/>
  <c r="AM71" i="21"/>
  <c r="AM72" i="21"/>
  <c r="AM73" i="21"/>
  <c r="AM74" i="21"/>
  <c r="AM75" i="21"/>
  <c r="AM76" i="21"/>
  <c r="AM77" i="21"/>
  <c r="AM78" i="21"/>
  <c r="AM79" i="21"/>
  <c r="AM80" i="21"/>
  <c r="AM81" i="21"/>
  <c r="AM82" i="21"/>
  <c r="AM83" i="21"/>
  <c r="AM84" i="21"/>
  <c r="AM85" i="21"/>
  <c r="AM86" i="21"/>
  <c r="AM87" i="21"/>
  <c r="AM88" i="21"/>
  <c r="AM89" i="21"/>
  <c r="AM90" i="21"/>
  <c r="AM91" i="21"/>
  <c r="AM92" i="21"/>
  <c r="AM93" i="21"/>
  <c r="AM94" i="21"/>
  <c r="AM95" i="21"/>
  <c r="AM96" i="21"/>
  <c r="AM97" i="21"/>
  <c r="AM98" i="21"/>
  <c r="AM99" i="21"/>
  <c r="AM100" i="21"/>
  <c r="AM101" i="21"/>
  <c r="AM102" i="21"/>
  <c r="AM103" i="21"/>
  <c r="AM104" i="21"/>
  <c r="AM105" i="21"/>
  <c r="AM106" i="21"/>
  <c r="AM107" i="21"/>
  <c r="AM108" i="21"/>
  <c r="AM109" i="21"/>
  <c r="AM110" i="21"/>
  <c r="AM111" i="21"/>
  <c r="AM112" i="21"/>
  <c r="AM113" i="21"/>
  <c r="AM114" i="21"/>
  <c r="AM115" i="21"/>
  <c r="AM116" i="21"/>
  <c r="AM117" i="21"/>
  <c r="AM118" i="21"/>
  <c r="AM119" i="21"/>
  <c r="AM120" i="21"/>
  <c r="AM121" i="21"/>
  <c r="AM122" i="21"/>
  <c r="AM123" i="21"/>
  <c r="AM124" i="21"/>
  <c r="AM125" i="21"/>
  <c r="AM126" i="21"/>
  <c r="AM127" i="21"/>
  <c r="AM128" i="21"/>
  <c r="AM129" i="21"/>
  <c r="AM130" i="21"/>
  <c r="AM131" i="21"/>
  <c r="AM132" i="21"/>
  <c r="AM133" i="21"/>
  <c r="AM134" i="21"/>
  <c r="AM135" i="21"/>
  <c r="AM136" i="21"/>
  <c r="AM137" i="21"/>
  <c r="AM138" i="21"/>
  <c r="AM139" i="21"/>
  <c r="AM140" i="21"/>
  <c r="AM141" i="21"/>
  <c r="AM142" i="21"/>
  <c r="AM143" i="21"/>
  <c r="AM144" i="21"/>
  <c r="AM145" i="21"/>
  <c r="AM146" i="21"/>
  <c r="AM147" i="21"/>
  <c r="AM148" i="21"/>
  <c r="AM149" i="21"/>
  <c r="AM150" i="21"/>
  <c r="AM151" i="21"/>
  <c r="AM152" i="21"/>
  <c r="AM153" i="21"/>
  <c r="AM154" i="21"/>
  <c r="AM155" i="21"/>
  <c r="AM156" i="21"/>
  <c r="AM157" i="21"/>
  <c r="AM158" i="21"/>
  <c r="AM159" i="21"/>
  <c r="AM160" i="21"/>
  <c r="AM161" i="21"/>
  <c r="AM162" i="21"/>
  <c r="AM163" i="21"/>
  <c r="AM164" i="21"/>
  <c r="AM165" i="21"/>
  <c r="AM166" i="21"/>
  <c r="AM167" i="21"/>
  <c r="AM168" i="21"/>
  <c r="AM169" i="21"/>
  <c r="AM170" i="21"/>
  <c r="AM171" i="21"/>
  <c r="AM172" i="21"/>
  <c r="AM173" i="21"/>
  <c r="AM174" i="21"/>
  <c r="AM175" i="21"/>
  <c r="AM176" i="21"/>
  <c r="AM177" i="21"/>
  <c r="AM178" i="21"/>
  <c r="AM179" i="21"/>
  <c r="AM180" i="21"/>
  <c r="AM181" i="21"/>
  <c r="AM182" i="21"/>
  <c r="AM183" i="21"/>
  <c r="AM184" i="21"/>
  <c r="AM185" i="21"/>
  <c r="AM186" i="21"/>
  <c r="AM187" i="21"/>
  <c r="AM188" i="21"/>
  <c r="AM189" i="21"/>
  <c r="AM190" i="21"/>
  <c r="AM191" i="21"/>
  <c r="AM192" i="21"/>
  <c r="AM193" i="21"/>
  <c r="AM194" i="21"/>
  <c r="AM195" i="21"/>
  <c r="AM196" i="21"/>
  <c r="AM197" i="21"/>
  <c r="AM198" i="21"/>
  <c r="AM199" i="21"/>
  <c r="AM200" i="21"/>
  <c r="AM201" i="21"/>
  <c r="AM202" i="21"/>
  <c r="AM203" i="21"/>
  <c r="AM204" i="21"/>
  <c r="AM205" i="21"/>
  <c r="AM206" i="21"/>
  <c r="AM207" i="21"/>
  <c r="AM208" i="21"/>
  <c r="AM209" i="21"/>
  <c r="AM210" i="21"/>
  <c r="AM211" i="21"/>
  <c r="AM212" i="21"/>
  <c r="AM213" i="21"/>
  <c r="AM214" i="21"/>
  <c r="AM215" i="21"/>
  <c r="AM216" i="21"/>
  <c r="AM217" i="21"/>
  <c r="AM218" i="21"/>
  <c r="AM219" i="21"/>
  <c r="AM220" i="21"/>
  <c r="AM221" i="21"/>
  <c r="AM222" i="21"/>
  <c r="AM223" i="21"/>
  <c r="AM224" i="21"/>
  <c r="AM225" i="21"/>
  <c r="AM226" i="21"/>
  <c r="AM227" i="21"/>
  <c r="AM228" i="21"/>
  <c r="AM229" i="21"/>
  <c r="AM230" i="21"/>
  <c r="AM231" i="21"/>
  <c r="AM232" i="21"/>
  <c r="AM233" i="21"/>
  <c r="AM234" i="21"/>
  <c r="AM235" i="21"/>
  <c r="AM236" i="21"/>
  <c r="AM237" i="21"/>
  <c r="AM238" i="21"/>
  <c r="AM239" i="21"/>
  <c r="AM240" i="21"/>
  <c r="AM241" i="21"/>
  <c r="AM242" i="21"/>
  <c r="AM243" i="21"/>
  <c r="AM244" i="21"/>
  <c r="AM245" i="21"/>
  <c r="AM246" i="21"/>
  <c r="AM247" i="21"/>
  <c r="AM248" i="21"/>
  <c r="AM249" i="21"/>
  <c r="AM250" i="21"/>
  <c r="AM251" i="21"/>
  <c r="AM252" i="21"/>
  <c r="AM253" i="21"/>
  <c r="AM254" i="21"/>
  <c r="AM255" i="21"/>
  <c r="AM256" i="21"/>
  <c r="AM257" i="21"/>
  <c r="AM258" i="21"/>
  <c r="AM259" i="21"/>
  <c r="AM260" i="21"/>
  <c r="AM261" i="21"/>
  <c r="AM262" i="21"/>
  <c r="AM263" i="21"/>
  <c r="AM264" i="21"/>
  <c r="AM265" i="21"/>
  <c r="AM266" i="21"/>
  <c r="AM267" i="21"/>
  <c r="AM268" i="21"/>
  <c r="AM269" i="21"/>
  <c r="AM270" i="21"/>
  <c r="AM271" i="21"/>
  <c r="AM272" i="21"/>
  <c r="AM273" i="21"/>
  <c r="AM274" i="21"/>
  <c r="AM275" i="21"/>
  <c r="AM276" i="21"/>
  <c r="AM277" i="21"/>
  <c r="AM278" i="21"/>
  <c r="AM279" i="21"/>
  <c r="AM280" i="21"/>
  <c r="AM281" i="21"/>
  <c r="AM282" i="21"/>
  <c r="AM283" i="21"/>
  <c r="AM284" i="21"/>
  <c r="AM285" i="21"/>
  <c r="AM286" i="21"/>
  <c r="AM287" i="21"/>
  <c r="AM288" i="21"/>
  <c r="AM289" i="21"/>
  <c r="AM290" i="21"/>
  <c r="AM291" i="21"/>
  <c r="AM292" i="21"/>
  <c r="AM293" i="21"/>
  <c r="AM294" i="21"/>
  <c r="AM295" i="21"/>
  <c r="AM296" i="21"/>
  <c r="AM297" i="21"/>
  <c r="AM298" i="21"/>
  <c r="AM299" i="21"/>
  <c r="AM300" i="21"/>
  <c r="AM301" i="21"/>
  <c r="AM302" i="21"/>
  <c r="AM303" i="21"/>
  <c r="AM304" i="21"/>
  <c r="AM305" i="21"/>
  <c r="AM306" i="21"/>
  <c r="AM307" i="21"/>
  <c r="AM308" i="21"/>
  <c r="AM309" i="21"/>
  <c r="AM310" i="21"/>
  <c r="AM311" i="21"/>
  <c r="AM312" i="21"/>
  <c r="AM313" i="21"/>
  <c r="AM314" i="21"/>
  <c r="AM315" i="21"/>
  <c r="AM316" i="21"/>
  <c r="AM317" i="21"/>
  <c r="AM318" i="21"/>
  <c r="AM319" i="21"/>
  <c r="AM320" i="21"/>
  <c r="AM321" i="21"/>
  <c r="AM322" i="21"/>
  <c r="AM323" i="21"/>
  <c r="AM324" i="21"/>
  <c r="AM325" i="21"/>
  <c r="AM326" i="21"/>
  <c r="AM327" i="21"/>
  <c r="AM328" i="21"/>
  <c r="AM329" i="21"/>
  <c r="AM330" i="21"/>
  <c r="AM331" i="21"/>
  <c r="AM332" i="21"/>
  <c r="AM333" i="21"/>
  <c r="AM334" i="21"/>
  <c r="AM335" i="21"/>
  <c r="AM336" i="21"/>
  <c r="AM337" i="21"/>
  <c r="AM338" i="21"/>
  <c r="AM339" i="21"/>
  <c r="AM340" i="21"/>
  <c r="AM341" i="21"/>
  <c r="AM342" i="21"/>
  <c r="AM343" i="21"/>
  <c r="AM344" i="21"/>
  <c r="AM345" i="21"/>
  <c r="AM346" i="21"/>
  <c r="AM347" i="21"/>
  <c r="AM348" i="21"/>
  <c r="AM349" i="21"/>
  <c r="AM350" i="21"/>
  <c r="AM351" i="21"/>
  <c r="AM352" i="21"/>
  <c r="AM353" i="21"/>
  <c r="AM354" i="21"/>
  <c r="AM355" i="21"/>
  <c r="AM356" i="21"/>
  <c r="AM357" i="21"/>
  <c r="AM358" i="21"/>
  <c r="AM359" i="21"/>
  <c r="AM360" i="21"/>
  <c r="AM361" i="21"/>
  <c r="AM362" i="21"/>
  <c r="AM363" i="21"/>
  <c r="AM364" i="21"/>
  <c r="AM365" i="21"/>
  <c r="AM366" i="21"/>
  <c r="AM367" i="21"/>
  <c r="AM368" i="21"/>
  <c r="AM369" i="21"/>
  <c r="AM370" i="21"/>
  <c r="AM371" i="21"/>
  <c r="AM372" i="21"/>
  <c r="AM373" i="21"/>
  <c r="AM374" i="21"/>
  <c r="AM375" i="21"/>
  <c r="AM376" i="21"/>
  <c r="AM377" i="21"/>
  <c r="AM378" i="21"/>
  <c r="AM379" i="21"/>
  <c r="AM380" i="21"/>
  <c r="AM381" i="21"/>
  <c r="AM382" i="21"/>
  <c r="AM383" i="21"/>
  <c r="AM384" i="21"/>
  <c r="AM385" i="21"/>
  <c r="AM386" i="21"/>
  <c r="AM387" i="21"/>
  <c r="AM388" i="21"/>
  <c r="AM389" i="21"/>
  <c r="AM390" i="21"/>
  <c r="AM391" i="21"/>
  <c r="AM392" i="21"/>
  <c r="AM393" i="21"/>
  <c r="AM394" i="21"/>
  <c r="AM395" i="21"/>
  <c r="AM396" i="21"/>
  <c r="AM397" i="21"/>
  <c r="AM398" i="21"/>
  <c r="AM399" i="21"/>
  <c r="AM400" i="21"/>
  <c r="AM401" i="21"/>
  <c r="AM402" i="21"/>
  <c r="AM403" i="21"/>
  <c r="AM404" i="21"/>
  <c r="AN2" i="21"/>
  <c r="AM2" i="21"/>
  <c r="AQ3" i="21"/>
  <c r="AQ4" i="21"/>
  <c r="AQ5" i="21"/>
  <c r="AQ6" i="21"/>
  <c r="AQ7" i="21"/>
  <c r="AQ8" i="21"/>
  <c r="AQ9" i="21"/>
  <c r="AQ10" i="21"/>
  <c r="AQ11" i="21"/>
  <c r="AQ12" i="21"/>
  <c r="AQ13" i="21"/>
  <c r="AQ14" i="21"/>
  <c r="AQ15" i="21"/>
  <c r="AQ16" i="21"/>
  <c r="AQ17" i="21"/>
  <c r="AR17" i="21" s="1"/>
  <c r="AQ18" i="21"/>
  <c r="AQ19" i="21"/>
  <c r="AQ20" i="21"/>
  <c r="AQ21" i="21"/>
  <c r="AQ22" i="21"/>
  <c r="AQ23" i="21"/>
  <c r="AQ24" i="21"/>
  <c r="AQ25" i="21"/>
  <c r="AR25" i="21" s="1"/>
  <c r="AQ26" i="21"/>
  <c r="AQ27" i="21"/>
  <c r="AQ28" i="21"/>
  <c r="AQ29" i="21"/>
  <c r="AQ30" i="21"/>
  <c r="AQ31" i="21"/>
  <c r="AQ32" i="21"/>
  <c r="AQ33" i="21"/>
  <c r="AR33" i="21" s="1"/>
  <c r="AQ34" i="21"/>
  <c r="AQ35" i="21"/>
  <c r="AQ36" i="21"/>
  <c r="AQ37" i="21"/>
  <c r="AQ38" i="21"/>
  <c r="AQ39" i="21"/>
  <c r="AQ40" i="21"/>
  <c r="AQ41" i="21"/>
  <c r="AR41" i="21" s="1"/>
  <c r="AQ42" i="21"/>
  <c r="AQ43" i="21"/>
  <c r="AQ44" i="21"/>
  <c r="AQ45" i="21"/>
  <c r="AQ46" i="21"/>
  <c r="AQ47" i="21"/>
  <c r="AQ48" i="21"/>
  <c r="AQ49" i="21"/>
  <c r="AR49" i="21" s="1"/>
  <c r="AQ50" i="21"/>
  <c r="AQ51" i="21"/>
  <c r="AQ52" i="21"/>
  <c r="AQ53" i="21"/>
  <c r="AQ54" i="21"/>
  <c r="AQ55" i="21"/>
  <c r="AQ56" i="21"/>
  <c r="AQ57" i="21"/>
  <c r="AR57" i="21" s="1"/>
  <c r="AQ58" i="21"/>
  <c r="AQ59" i="21"/>
  <c r="AQ60" i="21"/>
  <c r="AQ61" i="21"/>
  <c r="AQ62" i="21"/>
  <c r="AQ63" i="21"/>
  <c r="AQ64" i="21"/>
  <c r="AQ65" i="21"/>
  <c r="AQ66" i="21"/>
  <c r="AQ67" i="21"/>
  <c r="AQ68" i="21"/>
  <c r="AQ69" i="21"/>
  <c r="AQ70" i="21"/>
  <c r="AQ71" i="21"/>
  <c r="AQ72" i="21"/>
  <c r="AQ73" i="21"/>
  <c r="AR73" i="21" s="1"/>
  <c r="AQ74" i="21"/>
  <c r="AQ75" i="21"/>
  <c r="AQ76" i="21"/>
  <c r="AQ77" i="21"/>
  <c r="AQ78" i="21"/>
  <c r="AQ79" i="21"/>
  <c r="AQ80" i="21"/>
  <c r="AQ81" i="21"/>
  <c r="AR81" i="21" s="1"/>
  <c r="AQ82" i="21"/>
  <c r="AQ83" i="21"/>
  <c r="AQ84" i="21"/>
  <c r="AQ85" i="21"/>
  <c r="AQ86" i="21"/>
  <c r="AQ87" i="21"/>
  <c r="AQ88" i="21"/>
  <c r="AQ89" i="21"/>
  <c r="AR89" i="21" s="1"/>
  <c r="AQ90" i="21"/>
  <c r="AQ91" i="21"/>
  <c r="AQ92" i="21"/>
  <c r="AQ93" i="21"/>
  <c r="AQ94" i="21"/>
  <c r="AQ95" i="21"/>
  <c r="AQ96" i="21"/>
  <c r="AQ97" i="21"/>
  <c r="AQ98" i="21"/>
  <c r="AQ99" i="21"/>
  <c r="AQ100" i="21"/>
  <c r="AQ101" i="21"/>
  <c r="AQ102" i="21"/>
  <c r="AQ103" i="21"/>
  <c r="AQ104" i="21"/>
  <c r="AQ105" i="21"/>
  <c r="AR105" i="21" s="1"/>
  <c r="AQ106" i="21"/>
  <c r="AQ107" i="21"/>
  <c r="AQ108" i="21"/>
  <c r="AQ109" i="21"/>
  <c r="AQ110" i="21"/>
  <c r="AQ111" i="21"/>
  <c r="AQ112" i="21"/>
  <c r="AQ113" i="21"/>
  <c r="AR113" i="21" s="1"/>
  <c r="AQ114" i="21"/>
  <c r="AQ115" i="21"/>
  <c r="AQ116" i="21"/>
  <c r="AQ117" i="21"/>
  <c r="AQ118" i="21"/>
  <c r="AQ119" i="21"/>
  <c r="AQ120" i="21"/>
  <c r="AQ121" i="21"/>
  <c r="AS121" i="21" s="1"/>
  <c r="AQ122" i="21"/>
  <c r="AQ123" i="21"/>
  <c r="AQ124" i="21"/>
  <c r="AQ125" i="21"/>
  <c r="AQ126" i="21"/>
  <c r="AQ127" i="21"/>
  <c r="AQ128" i="21"/>
  <c r="AQ129" i="21"/>
  <c r="AR129" i="21" s="1"/>
  <c r="AQ130" i="21"/>
  <c r="AQ131" i="21"/>
  <c r="AQ132" i="21"/>
  <c r="AQ133" i="21"/>
  <c r="AQ134" i="21"/>
  <c r="AQ135" i="21"/>
  <c r="AQ136" i="21"/>
  <c r="AQ137" i="21"/>
  <c r="AQ138" i="21"/>
  <c r="AQ139" i="21"/>
  <c r="AQ140" i="21"/>
  <c r="AQ141" i="21"/>
  <c r="AQ142" i="21"/>
  <c r="AQ143" i="21"/>
  <c r="AQ144" i="21"/>
  <c r="AQ145" i="21"/>
  <c r="AR145" i="21" s="1"/>
  <c r="AQ146" i="21"/>
  <c r="AQ147" i="21"/>
  <c r="AQ148" i="21"/>
  <c r="AQ149" i="21"/>
  <c r="AQ150" i="21"/>
  <c r="AQ151" i="21"/>
  <c r="AQ152" i="21"/>
  <c r="AQ153" i="21"/>
  <c r="AR153" i="21" s="1"/>
  <c r="AQ154" i="21"/>
  <c r="AQ155" i="21"/>
  <c r="AQ156" i="21"/>
  <c r="AQ157" i="21"/>
  <c r="AQ158" i="21"/>
  <c r="AQ159" i="21"/>
  <c r="AQ160" i="21"/>
  <c r="AQ161" i="21"/>
  <c r="AQ162" i="21"/>
  <c r="AQ163" i="21"/>
  <c r="AQ164" i="21"/>
  <c r="AQ165" i="21"/>
  <c r="AQ166" i="21"/>
  <c r="AQ167" i="21"/>
  <c r="AQ168" i="21"/>
  <c r="AQ169" i="21"/>
  <c r="AQ170" i="21"/>
  <c r="AQ171" i="21"/>
  <c r="AQ172" i="21"/>
  <c r="AQ173" i="21"/>
  <c r="AQ174" i="21"/>
  <c r="AQ175" i="21"/>
  <c r="AQ176" i="21"/>
  <c r="AQ177" i="21"/>
  <c r="AR177" i="21" s="1"/>
  <c r="AQ178" i="21"/>
  <c r="AQ179" i="21"/>
  <c r="AQ180" i="21"/>
  <c r="AQ181" i="21"/>
  <c r="AQ182" i="21"/>
  <c r="AQ183" i="21"/>
  <c r="AQ184" i="21"/>
  <c r="AQ185" i="21"/>
  <c r="AR185" i="21" s="1"/>
  <c r="AQ186" i="21"/>
  <c r="AQ187" i="21"/>
  <c r="AQ188" i="21"/>
  <c r="AQ189" i="21"/>
  <c r="AQ190" i="21"/>
  <c r="AQ191" i="21"/>
  <c r="AQ192" i="21"/>
  <c r="AQ193" i="21"/>
  <c r="AR193" i="21" s="1"/>
  <c r="AQ194" i="21"/>
  <c r="AQ195" i="21"/>
  <c r="AQ196" i="21"/>
  <c r="AQ197" i="21"/>
  <c r="AQ198" i="21"/>
  <c r="AQ199" i="21"/>
  <c r="AQ200" i="21"/>
  <c r="AQ201" i="21"/>
  <c r="AR201" i="21" s="1"/>
  <c r="AQ202" i="21"/>
  <c r="AQ203" i="21"/>
  <c r="AQ204" i="21"/>
  <c r="AQ205" i="21"/>
  <c r="AQ206" i="21"/>
  <c r="AQ207" i="21"/>
  <c r="AQ208" i="21"/>
  <c r="AQ209" i="21"/>
  <c r="AR209" i="21" s="1"/>
  <c r="AQ210" i="21"/>
  <c r="AQ211" i="21"/>
  <c r="AQ212" i="21"/>
  <c r="AQ213" i="21"/>
  <c r="AQ214" i="21"/>
  <c r="AQ215" i="21"/>
  <c r="AQ216" i="21"/>
  <c r="AQ217" i="21"/>
  <c r="AQ218" i="21"/>
  <c r="AQ219" i="21"/>
  <c r="AQ220" i="21"/>
  <c r="AQ221" i="21"/>
  <c r="AQ222" i="21"/>
  <c r="AQ223" i="21"/>
  <c r="AQ224" i="21"/>
  <c r="AQ225" i="21"/>
  <c r="AR225" i="21" s="1"/>
  <c r="AQ226" i="21"/>
  <c r="AQ227" i="21"/>
  <c r="AQ228" i="21"/>
  <c r="AQ229" i="21"/>
  <c r="AQ230" i="21"/>
  <c r="AQ231" i="21"/>
  <c r="AQ232" i="21"/>
  <c r="AQ233" i="21"/>
  <c r="AR233" i="21" s="1"/>
  <c r="AQ234" i="21"/>
  <c r="AQ235" i="21"/>
  <c r="AQ236" i="21"/>
  <c r="AQ237" i="21"/>
  <c r="AQ238" i="21"/>
  <c r="AQ239" i="21"/>
  <c r="AQ240" i="21"/>
  <c r="AQ241" i="21"/>
  <c r="AR241" i="21" s="1"/>
  <c r="AQ242" i="21"/>
  <c r="AQ243" i="21"/>
  <c r="AQ244" i="21"/>
  <c r="AQ245" i="21"/>
  <c r="AQ246" i="21"/>
  <c r="AQ247" i="21"/>
  <c r="AQ248" i="21"/>
  <c r="AQ249" i="21"/>
  <c r="AQ250" i="21"/>
  <c r="AQ251" i="21"/>
  <c r="AQ252" i="21"/>
  <c r="AQ253" i="21"/>
  <c r="AQ254" i="21"/>
  <c r="AQ255" i="21"/>
  <c r="AQ256" i="21"/>
  <c r="AQ257" i="21"/>
  <c r="AR257" i="21" s="1"/>
  <c r="AQ258" i="21"/>
  <c r="AQ259" i="21"/>
  <c r="AQ260" i="21"/>
  <c r="AQ261" i="21"/>
  <c r="AQ262" i="21"/>
  <c r="AQ263" i="21"/>
  <c r="AQ264" i="21"/>
  <c r="AQ265" i="21"/>
  <c r="AR265" i="21" s="1"/>
  <c r="AQ266" i="21"/>
  <c r="AQ267" i="21"/>
  <c r="AQ268" i="21"/>
  <c r="AQ269" i="21"/>
  <c r="AQ270" i="21"/>
  <c r="AQ271" i="21"/>
  <c r="AQ272" i="21"/>
  <c r="AQ273" i="21"/>
  <c r="AR273" i="21" s="1"/>
  <c r="AQ274" i="21"/>
  <c r="AQ275" i="21"/>
  <c r="AQ276" i="21"/>
  <c r="AQ277" i="21"/>
  <c r="AQ278" i="21"/>
  <c r="AQ279" i="21"/>
  <c r="AQ280" i="21"/>
  <c r="AQ281" i="21"/>
  <c r="AR281" i="21" s="1"/>
  <c r="AQ282" i="21"/>
  <c r="AQ283" i="21"/>
  <c r="AQ284" i="21"/>
  <c r="AQ285" i="21"/>
  <c r="AQ286" i="21"/>
  <c r="AQ287" i="21"/>
  <c r="AQ288" i="21"/>
  <c r="AQ289" i="21"/>
  <c r="AR289" i="21" s="1"/>
  <c r="AQ290" i="21"/>
  <c r="AQ291" i="21"/>
  <c r="AQ292" i="21"/>
  <c r="AQ293" i="21"/>
  <c r="AQ294" i="21"/>
  <c r="AQ295" i="21"/>
  <c r="AQ296" i="21"/>
  <c r="AQ297" i="21"/>
  <c r="AS297" i="21" s="1"/>
  <c r="AQ298" i="21"/>
  <c r="AQ299" i="21"/>
  <c r="AQ300" i="21"/>
  <c r="AQ301" i="21"/>
  <c r="AQ302" i="21"/>
  <c r="AQ303" i="21"/>
  <c r="AQ304" i="21"/>
  <c r="AQ305" i="21"/>
  <c r="AR305" i="21" s="1"/>
  <c r="AQ306" i="21"/>
  <c r="AQ307" i="21"/>
  <c r="AQ308" i="21"/>
  <c r="AQ309" i="21"/>
  <c r="AQ310" i="21"/>
  <c r="AQ311" i="21"/>
  <c r="AQ312" i="21"/>
  <c r="AQ313" i="21"/>
  <c r="AR313" i="21" s="1"/>
  <c r="AQ314" i="21"/>
  <c r="AQ315" i="21"/>
  <c r="AQ316" i="21"/>
  <c r="AQ317" i="21"/>
  <c r="AQ318" i="21"/>
  <c r="AQ319" i="21"/>
  <c r="AQ320" i="21"/>
  <c r="AQ321" i="21"/>
  <c r="AR321" i="21" s="1"/>
  <c r="AQ322" i="21"/>
  <c r="AQ323" i="21"/>
  <c r="AQ324" i="21"/>
  <c r="AQ325" i="21"/>
  <c r="AQ326" i="21"/>
  <c r="AQ327" i="21"/>
  <c r="AQ328" i="21"/>
  <c r="AQ329" i="21"/>
  <c r="AQ330" i="21"/>
  <c r="AQ331" i="21"/>
  <c r="AQ332" i="21"/>
  <c r="AQ333" i="21"/>
  <c r="AQ334" i="21"/>
  <c r="AQ335" i="21"/>
  <c r="AQ336" i="21"/>
  <c r="AQ337" i="21"/>
  <c r="AR337" i="21" s="1"/>
  <c r="AQ338" i="21"/>
  <c r="AQ339" i="21"/>
  <c r="AQ340" i="21"/>
  <c r="AQ341" i="21"/>
  <c r="AQ342" i="21"/>
  <c r="AQ343" i="21"/>
  <c r="AQ344" i="21"/>
  <c r="AQ345" i="21"/>
  <c r="AR345" i="21" s="1"/>
  <c r="AQ346" i="21"/>
  <c r="AQ347" i="21"/>
  <c r="AQ348" i="21"/>
  <c r="AQ349" i="21"/>
  <c r="AQ350" i="21"/>
  <c r="AQ351" i="21"/>
  <c r="AQ352" i="21"/>
  <c r="AQ353" i="21"/>
  <c r="AR353" i="21" s="1"/>
  <c r="AQ354" i="21"/>
  <c r="AQ355" i="21"/>
  <c r="AQ356" i="21"/>
  <c r="AQ357" i="21"/>
  <c r="AQ358" i="21"/>
  <c r="AQ359" i="21"/>
  <c r="AQ360" i="21"/>
  <c r="AQ361" i="21"/>
  <c r="AQ362" i="21"/>
  <c r="AQ363" i="21"/>
  <c r="AQ364" i="21"/>
  <c r="AQ365" i="21"/>
  <c r="AQ366" i="21"/>
  <c r="AQ367" i="21"/>
  <c r="AQ368" i="21"/>
  <c r="AQ369" i="21"/>
  <c r="AR369" i="21" s="1"/>
  <c r="AQ370" i="21"/>
  <c r="AQ371" i="21"/>
  <c r="AQ372" i="21"/>
  <c r="AQ373" i="21"/>
  <c r="AQ374" i="21"/>
  <c r="AQ375" i="21"/>
  <c r="AQ376" i="21"/>
  <c r="AQ377" i="21"/>
  <c r="AR377" i="21" s="1"/>
  <c r="AQ378" i="21"/>
  <c r="AQ379" i="21"/>
  <c r="AQ380" i="21"/>
  <c r="AQ381" i="21"/>
  <c r="AQ382" i="21"/>
  <c r="AQ383" i="21"/>
  <c r="AQ384" i="21"/>
  <c r="AQ385" i="21"/>
  <c r="AR385" i="21" s="1"/>
  <c r="AQ386" i="21"/>
  <c r="AQ387" i="21"/>
  <c r="AQ388" i="21"/>
  <c r="AQ389" i="21"/>
  <c r="AQ390" i="21"/>
  <c r="AQ391" i="21"/>
  <c r="AQ392" i="21"/>
  <c r="AQ393" i="21"/>
  <c r="AR393" i="21" s="1"/>
  <c r="AQ394" i="21"/>
  <c r="AQ395" i="21"/>
  <c r="AQ396" i="21"/>
  <c r="AQ397" i="21"/>
  <c r="AQ398" i="21"/>
  <c r="AQ399" i="21"/>
  <c r="AQ400" i="21"/>
  <c r="AQ401" i="21"/>
  <c r="AR401" i="21" s="1"/>
  <c r="AQ402" i="21"/>
  <c r="AQ403" i="21"/>
  <c r="AQ404" i="21"/>
  <c r="AQ2" i="21"/>
  <c r="AO3" i="21"/>
  <c r="AO4" i="21"/>
  <c r="AO5" i="21"/>
  <c r="AO6" i="21"/>
  <c r="AO7" i="21"/>
  <c r="AO8" i="21"/>
  <c r="AO9" i="21"/>
  <c r="AO10" i="21"/>
  <c r="AO11" i="21"/>
  <c r="AO12" i="21"/>
  <c r="AO13" i="21"/>
  <c r="AO14" i="21"/>
  <c r="AO15" i="21"/>
  <c r="AO16" i="21"/>
  <c r="AP16" i="21" s="1"/>
  <c r="AO17" i="21"/>
  <c r="AP17" i="21" s="1"/>
  <c r="AO18" i="21"/>
  <c r="AO19" i="21"/>
  <c r="AO20" i="21"/>
  <c r="AO21" i="21"/>
  <c r="AO22" i="21"/>
  <c r="AO23" i="21"/>
  <c r="AO24" i="21"/>
  <c r="AS24" i="21" s="1"/>
  <c r="AO25" i="21"/>
  <c r="AP25" i="21" s="1"/>
  <c r="AO26" i="21"/>
  <c r="AO27" i="21"/>
  <c r="AO28" i="21"/>
  <c r="AO29" i="21"/>
  <c r="AO30" i="21"/>
  <c r="AO31" i="21"/>
  <c r="AO32" i="21"/>
  <c r="AS32" i="21" s="1"/>
  <c r="AO33" i="21"/>
  <c r="AP33" i="21" s="1"/>
  <c r="AO34" i="21"/>
  <c r="AO35" i="21"/>
  <c r="AO36" i="21"/>
  <c r="AO37" i="21"/>
  <c r="AO38" i="21"/>
  <c r="AO39" i="21"/>
  <c r="AO40" i="21"/>
  <c r="AP40" i="21" s="1"/>
  <c r="AO41" i="21"/>
  <c r="AP41" i="21" s="1"/>
  <c r="AO42" i="21"/>
  <c r="AO43" i="21"/>
  <c r="AO44" i="21"/>
  <c r="AO45" i="21"/>
  <c r="AO46" i="21"/>
  <c r="AO47" i="21"/>
  <c r="AO48" i="21"/>
  <c r="AS48" i="21" s="1"/>
  <c r="AO49" i="21"/>
  <c r="AP49" i="21" s="1"/>
  <c r="AO50" i="21"/>
  <c r="AO51" i="21"/>
  <c r="AO52" i="21"/>
  <c r="AO53" i="21"/>
  <c r="AO54" i="21"/>
  <c r="AO55" i="21"/>
  <c r="AO56" i="21"/>
  <c r="AP56" i="21" s="1"/>
  <c r="AO57" i="21"/>
  <c r="AO58" i="21"/>
  <c r="AO59" i="21"/>
  <c r="AO60" i="21"/>
  <c r="AO61" i="21"/>
  <c r="AO62" i="21"/>
  <c r="AO63" i="21"/>
  <c r="AO64" i="21"/>
  <c r="AP64" i="21" s="1"/>
  <c r="AO65" i="21"/>
  <c r="AO66" i="21"/>
  <c r="AO67" i="21"/>
  <c r="AO68" i="21"/>
  <c r="AO69" i="21"/>
  <c r="AO70" i="21"/>
  <c r="AO71" i="21"/>
  <c r="AO72" i="21"/>
  <c r="AO73" i="21"/>
  <c r="AP73" i="21" s="1"/>
  <c r="AO74" i="21"/>
  <c r="AO75" i="21"/>
  <c r="AO76" i="21"/>
  <c r="AO77" i="21"/>
  <c r="AO78" i="21"/>
  <c r="AO79" i="21"/>
  <c r="AO80" i="21"/>
  <c r="AP80" i="21" s="1"/>
  <c r="AO81" i="21"/>
  <c r="AO82" i="21"/>
  <c r="AO83" i="21"/>
  <c r="AO84" i="21"/>
  <c r="AO85" i="21"/>
  <c r="AO86" i="21"/>
  <c r="AO87" i="21"/>
  <c r="AO88" i="21"/>
  <c r="AP88" i="21" s="1"/>
  <c r="AO89" i="21"/>
  <c r="AP89" i="21" s="1"/>
  <c r="AO90" i="21"/>
  <c r="AO91" i="21"/>
  <c r="AO92" i="21"/>
  <c r="AO93" i="21"/>
  <c r="AO94" i="21"/>
  <c r="AO95" i="21"/>
  <c r="AO96" i="21"/>
  <c r="AP96" i="21" s="1"/>
  <c r="AO97" i="21"/>
  <c r="AO98" i="21"/>
  <c r="AO99" i="21"/>
  <c r="AO100" i="21"/>
  <c r="AO101" i="21"/>
  <c r="AO102" i="21"/>
  <c r="AO103" i="21"/>
  <c r="AO104" i="21"/>
  <c r="AS104" i="21" s="1"/>
  <c r="AO105" i="21"/>
  <c r="AP105" i="21" s="1"/>
  <c r="AO106" i="21"/>
  <c r="AO107" i="21"/>
  <c r="AO108" i="21"/>
  <c r="AO109" i="21"/>
  <c r="AO110" i="21"/>
  <c r="AO111" i="21"/>
  <c r="AO112" i="21"/>
  <c r="AO113" i="21"/>
  <c r="AO114" i="21"/>
  <c r="AO115" i="21"/>
  <c r="AO116" i="21"/>
  <c r="AO117" i="21"/>
  <c r="AO118" i="21"/>
  <c r="AO119" i="21"/>
  <c r="AO120" i="21"/>
  <c r="AO121" i="21"/>
  <c r="AP121" i="21" s="1"/>
  <c r="AO122" i="21"/>
  <c r="AO123" i="21"/>
  <c r="AO124" i="21"/>
  <c r="AO125" i="21"/>
  <c r="AO126" i="21"/>
  <c r="AO127" i="21"/>
  <c r="AO128" i="21"/>
  <c r="AO129" i="21"/>
  <c r="AO130" i="21"/>
  <c r="AO131" i="21"/>
  <c r="AO132" i="21"/>
  <c r="AO133" i="21"/>
  <c r="AO134" i="21"/>
  <c r="AO135" i="21"/>
  <c r="AO136" i="21"/>
  <c r="AS136" i="21" s="1"/>
  <c r="AO137" i="21"/>
  <c r="AP137" i="21" s="1"/>
  <c r="AO138" i="21"/>
  <c r="AO139" i="21"/>
  <c r="AO140" i="21"/>
  <c r="AO141" i="21"/>
  <c r="AO142" i="21"/>
  <c r="AO143" i="21"/>
  <c r="AO144" i="21"/>
  <c r="AP144" i="21" s="1"/>
  <c r="AO145" i="21"/>
  <c r="AP145" i="21" s="1"/>
  <c r="AO146" i="21"/>
  <c r="AO147" i="21"/>
  <c r="AO148" i="21"/>
  <c r="AO149" i="21"/>
  <c r="AO150" i="21"/>
  <c r="AO151" i="21"/>
  <c r="AO152" i="21"/>
  <c r="AP152" i="21" s="1"/>
  <c r="AO153" i="21"/>
  <c r="AP153" i="21" s="1"/>
  <c r="AO154" i="21"/>
  <c r="AO155" i="21"/>
  <c r="AO156" i="21"/>
  <c r="AO157" i="21"/>
  <c r="AO158" i="21"/>
  <c r="AO159" i="21"/>
  <c r="AO160" i="21"/>
  <c r="AO161" i="21"/>
  <c r="AO162" i="21"/>
  <c r="AO163" i="21"/>
  <c r="AO164" i="21"/>
  <c r="AO165" i="21"/>
  <c r="AO166" i="21"/>
  <c r="AO167" i="21"/>
  <c r="AO168" i="21"/>
  <c r="AP168" i="21" s="1"/>
  <c r="AO169" i="21"/>
  <c r="AP169" i="21" s="1"/>
  <c r="AO170" i="21"/>
  <c r="AO171" i="21"/>
  <c r="AO172" i="21"/>
  <c r="AO173" i="21"/>
  <c r="AO174" i="21"/>
  <c r="AO175" i="21"/>
  <c r="AO176" i="21"/>
  <c r="AP176" i="21" s="1"/>
  <c r="AO177" i="21"/>
  <c r="AP177" i="21" s="1"/>
  <c r="AO178" i="21"/>
  <c r="AO179" i="21"/>
  <c r="AO180" i="21"/>
  <c r="AO181" i="21"/>
  <c r="AO182" i="21"/>
  <c r="AO183" i="21"/>
  <c r="AO184" i="21"/>
  <c r="AO185" i="21"/>
  <c r="AP185" i="21" s="1"/>
  <c r="AO186" i="21"/>
  <c r="AO187" i="21"/>
  <c r="AO188" i="21"/>
  <c r="AO189" i="21"/>
  <c r="AO190" i="21"/>
  <c r="AO191" i="21"/>
  <c r="AO192" i="21"/>
  <c r="AP192" i="21" s="1"/>
  <c r="AO193" i="21"/>
  <c r="AP193" i="21" s="1"/>
  <c r="AO194" i="21"/>
  <c r="AO195" i="21"/>
  <c r="AO196" i="21"/>
  <c r="AO197" i="21"/>
  <c r="AO198" i="21"/>
  <c r="AO199" i="21"/>
  <c r="AO200" i="21"/>
  <c r="AP200" i="21" s="1"/>
  <c r="AO201" i="21"/>
  <c r="AP201" i="21" s="1"/>
  <c r="AO202" i="21"/>
  <c r="AO203" i="21"/>
  <c r="AO204" i="21"/>
  <c r="AO205" i="21"/>
  <c r="AO206" i="21"/>
  <c r="AO207" i="21"/>
  <c r="AO208" i="21"/>
  <c r="AO209" i="21"/>
  <c r="AP209" i="21" s="1"/>
  <c r="AO210" i="21"/>
  <c r="AO211" i="21"/>
  <c r="AO212" i="21"/>
  <c r="AO213" i="21"/>
  <c r="AO214" i="21"/>
  <c r="AO215" i="21"/>
  <c r="AO216" i="21"/>
  <c r="AP216" i="21" s="1"/>
  <c r="AO217" i="21"/>
  <c r="AP217" i="21" s="1"/>
  <c r="AO218" i="21"/>
  <c r="AO219" i="21"/>
  <c r="AO220" i="21"/>
  <c r="AO221" i="21"/>
  <c r="AO222" i="21"/>
  <c r="AO223" i="21"/>
  <c r="AO224" i="21"/>
  <c r="AS224" i="21" s="1"/>
  <c r="AO225" i="21"/>
  <c r="AO226" i="21"/>
  <c r="AO227" i="21"/>
  <c r="AO228" i="21"/>
  <c r="AO229" i="21"/>
  <c r="AO230" i="21"/>
  <c r="AO231" i="21"/>
  <c r="AO232" i="21"/>
  <c r="AS232" i="21" s="1"/>
  <c r="AO233" i="21"/>
  <c r="AO234" i="21"/>
  <c r="AO235" i="21"/>
  <c r="AO236" i="21"/>
  <c r="AO237" i="21"/>
  <c r="AO238" i="21"/>
  <c r="AO239" i="21"/>
  <c r="AO240" i="21"/>
  <c r="AS240" i="21" s="1"/>
  <c r="AO241" i="21"/>
  <c r="AO242" i="21"/>
  <c r="AO243" i="21"/>
  <c r="AO244" i="21"/>
  <c r="AO245" i="21"/>
  <c r="AO246" i="21"/>
  <c r="AO247" i="21"/>
  <c r="AO248" i="21"/>
  <c r="AP248" i="21" s="1"/>
  <c r="AO249" i="21"/>
  <c r="AO250" i="21"/>
  <c r="AO251" i="21"/>
  <c r="AO252" i="21"/>
  <c r="AO253" i="21"/>
  <c r="AO254" i="21"/>
  <c r="AO255" i="21"/>
  <c r="AO256" i="21"/>
  <c r="AP256" i="21" s="1"/>
  <c r="AO257" i="21"/>
  <c r="AO258" i="21"/>
  <c r="AO259" i="21"/>
  <c r="AO260" i="21"/>
  <c r="AO261" i="21"/>
  <c r="AO262" i="21"/>
  <c r="AO263" i="21"/>
  <c r="AO264" i="21"/>
  <c r="AP264" i="21" s="1"/>
  <c r="AO265" i="21"/>
  <c r="AO266" i="21"/>
  <c r="AO267" i="21"/>
  <c r="AO268" i="21"/>
  <c r="AO269" i="21"/>
  <c r="AO270" i="21"/>
  <c r="AO271" i="21"/>
  <c r="AO272" i="21"/>
  <c r="AS272" i="21" s="1"/>
  <c r="AO273" i="21"/>
  <c r="AO274" i="21"/>
  <c r="AO275" i="21"/>
  <c r="AO276" i="21"/>
  <c r="AO277" i="21"/>
  <c r="AO278" i="21"/>
  <c r="AO279" i="21"/>
  <c r="AO280" i="21"/>
  <c r="AS280" i="21" s="1"/>
  <c r="AO281" i="21"/>
  <c r="AO282" i="21"/>
  <c r="AO283" i="21"/>
  <c r="AO284" i="21"/>
  <c r="AO285" i="21"/>
  <c r="AO286" i="21"/>
  <c r="AO287" i="21"/>
  <c r="AO288" i="21"/>
  <c r="AO289" i="21"/>
  <c r="AP289" i="21" s="1"/>
  <c r="AO290" i="21"/>
  <c r="AO291" i="21"/>
  <c r="AO292" i="21"/>
  <c r="AO293" i="21"/>
  <c r="AO294" i="21"/>
  <c r="AO295" i="21"/>
  <c r="AO296" i="21"/>
  <c r="AO297" i="21"/>
  <c r="AP297" i="21" s="1"/>
  <c r="AO298" i="21"/>
  <c r="AO299" i="21"/>
  <c r="AO300" i="21"/>
  <c r="AO301" i="21"/>
  <c r="AO302" i="21"/>
  <c r="AO303" i="21"/>
  <c r="AO304" i="21"/>
  <c r="AP304" i="21" s="1"/>
  <c r="AO305" i="21"/>
  <c r="AP305" i="21" s="1"/>
  <c r="AO306" i="21"/>
  <c r="AO307" i="21"/>
  <c r="AO308" i="21"/>
  <c r="AO309" i="21"/>
  <c r="AO310" i="21"/>
  <c r="AO311" i="21"/>
  <c r="AO312" i="21"/>
  <c r="AS312" i="21" s="1"/>
  <c r="AO313" i="21"/>
  <c r="AO314" i="21"/>
  <c r="AO315" i="21"/>
  <c r="AO316" i="21"/>
  <c r="AO317" i="21"/>
  <c r="AO318" i="21"/>
  <c r="AO319" i="21"/>
  <c r="AO320" i="21"/>
  <c r="AP320" i="21" s="1"/>
  <c r="AO321" i="21"/>
  <c r="AP321" i="21" s="1"/>
  <c r="AO322" i="21"/>
  <c r="AO323" i="21"/>
  <c r="AO324" i="21"/>
  <c r="AO325" i="21"/>
  <c r="AO326" i="21"/>
  <c r="AO327" i="21"/>
  <c r="AO328" i="21"/>
  <c r="AO329" i="21"/>
  <c r="AP329" i="21" s="1"/>
  <c r="AO330" i="21"/>
  <c r="AO331" i="21"/>
  <c r="AO332" i="21"/>
  <c r="AO333" i="21"/>
  <c r="AO334" i="21"/>
  <c r="AO335" i="21"/>
  <c r="AO336" i="21"/>
  <c r="AO337" i="21"/>
  <c r="AO338" i="21"/>
  <c r="AO339" i="21"/>
  <c r="AO340" i="21"/>
  <c r="AO341" i="21"/>
  <c r="AO342" i="21"/>
  <c r="AO343" i="21"/>
  <c r="AO344" i="21"/>
  <c r="AP344" i="21" s="1"/>
  <c r="AO345" i="21"/>
  <c r="AP345" i="21" s="1"/>
  <c r="AO346" i="21"/>
  <c r="AO347" i="21"/>
  <c r="AO348" i="21"/>
  <c r="AO349" i="21"/>
  <c r="AO350" i="21"/>
  <c r="AO351" i="21"/>
  <c r="AO352" i="21"/>
  <c r="AP352" i="21" s="1"/>
  <c r="AO353" i="21"/>
  <c r="AP353" i="21" s="1"/>
  <c r="AO354" i="21"/>
  <c r="AO355" i="21"/>
  <c r="AO356" i="21"/>
  <c r="AO357" i="21"/>
  <c r="AO358" i="21"/>
  <c r="AO359" i="21"/>
  <c r="AO360" i="21"/>
  <c r="AO361" i="21"/>
  <c r="AP361" i="21" s="1"/>
  <c r="AO362" i="21"/>
  <c r="AO363" i="21"/>
  <c r="AO364" i="21"/>
  <c r="AO365" i="21"/>
  <c r="AO366" i="21"/>
  <c r="AO367" i="21"/>
  <c r="AO368" i="21"/>
  <c r="AO369" i="21"/>
  <c r="AP369" i="21" s="1"/>
  <c r="AO370" i="21"/>
  <c r="AO371" i="21"/>
  <c r="AO372" i="21"/>
  <c r="AO373" i="21"/>
  <c r="AO374" i="21"/>
  <c r="AO375" i="21"/>
  <c r="AO376" i="21"/>
  <c r="AP376" i="21" s="1"/>
  <c r="AO377" i="21"/>
  <c r="AP377" i="21" s="1"/>
  <c r="AO378" i="21"/>
  <c r="AO379" i="21"/>
  <c r="AO380" i="21"/>
  <c r="AO381" i="21"/>
  <c r="AO382" i="21"/>
  <c r="AO383" i="21"/>
  <c r="AO384" i="21"/>
  <c r="AS384" i="21" s="1"/>
  <c r="AO385" i="21"/>
  <c r="AO386" i="21"/>
  <c r="AO387" i="21"/>
  <c r="AO388" i="21"/>
  <c r="AO389" i="21"/>
  <c r="AO390" i="21"/>
  <c r="AO391" i="21"/>
  <c r="AO392" i="21"/>
  <c r="AS392" i="21" s="1"/>
  <c r="AO393" i="21"/>
  <c r="AP393" i="21" s="1"/>
  <c r="AO394" i="21"/>
  <c r="AO395" i="21"/>
  <c r="AO396" i="21"/>
  <c r="AO397" i="21"/>
  <c r="AO398" i="21"/>
  <c r="AO399" i="21"/>
  <c r="AO400" i="21"/>
  <c r="AS400" i="21" s="1"/>
  <c r="AO401" i="21"/>
  <c r="AP401" i="21" s="1"/>
  <c r="AO402" i="21"/>
  <c r="AO403" i="21"/>
  <c r="AO404" i="21"/>
  <c r="AO2" i="21"/>
  <c r="AI3" i="21"/>
  <c r="AI4" i="21"/>
  <c r="AI5" i="21"/>
  <c r="AI6" i="21"/>
  <c r="AI7" i="21"/>
  <c r="AI8" i="21"/>
  <c r="AI9" i="21"/>
  <c r="AJ9" i="21" s="1"/>
  <c r="AI10" i="21"/>
  <c r="AI11" i="21"/>
  <c r="AI12" i="21"/>
  <c r="AI13" i="21"/>
  <c r="AI14" i="21"/>
  <c r="AI15" i="21"/>
  <c r="AI16" i="21"/>
  <c r="AI17" i="21"/>
  <c r="AJ17" i="21" s="1"/>
  <c r="AI18" i="21"/>
  <c r="AI19" i="21"/>
  <c r="AI20" i="21"/>
  <c r="AI21" i="21"/>
  <c r="AI22" i="21"/>
  <c r="AI23" i="21"/>
  <c r="AI24" i="21"/>
  <c r="AI25" i="21"/>
  <c r="AJ25" i="21" s="1"/>
  <c r="AI26" i="21"/>
  <c r="AI27" i="21"/>
  <c r="AI28" i="21"/>
  <c r="AI29" i="21"/>
  <c r="AI30" i="21"/>
  <c r="AI31" i="21"/>
  <c r="AI32" i="21"/>
  <c r="AI33" i="21"/>
  <c r="AJ33" i="21" s="1"/>
  <c r="AI34" i="21"/>
  <c r="AI35" i="21"/>
  <c r="AI36" i="21"/>
  <c r="AI37" i="21"/>
  <c r="AI38" i="21"/>
  <c r="AI39" i="21"/>
  <c r="AI40" i="21"/>
  <c r="AI41" i="21"/>
  <c r="AJ41" i="21" s="1"/>
  <c r="AI42" i="21"/>
  <c r="AI43" i="21"/>
  <c r="AI44" i="21"/>
  <c r="AI45" i="21"/>
  <c r="AI46" i="21"/>
  <c r="AI47" i="21"/>
  <c r="AI48" i="21"/>
  <c r="AI49" i="21"/>
  <c r="AJ49" i="21" s="1"/>
  <c r="AI50" i="21"/>
  <c r="AI51" i="21"/>
  <c r="AI52" i="21"/>
  <c r="AI53" i="21"/>
  <c r="AI54" i="21"/>
  <c r="AI55" i="21"/>
  <c r="AI56" i="21"/>
  <c r="AI57" i="21"/>
  <c r="AJ57" i="21" s="1"/>
  <c r="AI58" i="21"/>
  <c r="AI59" i="21"/>
  <c r="AI60" i="21"/>
  <c r="AI61" i="21"/>
  <c r="AI62" i="21"/>
  <c r="AI63" i="21"/>
  <c r="AI64" i="21"/>
  <c r="AI65" i="21"/>
  <c r="AJ65" i="21" s="1"/>
  <c r="AI66" i="21"/>
  <c r="AI67" i="21"/>
  <c r="AI68" i="21"/>
  <c r="AI69" i="21"/>
  <c r="AI70" i="21"/>
  <c r="AI71" i="21"/>
  <c r="AI72" i="21"/>
  <c r="AI73" i="21"/>
  <c r="AJ73" i="21" s="1"/>
  <c r="AI74" i="21"/>
  <c r="AI75" i="21"/>
  <c r="AI76" i="21"/>
  <c r="AI77" i="21"/>
  <c r="AI78" i="21"/>
  <c r="AI79" i="21"/>
  <c r="AI80" i="21"/>
  <c r="AI81" i="21"/>
  <c r="AJ81" i="21" s="1"/>
  <c r="AI82" i="21"/>
  <c r="AI83" i="21"/>
  <c r="AI84" i="21"/>
  <c r="AI85" i="21"/>
  <c r="AI86" i="21"/>
  <c r="AI87" i="21"/>
  <c r="AI88" i="21"/>
  <c r="AI89" i="21"/>
  <c r="AJ89" i="21" s="1"/>
  <c r="AI90" i="21"/>
  <c r="AI91" i="21"/>
  <c r="AI92" i="21"/>
  <c r="AI93" i="21"/>
  <c r="AI94" i="21"/>
  <c r="AI95" i="21"/>
  <c r="AI96" i="21"/>
  <c r="AI97" i="21"/>
  <c r="AJ97" i="21" s="1"/>
  <c r="AI98" i="21"/>
  <c r="AI99" i="21"/>
  <c r="AI100" i="21"/>
  <c r="AI101" i="21"/>
  <c r="AI102" i="21"/>
  <c r="AI103" i="21"/>
  <c r="AI104" i="21"/>
  <c r="AI105" i="21"/>
  <c r="AJ105" i="21" s="1"/>
  <c r="AI106" i="21"/>
  <c r="AI107" i="21"/>
  <c r="AI108" i="21"/>
  <c r="AI109" i="21"/>
  <c r="AI110" i="21"/>
  <c r="AI111" i="21"/>
  <c r="AI112" i="21"/>
  <c r="AI113" i="21"/>
  <c r="AJ113" i="21" s="1"/>
  <c r="AI114" i="21"/>
  <c r="AI115" i="21"/>
  <c r="AI116" i="21"/>
  <c r="AI117" i="21"/>
  <c r="AI118" i="21"/>
  <c r="AI119" i="21"/>
  <c r="AI120" i="21"/>
  <c r="AI121" i="21"/>
  <c r="AJ121" i="21" s="1"/>
  <c r="AI122" i="21"/>
  <c r="AI123" i="21"/>
  <c r="AI124" i="21"/>
  <c r="AI125" i="21"/>
  <c r="AI126" i="21"/>
  <c r="AI127" i="21"/>
  <c r="AI128" i="21"/>
  <c r="AI129" i="21"/>
  <c r="AJ129" i="21" s="1"/>
  <c r="AI130" i="21"/>
  <c r="AI131" i="21"/>
  <c r="AI132" i="21"/>
  <c r="AI133" i="21"/>
  <c r="AI134" i="21"/>
  <c r="AI135" i="21"/>
  <c r="AI136" i="21"/>
  <c r="AI137" i="21"/>
  <c r="AJ137" i="21" s="1"/>
  <c r="AI138" i="21"/>
  <c r="AI139" i="21"/>
  <c r="AI140" i="21"/>
  <c r="AI141" i="21"/>
  <c r="AI142" i="21"/>
  <c r="AI143" i="21"/>
  <c r="AI144" i="21"/>
  <c r="AI145" i="21"/>
  <c r="AJ145" i="21" s="1"/>
  <c r="AI146" i="21"/>
  <c r="AI147" i="21"/>
  <c r="AI148" i="21"/>
  <c r="AI149" i="21"/>
  <c r="AI150" i="21"/>
  <c r="AI151" i="21"/>
  <c r="AI152" i="21"/>
  <c r="AI153" i="21"/>
  <c r="AJ153" i="21" s="1"/>
  <c r="AI154" i="21"/>
  <c r="AI155" i="21"/>
  <c r="AI156" i="21"/>
  <c r="AI157" i="21"/>
  <c r="AI158" i="21"/>
  <c r="AI159" i="21"/>
  <c r="AI160" i="21"/>
  <c r="AI161" i="21"/>
  <c r="AI162" i="21"/>
  <c r="AI163" i="21"/>
  <c r="AI164" i="21"/>
  <c r="AI165" i="21"/>
  <c r="AI166" i="21"/>
  <c r="AI167" i="21"/>
  <c r="AI168" i="21"/>
  <c r="AI169" i="21"/>
  <c r="AJ169" i="21" s="1"/>
  <c r="AI170" i="21"/>
  <c r="AI171" i="21"/>
  <c r="AI172" i="21"/>
  <c r="AI173" i="21"/>
  <c r="AI174" i="21"/>
  <c r="AI175" i="21"/>
  <c r="AI176" i="21"/>
  <c r="AI177" i="21"/>
  <c r="AJ177" i="21" s="1"/>
  <c r="AI178" i="21"/>
  <c r="AI179" i="21"/>
  <c r="AI180" i="21"/>
  <c r="AI181" i="21"/>
  <c r="AI182" i="21"/>
  <c r="AI183" i="21"/>
  <c r="AI184" i="21"/>
  <c r="AI185" i="21"/>
  <c r="AJ185" i="21" s="1"/>
  <c r="AI186" i="21"/>
  <c r="AI187" i="21"/>
  <c r="AI188" i="21"/>
  <c r="AI189" i="21"/>
  <c r="AI190" i="21"/>
  <c r="AI191" i="21"/>
  <c r="AI192" i="21"/>
  <c r="AI193" i="21"/>
  <c r="AJ193" i="21" s="1"/>
  <c r="AI194" i="21"/>
  <c r="AI195" i="21"/>
  <c r="AI196" i="21"/>
  <c r="AI197" i="21"/>
  <c r="AI198" i="21"/>
  <c r="AI199" i="21"/>
  <c r="AI200" i="21"/>
  <c r="AI201" i="21"/>
  <c r="AJ201" i="21" s="1"/>
  <c r="AI202" i="21"/>
  <c r="AI203" i="21"/>
  <c r="AI204" i="21"/>
  <c r="AI205" i="21"/>
  <c r="AI206" i="21"/>
  <c r="AI207" i="21"/>
  <c r="AI208" i="21"/>
  <c r="AI209" i="21"/>
  <c r="AJ209" i="21" s="1"/>
  <c r="AI210" i="21"/>
  <c r="AI211" i="21"/>
  <c r="AI212" i="21"/>
  <c r="AI213" i="21"/>
  <c r="AI214" i="21"/>
  <c r="AI215" i="21"/>
  <c r="AI216" i="21"/>
  <c r="AI217" i="21"/>
  <c r="AJ217" i="21" s="1"/>
  <c r="AI218" i="21"/>
  <c r="AI219" i="21"/>
  <c r="AI220" i="21"/>
  <c r="AI221" i="21"/>
  <c r="AI222" i="21"/>
  <c r="AI223" i="21"/>
  <c r="AI224" i="21"/>
  <c r="AI225" i="21"/>
  <c r="AI226" i="21"/>
  <c r="AI227" i="21"/>
  <c r="AI228" i="21"/>
  <c r="AI229" i="21"/>
  <c r="AI230" i="21"/>
  <c r="AI231" i="21"/>
  <c r="AI232" i="21"/>
  <c r="AI233" i="21"/>
  <c r="AJ233" i="21" s="1"/>
  <c r="AI234" i="21"/>
  <c r="AI235" i="21"/>
  <c r="AI236" i="21"/>
  <c r="AI237" i="21"/>
  <c r="AI238" i="21"/>
  <c r="AI239" i="21"/>
  <c r="AI240" i="21"/>
  <c r="AI241" i="21"/>
  <c r="AJ241" i="21" s="1"/>
  <c r="AI242" i="21"/>
  <c r="AI243" i="21"/>
  <c r="AI244" i="21"/>
  <c r="AI245" i="21"/>
  <c r="AI246" i="21"/>
  <c r="AI247" i="21"/>
  <c r="AI248" i="21"/>
  <c r="AI249" i="21"/>
  <c r="AI250" i="21"/>
  <c r="AI251" i="21"/>
  <c r="AI252" i="21"/>
  <c r="AI253" i="21"/>
  <c r="AI254" i="21"/>
  <c r="AI255" i="21"/>
  <c r="AI256" i="21"/>
  <c r="AI257" i="21"/>
  <c r="AJ257" i="21" s="1"/>
  <c r="AI258" i="21"/>
  <c r="AI259" i="21"/>
  <c r="AI260" i="21"/>
  <c r="AI261" i="21"/>
  <c r="AI262" i="21"/>
  <c r="AI263" i="21"/>
  <c r="AI264" i="21"/>
  <c r="AI265" i="21"/>
  <c r="AI266" i="21"/>
  <c r="AI267" i="21"/>
  <c r="AI268" i="21"/>
  <c r="AI269" i="21"/>
  <c r="AI270" i="21"/>
  <c r="AI271" i="21"/>
  <c r="AI272" i="21"/>
  <c r="AI273" i="21"/>
  <c r="AJ273" i="21" s="1"/>
  <c r="AI274" i="21"/>
  <c r="AI275" i="21"/>
  <c r="AI276" i="21"/>
  <c r="AI277" i="21"/>
  <c r="AI278" i="21"/>
  <c r="AI279" i="21"/>
  <c r="AI280" i="21"/>
  <c r="AI281" i="21"/>
  <c r="AJ281" i="21" s="1"/>
  <c r="AI282" i="21"/>
  <c r="AI283" i="21"/>
  <c r="AI284" i="21"/>
  <c r="AI285" i="21"/>
  <c r="AI286" i="21"/>
  <c r="AI287" i="21"/>
  <c r="AI288" i="21"/>
  <c r="AI289" i="21"/>
  <c r="AJ289" i="21" s="1"/>
  <c r="AI290" i="21"/>
  <c r="AI291" i="21"/>
  <c r="AI292" i="21"/>
  <c r="AI293" i="21"/>
  <c r="AI294" i="21"/>
  <c r="AI295" i="21"/>
  <c r="AI296" i="21"/>
  <c r="AI297" i="21"/>
  <c r="AJ297" i="21" s="1"/>
  <c r="AI298" i="21"/>
  <c r="AI299" i="21"/>
  <c r="AI300" i="21"/>
  <c r="AI301" i="21"/>
  <c r="AI302" i="21"/>
  <c r="AI303" i="21"/>
  <c r="AI304" i="21"/>
  <c r="AI305" i="21"/>
  <c r="AJ305" i="21" s="1"/>
  <c r="AI306" i="21"/>
  <c r="AI307" i="21"/>
  <c r="AI308" i="21"/>
  <c r="AI309" i="21"/>
  <c r="AI310" i="21"/>
  <c r="AI311" i="21"/>
  <c r="AI312" i="21"/>
  <c r="AI313" i="21"/>
  <c r="AJ313" i="21" s="1"/>
  <c r="AI314" i="21"/>
  <c r="AI315" i="21"/>
  <c r="AI316" i="21"/>
  <c r="AI317" i="21"/>
  <c r="AI318" i="21"/>
  <c r="AI319" i="21"/>
  <c r="AI320" i="21"/>
  <c r="AI321" i="21"/>
  <c r="AJ321" i="21" s="1"/>
  <c r="AI322" i="21"/>
  <c r="AI323" i="21"/>
  <c r="AI324" i="21"/>
  <c r="AI325" i="21"/>
  <c r="AI326" i="21"/>
  <c r="AI327" i="21"/>
  <c r="AI328" i="21"/>
  <c r="AI329" i="21"/>
  <c r="AJ329" i="21" s="1"/>
  <c r="AI330" i="21"/>
  <c r="AI331" i="21"/>
  <c r="AI332" i="21"/>
  <c r="AI333" i="21"/>
  <c r="AI334" i="21"/>
  <c r="AI335" i="21"/>
  <c r="AI336" i="21"/>
  <c r="AI337" i="21"/>
  <c r="AJ337" i="21" s="1"/>
  <c r="AI338" i="21"/>
  <c r="AI339" i="21"/>
  <c r="AI340" i="21"/>
  <c r="AI341" i="21"/>
  <c r="AI342" i="21"/>
  <c r="AI343" i="21"/>
  <c r="AI344" i="21"/>
  <c r="AI345" i="21"/>
  <c r="AJ345" i="21" s="1"/>
  <c r="AI346" i="21"/>
  <c r="AI347" i="21"/>
  <c r="AI348" i="21"/>
  <c r="AI349" i="21"/>
  <c r="AI350" i="21"/>
  <c r="AI351" i="21"/>
  <c r="AI352" i="21"/>
  <c r="AI353" i="21"/>
  <c r="AJ353" i="21" s="1"/>
  <c r="AI354" i="21"/>
  <c r="AI355" i="21"/>
  <c r="AI356" i="21"/>
  <c r="AI357" i="21"/>
  <c r="AI358" i="21"/>
  <c r="AI359" i="21"/>
  <c r="AI360" i="21"/>
  <c r="AI361" i="21"/>
  <c r="AJ361" i="21" s="1"/>
  <c r="AI362" i="21"/>
  <c r="AI363" i="21"/>
  <c r="AI364" i="21"/>
  <c r="AI365" i="21"/>
  <c r="AI366" i="21"/>
  <c r="AI367" i="21"/>
  <c r="AI368" i="21"/>
  <c r="AI369" i="21"/>
  <c r="AJ369" i="21" s="1"/>
  <c r="AI370" i="21"/>
  <c r="AI371" i="21"/>
  <c r="AI372" i="21"/>
  <c r="AI373" i="21"/>
  <c r="AI374" i="21"/>
  <c r="AI375" i="21"/>
  <c r="AI376" i="21"/>
  <c r="AI377" i="21"/>
  <c r="AJ377" i="21" s="1"/>
  <c r="AI378" i="21"/>
  <c r="AI379" i="21"/>
  <c r="AI380" i="21"/>
  <c r="AI381" i="21"/>
  <c r="AI382" i="21"/>
  <c r="AI383" i="21"/>
  <c r="AI384" i="21"/>
  <c r="AI385" i="21"/>
  <c r="AJ385" i="21" s="1"/>
  <c r="AI386" i="21"/>
  <c r="AI387" i="21"/>
  <c r="AI388" i="21"/>
  <c r="AI389" i="21"/>
  <c r="AI390" i="21"/>
  <c r="AI391" i="21"/>
  <c r="AI392" i="21"/>
  <c r="AI393" i="21"/>
  <c r="AJ393" i="21" s="1"/>
  <c r="AI394" i="21"/>
  <c r="AI395" i="21"/>
  <c r="AI396" i="21"/>
  <c r="AI397" i="21"/>
  <c r="AI398" i="21"/>
  <c r="AI399" i="21"/>
  <c r="AI400" i="21"/>
  <c r="AI401" i="21"/>
  <c r="AJ401" i="21" s="1"/>
  <c r="AI402" i="21"/>
  <c r="AI403" i="21"/>
  <c r="AI404" i="21"/>
  <c r="AI2" i="21"/>
  <c r="AE3" i="21"/>
  <c r="AE4" i="21"/>
  <c r="AE5" i="21"/>
  <c r="AE6" i="21"/>
  <c r="AE7" i="21"/>
  <c r="AE8" i="21"/>
  <c r="AE9" i="21"/>
  <c r="AF9" i="21" s="1"/>
  <c r="AE10" i="21"/>
  <c r="AE11" i="21"/>
  <c r="AE12" i="21"/>
  <c r="AE13" i="21"/>
  <c r="AE14" i="21"/>
  <c r="AE15" i="21"/>
  <c r="AE16" i="21"/>
  <c r="AE17" i="21"/>
  <c r="AF17" i="21" s="1"/>
  <c r="AE18" i="21"/>
  <c r="AE19" i="21"/>
  <c r="AE20" i="21"/>
  <c r="AE21" i="21"/>
  <c r="AE22" i="21"/>
  <c r="AE23" i="21"/>
  <c r="AE24" i="21"/>
  <c r="AE25" i="21"/>
  <c r="AF25" i="21" s="1"/>
  <c r="AE26" i="21"/>
  <c r="AE27" i="21"/>
  <c r="AE28" i="21"/>
  <c r="AE29" i="21"/>
  <c r="AE30" i="21"/>
  <c r="AE31" i="21"/>
  <c r="AE32" i="21"/>
  <c r="AE33" i="21"/>
  <c r="AF33" i="21" s="1"/>
  <c r="AE34" i="21"/>
  <c r="AE35" i="21"/>
  <c r="AE36" i="21"/>
  <c r="AE37" i="21"/>
  <c r="AE38" i="21"/>
  <c r="AE39" i="21"/>
  <c r="AE40" i="21"/>
  <c r="AE41" i="21"/>
  <c r="AF41" i="21" s="1"/>
  <c r="AE42" i="21"/>
  <c r="AE43" i="21"/>
  <c r="AE44" i="21"/>
  <c r="AE45" i="21"/>
  <c r="AE46" i="21"/>
  <c r="AE47" i="21"/>
  <c r="AE48" i="21"/>
  <c r="AE49" i="21"/>
  <c r="AF49" i="21" s="1"/>
  <c r="AE50" i="21"/>
  <c r="AE51" i="21"/>
  <c r="AE52" i="21"/>
  <c r="AE53" i="21"/>
  <c r="AE54" i="21"/>
  <c r="AE55" i="21"/>
  <c r="AE56" i="21"/>
  <c r="AE57" i="21"/>
  <c r="AE58" i="21"/>
  <c r="AE59" i="21"/>
  <c r="AE60" i="21"/>
  <c r="AE61" i="21"/>
  <c r="AE62" i="21"/>
  <c r="AE63" i="21"/>
  <c r="AE64" i="21"/>
  <c r="AE65" i="21"/>
  <c r="AF65" i="21" s="1"/>
  <c r="AE66" i="21"/>
  <c r="AE67" i="21"/>
  <c r="AE68" i="21"/>
  <c r="AE69" i="21"/>
  <c r="AE70" i="21"/>
  <c r="AE71" i="21"/>
  <c r="AE72" i="21"/>
  <c r="AE73" i="21"/>
  <c r="AF73" i="21" s="1"/>
  <c r="AE74" i="21"/>
  <c r="AE75" i="21"/>
  <c r="AE76" i="21"/>
  <c r="AE77" i="21"/>
  <c r="AE78" i="21"/>
  <c r="AE79" i="21"/>
  <c r="AE80" i="21"/>
  <c r="AE81" i="21"/>
  <c r="AF81" i="21" s="1"/>
  <c r="AE82" i="21"/>
  <c r="AE83" i="21"/>
  <c r="AE84" i="21"/>
  <c r="AE85" i="21"/>
  <c r="AE86" i="21"/>
  <c r="AE87" i="21"/>
  <c r="AE88" i="21"/>
  <c r="AE89" i="21"/>
  <c r="AF89" i="21" s="1"/>
  <c r="AE90" i="21"/>
  <c r="AE91" i="21"/>
  <c r="AE92" i="21"/>
  <c r="AE93" i="21"/>
  <c r="AE94" i="21"/>
  <c r="AE95" i="21"/>
  <c r="AE96" i="21"/>
  <c r="AE97" i="21"/>
  <c r="AE98" i="21"/>
  <c r="AE99" i="21"/>
  <c r="AE100" i="21"/>
  <c r="AE101" i="21"/>
  <c r="AE102" i="21"/>
  <c r="AE103" i="21"/>
  <c r="AE104" i="21"/>
  <c r="AE105" i="21"/>
  <c r="AF105" i="21" s="1"/>
  <c r="AE106" i="21"/>
  <c r="AE107" i="21"/>
  <c r="AE108" i="21"/>
  <c r="AE109" i="21"/>
  <c r="AE110" i="21"/>
  <c r="AE111" i="21"/>
  <c r="AE112" i="21"/>
  <c r="AE113" i="21"/>
  <c r="AF113" i="21" s="1"/>
  <c r="AE114" i="21"/>
  <c r="AE115" i="21"/>
  <c r="AE116" i="21"/>
  <c r="AE117" i="21"/>
  <c r="AE118" i="21"/>
  <c r="AE119" i="21"/>
  <c r="AE120" i="21"/>
  <c r="AE121" i="21"/>
  <c r="AF121" i="21" s="1"/>
  <c r="AE122" i="21"/>
  <c r="AE123" i="21"/>
  <c r="AE124" i="21"/>
  <c r="AE125" i="21"/>
  <c r="AE126" i="21"/>
  <c r="AE127" i="21"/>
  <c r="AE128" i="21"/>
  <c r="AE129" i="21"/>
  <c r="AF129" i="21" s="1"/>
  <c r="AE130" i="21"/>
  <c r="AE131" i="21"/>
  <c r="AE132" i="21"/>
  <c r="AE133" i="21"/>
  <c r="AE134" i="21"/>
  <c r="AE135" i="21"/>
  <c r="AE136" i="21"/>
  <c r="AE137" i="21"/>
  <c r="AF137" i="21" s="1"/>
  <c r="AE138" i="21"/>
  <c r="AE139" i="21"/>
  <c r="AE140" i="21"/>
  <c r="AE141" i="21"/>
  <c r="AE142" i="21"/>
  <c r="AE143" i="21"/>
  <c r="AE144" i="21"/>
  <c r="AE145" i="21"/>
  <c r="AF145" i="21" s="1"/>
  <c r="AE146" i="21"/>
  <c r="AE147" i="21"/>
  <c r="AE148" i="21"/>
  <c r="AE149" i="21"/>
  <c r="AE150" i="21"/>
  <c r="AE151" i="21"/>
  <c r="AE152" i="21"/>
  <c r="AE153" i="21"/>
  <c r="AF153" i="21" s="1"/>
  <c r="AE154" i="21"/>
  <c r="AE155" i="21"/>
  <c r="AE156" i="21"/>
  <c r="AE157" i="21"/>
  <c r="AE158" i="21"/>
  <c r="AE159" i="21"/>
  <c r="AE160" i="21"/>
  <c r="AE161" i="21"/>
  <c r="AF161" i="21" s="1"/>
  <c r="AE162" i="21"/>
  <c r="AE163" i="21"/>
  <c r="AE164" i="21"/>
  <c r="AE165" i="21"/>
  <c r="AE166" i="21"/>
  <c r="AE167" i="21"/>
  <c r="AE168" i="21"/>
  <c r="AE169" i="21"/>
  <c r="AE170" i="21"/>
  <c r="AE171" i="21"/>
  <c r="AE172" i="21"/>
  <c r="AE173" i="21"/>
  <c r="AE174" i="21"/>
  <c r="AE175" i="21"/>
  <c r="AE176" i="21"/>
  <c r="AE177" i="21"/>
  <c r="AF177" i="21" s="1"/>
  <c r="AE178" i="21"/>
  <c r="AE179" i="21"/>
  <c r="AE180" i="21"/>
  <c r="AE181" i="21"/>
  <c r="AE182" i="21"/>
  <c r="AE183" i="21"/>
  <c r="AE184" i="21"/>
  <c r="AE185" i="21"/>
  <c r="AF185" i="21" s="1"/>
  <c r="AE186" i="21"/>
  <c r="AE187" i="21"/>
  <c r="AE188" i="21"/>
  <c r="AE189" i="21"/>
  <c r="AE190" i="21"/>
  <c r="AE191" i="21"/>
  <c r="AE192" i="21"/>
  <c r="AE193" i="21"/>
  <c r="AF193" i="21" s="1"/>
  <c r="AE194" i="21"/>
  <c r="AE195" i="21"/>
  <c r="AE196" i="21"/>
  <c r="AE197" i="21"/>
  <c r="AE198" i="21"/>
  <c r="AE199" i="21"/>
  <c r="AE200" i="21"/>
  <c r="AE201" i="21"/>
  <c r="AF201" i="21" s="1"/>
  <c r="AE202" i="21"/>
  <c r="AE203" i="21"/>
  <c r="AE204" i="21"/>
  <c r="AE205" i="21"/>
  <c r="AE206" i="21"/>
  <c r="AE207" i="21"/>
  <c r="AE208" i="21"/>
  <c r="AE209" i="21"/>
  <c r="AE210" i="21"/>
  <c r="AE211" i="21"/>
  <c r="AE212" i="21"/>
  <c r="AE213" i="21"/>
  <c r="AE214" i="21"/>
  <c r="AE215" i="21"/>
  <c r="AE216" i="21"/>
  <c r="AE217" i="21"/>
  <c r="AF217" i="21" s="1"/>
  <c r="AE218" i="21"/>
  <c r="AE219" i="21"/>
  <c r="AE220" i="21"/>
  <c r="AE221" i="21"/>
  <c r="AE222" i="21"/>
  <c r="AE223" i="21"/>
  <c r="AE224" i="21"/>
  <c r="AE225" i="21"/>
  <c r="AF225" i="21" s="1"/>
  <c r="AE226" i="21"/>
  <c r="AE227" i="21"/>
  <c r="AE228" i="21"/>
  <c r="AE229" i="21"/>
  <c r="AE230" i="21"/>
  <c r="AE231" i="21"/>
  <c r="AE232" i="21"/>
  <c r="AE233" i="21"/>
  <c r="AF233" i="21" s="1"/>
  <c r="AE234" i="21"/>
  <c r="AE235" i="21"/>
  <c r="AE236" i="21"/>
  <c r="AE237" i="21"/>
  <c r="AE238" i="21"/>
  <c r="AE239" i="21"/>
  <c r="AE240" i="21"/>
  <c r="AE241" i="21"/>
  <c r="AF241" i="21" s="1"/>
  <c r="AE242" i="21"/>
  <c r="AE243" i="21"/>
  <c r="AE244" i="21"/>
  <c r="AE245" i="21"/>
  <c r="AE246" i="21"/>
  <c r="AE247" i="21"/>
  <c r="AE248" i="21"/>
  <c r="AE249" i="21"/>
  <c r="AF249" i="21" s="1"/>
  <c r="AE250" i="21"/>
  <c r="AE251" i="21"/>
  <c r="AE252" i="21"/>
  <c r="AE253" i="21"/>
  <c r="AE254" i="21"/>
  <c r="AE255" i="21"/>
  <c r="AE256" i="21"/>
  <c r="AE257" i="21"/>
  <c r="AF257" i="21" s="1"/>
  <c r="AE258" i="21"/>
  <c r="AE259" i="21"/>
  <c r="AE260" i="21"/>
  <c r="AE261" i="21"/>
  <c r="AE262" i="21"/>
  <c r="AE263" i="21"/>
  <c r="AE264" i="21"/>
  <c r="AE265" i="21"/>
  <c r="AF265" i="21" s="1"/>
  <c r="AE266" i="21"/>
  <c r="AE267" i="21"/>
  <c r="AE268" i="21"/>
  <c r="AE269" i="21"/>
  <c r="AE270" i="21"/>
  <c r="AE271" i="21"/>
  <c r="AE272" i="21"/>
  <c r="AE273" i="21"/>
  <c r="AF273" i="21" s="1"/>
  <c r="AE274" i="21"/>
  <c r="AE275" i="21"/>
  <c r="AE276" i="21"/>
  <c r="AE277" i="21"/>
  <c r="AE278" i="21"/>
  <c r="AE279" i="21"/>
  <c r="AE280" i="21"/>
  <c r="AE281" i="21"/>
  <c r="AF281" i="21" s="1"/>
  <c r="AE282" i="21"/>
  <c r="AE283" i="21"/>
  <c r="AE284" i="21"/>
  <c r="AE285" i="21"/>
  <c r="AE286" i="21"/>
  <c r="AE287" i="21"/>
  <c r="AE288" i="21"/>
  <c r="AE289" i="21"/>
  <c r="AE290" i="21"/>
  <c r="AE291" i="21"/>
  <c r="AE292" i="21"/>
  <c r="AE293" i="21"/>
  <c r="AE294" i="21"/>
  <c r="AE295" i="21"/>
  <c r="AE296" i="21"/>
  <c r="AE297" i="21"/>
  <c r="AF297" i="21" s="1"/>
  <c r="AE298" i="21"/>
  <c r="AE299" i="21"/>
  <c r="AE300" i="21"/>
  <c r="AE301" i="21"/>
  <c r="AE302" i="21"/>
  <c r="AE303" i="21"/>
  <c r="AE304" i="21"/>
  <c r="AE305" i="21"/>
  <c r="AF305" i="21" s="1"/>
  <c r="AE306" i="21"/>
  <c r="AE307" i="21"/>
  <c r="AE308" i="21"/>
  <c r="AE309" i="21"/>
  <c r="AE310" i="21"/>
  <c r="AE311" i="21"/>
  <c r="AE312" i="21"/>
  <c r="AE313" i="21"/>
  <c r="AF313" i="21" s="1"/>
  <c r="AE314" i="21"/>
  <c r="AE315" i="21"/>
  <c r="AE316" i="21"/>
  <c r="AE317" i="21"/>
  <c r="AE318" i="21"/>
  <c r="AE319" i="21"/>
  <c r="AE320" i="21"/>
  <c r="AE321" i="21"/>
  <c r="AF321" i="21" s="1"/>
  <c r="AE322" i="21"/>
  <c r="AE323" i="21"/>
  <c r="AE324" i="21"/>
  <c r="AE325" i="21"/>
  <c r="AE326" i="21"/>
  <c r="AE327" i="21"/>
  <c r="AE328" i="21"/>
  <c r="AE329" i="21"/>
  <c r="AF329" i="21" s="1"/>
  <c r="AE330" i="21"/>
  <c r="AE331" i="21"/>
  <c r="AE332" i="21"/>
  <c r="AE333" i="21"/>
  <c r="AE334" i="21"/>
  <c r="AE335" i="21"/>
  <c r="AE336" i="21"/>
  <c r="AE337" i="21"/>
  <c r="AF337" i="21" s="1"/>
  <c r="AE338" i="21"/>
  <c r="AE339" i="21"/>
  <c r="AE340" i="21"/>
  <c r="AE341" i="21"/>
  <c r="AE342" i="21"/>
  <c r="AE343" i="21"/>
  <c r="AE344" i="21"/>
  <c r="AE345" i="21"/>
  <c r="AF345" i="21" s="1"/>
  <c r="AE346" i="21"/>
  <c r="AE347" i="21"/>
  <c r="AE348" i="21"/>
  <c r="AE349" i="21"/>
  <c r="AE350" i="21"/>
  <c r="AE351" i="21"/>
  <c r="AE352" i="21"/>
  <c r="AE353" i="21"/>
  <c r="AF353" i="21" s="1"/>
  <c r="AE354" i="21"/>
  <c r="AE355" i="21"/>
  <c r="AE356" i="21"/>
  <c r="AE357" i="21"/>
  <c r="AE358" i="21"/>
  <c r="AE359" i="21"/>
  <c r="AE360" i="21"/>
  <c r="AE361" i="21"/>
  <c r="AF361" i="21" s="1"/>
  <c r="AE362" i="21"/>
  <c r="AE363" i="21"/>
  <c r="AE364" i="21"/>
  <c r="AE365" i="21"/>
  <c r="AE366" i="21"/>
  <c r="AE367" i="21"/>
  <c r="AE368" i="21"/>
  <c r="AE369" i="21"/>
  <c r="AF369" i="21" s="1"/>
  <c r="AE370" i="21"/>
  <c r="AE371" i="21"/>
  <c r="AE372" i="21"/>
  <c r="AE373" i="21"/>
  <c r="AE374" i="21"/>
  <c r="AE375" i="21"/>
  <c r="AE376" i="21"/>
  <c r="AE377" i="21"/>
  <c r="AF377" i="21" s="1"/>
  <c r="AE378" i="21"/>
  <c r="AE379" i="21"/>
  <c r="AE380" i="21"/>
  <c r="AE381" i="21"/>
  <c r="AE382" i="21"/>
  <c r="AE383" i="21"/>
  <c r="AE384" i="21"/>
  <c r="AE385" i="21"/>
  <c r="AF385" i="21" s="1"/>
  <c r="AE386" i="21"/>
  <c r="AE387" i="21"/>
  <c r="AE388" i="21"/>
  <c r="AE389" i="21"/>
  <c r="AE390" i="21"/>
  <c r="AE391" i="21"/>
  <c r="AE392" i="21"/>
  <c r="AE393" i="21"/>
  <c r="AF393" i="21" s="1"/>
  <c r="AE394" i="21"/>
  <c r="AE395" i="21"/>
  <c r="AE396" i="21"/>
  <c r="AE397" i="21"/>
  <c r="AE398" i="21"/>
  <c r="AE399" i="21"/>
  <c r="AE400" i="21"/>
  <c r="AE401" i="21"/>
  <c r="AF401" i="21" s="1"/>
  <c r="AE402" i="21"/>
  <c r="AE403" i="21"/>
  <c r="AE404" i="21"/>
  <c r="AE2" i="21"/>
  <c r="AG3" i="21"/>
  <c r="AG4" i="21"/>
  <c r="AG5" i="21"/>
  <c r="AG6" i="21"/>
  <c r="AG7" i="21"/>
  <c r="AG8" i="21"/>
  <c r="AG9" i="21"/>
  <c r="AG10" i="21"/>
  <c r="AG11" i="21"/>
  <c r="AG12" i="21"/>
  <c r="AG13" i="21"/>
  <c r="AG14" i="21"/>
  <c r="AG15" i="21"/>
  <c r="AG16" i="21"/>
  <c r="AG17" i="21"/>
  <c r="AG18" i="21"/>
  <c r="AG19" i="21"/>
  <c r="AG20" i="21"/>
  <c r="AG21" i="21"/>
  <c r="AG22" i="21"/>
  <c r="AG23" i="21"/>
  <c r="AG24" i="21"/>
  <c r="AG25" i="21"/>
  <c r="AH25" i="21" s="1"/>
  <c r="AG26" i="21"/>
  <c r="AG27" i="21"/>
  <c r="AG28" i="21"/>
  <c r="AG29" i="21"/>
  <c r="AG30" i="21"/>
  <c r="AG31" i="21"/>
  <c r="AG32" i="21"/>
  <c r="AG33" i="21"/>
  <c r="AH33" i="21" s="1"/>
  <c r="AG34" i="21"/>
  <c r="AG35" i="21"/>
  <c r="AG36" i="21"/>
  <c r="AG37" i="21"/>
  <c r="AG38" i="21"/>
  <c r="AG39" i="21"/>
  <c r="AG40" i="21"/>
  <c r="AG41" i="21"/>
  <c r="AH41" i="21" s="1"/>
  <c r="AG42" i="21"/>
  <c r="AG43" i="21"/>
  <c r="AG44" i="21"/>
  <c r="AG45" i="21"/>
  <c r="AG46" i="21"/>
  <c r="AG47" i="21"/>
  <c r="AG48" i="21"/>
  <c r="AG49" i="21"/>
  <c r="AH49" i="21" s="1"/>
  <c r="AG50" i="21"/>
  <c r="AG51" i="21"/>
  <c r="AG52" i="21"/>
  <c r="AG53" i="21"/>
  <c r="AG54" i="21"/>
  <c r="AG55" i="21"/>
  <c r="AG56" i="21"/>
  <c r="AG57" i="21"/>
  <c r="AH57" i="21" s="1"/>
  <c r="AG58" i="21"/>
  <c r="AG59" i="21"/>
  <c r="AG60" i="21"/>
  <c r="AG61" i="21"/>
  <c r="AG62" i="21"/>
  <c r="AG63" i="21"/>
  <c r="AG64" i="21"/>
  <c r="AG65" i="21"/>
  <c r="AH65" i="21" s="1"/>
  <c r="AG66" i="21"/>
  <c r="AG67" i="21"/>
  <c r="AG68" i="21"/>
  <c r="AG69" i="21"/>
  <c r="AG70" i="21"/>
  <c r="AG71" i="21"/>
  <c r="AG72" i="21"/>
  <c r="AG73" i="21"/>
  <c r="AH73" i="21" s="1"/>
  <c r="AG74" i="21"/>
  <c r="AG75" i="21"/>
  <c r="AG76" i="21"/>
  <c r="AG77" i="21"/>
  <c r="AG78" i="21"/>
  <c r="AG79" i="21"/>
  <c r="AG80" i="21"/>
  <c r="AG81" i="21"/>
  <c r="AH81" i="21" s="1"/>
  <c r="AG82" i="21"/>
  <c r="AG83" i="21"/>
  <c r="AG84" i="21"/>
  <c r="AG85" i="21"/>
  <c r="AG86" i="21"/>
  <c r="AG87" i="21"/>
  <c r="AG88" i="21"/>
  <c r="AG89" i="21"/>
  <c r="AH89" i="21" s="1"/>
  <c r="AG90" i="21"/>
  <c r="AG91" i="21"/>
  <c r="AG92" i="21"/>
  <c r="AG93" i="21"/>
  <c r="AG94" i="21"/>
  <c r="AG95" i="21"/>
  <c r="AG96" i="21"/>
  <c r="AG97" i="21"/>
  <c r="AH97" i="21" s="1"/>
  <c r="AG98" i="21"/>
  <c r="AG99" i="21"/>
  <c r="AG100" i="21"/>
  <c r="AG101" i="21"/>
  <c r="AG102" i="21"/>
  <c r="AG103" i="21"/>
  <c r="AG104" i="21"/>
  <c r="AG105" i="21"/>
  <c r="AH105" i="21" s="1"/>
  <c r="AG106" i="21"/>
  <c r="AG107" i="21"/>
  <c r="AG108" i="21"/>
  <c r="AG109" i="21"/>
  <c r="AG110" i="21"/>
  <c r="AG111" i="21"/>
  <c r="AG112" i="21"/>
  <c r="AG113" i="21"/>
  <c r="AH113" i="21" s="1"/>
  <c r="AG114" i="21"/>
  <c r="AG115" i="21"/>
  <c r="AG116" i="21"/>
  <c r="AG117" i="21"/>
  <c r="AG118" i="21"/>
  <c r="AG119" i="21"/>
  <c r="AG120" i="21"/>
  <c r="AG121" i="21"/>
  <c r="AH121" i="21" s="1"/>
  <c r="AG122" i="21"/>
  <c r="AG123" i="21"/>
  <c r="AG124" i="21"/>
  <c r="AG125" i="21"/>
  <c r="AG126" i="21"/>
  <c r="AG127" i="21"/>
  <c r="AG128" i="21"/>
  <c r="AG129" i="21"/>
  <c r="AH129" i="21" s="1"/>
  <c r="AG130" i="21"/>
  <c r="AG131" i="21"/>
  <c r="AG132" i="21"/>
  <c r="AG133" i="21"/>
  <c r="AG134" i="21"/>
  <c r="AG135" i="21"/>
  <c r="AG136" i="21"/>
  <c r="AG137" i="21"/>
  <c r="AH137" i="21" s="1"/>
  <c r="AG138" i="21"/>
  <c r="AG139" i="21"/>
  <c r="AG140" i="21"/>
  <c r="AG141" i="21"/>
  <c r="AG142" i="21"/>
  <c r="AG143" i="21"/>
  <c r="AG144" i="21"/>
  <c r="AG145" i="21"/>
  <c r="AH145" i="21" s="1"/>
  <c r="AG146" i="21"/>
  <c r="AG147" i="21"/>
  <c r="AG148" i="21"/>
  <c r="AG149" i="21"/>
  <c r="AG150" i="21"/>
  <c r="AG151" i="21"/>
  <c r="AG152" i="21"/>
  <c r="AG153" i="21"/>
  <c r="AH153" i="21" s="1"/>
  <c r="AG154" i="21"/>
  <c r="AG155" i="21"/>
  <c r="AG156" i="21"/>
  <c r="AG157" i="21"/>
  <c r="AG158" i="21"/>
  <c r="AG159" i="21"/>
  <c r="AG160" i="21"/>
  <c r="AG161" i="21"/>
  <c r="AG162" i="21"/>
  <c r="AG163" i="21"/>
  <c r="AG164" i="21"/>
  <c r="AG165" i="21"/>
  <c r="AG166" i="21"/>
  <c r="AG167" i="21"/>
  <c r="AG168" i="21"/>
  <c r="AG169" i="21"/>
  <c r="AG170" i="21"/>
  <c r="AG171" i="21"/>
  <c r="AG172" i="21"/>
  <c r="AG173" i="21"/>
  <c r="AG174" i="21"/>
  <c r="AG175" i="21"/>
  <c r="AG176" i="21"/>
  <c r="AG177" i="21"/>
  <c r="AH177" i="21" s="1"/>
  <c r="AG178" i="21"/>
  <c r="AG179" i="21"/>
  <c r="AG180" i="21"/>
  <c r="AG181" i="21"/>
  <c r="AG182" i="21"/>
  <c r="AG183" i="21"/>
  <c r="AG184" i="21"/>
  <c r="AG185" i="21"/>
  <c r="AH185" i="21" s="1"/>
  <c r="AG186" i="21"/>
  <c r="AG187" i="21"/>
  <c r="AG188" i="21"/>
  <c r="AG189" i="21"/>
  <c r="AG190" i="21"/>
  <c r="AG191" i="21"/>
  <c r="AG192" i="21"/>
  <c r="AG193" i="21"/>
  <c r="AG194" i="21"/>
  <c r="AG195" i="21"/>
  <c r="AG196" i="21"/>
  <c r="AG197" i="21"/>
  <c r="AG198" i="21"/>
  <c r="AG199" i="21"/>
  <c r="AG200" i="21"/>
  <c r="AG201" i="21"/>
  <c r="AG202" i="21"/>
  <c r="AG203" i="21"/>
  <c r="AG204" i="21"/>
  <c r="AG205" i="21"/>
  <c r="AG206" i="21"/>
  <c r="AG207" i="21"/>
  <c r="AG208" i="21"/>
  <c r="AG209" i="21"/>
  <c r="AH209" i="21" s="1"/>
  <c r="AG210" i="21"/>
  <c r="AG211" i="21"/>
  <c r="AG212" i="21"/>
  <c r="AG213" i="21"/>
  <c r="AG214" i="21"/>
  <c r="AG215" i="21"/>
  <c r="AG216" i="21"/>
  <c r="AG217" i="21"/>
  <c r="AH217" i="21" s="1"/>
  <c r="AG218" i="21"/>
  <c r="AG219" i="21"/>
  <c r="AG220" i="21"/>
  <c r="AG221" i="21"/>
  <c r="AG222" i="21"/>
  <c r="AG223" i="21"/>
  <c r="AG224" i="21"/>
  <c r="AG225" i="21"/>
  <c r="AG226" i="21"/>
  <c r="AG227" i="21"/>
  <c r="AG228" i="21"/>
  <c r="AG229" i="21"/>
  <c r="AG230" i="21"/>
  <c r="AG231" i="21"/>
  <c r="AG232" i="21"/>
  <c r="AG233" i="21"/>
  <c r="AH233" i="21" s="1"/>
  <c r="AG234" i="21"/>
  <c r="AG235" i="21"/>
  <c r="AG236" i="21"/>
  <c r="AG237" i="21"/>
  <c r="AG238" i="21"/>
  <c r="AG239" i="21"/>
  <c r="AG240" i="21"/>
  <c r="AG241" i="21"/>
  <c r="AH241" i="21" s="1"/>
  <c r="AG242" i="21"/>
  <c r="AG243" i="21"/>
  <c r="AG244" i="21"/>
  <c r="AG245" i="21"/>
  <c r="AG246" i="21"/>
  <c r="AG247" i="21"/>
  <c r="AG248" i="21"/>
  <c r="AG249" i="21"/>
  <c r="AH249" i="21" s="1"/>
  <c r="AG250" i="21"/>
  <c r="AG251" i="21"/>
  <c r="AG252" i="21"/>
  <c r="AG253" i="21"/>
  <c r="AG254" i="21"/>
  <c r="AG255" i="21"/>
  <c r="AG256" i="21"/>
  <c r="AG257" i="21"/>
  <c r="AH257" i="21" s="1"/>
  <c r="AG258" i="21"/>
  <c r="AG259" i="21"/>
  <c r="AG260" i="21"/>
  <c r="AG261" i="21"/>
  <c r="AG262" i="21"/>
  <c r="AG263" i="21"/>
  <c r="AG264" i="21"/>
  <c r="AG265" i="21"/>
  <c r="AH265" i="21" s="1"/>
  <c r="AG266" i="21"/>
  <c r="AG267" i="21"/>
  <c r="AG268" i="21"/>
  <c r="AG269" i="21"/>
  <c r="AG270" i="21"/>
  <c r="AG271" i="21"/>
  <c r="AG272" i="21"/>
  <c r="AG273" i="21"/>
  <c r="AH273" i="21" s="1"/>
  <c r="AG274" i="21"/>
  <c r="AG275" i="21"/>
  <c r="AG276" i="21"/>
  <c r="AG277" i="21"/>
  <c r="AG278" i="21"/>
  <c r="AG279" i="21"/>
  <c r="AG280" i="21"/>
  <c r="AG281" i="21"/>
  <c r="AH281" i="21" s="1"/>
  <c r="AG282" i="21"/>
  <c r="AG283" i="21"/>
  <c r="AG284" i="21"/>
  <c r="AG285" i="21"/>
  <c r="AG286" i="21"/>
  <c r="AG287" i="21"/>
  <c r="AG288" i="21"/>
  <c r="AG289" i="21"/>
  <c r="AH289" i="21" s="1"/>
  <c r="AG290" i="21"/>
  <c r="AG291" i="21"/>
  <c r="AG292" i="21"/>
  <c r="AG293" i="21"/>
  <c r="AG294" i="21"/>
  <c r="AG295" i="21"/>
  <c r="AG296" i="21"/>
  <c r="AG297" i="21"/>
  <c r="AH297" i="21" s="1"/>
  <c r="AG298" i="21"/>
  <c r="AG299" i="21"/>
  <c r="AG300" i="21"/>
  <c r="AG301" i="21"/>
  <c r="AG302" i="21"/>
  <c r="AG303" i="21"/>
  <c r="AG304" i="21"/>
  <c r="AG305" i="21"/>
  <c r="AG306" i="21"/>
  <c r="AG307" i="21"/>
  <c r="AG308" i="21"/>
  <c r="AG309" i="21"/>
  <c r="AG310" i="21"/>
  <c r="AG311" i="21"/>
  <c r="AG312" i="21"/>
  <c r="AG313" i="21"/>
  <c r="AH313" i="21" s="1"/>
  <c r="AG314" i="21"/>
  <c r="AG315" i="21"/>
  <c r="AG316" i="21"/>
  <c r="AG317" i="21"/>
  <c r="AG318" i="21"/>
  <c r="AG319" i="21"/>
  <c r="AG320" i="21"/>
  <c r="AG321" i="21"/>
  <c r="AG322" i="21"/>
  <c r="AG323" i="21"/>
  <c r="AG324" i="21"/>
  <c r="AG325" i="21"/>
  <c r="AG326" i="21"/>
  <c r="AG327" i="21"/>
  <c r="AG328" i="21"/>
  <c r="AG329" i="21"/>
  <c r="AH329" i="21" s="1"/>
  <c r="AG330" i="21"/>
  <c r="AG331" i="21"/>
  <c r="AG332" i="21"/>
  <c r="AG333" i="21"/>
  <c r="AG334" i="21"/>
  <c r="AG335" i="21"/>
  <c r="AG336" i="21"/>
  <c r="AG337" i="21"/>
  <c r="AH337" i="21" s="1"/>
  <c r="AG338" i="21"/>
  <c r="AG339" i="21"/>
  <c r="AG340" i="21"/>
  <c r="AG341" i="21"/>
  <c r="AG342" i="21"/>
  <c r="AG343" i="21"/>
  <c r="AG344" i="21"/>
  <c r="AG345" i="21"/>
  <c r="AH345" i="21" s="1"/>
  <c r="AG346" i="21"/>
  <c r="AG347" i="21"/>
  <c r="AG348" i="21"/>
  <c r="AG349" i="21"/>
  <c r="AG350" i="21"/>
  <c r="AG351" i="21"/>
  <c r="AG352" i="21"/>
  <c r="AG353" i="21"/>
  <c r="AH353" i="21" s="1"/>
  <c r="AG354" i="21"/>
  <c r="AG355" i="21"/>
  <c r="AG356" i="21"/>
  <c r="AG357" i="21"/>
  <c r="AG358" i="21"/>
  <c r="AG359" i="21"/>
  <c r="AG360" i="21"/>
  <c r="AG361" i="21"/>
  <c r="AH361" i="21" s="1"/>
  <c r="AG362" i="21"/>
  <c r="AG363" i="21"/>
  <c r="AG364" i="21"/>
  <c r="AG365" i="21"/>
  <c r="AG366" i="21"/>
  <c r="AG367" i="21"/>
  <c r="AG368" i="21"/>
  <c r="AG369" i="21"/>
  <c r="AH369" i="21" s="1"/>
  <c r="AG370" i="21"/>
  <c r="AG371" i="21"/>
  <c r="AG372" i="21"/>
  <c r="AG373" i="21"/>
  <c r="AG374" i="21"/>
  <c r="AG375" i="21"/>
  <c r="AG376" i="21"/>
  <c r="AG377" i="21"/>
  <c r="AH377" i="21" s="1"/>
  <c r="AG378" i="21"/>
  <c r="AG379" i="21"/>
  <c r="AG380" i="21"/>
  <c r="AG381" i="21"/>
  <c r="AG382" i="21"/>
  <c r="AG383" i="21"/>
  <c r="AG384" i="21"/>
  <c r="AG385" i="21"/>
  <c r="AG386" i="21"/>
  <c r="AG387" i="21"/>
  <c r="AG388" i="21"/>
  <c r="AG389" i="21"/>
  <c r="AG390" i="21"/>
  <c r="AG391" i="21"/>
  <c r="AG392" i="21"/>
  <c r="AG393" i="21"/>
  <c r="AH393" i="21" s="1"/>
  <c r="AG394" i="21"/>
  <c r="AG395" i="21"/>
  <c r="AG396" i="21"/>
  <c r="AG397" i="21"/>
  <c r="AG398" i="21"/>
  <c r="AG399" i="21"/>
  <c r="AG400" i="21"/>
  <c r="AG401" i="21"/>
  <c r="AH401" i="21" s="1"/>
  <c r="AG402" i="21"/>
  <c r="AG403" i="21"/>
  <c r="AG404" i="21"/>
  <c r="AG2" i="21"/>
  <c r="AC3" i="21"/>
  <c r="AC4" i="21"/>
  <c r="AC5" i="21"/>
  <c r="AC6" i="21"/>
  <c r="AC7" i="21"/>
  <c r="AC8" i="21"/>
  <c r="AC9" i="21"/>
  <c r="AC10" i="21"/>
  <c r="AC11" i="21"/>
  <c r="AC12" i="21"/>
  <c r="AC13" i="21"/>
  <c r="AC14" i="21"/>
  <c r="AC15" i="21"/>
  <c r="AC16" i="21"/>
  <c r="AC17" i="21"/>
  <c r="AD17" i="21" s="1"/>
  <c r="AC18" i="21"/>
  <c r="AC19" i="21"/>
  <c r="AC20" i="21"/>
  <c r="AC21" i="21"/>
  <c r="AC22" i="21"/>
  <c r="AC23" i="21"/>
  <c r="AC24" i="21"/>
  <c r="AC25" i="21"/>
  <c r="AC26" i="21"/>
  <c r="AC27" i="21"/>
  <c r="AC28" i="21"/>
  <c r="AC29" i="21"/>
  <c r="AC30" i="21"/>
  <c r="AC31" i="21"/>
  <c r="AC32" i="21"/>
  <c r="AC33" i="21"/>
  <c r="AD33" i="21" s="1"/>
  <c r="AC34" i="21"/>
  <c r="AC35" i="21"/>
  <c r="AC36" i="21"/>
  <c r="AC37" i="21"/>
  <c r="AC38" i="21"/>
  <c r="AC39" i="21"/>
  <c r="AC40" i="21"/>
  <c r="AC41" i="21"/>
  <c r="AD41" i="21" s="1"/>
  <c r="AC42" i="21"/>
  <c r="AC43" i="21"/>
  <c r="AC44" i="21"/>
  <c r="AC45" i="21"/>
  <c r="AC46" i="21"/>
  <c r="AC47" i="21"/>
  <c r="AC48" i="21"/>
  <c r="AC49" i="21"/>
  <c r="AC50" i="21"/>
  <c r="AC51" i="21"/>
  <c r="AC52" i="21"/>
  <c r="AC53" i="21"/>
  <c r="AC54" i="21"/>
  <c r="AC55" i="21"/>
  <c r="AC56" i="21"/>
  <c r="AC57" i="21"/>
  <c r="AD57" i="21" s="1"/>
  <c r="AC58" i="21"/>
  <c r="AC59" i="21"/>
  <c r="AC60" i="21"/>
  <c r="AC61" i="21"/>
  <c r="AC62" i="21"/>
  <c r="AC63" i="21"/>
  <c r="AC64" i="21"/>
  <c r="AC65" i="21"/>
  <c r="AD65" i="21" s="1"/>
  <c r="AC66" i="21"/>
  <c r="AC67" i="21"/>
  <c r="AC68" i="21"/>
  <c r="AC69" i="21"/>
  <c r="AC70" i="21"/>
  <c r="AC71" i="21"/>
  <c r="AC72" i="21"/>
  <c r="AC73" i="21"/>
  <c r="AD73" i="21" s="1"/>
  <c r="AC74" i="21"/>
  <c r="AC75" i="21"/>
  <c r="AC76" i="21"/>
  <c r="AC77" i="21"/>
  <c r="AC78" i="21"/>
  <c r="AC79" i="21"/>
  <c r="AC80" i="21"/>
  <c r="AC81" i="21"/>
  <c r="AD81" i="21" s="1"/>
  <c r="AC82" i="21"/>
  <c r="AC83" i="21"/>
  <c r="AC84" i="21"/>
  <c r="AC85" i="21"/>
  <c r="AC86" i="21"/>
  <c r="AC87" i="21"/>
  <c r="AC88" i="21"/>
  <c r="AC89" i="21"/>
  <c r="AD89" i="21" s="1"/>
  <c r="AC90" i="21"/>
  <c r="AC91" i="21"/>
  <c r="AC92" i="21"/>
  <c r="AC93" i="21"/>
  <c r="AC94" i="21"/>
  <c r="AC95" i="21"/>
  <c r="AC96" i="21"/>
  <c r="AC97" i="21"/>
  <c r="AD97" i="21" s="1"/>
  <c r="AC98" i="21"/>
  <c r="AC99" i="21"/>
  <c r="AC100" i="21"/>
  <c r="AC101" i="21"/>
  <c r="AC102" i="21"/>
  <c r="AC103" i="21"/>
  <c r="AC104" i="21"/>
  <c r="AC105" i="21"/>
  <c r="AD105" i="21" s="1"/>
  <c r="AC106" i="21"/>
  <c r="AC107" i="21"/>
  <c r="AC108" i="21"/>
  <c r="AC109" i="21"/>
  <c r="AC110" i="21"/>
  <c r="AC111" i="21"/>
  <c r="AC112" i="21"/>
  <c r="AC113" i="21"/>
  <c r="AD113" i="21" s="1"/>
  <c r="AC114" i="21"/>
  <c r="AC115" i="21"/>
  <c r="AC116" i="21"/>
  <c r="AC117" i="21"/>
  <c r="AC118" i="21"/>
  <c r="AC119" i="21"/>
  <c r="AC120" i="21"/>
  <c r="AC121" i="21"/>
  <c r="AD121" i="21" s="1"/>
  <c r="AC122" i="21"/>
  <c r="AC123" i="21"/>
  <c r="AC124" i="21"/>
  <c r="AC125" i="21"/>
  <c r="AC126" i="21"/>
  <c r="AC127" i="21"/>
  <c r="AC128" i="21"/>
  <c r="AC129" i="21"/>
  <c r="AD129" i="21" s="1"/>
  <c r="AC130" i="21"/>
  <c r="AC131" i="21"/>
  <c r="AC132" i="21"/>
  <c r="AC133" i="21"/>
  <c r="AC134" i="21"/>
  <c r="AC135" i="21"/>
  <c r="AC136" i="21"/>
  <c r="AC137" i="21"/>
  <c r="AC138" i="21"/>
  <c r="AC139" i="21"/>
  <c r="AC140" i="21"/>
  <c r="AC141" i="21"/>
  <c r="AC142" i="21"/>
  <c r="AC143" i="21"/>
  <c r="AC144" i="21"/>
  <c r="AC145" i="21"/>
  <c r="AD145" i="21" s="1"/>
  <c r="AC146" i="21"/>
  <c r="AC147" i="21"/>
  <c r="AC148" i="21"/>
  <c r="AC149" i="21"/>
  <c r="AC150" i="21"/>
  <c r="AC151" i="21"/>
  <c r="AC152" i="21"/>
  <c r="AC153" i="21"/>
  <c r="AD153" i="21" s="1"/>
  <c r="AC154" i="21"/>
  <c r="AC155" i="21"/>
  <c r="AC156" i="21"/>
  <c r="AC157" i="21"/>
  <c r="AC158" i="21"/>
  <c r="AC159" i="21"/>
  <c r="AC160" i="21"/>
  <c r="AC161" i="21"/>
  <c r="AD161" i="21" s="1"/>
  <c r="AC162" i="21"/>
  <c r="AC163" i="21"/>
  <c r="AC164" i="21"/>
  <c r="AC165" i="21"/>
  <c r="AC166" i="21"/>
  <c r="AC167" i="21"/>
  <c r="AC168" i="21"/>
  <c r="AC169" i="21"/>
  <c r="AC170" i="21"/>
  <c r="AC171" i="21"/>
  <c r="AC172" i="21"/>
  <c r="AC173" i="21"/>
  <c r="AC174" i="21"/>
  <c r="AC175" i="21"/>
  <c r="AC176" i="21"/>
  <c r="AC177" i="21"/>
  <c r="AD177" i="21" s="1"/>
  <c r="AC178" i="21"/>
  <c r="AC179" i="21"/>
  <c r="AC180" i="21"/>
  <c r="AC181" i="21"/>
  <c r="AC182" i="21"/>
  <c r="AC183" i="21"/>
  <c r="AC184" i="21"/>
  <c r="AC185" i="21"/>
  <c r="AD185" i="21" s="1"/>
  <c r="AC186" i="21"/>
  <c r="AC187" i="21"/>
  <c r="AC188" i="21"/>
  <c r="AC189" i="21"/>
  <c r="AC190" i="21"/>
  <c r="AC191" i="21"/>
  <c r="AC192" i="21"/>
  <c r="AC193" i="21"/>
  <c r="AD193" i="21" s="1"/>
  <c r="AC194" i="21"/>
  <c r="AC195" i="21"/>
  <c r="AC196" i="21"/>
  <c r="AC197" i="21"/>
  <c r="AC198" i="21"/>
  <c r="AC199" i="21"/>
  <c r="AC200" i="21"/>
  <c r="AC201" i="21"/>
  <c r="AD201" i="21" s="1"/>
  <c r="AC202" i="21"/>
  <c r="AC203" i="21"/>
  <c r="AC204" i="21"/>
  <c r="AC205" i="21"/>
  <c r="AC206" i="21"/>
  <c r="AC207" i="21"/>
  <c r="AC208" i="21"/>
  <c r="AC209" i="21"/>
  <c r="AC210" i="21"/>
  <c r="AC211" i="21"/>
  <c r="AC212" i="21"/>
  <c r="AC213" i="21"/>
  <c r="AC214" i="21"/>
  <c r="AC215" i="21"/>
  <c r="AC216" i="21"/>
  <c r="AC217" i="21"/>
  <c r="AD217" i="21" s="1"/>
  <c r="AC218" i="21"/>
  <c r="AC219" i="21"/>
  <c r="AC220" i="21"/>
  <c r="AC221" i="21"/>
  <c r="AC222" i="21"/>
  <c r="AC223" i="21"/>
  <c r="AC224" i="21"/>
  <c r="AC225" i="21"/>
  <c r="AD225" i="21" s="1"/>
  <c r="AC226" i="21"/>
  <c r="AC227" i="21"/>
  <c r="AC228" i="21"/>
  <c r="AC229" i="21"/>
  <c r="AC230" i="21"/>
  <c r="AC231" i="21"/>
  <c r="AC232" i="21"/>
  <c r="AC233" i="21"/>
  <c r="AD233" i="21" s="1"/>
  <c r="AC234" i="21"/>
  <c r="AC235" i="21"/>
  <c r="AC236" i="21"/>
  <c r="AC237" i="21"/>
  <c r="AC238" i="21"/>
  <c r="AC239" i="21"/>
  <c r="AC240" i="21"/>
  <c r="AC241" i="21"/>
  <c r="AD241" i="21" s="1"/>
  <c r="AC242" i="21"/>
  <c r="AC243" i="21"/>
  <c r="AC244" i="21"/>
  <c r="AC245" i="21"/>
  <c r="AC246" i="21"/>
  <c r="AC247" i="21"/>
  <c r="AC248" i="21"/>
  <c r="AC249" i="21"/>
  <c r="AD249" i="21" s="1"/>
  <c r="AC250" i="21"/>
  <c r="AC251" i="21"/>
  <c r="AC252" i="21"/>
  <c r="AC253" i="21"/>
  <c r="AC254" i="21"/>
  <c r="AC255" i="21"/>
  <c r="AC256" i="21"/>
  <c r="AC257" i="21"/>
  <c r="AD257" i="21" s="1"/>
  <c r="AC258" i="21"/>
  <c r="AC259" i="21"/>
  <c r="AC260" i="21"/>
  <c r="AC261" i="21"/>
  <c r="AC262" i="21"/>
  <c r="AC263" i="21"/>
  <c r="AC264" i="21"/>
  <c r="AC265" i="21"/>
  <c r="AD265" i="21" s="1"/>
  <c r="AC266" i="21"/>
  <c r="AC267" i="21"/>
  <c r="AC268" i="21"/>
  <c r="AC269" i="21"/>
  <c r="AC270" i="21"/>
  <c r="AC271" i="21"/>
  <c r="AC272" i="21"/>
  <c r="AC273" i="21"/>
  <c r="AD273" i="21" s="1"/>
  <c r="AC274" i="21"/>
  <c r="AC275" i="21"/>
  <c r="AC276" i="21"/>
  <c r="AC277" i="21"/>
  <c r="AC278" i="21"/>
  <c r="AC279" i="21"/>
  <c r="AC280" i="21"/>
  <c r="AC281" i="21"/>
  <c r="AD281" i="21" s="1"/>
  <c r="AC282" i="21"/>
  <c r="AC283" i="21"/>
  <c r="AC284" i="21"/>
  <c r="AC285" i="21"/>
  <c r="AC286" i="21"/>
  <c r="AC287" i="21"/>
  <c r="AC288" i="21"/>
  <c r="AC289" i="21"/>
  <c r="AD289" i="21" s="1"/>
  <c r="AC290" i="21"/>
  <c r="AC291" i="21"/>
  <c r="AC292" i="21"/>
  <c r="AC293" i="21"/>
  <c r="AC294" i="21"/>
  <c r="AC295" i="21"/>
  <c r="AC296" i="21"/>
  <c r="AC297" i="21"/>
  <c r="AD297" i="21" s="1"/>
  <c r="AC298" i="21"/>
  <c r="AC299" i="21"/>
  <c r="AC300" i="21"/>
  <c r="AC301" i="21"/>
  <c r="AC302" i="21"/>
  <c r="AC303" i="21"/>
  <c r="AC304" i="21"/>
  <c r="AC305" i="21"/>
  <c r="AD305" i="21" s="1"/>
  <c r="AC306" i="21"/>
  <c r="AC307" i="21"/>
  <c r="AC308" i="21"/>
  <c r="AC309" i="21"/>
  <c r="AC310" i="21"/>
  <c r="AC311" i="21"/>
  <c r="AC312" i="21"/>
  <c r="AC313" i="21"/>
  <c r="AC314" i="21"/>
  <c r="AC315" i="21"/>
  <c r="AC316" i="21"/>
  <c r="AC317" i="21"/>
  <c r="AC318" i="21"/>
  <c r="AC319" i="21"/>
  <c r="AC320" i="21"/>
  <c r="AC321" i="21"/>
  <c r="AD321" i="21" s="1"/>
  <c r="AC322" i="21"/>
  <c r="AC323" i="21"/>
  <c r="AC324" i="21"/>
  <c r="AC325" i="21"/>
  <c r="AC326" i="21"/>
  <c r="AC327" i="21"/>
  <c r="AC328" i="21"/>
  <c r="AC329" i="21"/>
  <c r="AD329" i="21" s="1"/>
  <c r="AC330" i="21"/>
  <c r="AC331" i="21"/>
  <c r="AC332" i="21"/>
  <c r="AC333" i="21"/>
  <c r="AC334" i="21"/>
  <c r="AC335" i="21"/>
  <c r="AC336" i="21"/>
  <c r="AC337" i="21"/>
  <c r="AD337" i="21" s="1"/>
  <c r="AC338" i="21"/>
  <c r="AC339" i="21"/>
  <c r="AC340" i="21"/>
  <c r="AC341" i="21"/>
  <c r="AC342" i="21"/>
  <c r="AC343" i="21"/>
  <c r="AC344" i="21"/>
  <c r="AC345" i="21"/>
  <c r="AD345" i="21" s="1"/>
  <c r="AC346" i="21"/>
  <c r="AC347" i="21"/>
  <c r="AC348" i="21"/>
  <c r="AC349" i="21"/>
  <c r="AC350" i="21"/>
  <c r="AC351" i="21"/>
  <c r="AC352" i="21"/>
  <c r="AC353" i="21"/>
  <c r="AD353" i="21" s="1"/>
  <c r="AC354" i="21"/>
  <c r="AC355" i="21"/>
  <c r="AC356" i="21"/>
  <c r="AC357" i="21"/>
  <c r="AC358" i="21"/>
  <c r="AC359" i="21"/>
  <c r="AC360" i="21"/>
  <c r="AC361" i="21"/>
  <c r="AD361" i="21" s="1"/>
  <c r="AC362" i="21"/>
  <c r="AC363" i="21"/>
  <c r="AC364" i="21"/>
  <c r="AC365" i="21"/>
  <c r="AC366" i="21"/>
  <c r="AC367" i="21"/>
  <c r="AC368" i="21"/>
  <c r="AC369" i="21"/>
  <c r="AD369" i="21" s="1"/>
  <c r="AC370" i="21"/>
  <c r="AC371" i="21"/>
  <c r="AC372" i="21"/>
  <c r="AC373" i="21"/>
  <c r="AC374" i="21"/>
  <c r="AC375" i="21"/>
  <c r="AC376" i="21"/>
  <c r="AC377" i="21"/>
  <c r="AC378" i="21"/>
  <c r="AC379" i="21"/>
  <c r="AC380" i="21"/>
  <c r="AC381" i="21"/>
  <c r="AC382" i="21"/>
  <c r="AC383" i="21"/>
  <c r="AC384" i="21"/>
  <c r="AC385" i="21"/>
  <c r="AD385" i="21" s="1"/>
  <c r="AC386" i="21"/>
  <c r="AC387" i="21"/>
  <c r="AC388" i="21"/>
  <c r="AC389" i="21"/>
  <c r="AC390" i="21"/>
  <c r="AC391" i="21"/>
  <c r="AC392" i="21"/>
  <c r="AC393" i="21"/>
  <c r="AD393" i="21" s="1"/>
  <c r="AC394" i="21"/>
  <c r="AC395" i="21"/>
  <c r="AC396" i="21"/>
  <c r="AC397" i="21"/>
  <c r="AC398" i="21"/>
  <c r="AC399" i="21"/>
  <c r="AC400" i="21"/>
  <c r="AC401" i="21"/>
  <c r="AD401" i="21" s="1"/>
  <c r="AC402" i="21"/>
  <c r="AC403" i="21"/>
  <c r="AC404" i="21"/>
  <c r="AC2" i="21"/>
  <c r="AA3" i="21"/>
  <c r="AA4" i="21"/>
  <c r="AA5" i="21"/>
  <c r="AA6" i="21"/>
  <c r="AA7" i="21"/>
  <c r="AA8" i="21"/>
  <c r="AA9" i="21"/>
  <c r="AA10" i="21"/>
  <c r="AB10" i="21" s="1"/>
  <c r="AA11" i="21"/>
  <c r="AA12" i="21"/>
  <c r="AA13" i="21"/>
  <c r="AA14" i="21"/>
  <c r="AA15" i="21"/>
  <c r="AA16" i="21"/>
  <c r="AA17" i="21"/>
  <c r="AA18" i="21"/>
  <c r="AA19" i="21"/>
  <c r="AA20" i="21"/>
  <c r="AA21" i="21"/>
  <c r="AA22" i="21"/>
  <c r="AA23" i="21"/>
  <c r="AA24" i="21"/>
  <c r="AA25" i="21"/>
  <c r="AA26" i="21"/>
  <c r="AB26" i="21" s="1"/>
  <c r="AA27" i="21"/>
  <c r="AA28" i="21"/>
  <c r="AA29" i="21"/>
  <c r="AA30" i="21"/>
  <c r="AA31" i="21"/>
  <c r="AA32" i="21"/>
  <c r="AA33" i="21"/>
  <c r="AA34" i="21"/>
  <c r="AB34" i="21" s="1"/>
  <c r="AA35" i="21"/>
  <c r="AA36" i="21"/>
  <c r="AA37" i="21"/>
  <c r="AA38" i="21"/>
  <c r="AA39" i="21"/>
  <c r="AA40" i="21"/>
  <c r="AA41" i="21"/>
  <c r="AA42" i="21"/>
  <c r="AB42" i="21" s="1"/>
  <c r="AA43" i="21"/>
  <c r="AA44" i="21"/>
  <c r="AA45" i="21"/>
  <c r="AA46" i="21"/>
  <c r="AA47" i="21"/>
  <c r="AA48" i="21"/>
  <c r="AA49" i="21"/>
  <c r="AA50" i="21"/>
  <c r="AB50" i="21" s="1"/>
  <c r="AA51" i="21"/>
  <c r="AA52" i="21"/>
  <c r="AA53" i="21"/>
  <c r="AA54" i="21"/>
  <c r="AA55" i="21"/>
  <c r="AA56" i="21"/>
  <c r="AA57" i="21"/>
  <c r="AA58" i="21"/>
  <c r="AB58" i="21" s="1"/>
  <c r="AA59" i="21"/>
  <c r="AA60" i="21"/>
  <c r="AA61" i="21"/>
  <c r="AA62" i="21"/>
  <c r="AA63" i="21"/>
  <c r="AA64" i="21"/>
  <c r="AA65" i="21"/>
  <c r="AA66" i="21"/>
  <c r="AB66" i="21" s="1"/>
  <c r="AA67" i="21"/>
  <c r="AA68" i="21"/>
  <c r="AA69" i="21"/>
  <c r="AA70" i="21"/>
  <c r="AA71" i="21"/>
  <c r="AA72" i="21"/>
  <c r="AA73" i="21"/>
  <c r="AA74" i="21"/>
  <c r="AB74" i="21" s="1"/>
  <c r="AA75" i="21"/>
  <c r="AA76" i="21"/>
  <c r="AA77" i="21"/>
  <c r="AA78" i="21"/>
  <c r="AA79" i="21"/>
  <c r="AA80" i="21"/>
  <c r="AA81" i="21"/>
  <c r="AA82" i="21"/>
  <c r="AB82" i="21" s="1"/>
  <c r="AA83" i="21"/>
  <c r="AA84" i="21"/>
  <c r="AA85" i="21"/>
  <c r="AA86" i="21"/>
  <c r="AA87" i="21"/>
  <c r="AA88" i="21"/>
  <c r="AA89" i="21"/>
  <c r="AA90" i="21"/>
  <c r="AA91" i="21"/>
  <c r="AA92" i="21"/>
  <c r="AA93" i="21"/>
  <c r="AA94" i="21"/>
  <c r="AA95" i="21"/>
  <c r="AA96" i="21"/>
  <c r="AA97" i="21"/>
  <c r="AA98" i="21"/>
  <c r="AB98" i="21" s="1"/>
  <c r="AA99" i="21"/>
  <c r="AA100" i="21"/>
  <c r="AA101" i="21"/>
  <c r="AA102" i="21"/>
  <c r="AA103" i="21"/>
  <c r="AA104" i="21"/>
  <c r="AA105" i="21"/>
  <c r="AA106" i="21"/>
  <c r="AB106" i="21" s="1"/>
  <c r="AA107" i="21"/>
  <c r="AA108" i="21"/>
  <c r="AA109" i="21"/>
  <c r="AA110" i="21"/>
  <c r="AA111" i="21"/>
  <c r="AA112" i="21"/>
  <c r="AA113" i="21"/>
  <c r="AA114" i="21"/>
  <c r="AB114" i="21" s="1"/>
  <c r="AA115" i="21"/>
  <c r="AA116" i="21"/>
  <c r="AA117" i="21"/>
  <c r="AA118" i="21"/>
  <c r="AA119" i="21"/>
  <c r="AA120" i="21"/>
  <c r="AA121" i="21"/>
  <c r="AA122" i="21"/>
  <c r="AB122" i="21" s="1"/>
  <c r="AA123" i="21"/>
  <c r="AA124" i="21"/>
  <c r="AA125" i="21"/>
  <c r="AA126" i="21"/>
  <c r="AA127" i="21"/>
  <c r="AA128" i="21"/>
  <c r="AA129" i="21"/>
  <c r="AA130" i="21"/>
  <c r="AB130" i="21" s="1"/>
  <c r="AA131" i="21"/>
  <c r="AA132" i="21"/>
  <c r="AA133" i="21"/>
  <c r="AA134" i="21"/>
  <c r="AA135" i="21"/>
  <c r="AA136" i="21"/>
  <c r="AA137" i="21"/>
  <c r="AA138" i="21"/>
  <c r="AB138" i="21" s="1"/>
  <c r="AA139" i="21"/>
  <c r="AA140" i="21"/>
  <c r="AA141" i="21"/>
  <c r="AA142" i="21"/>
  <c r="AA143" i="21"/>
  <c r="AA144" i="21"/>
  <c r="AA145" i="21"/>
  <c r="AA146" i="21"/>
  <c r="AB146" i="21" s="1"/>
  <c r="AA147" i="21"/>
  <c r="AA148" i="21"/>
  <c r="AA149" i="21"/>
  <c r="AA150" i="21"/>
  <c r="AA151" i="21"/>
  <c r="AA152" i="21"/>
  <c r="AA153" i="21"/>
  <c r="AA154" i="21"/>
  <c r="AB154" i="21" s="1"/>
  <c r="AA155" i="21"/>
  <c r="AA156" i="21"/>
  <c r="AA157" i="21"/>
  <c r="AA158" i="21"/>
  <c r="AA159" i="21"/>
  <c r="AA160" i="21"/>
  <c r="AA161" i="21"/>
  <c r="AA162" i="21"/>
  <c r="AB162" i="21" s="1"/>
  <c r="AA163" i="21"/>
  <c r="AA164" i="21"/>
  <c r="AA165" i="21"/>
  <c r="AA166" i="21"/>
  <c r="AA167" i="21"/>
  <c r="AA168" i="21"/>
  <c r="AA169" i="21"/>
  <c r="AA170" i="21"/>
  <c r="AA171" i="21"/>
  <c r="AA172" i="21"/>
  <c r="AA173" i="21"/>
  <c r="AA174" i="21"/>
  <c r="AA175" i="21"/>
  <c r="AA176" i="21"/>
  <c r="AA177" i="21"/>
  <c r="AA178" i="21"/>
  <c r="AA179" i="21"/>
  <c r="AA180" i="21"/>
  <c r="AA181" i="21"/>
  <c r="AA182" i="21"/>
  <c r="AA183" i="21"/>
  <c r="AA184" i="21"/>
  <c r="AA185" i="21"/>
  <c r="AA186" i="21"/>
  <c r="AB186" i="21" s="1"/>
  <c r="AA187" i="21"/>
  <c r="AA188" i="21"/>
  <c r="AA189" i="21"/>
  <c r="AA190" i="21"/>
  <c r="AA191" i="21"/>
  <c r="AA192" i="21"/>
  <c r="AA193" i="21"/>
  <c r="AA194" i="21"/>
  <c r="AB194" i="21" s="1"/>
  <c r="AA195" i="21"/>
  <c r="AA196" i="21"/>
  <c r="AA197" i="21"/>
  <c r="AA198" i="21"/>
  <c r="AA199" i="21"/>
  <c r="AA200" i="21"/>
  <c r="AA201" i="21"/>
  <c r="AA202" i="21"/>
  <c r="AB202" i="21" s="1"/>
  <c r="AA203" i="21"/>
  <c r="AA204" i="21"/>
  <c r="AA205" i="21"/>
  <c r="AA206" i="21"/>
  <c r="AA207" i="21"/>
  <c r="AA208" i="21"/>
  <c r="AA209" i="21"/>
  <c r="AA210" i="21"/>
  <c r="AB210" i="21" s="1"/>
  <c r="AA211" i="21"/>
  <c r="AA212" i="21"/>
  <c r="AA213" i="21"/>
  <c r="AA214" i="21"/>
  <c r="AA215" i="21"/>
  <c r="AA216" i="21"/>
  <c r="AA217" i="21"/>
  <c r="AA218" i="21"/>
  <c r="AB218" i="21" s="1"/>
  <c r="AA219" i="21"/>
  <c r="AA220" i="21"/>
  <c r="AA221" i="21"/>
  <c r="AA222" i="21"/>
  <c r="AA223" i="21"/>
  <c r="AA224" i="21"/>
  <c r="AA225" i="21"/>
  <c r="AA226" i="21"/>
  <c r="AB226" i="21" s="1"/>
  <c r="AA227" i="21"/>
  <c r="AA228" i="21"/>
  <c r="AA229" i="21"/>
  <c r="AA230" i="21"/>
  <c r="AA231" i="21"/>
  <c r="AA232" i="21"/>
  <c r="AA233" i="21"/>
  <c r="AA234" i="21"/>
  <c r="AB234" i="21" s="1"/>
  <c r="AA235" i="21"/>
  <c r="AA236" i="21"/>
  <c r="AA237" i="21"/>
  <c r="AA238" i="21"/>
  <c r="AA239" i="21"/>
  <c r="AA240" i="21"/>
  <c r="AA241" i="21"/>
  <c r="AA242" i="21"/>
  <c r="AA243" i="21"/>
  <c r="AA244" i="21"/>
  <c r="AA245" i="21"/>
  <c r="AA246" i="21"/>
  <c r="AA247" i="21"/>
  <c r="AA248" i="21"/>
  <c r="AA249" i="21"/>
  <c r="AA250" i="21"/>
  <c r="AA251" i="21"/>
  <c r="AA252" i="21"/>
  <c r="AA253" i="21"/>
  <c r="AA254" i="21"/>
  <c r="AA255" i="21"/>
  <c r="AA256" i="21"/>
  <c r="AA257" i="21"/>
  <c r="AA258" i="21"/>
  <c r="AB258" i="21" s="1"/>
  <c r="AA259" i="21"/>
  <c r="AA260" i="21"/>
  <c r="AA261" i="21"/>
  <c r="AA262" i="21"/>
  <c r="AA263" i="21"/>
  <c r="AA264" i="21"/>
  <c r="AA265" i="21"/>
  <c r="AA266" i="21"/>
  <c r="AA267" i="21"/>
  <c r="AA268" i="21"/>
  <c r="AA269" i="21"/>
  <c r="AA270" i="21"/>
  <c r="AA271" i="21"/>
  <c r="AA272" i="21"/>
  <c r="AA273" i="21"/>
  <c r="AA274" i="21"/>
  <c r="AB274" i="21" s="1"/>
  <c r="AA275" i="21"/>
  <c r="AA276" i="21"/>
  <c r="AA277" i="21"/>
  <c r="AA278" i="21"/>
  <c r="AA279" i="21"/>
  <c r="AA280" i="21"/>
  <c r="AA281" i="21"/>
  <c r="AA282" i="21"/>
  <c r="AB282" i="21" s="1"/>
  <c r="AA283" i="21"/>
  <c r="AA284" i="21"/>
  <c r="AA285" i="21"/>
  <c r="AA286" i="21"/>
  <c r="AA287" i="21"/>
  <c r="AA288" i="21"/>
  <c r="AA289" i="21"/>
  <c r="AA290" i="21"/>
  <c r="AB290" i="21" s="1"/>
  <c r="AA291" i="21"/>
  <c r="AA292" i="21"/>
  <c r="AA293" i="21"/>
  <c r="AA294" i="21"/>
  <c r="AA295" i="21"/>
  <c r="AA296" i="21"/>
  <c r="AA297" i="21"/>
  <c r="AA298" i="21"/>
  <c r="AB298" i="21" s="1"/>
  <c r="AA299" i="21"/>
  <c r="AA300" i="21"/>
  <c r="AA301" i="21"/>
  <c r="AA302" i="21"/>
  <c r="AA303" i="21"/>
  <c r="AA304" i="21"/>
  <c r="AA305" i="21"/>
  <c r="AA306" i="21"/>
  <c r="AA307" i="21"/>
  <c r="AA308" i="21"/>
  <c r="AA309" i="21"/>
  <c r="AA310" i="21"/>
  <c r="AA311" i="21"/>
  <c r="AA312" i="21"/>
  <c r="AA313" i="21"/>
  <c r="AA314" i="21"/>
  <c r="AB314" i="21" s="1"/>
  <c r="AA315" i="21"/>
  <c r="AA316" i="21"/>
  <c r="AA317" i="21"/>
  <c r="AA318" i="21"/>
  <c r="AA319" i="21"/>
  <c r="AA320" i="21"/>
  <c r="AA321" i="21"/>
  <c r="AA322" i="21"/>
  <c r="AB322" i="21" s="1"/>
  <c r="AA323" i="21"/>
  <c r="AA324" i="21"/>
  <c r="AA325" i="21"/>
  <c r="AA326" i="21"/>
  <c r="AA327" i="21"/>
  <c r="AA328" i="21"/>
  <c r="AA329" i="21"/>
  <c r="AA330" i="21"/>
  <c r="AB330" i="21" s="1"/>
  <c r="AA331" i="21"/>
  <c r="AA332" i="21"/>
  <c r="AA333" i="21"/>
  <c r="AA334" i="21"/>
  <c r="AA335" i="21"/>
  <c r="AA336" i="21"/>
  <c r="AA337" i="21"/>
  <c r="AA338" i="21"/>
  <c r="AB338" i="21" s="1"/>
  <c r="AA339" i="21"/>
  <c r="AA340" i="21"/>
  <c r="AA341" i="21"/>
  <c r="AA342" i="21"/>
  <c r="AA343" i="21"/>
  <c r="AA344" i="21"/>
  <c r="AA345" i="21"/>
  <c r="AA346" i="21"/>
  <c r="AB346" i="21" s="1"/>
  <c r="AA347" i="21"/>
  <c r="AA348" i="21"/>
  <c r="AA349" i="21"/>
  <c r="AA350" i="21"/>
  <c r="AA351" i="21"/>
  <c r="AA352" i="21"/>
  <c r="AA353" i="21"/>
  <c r="AA354" i="21"/>
  <c r="AB354" i="21" s="1"/>
  <c r="AA355" i="21"/>
  <c r="AA356" i="21"/>
  <c r="AA357" i="21"/>
  <c r="AA358" i="21"/>
  <c r="AA359" i="21"/>
  <c r="AA360" i="21"/>
  <c r="AA361" i="21"/>
  <c r="AA362" i="21"/>
  <c r="AB362" i="21" s="1"/>
  <c r="AA363" i="21"/>
  <c r="AA364" i="21"/>
  <c r="AA365" i="21"/>
  <c r="AA366" i="21"/>
  <c r="AA367" i="21"/>
  <c r="AA368" i="21"/>
  <c r="AA369" i="21"/>
  <c r="AA370" i="21"/>
  <c r="AB370" i="21" s="1"/>
  <c r="AA371" i="21"/>
  <c r="AA372" i="21"/>
  <c r="AA373" i="21"/>
  <c r="AA374" i="21"/>
  <c r="AA375" i="21"/>
  <c r="AA376" i="21"/>
  <c r="AA377" i="21"/>
  <c r="AA378" i="21"/>
  <c r="AB378" i="21" s="1"/>
  <c r="AA379" i="21"/>
  <c r="AA380" i="21"/>
  <c r="AB380" i="21" s="1"/>
  <c r="AA381" i="21"/>
  <c r="AA382" i="21"/>
  <c r="AA383" i="21"/>
  <c r="AB383" i="21" s="1"/>
  <c r="AA384" i="21"/>
  <c r="AA385" i="21"/>
  <c r="AA386" i="21"/>
  <c r="AB386" i="21" s="1"/>
  <c r="AA387" i="21"/>
  <c r="AB387" i="21" s="1"/>
  <c r="AA388" i="21"/>
  <c r="AA389" i="21"/>
  <c r="AA390" i="21"/>
  <c r="AA391" i="21"/>
  <c r="AA392" i="21"/>
  <c r="AA393" i="21"/>
  <c r="AA394" i="21"/>
  <c r="AB394" i="21" s="1"/>
  <c r="AA395" i="21"/>
  <c r="AB395" i="21" s="1"/>
  <c r="AA396" i="21"/>
  <c r="AA397" i="21"/>
  <c r="AA398" i="21"/>
  <c r="AA399" i="21"/>
  <c r="AB399" i="21" s="1"/>
  <c r="AA400" i="21"/>
  <c r="AA401" i="21"/>
  <c r="AA402" i="21"/>
  <c r="AB402" i="21" s="1"/>
  <c r="AA403" i="21"/>
  <c r="AB403" i="21" s="1"/>
  <c r="AA404" i="21"/>
  <c r="AA2" i="21"/>
  <c r="Y3" i="21"/>
  <c r="Y4" i="21"/>
  <c r="Y5" i="21"/>
  <c r="Y6" i="21"/>
  <c r="Y7" i="21"/>
  <c r="Y8" i="21"/>
  <c r="Y9" i="21"/>
  <c r="Z9" i="21" s="1"/>
  <c r="Y10" i="21"/>
  <c r="Y11" i="21"/>
  <c r="Y12" i="21"/>
  <c r="Y13" i="21"/>
  <c r="Y14" i="21"/>
  <c r="Y15" i="21"/>
  <c r="Y16" i="21"/>
  <c r="Y17" i="21"/>
  <c r="Z17" i="21" s="1"/>
  <c r="Y18" i="21"/>
  <c r="Y19" i="21"/>
  <c r="Y20" i="21"/>
  <c r="Y21" i="21"/>
  <c r="Y22" i="21"/>
  <c r="Y23" i="21"/>
  <c r="Y24" i="21"/>
  <c r="Y25" i="21"/>
  <c r="Z25" i="21" s="1"/>
  <c r="Y26" i="21"/>
  <c r="Y27" i="21"/>
  <c r="Y28" i="21"/>
  <c r="Y29" i="21"/>
  <c r="Y30" i="21"/>
  <c r="Y31" i="21"/>
  <c r="Y32" i="21"/>
  <c r="Y33" i="21"/>
  <c r="Z33" i="21" s="1"/>
  <c r="Y34" i="21"/>
  <c r="Y35" i="21"/>
  <c r="Y36" i="21"/>
  <c r="Y37" i="21"/>
  <c r="Y38" i="21"/>
  <c r="Y39" i="21"/>
  <c r="Y40" i="21"/>
  <c r="Y41" i="21"/>
  <c r="Z41" i="21" s="1"/>
  <c r="Y42" i="21"/>
  <c r="Y43" i="21"/>
  <c r="Y44" i="21"/>
  <c r="Y45" i="21"/>
  <c r="Y46" i="21"/>
  <c r="Y47" i="21"/>
  <c r="Y48" i="21"/>
  <c r="Y49" i="21"/>
  <c r="Z49" i="21" s="1"/>
  <c r="Y50" i="21"/>
  <c r="Y51" i="21"/>
  <c r="Y52" i="21"/>
  <c r="Y53" i="21"/>
  <c r="Y54" i="21"/>
  <c r="Y55" i="21"/>
  <c r="Y56" i="21"/>
  <c r="Y57" i="21"/>
  <c r="Y58" i="21"/>
  <c r="Y59" i="21"/>
  <c r="Y60" i="21"/>
  <c r="Y61" i="21"/>
  <c r="Y62" i="21"/>
  <c r="Y63" i="21"/>
  <c r="Y64" i="21"/>
  <c r="Y65" i="21"/>
  <c r="Z65" i="21" s="1"/>
  <c r="Y66" i="21"/>
  <c r="Y67" i="21"/>
  <c r="Y68" i="21"/>
  <c r="Y69" i="21"/>
  <c r="Y70" i="21"/>
  <c r="Y71" i="21"/>
  <c r="Y72" i="21"/>
  <c r="Y73" i="21"/>
  <c r="Z73" i="21" s="1"/>
  <c r="Y74" i="21"/>
  <c r="Y75" i="21"/>
  <c r="Y76" i="21"/>
  <c r="Y77" i="21"/>
  <c r="Y78" i="21"/>
  <c r="Y79" i="21"/>
  <c r="Y80" i="21"/>
  <c r="Y81" i="21"/>
  <c r="Z81" i="21" s="1"/>
  <c r="Y82" i="21"/>
  <c r="Y83" i="21"/>
  <c r="Y84" i="21"/>
  <c r="Y85" i="21"/>
  <c r="Y86" i="21"/>
  <c r="Y87" i="21"/>
  <c r="Y88" i="21"/>
  <c r="Y89" i="21"/>
  <c r="Z89" i="21" s="1"/>
  <c r="Y90" i="21"/>
  <c r="Y91" i="21"/>
  <c r="Y92" i="21"/>
  <c r="Y93" i="21"/>
  <c r="Y94" i="21"/>
  <c r="Y95" i="21"/>
  <c r="Y96" i="21"/>
  <c r="Y97" i="21"/>
  <c r="Z97" i="21" s="1"/>
  <c r="Y98" i="21"/>
  <c r="Y99" i="21"/>
  <c r="Y100" i="21"/>
  <c r="Y101" i="21"/>
  <c r="Y102" i="21"/>
  <c r="Y103" i="21"/>
  <c r="Y104" i="21"/>
  <c r="Y105" i="21"/>
  <c r="Z105" i="21" s="1"/>
  <c r="Y106" i="21"/>
  <c r="Y107" i="21"/>
  <c r="Y108" i="21"/>
  <c r="Y109" i="21"/>
  <c r="Y110" i="21"/>
  <c r="Y111" i="21"/>
  <c r="Y112" i="21"/>
  <c r="Y113" i="21"/>
  <c r="Z113" i="21" s="1"/>
  <c r="Y114" i="21"/>
  <c r="Y115" i="21"/>
  <c r="Y116" i="21"/>
  <c r="Y117" i="21"/>
  <c r="Y118" i="21"/>
  <c r="Y119" i="21"/>
  <c r="Y120" i="21"/>
  <c r="Y121" i="21"/>
  <c r="Z121" i="21" s="1"/>
  <c r="Y122" i="21"/>
  <c r="Y123" i="21"/>
  <c r="Y124" i="21"/>
  <c r="Y125" i="21"/>
  <c r="Y126" i="21"/>
  <c r="Y127" i="21"/>
  <c r="Y128" i="21"/>
  <c r="Y129" i="21"/>
  <c r="Z129" i="21" s="1"/>
  <c r="Y130" i="21"/>
  <c r="Y131" i="21"/>
  <c r="Y132" i="21"/>
  <c r="Y133" i="21"/>
  <c r="Y134" i="21"/>
  <c r="Y135" i="21"/>
  <c r="Y136" i="21"/>
  <c r="Y137" i="21"/>
  <c r="Z137" i="21" s="1"/>
  <c r="Y138" i="21"/>
  <c r="Y139" i="21"/>
  <c r="Y140" i="21"/>
  <c r="Y141" i="21"/>
  <c r="Y142" i="21"/>
  <c r="Y143" i="21"/>
  <c r="Y144" i="21"/>
  <c r="Y145" i="21"/>
  <c r="Y146" i="21"/>
  <c r="Y147" i="21"/>
  <c r="Y148" i="21"/>
  <c r="Y149" i="21"/>
  <c r="Y150" i="21"/>
  <c r="Y151" i="21"/>
  <c r="Y152" i="21"/>
  <c r="Y153" i="21"/>
  <c r="Z153" i="21" s="1"/>
  <c r="Y154" i="21"/>
  <c r="Y155" i="21"/>
  <c r="Y156" i="21"/>
  <c r="Y157" i="21"/>
  <c r="Y158" i="21"/>
  <c r="Y159" i="21"/>
  <c r="Y160" i="21"/>
  <c r="Y161" i="21"/>
  <c r="Y162" i="21"/>
  <c r="Y163" i="21"/>
  <c r="Y164" i="21"/>
  <c r="Y165" i="21"/>
  <c r="Y166" i="21"/>
  <c r="Y167" i="21"/>
  <c r="Y168" i="21"/>
  <c r="Y169" i="21"/>
  <c r="Z169" i="21" s="1"/>
  <c r="Y170" i="21"/>
  <c r="Y171" i="21"/>
  <c r="Y172" i="21"/>
  <c r="Y173" i="21"/>
  <c r="Y174" i="21"/>
  <c r="Y175" i="21"/>
  <c r="Y176" i="21"/>
  <c r="Y177" i="21"/>
  <c r="Z177" i="21" s="1"/>
  <c r="Y178" i="21"/>
  <c r="Y179" i="21"/>
  <c r="Y180" i="21"/>
  <c r="Y181" i="21"/>
  <c r="Y182" i="21"/>
  <c r="Y183" i="21"/>
  <c r="Y184" i="21"/>
  <c r="Y185" i="21"/>
  <c r="Z185" i="21" s="1"/>
  <c r="Y186" i="21"/>
  <c r="Y187" i="21"/>
  <c r="Y188" i="21"/>
  <c r="Y189" i="21"/>
  <c r="Y190" i="21"/>
  <c r="Y191" i="21"/>
  <c r="Y192" i="21"/>
  <c r="Y193" i="21"/>
  <c r="Y194" i="21"/>
  <c r="Y195" i="21"/>
  <c r="Y196" i="21"/>
  <c r="Y197" i="21"/>
  <c r="Y198" i="21"/>
  <c r="Y199" i="21"/>
  <c r="Y200" i="21"/>
  <c r="Y201" i="21"/>
  <c r="Z201" i="21" s="1"/>
  <c r="Y202" i="21"/>
  <c r="Y203" i="21"/>
  <c r="Y204" i="21"/>
  <c r="Y205" i="21"/>
  <c r="Y206" i="21"/>
  <c r="Y207" i="21"/>
  <c r="Y208" i="21"/>
  <c r="Y209" i="21"/>
  <c r="Z209" i="21" s="1"/>
  <c r="Y210" i="21"/>
  <c r="Y211" i="21"/>
  <c r="Y212" i="21"/>
  <c r="Y213" i="21"/>
  <c r="Y214" i="21"/>
  <c r="Y215" i="21"/>
  <c r="Y216" i="21"/>
  <c r="Y217" i="21"/>
  <c r="Z217" i="21" s="1"/>
  <c r="Y218" i="21"/>
  <c r="Y219" i="21"/>
  <c r="Y220" i="21"/>
  <c r="Y221" i="21"/>
  <c r="Y222" i="21"/>
  <c r="Y223" i="21"/>
  <c r="Y224" i="21"/>
  <c r="Y225" i="21"/>
  <c r="Z225" i="21" s="1"/>
  <c r="Y226" i="21"/>
  <c r="Y227" i="21"/>
  <c r="Y228" i="21"/>
  <c r="Y229" i="21"/>
  <c r="Y230" i="21"/>
  <c r="Y231" i="21"/>
  <c r="Y232" i="21"/>
  <c r="Y233" i="21"/>
  <c r="Z233" i="21" s="1"/>
  <c r="Y234" i="21"/>
  <c r="Y235" i="21"/>
  <c r="Y236" i="21"/>
  <c r="Y237" i="21"/>
  <c r="Y238" i="21"/>
  <c r="Y239" i="21"/>
  <c r="Y240" i="21"/>
  <c r="Y241" i="21"/>
  <c r="Z241" i="21" s="1"/>
  <c r="Y242" i="21"/>
  <c r="Y243" i="21"/>
  <c r="Y244" i="21"/>
  <c r="Y245" i="21"/>
  <c r="Y246" i="21"/>
  <c r="Y247" i="21"/>
  <c r="Y248" i="21"/>
  <c r="Y249" i="21"/>
  <c r="Z249" i="21" s="1"/>
  <c r="Y250" i="21"/>
  <c r="Y251" i="21"/>
  <c r="Y252" i="21"/>
  <c r="Y253" i="21"/>
  <c r="Y254" i="21"/>
  <c r="Y255" i="21"/>
  <c r="Y256" i="21"/>
  <c r="Y257" i="21"/>
  <c r="Z257" i="21" s="1"/>
  <c r="Y258" i="21"/>
  <c r="Y259" i="21"/>
  <c r="Y260" i="21"/>
  <c r="Y261" i="21"/>
  <c r="Y262" i="21"/>
  <c r="Y263" i="21"/>
  <c r="Y264" i="21"/>
  <c r="Y265" i="21"/>
  <c r="Z265" i="21" s="1"/>
  <c r="Y266" i="21"/>
  <c r="Y267" i="21"/>
  <c r="Y268" i="21"/>
  <c r="Y269" i="21"/>
  <c r="Y270" i="21"/>
  <c r="Y271" i="21"/>
  <c r="Y272" i="21"/>
  <c r="Y273" i="21"/>
  <c r="Z273" i="21" s="1"/>
  <c r="Y274" i="21"/>
  <c r="Y275" i="21"/>
  <c r="Y276" i="21"/>
  <c r="Y277" i="21"/>
  <c r="Y278" i="21"/>
  <c r="Y279" i="21"/>
  <c r="Y280" i="21"/>
  <c r="Y281" i="21"/>
  <c r="Z281" i="21" s="1"/>
  <c r="Y282" i="21"/>
  <c r="Y283" i="21"/>
  <c r="Y284" i="21"/>
  <c r="Y285" i="21"/>
  <c r="Y286" i="21"/>
  <c r="Y287" i="21"/>
  <c r="Y288" i="21"/>
  <c r="Y289" i="21"/>
  <c r="Z289" i="21" s="1"/>
  <c r="Y290" i="21"/>
  <c r="Y291" i="21"/>
  <c r="Y292" i="21"/>
  <c r="Y293" i="21"/>
  <c r="Y294" i="21"/>
  <c r="Y295" i="21"/>
  <c r="Y296" i="21"/>
  <c r="Y297" i="21"/>
  <c r="Z297" i="21" s="1"/>
  <c r="Y298" i="21"/>
  <c r="Y299" i="21"/>
  <c r="Y300" i="21"/>
  <c r="Y301" i="21"/>
  <c r="Y302" i="21"/>
  <c r="Y303" i="21"/>
  <c r="Y304" i="21"/>
  <c r="Y305" i="21"/>
  <c r="Z305" i="21" s="1"/>
  <c r="Y306" i="21"/>
  <c r="Y307" i="21"/>
  <c r="Y308" i="21"/>
  <c r="Y309" i="21"/>
  <c r="Y310" i="21"/>
  <c r="Y311" i="21"/>
  <c r="Y312" i="21"/>
  <c r="Y313" i="21"/>
  <c r="Z313" i="21" s="1"/>
  <c r="Y314" i="21"/>
  <c r="Y315" i="21"/>
  <c r="Y316" i="21"/>
  <c r="Y317" i="21"/>
  <c r="Y318" i="21"/>
  <c r="Y319" i="21"/>
  <c r="Y320" i="21"/>
  <c r="Y321" i="21"/>
  <c r="Y322" i="21"/>
  <c r="Y323" i="21"/>
  <c r="Y324" i="21"/>
  <c r="Y325" i="21"/>
  <c r="Y326" i="21"/>
  <c r="Y327" i="21"/>
  <c r="Y328" i="21"/>
  <c r="Y329" i="21"/>
  <c r="Z329" i="21" s="1"/>
  <c r="Y330" i="21"/>
  <c r="Y331" i="21"/>
  <c r="Y332" i="21"/>
  <c r="Y333" i="21"/>
  <c r="Y334" i="21"/>
  <c r="Y335" i="21"/>
  <c r="Y336" i="21"/>
  <c r="Y337" i="21"/>
  <c r="Z337" i="21" s="1"/>
  <c r="Y338" i="21"/>
  <c r="Y339" i="21"/>
  <c r="Y340" i="21"/>
  <c r="Y341" i="21"/>
  <c r="Y342" i="21"/>
  <c r="Y343" i="21"/>
  <c r="Y344" i="21"/>
  <c r="Y345" i="21"/>
  <c r="Z345" i="21" s="1"/>
  <c r="Y346" i="21"/>
  <c r="Y347" i="21"/>
  <c r="Y348" i="21"/>
  <c r="Y349" i="21"/>
  <c r="Y350" i="21"/>
  <c r="Y351" i="21"/>
  <c r="Y352" i="21"/>
  <c r="Y353" i="21"/>
  <c r="Y354" i="21"/>
  <c r="Y355" i="21"/>
  <c r="Y356" i="21"/>
  <c r="Y357" i="21"/>
  <c r="Y358" i="21"/>
  <c r="Y359" i="21"/>
  <c r="Y360" i="21"/>
  <c r="Y361" i="21"/>
  <c r="Z361" i="21" s="1"/>
  <c r="Y362" i="21"/>
  <c r="Y363" i="21"/>
  <c r="Y364" i="21"/>
  <c r="Y365" i="21"/>
  <c r="Y366" i="21"/>
  <c r="Y367" i="21"/>
  <c r="Y368" i="21"/>
  <c r="Y369" i="21"/>
  <c r="Z369" i="21" s="1"/>
  <c r="Y370" i="21"/>
  <c r="Y371" i="21"/>
  <c r="Y372" i="21"/>
  <c r="Y373" i="21"/>
  <c r="Y374" i="21"/>
  <c r="Y375" i="21"/>
  <c r="Y376" i="21"/>
  <c r="Y377" i="21"/>
  <c r="Z377" i="21" s="1"/>
  <c r="Y378" i="21"/>
  <c r="Y379" i="21"/>
  <c r="Y380" i="21"/>
  <c r="Y381" i="21"/>
  <c r="Y382" i="21"/>
  <c r="Y383" i="21"/>
  <c r="Y384" i="21"/>
  <c r="Y385" i="21"/>
  <c r="Y386" i="21"/>
  <c r="Y387" i="21"/>
  <c r="Y388" i="21"/>
  <c r="Y389" i="21"/>
  <c r="Y390" i="21"/>
  <c r="Y391" i="21"/>
  <c r="Y392" i="21"/>
  <c r="Z392" i="21" s="1"/>
  <c r="Y393" i="21"/>
  <c r="Z393" i="21" s="1"/>
  <c r="Y394" i="21"/>
  <c r="Y395" i="21"/>
  <c r="Y396" i="21"/>
  <c r="Y397" i="21"/>
  <c r="Y398" i="21"/>
  <c r="Y399" i="21"/>
  <c r="Y400" i="21"/>
  <c r="Z400" i="21" s="1"/>
  <c r="Y401" i="21"/>
  <c r="Z401" i="21" s="1"/>
  <c r="Y402" i="21"/>
  <c r="Y403" i="21"/>
  <c r="Y404" i="21"/>
  <c r="Y2" i="21"/>
  <c r="W3" i="21"/>
  <c r="W4" i="21"/>
  <c r="W5" i="21"/>
  <c r="W6" i="21"/>
  <c r="W7" i="21"/>
  <c r="W8" i="21"/>
  <c r="W9" i="21"/>
  <c r="W10" i="21"/>
  <c r="X10" i="21" s="1"/>
  <c r="W11" i="21"/>
  <c r="W12" i="21"/>
  <c r="W13" i="21"/>
  <c r="W14" i="21"/>
  <c r="W15" i="21"/>
  <c r="W16" i="21"/>
  <c r="W17" i="21"/>
  <c r="W18" i="21"/>
  <c r="X18" i="21" s="1"/>
  <c r="W19" i="21"/>
  <c r="W20" i="21"/>
  <c r="W21" i="21"/>
  <c r="W22" i="21"/>
  <c r="W23" i="21"/>
  <c r="W24" i="21"/>
  <c r="W25" i="21"/>
  <c r="W26" i="21"/>
  <c r="X26" i="21" s="1"/>
  <c r="W27" i="21"/>
  <c r="W28" i="21"/>
  <c r="W29" i="21"/>
  <c r="W30" i="21"/>
  <c r="W31" i="21"/>
  <c r="W32" i="21"/>
  <c r="W33" i="21"/>
  <c r="W34" i="21"/>
  <c r="X34" i="21" s="1"/>
  <c r="W35" i="21"/>
  <c r="W36" i="21"/>
  <c r="W37" i="21"/>
  <c r="W38" i="21"/>
  <c r="W39" i="21"/>
  <c r="W40" i="21"/>
  <c r="W41" i="21"/>
  <c r="W42" i="21"/>
  <c r="X42" i="21" s="1"/>
  <c r="W43" i="21"/>
  <c r="W44" i="21"/>
  <c r="W45" i="21"/>
  <c r="W46" i="21"/>
  <c r="W47" i="21"/>
  <c r="W48" i="21"/>
  <c r="W49" i="21"/>
  <c r="W50" i="21"/>
  <c r="X50" i="21" s="1"/>
  <c r="W51" i="21"/>
  <c r="W52" i="21"/>
  <c r="W53" i="21"/>
  <c r="W54" i="21"/>
  <c r="W55" i="21"/>
  <c r="W56" i="21"/>
  <c r="W57" i="21"/>
  <c r="W58" i="21"/>
  <c r="X58" i="21" s="1"/>
  <c r="W59" i="21"/>
  <c r="W60" i="21"/>
  <c r="W61" i="21"/>
  <c r="W62" i="21"/>
  <c r="W63" i="21"/>
  <c r="W64" i="21"/>
  <c r="W65" i="21"/>
  <c r="W66" i="21"/>
  <c r="X66" i="21" s="1"/>
  <c r="W67" i="21"/>
  <c r="W68" i="21"/>
  <c r="W69" i="21"/>
  <c r="W70" i="21"/>
  <c r="W71" i="21"/>
  <c r="W72" i="21"/>
  <c r="W73" i="21"/>
  <c r="W74" i="21"/>
  <c r="X74" i="21" s="1"/>
  <c r="W75" i="21"/>
  <c r="W76" i="21"/>
  <c r="W77" i="21"/>
  <c r="W78" i="21"/>
  <c r="W79" i="21"/>
  <c r="W80" i="21"/>
  <c r="W81" i="21"/>
  <c r="W82" i="21"/>
  <c r="X82" i="21" s="1"/>
  <c r="W83" i="21"/>
  <c r="W84" i="21"/>
  <c r="W85" i="21"/>
  <c r="W86" i="21"/>
  <c r="W87" i="21"/>
  <c r="W88" i="21"/>
  <c r="W89" i="21"/>
  <c r="W90" i="21"/>
  <c r="X90" i="21" s="1"/>
  <c r="W91" i="21"/>
  <c r="W92" i="21"/>
  <c r="W93" i="21"/>
  <c r="W94" i="21"/>
  <c r="W95" i="21"/>
  <c r="W96" i="21"/>
  <c r="W97" i="21"/>
  <c r="W98" i="21"/>
  <c r="X98" i="21" s="1"/>
  <c r="W99" i="21"/>
  <c r="W100" i="21"/>
  <c r="W101" i="21"/>
  <c r="W102" i="21"/>
  <c r="W103" i="21"/>
  <c r="W104" i="21"/>
  <c r="W105" i="21"/>
  <c r="W106" i="21"/>
  <c r="X106" i="21" s="1"/>
  <c r="W107" i="21"/>
  <c r="W108" i="21"/>
  <c r="W109" i="21"/>
  <c r="W110" i="21"/>
  <c r="W111" i="21"/>
  <c r="W112" i="21"/>
  <c r="W113" i="21"/>
  <c r="W114" i="21"/>
  <c r="X114" i="21" s="1"/>
  <c r="W115" i="21"/>
  <c r="W116" i="21"/>
  <c r="W117" i="21"/>
  <c r="W118" i="21"/>
  <c r="W119" i="21"/>
  <c r="W120" i="21"/>
  <c r="W121" i="21"/>
  <c r="W122" i="21"/>
  <c r="X122" i="21" s="1"/>
  <c r="W123" i="21"/>
  <c r="W124" i="21"/>
  <c r="W125" i="21"/>
  <c r="W126" i="21"/>
  <c r="W127" i="21"/>
  <c r="W128" i="21"/>
  <c r="W129" i="21"/>
  <c r="W130" i="21"/>
  <c r="X130" i="21" s="1"/>
  <c r="W131" i="21"/>
  <c r="W132" i="21"/>
  <c r="W133" i="21"/>
  <c r="W134" i="21"/>
  <c r="W135" i="21"/>
  <c r="W136" i="21"/>
  <c r="W137" i="21"/>
  <c r="W138" i="21"/>
  <c r="X138" i="21" s="1"/>
  <c r="W139" i="21"/>
  <c r="W140" i="21"/>
  <c r="W141" i="21"/>
  <c r="W142" i="21"/>
  <c r="W143" i="21"/>
  <c r="W144" i="21"/>
  <c r="W145" i="21"/>
  <c r="W146" i="21"/>
  <c r="X146" i="21" s="1"/>
  <c r="W147" i="21"/>
  <c r="W148" i="21"/>
  <c r="W149" i="21"/>
  <c r="W150" i="21"/>
  <c r="W151" i="21"/>
  <c r="W152" i="21"/>
  <c r="W153" i="21"/>
  <c r="W154" i="21"/>
  <c r="X154" i="21" s="1"/>
  <c r="W155" i="21"/>
  <c r="W156" i="21"/>
  <c r="W157" i="21"/>
  <c r="W158" i="21"/>
  <c r="W159" i="21"/>
  <c r="W160" i="21"/>
  <c r="W161" i="21"/>
  <c r="W162" i="21"/>
  <c r="X162" i="21" s="1"/>
  <c r="W163" i="21"/>
  <c r="W164" i="21"/>
  <c r="W165" i="21"/>
  <c r="W166" i="21"/>
  <c r="W167" i="21"/>
  <c r="W168" i="21"/>
  <c r="W169" i="21"/>
  <c r="W170" i="21"/>
  <c r="X170" i="21" s="1"/>
  <c r="W171" i="21"/>
  <c r="W172" i="21"/>
  <c r="W173" i="21"/>
  <c r="W174" i="21"/>
  <c r="W175" i="21"/>
  <c r="W176" i="21"/>
  <c r="W177" i="21"/>
  <c r="W178" i="21"/>
  <c r="W179" i="21"/>
  <c r="W180" i="21"/>
  <c r="W181" i="21"/>
  <c r="W182" i="21"/>
  <c r="W183" i="21"/>
  <c r="W184" i="21"/>
  <c r="W185" i="21"/>
  <c r="W186" i="21"/>
  <c r="X186" i="21" s="1"/>
  <c r="W187" i="21"/>
  <c r="W188" i="21"/>
  <c r="W189" i="21"/>
  <c r="W190" i="21"/>
  <c r="W191" i="21"/>
  <c r="W192" i="21"/>
  <c r="W193" i="21"/>
  <c r="W194" i="21"/>
  <c r="X194" i="21" s="1"/>
  <c r="W195" i="21"/>
  <c r="W196" i="21"/>
  <c r="W197" i="21"/>
  <c r="W198" i="21"/>
  <c r="W199" i="21"/>
  <c r="W200" i="21"/>
  <c r="W201" i="21"/>
  <c r="W202" i="21"/>
  <c r="X202" i="21" s="1"/>
  <c r="W203" i="21"/>
  <c r="W204" i="21"/>
  <c r="W205" i="21"/>
  <c r="W206" i="21"/>
  <c r="W207" i="21"/>
  <c r="W208" i="21"/>
  <c r="W209" i="21"/>
  <c r="W210" i="21"/>
  <c r="W211" i="21"/>
  <c r="W212" i="21"/>
  <c r="W213" i="21"/>
  <c r="W214" i="21"/>
  <c r="W215" i="21"/>
  <c r="W216" i="21"/>
  <c r="W217" i="21"/>
  <c r="W218" i="21"/>
  <c r="W219" i="21"/>
  <c r="W220" i="21"/>
  <c r="W221" i="21"/>
  <c r="W222" i="21"/>
  <c r="W223" i="21"/>
  <c r="W224" i="21"/>
  <c r="W225" i="21"/>
  <c r="W226" i="21"/>
  <c r="X226" i="21" s="1"/>
  <c r="W227" i="21"/>
  <c r="W228" i="21"/>
  <c r="W229" i="21"/>
  <c r="W230" i="21"/>
  <c r="W231" i="21"/>
  <c r="W232" i="21"/>
  <c r="W233" i="21"/>
  <c r="W234" i="21"/>
  <c r="X234" i="21" s="1"/>
  <c r="W235" i="21"/>
  <c r="W236" i="21"/>
  <c r="W237" i="21"/>
  <c r="W238" i="21"/>
  <c r="W239" i="21"/>
  <c r="W240" i="21"/>
  <c r="W241" i="21"/>
  <c r="W242" i="21"/>
  <c r="X242" i="21" s="1"/>
  <c r="W243" i="21"/>
  <c r="W244" i="21"/>
  <c r="W245" i="21"/>
  <c r="W246" i="21"/>
  <c r="W247" i="21"/>
  <c r="W248" i="21"/>
  <c r="W249" i="21"/>
  <c r="W250" i="21"/>
  <c r="X250" i="21" s="1"/>
  <c r="W251" i="21"/>
  <c r="W252" i="21"/>
  <c r="W253" i="21"/>
  <c r="W254" i="21"/>
  <c r="W255" i="21"/>
  <c r="W256" i="21"/>
  <c r="W257" i="21"/>
  <c r="W258" i="21"/>
  <c r="X258" i="21" s="1"/>
  <c r="W259" i="21"/>
  <c r="W260" i="21"/>
  <c r="W261" i="21"/>
  <c r="W262" i="21"/>
  <c r="W263" i="21"/>
  <c r="W264" i="21"/>
  <c r="W265" i="21"/>
  <c r="W266" i="21"/>
  <c r="X266" i="21" s="1"/>
  <c r="W267" i="21"/>
  <c r="W268" i="21"/>
  <c r="W269" i="21"/>
  <c r="W270" i="21"/>
  <c r="W271" i="21"/>
  <c r="W272" i="21"/>
  <c r="W273" i="21"/>
  <c r="W274" i="21"/>
  <c r="X274" i="21" s="1"/>
  <c r="W275" i="21"/>
  <c r="W276" i="21"/>
  <c r="W277" i="21"/>
  <c r="W278" i="21"/>
  <c r="W279" i="21"/>
  <c r="W280" i="21"/>
  <c r="W281" i="21"/>
  <c r="W282" i="21"/>
  <c r="X282" i="21" s="1"/>
  <c r="W283" i="21"/>
  <c r="W284" i="21"/>
  <c r="W285" i="21"/>
  <c r="W286" i="21"/>
  <c r="W287" i="21"/>
  <c r="W288" i="21"/>
  <c r="W289" i="21"/>
  <c r="W290" i="21"/>
  <c r="X290" i="21" s="1"/>
  <c r="W291" i="21"/>
  <c r="W292" i="21"/>
  <c r="W293" i="21"/>
  <c r="W294" i="21"/>
  <c r="W295" i="21"/>
  <c r="W296" i="21"/>
  <c r="W297" i="21"/>
  <c r="W298" i="21"/>
  <c r="X298" i="21" s="1"/>
  <c r="W299" i="21"/>
  <c r="W300" i="21"/>
  <c r="W301" i="21"/>
  <c r="W302" i="21"/>
  <c r="W303" i="21"/>
  <c r="W304" i="21"/>
  <c r="W305" i="21"/>
  <c r="W306" i="21"/>
  <c r="X306" i="21" s="1"/>
  <c r="W307" i="21"/>
  <c r="W308" i="21"/>
  <c r="W309" i="21"/>
  <c r="W310" i="21"/>
  <c r="W311" i="21"/>
  <c r="W312" i="21"/>
  <c r="W313" i="21"/>
  <c r="W314" i="21"/>
  <c r="X314" i="21" s="1"/>
  <c r="W315" i="21"/>
  <c r="W316" i="21"/>
  <c r="W317" i="21"/>
  <c r="W318" i="21"/>
  <c r="W319" i="21"/>
  <c r="W320" i="21"/>
  <c r="W321" i="21"/>
  <c r="W322" i="21"/>
  <c r="X322" i="21" s="1"/>
  <c r="W323" i="21"/>
  <c r="W324" i="21"/>
  <c r="W325" i="21"/>
  <c r="W326" i="21"/>
  <c r="W327" i="21"/>
  <c r="W328" i="21"/>
  <c r="W329" i="21"/>
  <c r="W330" i="21"/>
  <c r="X330" i="21" s="1"/>
  <c r="W331" i="21"/>
  <c r="W332" i="21"/>
  <c r="W333" i="21"/>
  <c r="W334" i="21"/>
  <c r="W335" i="21"/>
  <c r="W336" i="21"/>
  <c r="W337" i="21"/>
  <c r="W338" i="21"/>
  <c r="X338" i="21" s="1"/>
  <c r="W339" i="21"/>
  <c r="W340" i="21"/>
  <c r="W341" i="21"/>
  <c r="W342" i="21"/>
  <c r="W343" i="21"/>
  <c r="W344" i="21"/>
  <c r="W345" i="21"/>
  <c r="W346" i="21"/>
  <c r="X346" i="21" s="1"/>
  <c r="W347" i="21"/>
  <c r="W348" i="21"/>
  <c r="W349" i="21"/>
  <c r="W350" i="21"/>
  <c r="W351" i="21"/>
  <c r="W352" i="21"/>
  <c r="W353" i="21"/>
  <c r="W354" i="21"/>
  <c r="X354" i="21" s="1"/>
  <c r="W355" i="21"/>
  <c r="W356" i="21"/>
  <c r="W357" i="21"/>
  <c r="W358" i="21"/>
  <c r="W359" i="21"/>
  <c r="W360" i="21"/>
  <c r="W361" i="21"/>
  <c r="W362" i="21"/>
  <c r="X362" i="21" s="1"/>
  <c r="W363" i="21"/>
  <c r="W364" i="21"/>
  <c r="W365" i="21"/>
  <c r="W366" i="21"/>
  <c r="W367" i="21"/>
  <c r="W368" i="21"/>
  <c r="W369" i="21"/>
  <c r="W370" i="21"/>
  <c r="X370" i="21" s="1"/>
  <c r="W371" i="21"/>
  <c r="W372" i="21"/>
  <c r="W373" i="21"/>
  <c r="W374" i="21"/>
  <c r="W375" i="21"/>
  <c r="W376" i="21"/>
  <c r="W377" i="21"/>
  <c r="W378" i="21"/>
  <c r="W379" i="21"/>
  <c r="W380" i="21"/>
  <c r="W381" i="21"/>
  <c r="W382" i="21"/>
  <c r="W383" i="21"/>
  <c r="W384" i="21"/>
  <c r="W385" i="21"/>
  <c r="W386" i="21"/>
  <c r="X386" i="21" s="1"/>
  <c r="W387" i="21"/>
  <c r="W388" i="21"/>
  <c r="W389" i="21"/>
  <c r="W390" i="21"/>
  <c r="W391" i="21"/>
  <c r="W392" i="21"/>
  <c r="W393" i="21"/>
  <c r="W394" i="21"/>
  <c r="X394" i="21" s="1"/>
  <c r="W395" i="21"/>
  <c r="W396" i="21"/>
  <c r="W397" i="21"/>
  <c r="W398" i="21"/>
  <c r="W399" i="21"/>
  <c r="W400" i="21"/>
  <c r="W401" i="21"/>
  <c r="W402" i="21"/>
  <c r="X402" i="21" s="1"/>
  <c r="W403" i="21"/>
  <c r="X403" i="21" s="1"/>
  <c r="W404" i="21"/>
  <c r="W2" i="21"/>
  <c r="U3" i="21"/>
  <c r="U4" i="21"/>
  <c r="U5" i="21"/>
  <c r="U6" i="21"/>
  <c r="U7" i="21"/>
  <c r="U8" i="21"/>
  <c r="U9" i="21"/>
  <c r="V9" i="21" s="1"/>
  <c r="U10" i="21"/>
  <c r="U11" i="21"/>
  <c r="U12" i="21"/>
  <c r="U13" i="21"/>
  <c r="U14" i="21"/>
  <c r="U15" i="21"/>
  <c r="U16" i="21"/>
  <c r="U17" i="21"/>
  <c r="V17" i="21" s="1"/>
  <c r="U18" i="21"/>
  <c r="U19" i="21"/>
  <c r="U20" i="21"/>
  <c r="U21" i="21"/>
  <c r="U22" i="21"/>
  <c r="U23" i="21"/>
  <c r="U24" i="21"/>
  <c r="U25" i="21"/>
  <c r="V25" i="21" s="1"/>
  <c r="U26" i="21"/>
  <c r="U27" i="21"/>
  <c r="U28" i="21"/>
  <c r="U29" i="21"/>
  <c r="U30" i="21"/>
  <c r="U31" i="21"/>
  <c r="U32" i="21"/>
  <c r="U33" i="21"/>
  <c r="V33" i="21" s="1"/>
  <c r="U34" i="21"/>
  <c r="U35" i="21"/>
  <c r="U36" i="21"/>
  <c r="U37" i="21"/>
  <c r="U38" i="21"/>
  <c r="U39" i="21"/>
  <c r="U40" i="21"/>
  <c r="U41" i="21"/>
  <c r="V41" i="21" s="1"/>
  <c r="U42" i="21"/>
  <c r="U43" i="21"/>
  <c r="U44" i="21"/>
  <c r="U45" i="21"/>
  <c r="U46" i="21"/>
  <c r="U47" i="21"/>
  <c r="U48" i="21"/>
  <c r="U49" i="21"/>
  <c r="V49" i="21" s="1"/>
  <c r="U50" i="21"/>
  <c r="U51" i="21"/>
  <c r="U52" i="21"/>
  <c r="U53" i="21"/>
  <c r="U54" i="21"/>
  <c r="U55" i="21"/>
  <c r="U56" i="21"/>
  <c r="U57" i="21"/>
  <c r="V57" i="21" s="1"/>
  <c r="U58" i="21"/>
  <c r="U59" i="21"/>
  <c r="U60" i="21"/>
  <c r="U61" i="21"/>
  <c r="U62" i="21"/>
  <c r="U63" i="21"/>
  <c r="U64" i="21"/>
  <c r="U65" i="21"/>
  <c r="V65" i="21" s="1"/>
  <c r="U66" i="21"/>
  <c r="U67" i="21"/>
  <c r="U68" i="21"/>
  <c r="U69" i="21"/>
  <c r="U70" i="21"/>
  <c r="U71" i="21"/>
  <c r="U72" i="21"/>
  <c r="U73" i="21"/>
  <c r="V73" i="21" s="1"/>
  <c r="U74" i="21"/>
  <c r="U75" i="21"/>
  <c r="U76" i="21"/>
  <c r="U77" i="21"/>
  <c r="U78" i="21"/>
  <c r="U79" i="21"/>
  <c r="U80" i="21"/>
  <c r="U81" i="21"/>
  <c r="V81" i="21" s="1"/>
  <c r="U82" i="21"/>
  <c r="U83" i="21"/>
  <c r="U84" i="21"/>
  <c r="U85" i="21"/>
  <c r="U86" i="21"/>
  <c r="U87" i="21"/>
  <c r="U88" i="21"/>
  <c r="U89" i="21"/>
  <c r="V89" i="21" s="1"/>
  <c r="U90" i="21"/>
  <c r="U91" i="21"/>
  <c r="U92" i="21"/>
  <c r="U93" i="21"/>
  <c r="U94" i="21"/>
  <c r="U95" i="21"/>
  <c r="U96" i="21"/>
  <c r="U97" i="21"/>
  <c r="V97" i="21" s="1"/>
  <c r="U98" i="21"/>
  <c r="U99" i="21"/>
  <c r="U100" i="21"/>
  <c r="U101" i="21"/>
  <c r="U102" i="21"/>
  <c r="U103" i="21"/>
  <c r="U104" i="21"/>
  <c r="U105" i="21"/>
  <c r="V105" i="21" s="1"/>
  <c r="U106" i="21"/>
  <c r="U107" i="21"/>
  <c r="U108" i="21"/>
  <c r="U109" i="21"/>
  <c r="U110" i="21"/>
  <c r="U111" i="21"/>
  <c r="U112" i="21"/>
  <c r="U113" i="21"/>
  <c r="V113" i="21" s="1"/>
  <c r="U114" i="21"/>
  <c r="U115" i="21"/>
  <c r="U116" i="21"/>
  <c r="U117" i="21"/>
  <c r="U118" i="21"/>
  <c r="U119" i="21"/>
  <c r="U120" i="21"/>
  <c r="U121" i="21"/>
  <c r="V121" i="21" s="1"/>
  <c r="U122" i="21"/>
  <c r="U123" i="21"/>
  <c r="U124" i="21"/>
  <c r="U125" i="21"/>
  <c r="U126" i="21"/>
  <c r="U127" i="21"/>
  <c r="U128" i="21"/>
  <c r="U129" i="21"/>
  <c r="V129" i="21" s="1"/>
  <c r="U130" i="21"/>
  <c r="U131" i="21"/>
  <c r="U132" i="21"/>
  <c r="U133" i="21"/>
  <c r="U134" i="21"/>
  <c r="U135" i="21"/>
  <c r="U136" i="21"/>
  <c r="U137" i="21"/>
  <c r="V137" i="21" s="1"/>
  <c r="U138" i="21"/>
  <c r="U139" i="21"/>
  <c r="U140" i="21"/>
  <c r="U141" i="21"/>
  <c r="U142" i="21"/>
  <c r="U143" i="21"/>
  <c r="U144" i="21"/>
  <c r="U145" i="21"/>
  <c r="V145" i="21" s="1"/>
  <c r="U146" i="21"/>
  <c r="U147" i="21"/>
  <c r="U148" i="21"/>
  <c r="U149" i="21"/>
  <c r="U150" i="21"/>
  <c r="U151" i="21"/>
  <c r="U152" i="21"/>
  <c r="U153" i="21"/>
  <c r="V153" i="21" s="1"/>
  <c r="U154" i="21"/>
  <c r="U155" i="21"/>
  <c r="U156" i="21"/>
  <c r="U157" i="21"/>
  <c r="U158" i="21"/>
  <c r="U159" i="21"/>
  <c r="U160" i="21"/>
  <c r="U161" i="21"/>
  <c r="V161" i="21" s="1"/>
  <c r="U162" i="21"/>
  <c r="U163" i="21"/>
  <c r="U164" i="21"/>
  <c r="U165" i="21"/>
  <c r="U166" i="21"/>
  <c r="U167" i="21"/>
  <c r="U168" i="21"/>
  <c r="U169" i="21"/>
  <c r="V169" i="21" s="1"/>
  <c r="U170" i="21"/>
  <c r="U171" i="21"/>
  <c r="U172" i="21"/>
  <c r="U173" i="21"/>
  <c r="U174" i="21"/>
  <c r="U175" i="21"/>
  <c r="U176" i="21"/>
  <c r="U177" i="21"/>
  <c r="U178" i="21"/>
  <c r="U179" i="21"/>
  <c r="U180" i="21"/>
  <c r="U181" i="21"/>
  <c r="U182" i="21"/>
  <c r="U183" i="21"/>
  <c r="U184" i="21"/>
  <c r="U185" i="21"/>
  <c r="V185" i="21" s="1"/>
  <c r="U186" i="21"/>
  <c r="U187" i="21"/>
  <c r="U188" i="21"/>
  <c r="U189" i="21"/>
  <c r="U190" i="21"/>
  <c r="U191" i="21"/>
  <c r="U192" i="21"/>
  <c r="U193" i="21"/>
  <c r="V193" i="21" s="1"/>
  <c r="U194" i="21"/>
  <c r="U195" i="21"/>
  <c r="U196" i="21"/>
  <c r="U197" i="21"/>
  <c r="U198" i="21"/>
  <c r="U199" i="21"/>
  <c r="U200" i="21"/>
  <c r="U201" i="21"/>
  <c r="U202" i="21"/>
  <c r="U203" i="21"/>
  <c r="U204" i="21"/>
  <c r="U205" i="21"/>
  <c r="U206" i="21"/>
  <c r="U207" i="21"/>
  <c r="U208" i="21"/>
  <c r="U209" i="21"/>
  <c r="V209" i="21" s="1"/>
  <c r="U210" i="21"/>
  <c r="U211" i="21"/>
  <c r="U212" i="21"/>
  <c r="U213" i="21"/>
  <c r="U214" i="21"/>
  <c r="U215" i="21"/>
  <c r="U216" i="21"/>
  <c r="U217" i="21"/>
  <c r="V217" i="21" s="1"/>
  <c r="U218" i="21"/>
  <c r="U219" i="21"/>
  <c r="U220" i="21"/>
  <c r="U221" i="21"/>
  <c r="U222" i="21"/>
  <c r="U223" i="21"/>
  <c r="U224" i="21"/>
  <c r="U225" i="21"/>
  <c r="U226" i="21"/>
  <c r="U227" i="21"/>
  <c r="U228" i="21"/>
  <c r="U229" i="21"/>
  <c r="U230" i="21"/>
  <c r="U231" i="21"/>
  <c r="U232" i="21"/>
  <c r="U233" i="21"/>
  <c r="V233" i="21" s="1"/>
  <c r="U234" i="21"/>
  <c r="U235" i="21"/>
  <c r="U236" i="21"/>
  <c r="U237" i="21"/>
  <c r="U238" i="21"/>
  <c r="U239" i="21"/>
  <c r="U240" i="21"/>
  <c r="U241" i="21"/>
  <c r="V241" i="21" s="1"/>
  <c r="U242" i="21"/>
  <c r="U243" i="21"/>
  <c r="U244" i="21"/>
  <c r="U245" i="21"/>
  <c r="U246" i="21"/>
  <c r="U247" i="21"/>
  <c r="U248" i="21"/>
  <c r="U249" i="21"/>
  <c r="V249" i="21" s="1"/>
  <c r="U250" i="21"/>
  <c r="U251" i="21"/>
  <c r="U252" i="21"/>
  <c r="U253" i="21"/>
  <c r="U254" i="21"/>
  <c r="U255" i="21"/>
  <c r="U256" i="21"/>
  <c r="U257" i="21"/>
  <c r="V257" i="21" s="1"/>
  <c r="U258" i="21"/>
  <c r="U259" i="21"/>
  <c r="U260" i="21"/>
  <c r="U261" i="21"/>
  <c r="U262" i="21"/>
  <c r="U263" i="21"/>
  <c r="U264" i="21"/>
  <c r="U265" i="21"/>
  <c r="V265" i="21" s="1"/>
  <c r="U266" i="21"/>
  <c r="U267" i="21"/>
  <c r="U268" i="21"/>
  <c r="U269" i="21"/>
  <c r="U270" i="21"/>
  <c r="U271" i="21"/>
  <c r="U272" i="21"/>
  <c r="U273" i="21"/>
  <c r="V273" i="21" s="1"/>
  <c r="U274" i="21"/>
  <c r="U275" i="21"/>
  <c r="U276" i="21"/>
  <c r="U277" i="21"/>
  <c r="U278" i="21"/>
  <c r="U279" i="21"/>
  <c r="U280" i="21"/>
  <c r="U281" i="21"/>
  <c r="V281" i="21" s="1"/>
  <c r="U282" i="21"/>
  <c r="U283" i="21"/>
  <c r="U284" i="21"/>
  <c r="U285" i="21"/>
  <c r="U286" i="21"/>
  <c r="U287" i="21"/>
  <c r="U288" i="21"/>
  <c r="U289" i="21"/>
  <c r="U290" i="21"/>
  <c r="U291" i="21"/>
  <c r="U292" i="21"/>
  <c r="U293" i="21"/>
  <c r="U294" i="21"/>
  <c r="U295" i="21"/>
  <c r="U296" i="21"/>
  <c r="U297" i="21"/>
  <c r="V297" i="21" s="1"/>
  <c r="U298" i="21"/>
  <c r="U299" i="21"/>
  <c r="U300" i="21"/>
  <c r="U301" i="21"/>
  <c r="U302" i="21"/>
  <c r="U303" i="21"/>
  <c r="U304" i="21"/>
  <c r="U305" i="21"/>
  <c r="V305" i="21" s="1"/>
  <c r="U306" i="21"/>
  <c r="U307" i="21"/>
  <c r="U308" i="21"/>
  <c r="U309" i="21"/>
  <c r="U310" i="21"/>
  <c r="U311" i="21"/>
  <c r="U312" i="21"/>
  <c r="U313" i="21"/>
  <c r="V313" i="21" s="1"/>
  <c r="U314" i="21"/>
  <c r="U315" i="21"/>
  <c r="U316" i="21"/>
  <c r="U317" i="21"/>
  <c r="U318" i="21"/>
  <c r="U319" i="21"/>
  <c r="U320" i="21"/>
  <c r="U321" i="21"/>
  <c r="V321" i="21" s="1"/>
  <c r="U322" i="21"/>
  <c r="U323" i="21"/>
  <c r="U324" i="21"/>
  <c r="U325" i="21"/>
  <c r="U326" i="21"/>
  <c r="U327" i="21"/>
  <c r="U328" i="21"/>
  <c r="U329" i="21"/>
  <c r="V329" i="21" s="1"/>
  <c r="U330" i="21"/>
  <c r="U331" i="21"/>
  <c r="U332" i="21"/>
  <c r="U333" i="21"/>
  <c r="U334" i="21"/>
  <c r="U335" i="21"/>
  <c r="U336" i="21"/>
  <c r="U337" i="21"/>
  <c r="V337" i="21" s="1"/>
  <c r="U338" i="21"/>
  <c r="U339" i="21"/>
  <c r="U340" i="21"/>
  <c r="U341" i="21"/>
  <c r="U342" i="21"/>
  <c r="U343" i="21"/>
  <c r="U344" i="21"/>
  <c r="U345" i="21"/>
  <c r="V345" i="21" s="1"/>
  <c r="U346" i="21"/>
  <c r="U347" i="21"/>
  <c r="V347" i="21" s="1"/>
  <c r="U348" i="21"/>
  <c r="U349" i="21"/>
  <c r="U350" i="21"/>
  <c r="U351" i="21"/>
  <c r="U352" i="21"/>
  <c r="U353" i="21"/>
  <c r="U354" i="21"/>
  <c r="U355" i="21"/>
  <c r="U356" i="21"/>
  <c r="U357" i="21"/>
  <c r="V357" i="21" s="1"/>
  <c r="U358" i="21"/>
  <c r="U359" i="21"/>
  <c r="U360" i="21"/>
  <c r="U361" i="21"/>
  <c r="U362" i="21"/>
  <c r="U363" i="21"/>
  <c r="V363" i="21" s="1"/>
  <c r="U364" i="21"/>
  <c r="U365" i="21"/>
  <c r="V365" i="21" s="1"/>
  <c r="U366" i="21"/>
  <c r="U367" i="21"/>
  <c r="U368" i="21"/>
  <c r="V368" i="21" s="1"/>
  <c r="U369" i="21"/>
  <c r="U370" i="21"/>
  <c r="U371" i="21"/>
  <c r="V371" i="21" s="1"/>
  <c r="U372" i="21"/>
  <c r="V372" i="21" s="1"/>
  <c r="U373" i="21"/>
  <c r="U374" i="21"/>
  <c r="U375" i="21"/>
  <c r="U376" i="21"/>
  <c r="U377" i="21"/>
  <c r="V377" i="21" s="1"/>
  <c r="U378" i="21"/>
  <c r="U379" i="21"/>
  <c r="V379" i="21" s="1"/>
  <c r="U380" i="21"/>
  <c r="V380" i="21" s="1"/>
  <c r="U381" i="21"/>
  <c r="U382" i="21"/>
  <c r="U383" i="21"/>
  <c r="U384" i="21"/>
  <c r="U385" i="21"/>
  <c r="V385" i="21" s="1"/>
  <c r="U386" i="21"/>
  <c r="U387" i="21"/>
  <c r="U388" i="21"/>
  <c r="V388" i="21" s="1"/>
  <c r="U389" i="21"/>
  <c r="U390" i="21"/>
  <c r="U391" i="21"/>
  <c r="U392" i="21"/>
  <c r="U393" i="21"/>
  <c r="V393" i="21" s="1"/>
  <c r="U394" i="21"/>
  <c r="U395" i="21"/>
  <c r="U396" i="21"/>
  <c r="V396" i="21" s="1"/>
  <c r="U397" i="21"/>
  <c r="U398" i="21"/>
  <c r="U399" i="21"/>
  <c r="U400" i="21"/>
  <c r="U401" i="21"/>
  <c r="V401" i="21" s="1"/>
  <c r="U402" i="21"/>
  <c r="U403" i="21"/>
  <c r="V403" i="21" s="1"/>
  <c r="U404" i="21"/>
  <c r="U2" i="21"/>
  <c r="Q3" i="21"/>
  <c r="Q4" i="21"/>
  <c r="Q5" i="21"/>
  <c r="Q6" i="21"/>
  <c r="Q7" i="21"/>
  <c r="Q8" i="21"/>
  <c r="Q9" i="21"/>
  <c r="R9" i="21" s="1"/>
  <c r="Q10" i="21"/>
  <c r="Q11" i="21"/>
  <c r="Q12" i="21"/>
  <c r="Q13" i="21"/>
  <c r="Q14" i="21"/>
  <c r="Q15" i="21"/>
  <c r="Q16" i="21"/>
  <c r="Q17" i="21"/>
  <c r="R17" i="21" s="1"/>
  <c r="Q18" i="21"/>
  <c r="Q19" i="21"/>
  <c r="Q20" i="21"/>
  <c r="Q21" i="21"/>
  <c r="Q22" i="21"/>
  <c r="Q23" i="21"/>
  <c r="Q24" i="21"/>
  <c r="Q25" i="21"/>
  <c r="R25" i="21" s="1"/>
  <c r="Q26" i="21"/>
  <c r="Q27" i="21"/>
  <c r="Q28" i="21"/>
  <c r="Q29" i="21"/>
  <c r="Q30" i="21"/>
  <c r="Q31" i="21"/>
  <c r="Q32" i="21"/>
  <c r="Q33" i="21"/>
  <c r="R33" i="21" s="1"/>
  <c r="Q34" i="21"/>
  <c r="Q35" i="21"/>
  <c r="Q36" i="21"/>
  <c r="Q37" i="21"/>
  <c r="Q38" i="21"/>
  <c r="Q39" i="21"/>
  <c r="Q40" i="21"/>
  <c r="Q41" i="21"/>
  <c r="R41" i="21" s="1"/>
  <c r="Q42" i="21"/>
  <c r="Q43" i="21"/>
  <c r="Q44" i="21"/>
  <c r="Q45" i="21"/>
  <c r="Q46" i="21"/>
  <c r="Q47" i="21"/>
  <c r="Q48" i="21"/>
  <c r="Q49" i="21"/>
  <c r="Q50" i="21"/>
  <c r="Q51" i="21"/>
  <c r="Q52" i="21"/>
  <c r="Q53" i="21"/>
  <c r="Q54" i="21"/>
  <c r="Q55" i="21"/>
  <c r="Q56" i="21"/>
  <c r="Q57" i="21"/>
  <c r="R57" i="21" s="1"/>
  <c r="Q58" i="21"/>
  <c r="Q59" i="21"/>
  <c r="Q60" i="21"/>
  <c r="Q61" i="21"/>
  <c r="Q62" i="21"/>
  <c r="Q63" i="21"/>
  <c r="Q64" i="21"/>
  <c r="Q65" i="21"/>
  <c r="Q66" i="21"/>
  <c r="Q67" i="21"/>
  <c r="Q68" i="21"/>
  <c r="Q69" i="21"/>
  <c r="Q70" i="21"/>
  <c r="Q71" i="21"/>
  <c r="Q72" i="21"/>
  <c r="Q73" i="21"/>
  <c r="R73" i="21" s="1"/>
  <c r="Q74" i="21"/>
  <c r="Q75" i="21"/>
  <c r="Q76" i="21"/>
  <c r="Q77" i="21"/>
  <c r="Q78" i="21"/>
  <c r="Q79" i="21"/>
  <c r="Q80" i="21"/>
  <c r="Q81" i="21"/>
  <c r="R81" i="21" s="1"/>
  <c r="Q82" i="21"/>
  <c r="Q83" i="21"/>
  <c r="Q84" i="21"/>
  <c r="Q85" i="21"/>
  <c r="Q86" i="21"/>
  <c r="Q87" i="21"/>
  <c r="Q88" i="21"/>
  <c r="Q89" i="21"/>
  <c r="R89" i="21" s="1"/>
  <c r="Q90" i="21"/>
  <c r="Q91" i="21"/>
  <c r="Q92" i="21"/>
  <c r="Q93" i="21"/>
  <c r="Q94" i="21"/>
  <c r="Q95" i="21"/>
  <c r="Q96" i="21"/>
  <c r="Q97" i="21"/>
  <c r="R97" i="21" s="1"/>
  <c r="Q98" i="21"/>
  <c r="Q99" i="21"/>
  <c r="Q100" i="21"/>
  <c r="Q101" i="21"/>
  <c r="Q102" i="21"/>
  <c r="Q103" i="21"/>
  <c r="Q104" i="21"/>
  <c r="Q105" i="21"/>
  <c r="R105" i="21" s="1"/>
  <c r="Q106" i="21"/>
  <c r="Q107" i="21"/>
  <c r="Q108" i="21"/>
  <c r="Q109" i="21"/>
  <c r="Q110" i="21"/>
  <c r="Q111" i="21"/>
  <c r="Q112" i="21"/>
  <c r="Q113" i="21"/>
  <c r="R113" i="21" s="1"/>
  <c r="Q114" i="21"/>
  <c r="Q115" i="21"/>
  <c r="Q116" i="21"/>
  <c r="Q117" i="21"/>
  <c r="Q118" i="21"/>
  <c r="Q119" i="21"/>
  <c r="Q120" i="21"/>
  <c r="Q121" i="21"/>
  <c r="R121" i="21" s="1"/>
  <c r="Q122" i="21"/>
  <c r="Q123" i="21"/>
  <c r="Q124" i="21"/>
  <c r="Q125" i="21"/>
  <c r="Q126" i="21"/>
  <c r="Q127" i="21"/>
  <c r="Q128" i="21"/>
  <c r="Q129" i="21"/>
  <c r="R129" i="21" s="1"/>
  <c r="Q130" i="21"/>
  <c r="Q131" i="21"/>
  <c r="Q132" i="21"/>
  <c r="Q133" i="21"/>
  <c r="Q134" i="21"/>
  <c r="Q135" i="21"/>
  <c r="Q136" i="21"/>
  <c r="Q137" i="21"/>
  <c r="Q138" i="21"/>
  <c r="Q139" i="21"/>
  <c r="Q140" i="21"/>
  <c r="Q141" i="21"/>
  <c r="Q142" i="21"/>
  <c r="Q143" i="21"/>
  <c r="Q144" i="21"/>
  <c r="Q145" i="21"/>
  <c r="R145" i="21" s="1"/>
  <c r="Q146" i="21"/>
  <c r="Q147" i="21"/>
  <c r="Q148" i="21"/>
  <c r="Q149" i="21"/>
  <c r="Q150" i="21"/>
  <c r="Q151" i="21"/>
  <c r="Q152" i="21"/>
  <c r="Q153" i="21"/>
  <c r="R153" i="21" s="1"/>
  <c r="Q154" i="21"/>
  <c r="Q155" i="21"/>
  <c r="Q156" i="21"/>
  <c r="Q157" i="21"/>
  <c r="Q158" i="21"/>
  <c r="Q159" i="21"/>
  <c r="Q160" i="21"/>
  <c r="Q161" i="21"/>
  <c r="R161" i="21" s="1"/>
  <c r="Q162" i="21"/>
  <c r="Q163" i="21"/>
  <c r="Q164" i="21"/>
  <c r="Q165" i="21"/>
  <c r="Q166" i="21"/>
  <c r="Q167" i="21"/>
  <c r="Q168" i="21"/>
  <c r="Q169" i="21"/>
  <c r="R169" i="21" s="1"/>
  <c r="Q170" i="21"/>
  <c r="Q171" i="21"/>
  <c r="Q172" i="21"/>
  <c r="Q173" i="21"/>
  <c r="Q174" i="21"/>
  <c r="Q175" i="21"/>
  <c r="Q176" i="21"/>
  <c r="Q177" i="21"/>
  <c r="R177" i="21" s="1"/>
  <c r="Q178" i="21"/>
  <c r="Q179" i="21"/>
  <c r="Q180" i="21"/>
  <c r="Q181" i="21"/>
  <c r="Q182" i="21"/>
  <c r="Q183" i="21"/>
  <c r="Q184" i="21"/>
  <c r="Q185" i="21"/>
  <c r="R185" i="21" s="1"/>
  <c r="Q186" i="21"/>
  <c r="Q187" i="21"/>
  <c r="Q188" i="21"/>
  <c r="Q189" i="21"/>
  <c r="Q190" i="21"/>
  <c r="Q191" i="21"/>
  <c r="Q192" i="21"/>
  <c r="Q193" i="21"/>
  <c r="R193" i="21" s="1"/>
  <c r="Q194" i="21"/>
  <c r="Q195" i="21"/>
  <c r="Q196" i="21"/>
  <c r="Q197" i="21"/>
  <c r="Q198" i="21"/>
  <c r="Q199" i="21"/>
  <c r="Q200" i="21"/>
  <c r="Q201" i="21"/>
  <c r="R201" i="21" s="1"/>
  <c r="Q202" i="21"/>
  <c r="Q203" i="21"/>
  <c r="Q204" i="21"/>
  <c r="Q205" i="21"/>
  <c r="Q206" i="21"/>
  <c r="Q207" i="21"/>
  <c r="Q208" i="21"/>
  <c r="Q209" i="21"/>
  <c r="R209" i="21" s="1"/>
  <c r="Q210" i="21"/>
  <c r="Q211" i="21"/>
  <c r="Q212" i="21"/>
  <c r="Q213" i="21"/>
  <c r="Q214" i="21"/>
  <c r="Q215" i="21"/>
  <c r="Q216" i="21"/>
  <c r="Q217" i="21"/>
  <c r="R217" i="21" s="1"/>
  <c r="Q218" i="21"/>
  <c r="Q219" i="21"/>
  <c r="Q220" i="21"/>
  <c r="Q221" i="21"/>
  <c r="Q222" i="21"/>
  <c r="Q223" i="21"/>
  <c r="Q224" i="21"/>
  <c r="Q225" i="21"/>
  <c r="R225" i="21" s="1"/>
  <c r="Q226" i="21"/>
  <c r="Q227" i="21"/>
  <c r="Q228" i="21"/>
  <c r="Q229" i="21"/>
  <c r="Q230" i="21"/>
  <c r="Q231" i="21"/>
  <c r="Q232" i="21"/>
  <c r="Q233" i="21"/>
  <c r="R233" i="21" s="1"/>
  <c r="Q234" i="21"/>
  <c r="Q235" i="21"/>
  <c r="Q236" i="21"/>
  <c r="Q237" i="21"/>
  <c r="Q238" i="21"/>
  <c r="Q239" i="21"/>
  <c r="Q240" i="21"/>
  <c r="Q241" i="21"/>
  <c r="R241" i="21" s="1"/>
  <c r="Q242" i="21"/>
  <c r="Q243" i="21"/>
  <c r="Q244" i="21"/>
  <c r="Q245" i="21"/>
  <c r="Q246" i="21"/>
  <c r="Q247" i="21"/>
  <c r="Q248" i="21"/>
  <c r="Q249" i="21"/>
  <c r="R249" i="21" s="1"/>
  <c r="Q250" i="21"/>
  <c r="Q251" i="21"/>
  <c r="Q252" i="21"/>
  <c r="Q253" i="21"/>
  <c r="Q254" i="21"/>
  <c r="Q255" i="21"/>
  <c r="Q256" i="21"/>
  <c r="Q257" i="21"/>
  <c r="R257" i="21" s="1"/>
  <c r="Q258" i="21"/>
  <c r="Q259" i="21"/>
  <c r="Q260" i="21"/>
  <c r="Q261" i="21"/>
  <c r="Q262" i="21"/>
  <c r="Q263" i="21"/>
  <c r="Q264" i="21"/>
  <c r="Q265" i="21"/>
  <c r="R265" i="21" s="1"/>
  <c r="Q266" i="21"/>
  <c r="Q267" i="21"/>
  <c r="Q268" i="21"/>
  <c r="Q269" i="21"/>
  <c r="Q270" i="21"/>
  <c r="Q271" i="21"/>
  <c r="Q272" i="21"/>
  <c r="Q273" i="21"/>
  <c r="Q274" i="21"/>
  <c r="Q275" i="21"/>
  <c r="Q276" i="21"/>
  <c r="Q277" i="21"/>
  <c r="Q278" i="21"/>
  <c r="Q279" i="21"/>
  <c r="Q280" i="21"/>
  <c r="Q281" i="21"/>
  <c r="R281" i="21" s="1"/>
  <c r="Q282" i="21"/>
  <c r="Q283" i="21"/>
  <c r="Q284" i="21"/>
  <c r="Q285" i="21"/>
  <c r="Q286" i="21"/>
  <c r="Q287" i="21"/>
  <c r="Q288" i="21"/>
  <c r="Q289" i="21"/>
  <c r="R289" i="21" s="1"/>
  <c r="Q290" i="21"/>
  <c r="Q291" i="21"/>
  <c r="Q292" i="21"/>
  <c r="Q293" i="21"/>
  <c r="Q294" i="21"/>
  <c r="Q295" i="21"/>
  <c r="Q296" i="21"/>
  <c r="Q297" i="21"/>
  <c r="R297" i="21" s="1"/>
  <c r="Q298" i="21"/>
  <c r="Q299" i="21"/>
  <c r="Q300" i="21"/>
  <c r="Q301" i="21"/>
  <c r="Q302" i="21"/>
  <c r="Q303" i="21"/>
  <c r="Q304" i="21"/>
  <c r="Q305" i="21"/>
  <c r="R305" i="21" s="1"/>
  <c r="Q306" i="21"/>
  <c r="Q307" i="21"/>
  <c r="Q308" i="21"/>
  <c r="Q309" i="21"/>
  <c r="Q310" i="21"/>
  <c r="Q311" i="21"/>
  <c r="Q312" i="21"/>
  <c r="Q313" i="21"/>
  <c r="R313" i="21" s="1"/>
  <c r="Q314" i="21"/>
  <c r="Q315" i="21"/>
  <c r="Q316" i="21"/>
  <c r="Q317" i="21"/>
  <c r="Q318" i="21"/>
  <c r="Q319" i="21"/>
  <c r="Q320" i="21"/>
  <c r="Q321" i="21"/>
  <c r="R321" i="21" s="1"/>
  <c r="Q322" i="21"/>
  <c r="Q323" i="21"/>
  <c r="Q324" i="21"/>
  <c r="Q325" i="21"/>
  <c r="Q326" i="21"/>
  <c r="Q327" i="21"/>
  <c r="Q328" i="21"/>
  <c r="Q329" i="21"/>
  <c r="R329" i="21" s="1"/>
  <c r="Q330" i="21"/>
  <c r="Q331" i="21"/>
  <c r="Q332" i="21"/>
  <c r="Q333" i="21"/>
  <c r="Q334" i="21"/>
  <c r="Q335" i="21"/>
  <c r="Q336" i="21"/>
  <c r="Q337" i="21"/>
  <c r="R337" i="21" s="1"/>
  <c r="Q338" i="21"/>
  <c r="Q339" i="21"/>
  <c r="Q340" i="21"/>
  <c r="Q341" i="21"/>
  <c r="Q342" i="21"/>
  <c r="Q343" i="21"/>
  <c r="Q344" i="21"/>
  <c r="Q345" i="21"/>
  <c r="R345" i="21" s="1"/>
  <c r="Q346" i="21"/>
  <c r="Q347" i="21"/>
  <c r="Q348" i="21"/>
  <c r="Q349" i="21"/>
  <c r="Q350" i="21"/>
  <c r="Q351" i="21"/>
  <c r="Q352" i="21"/>
  <c r="Q353" i="21"/>
  <c r="R353" i="21" s="1"/>
  <c r="Q354" i="21"/>
  <c r="Q355" i="21"/>
  <c r="Q356" i="21"/>
  <c r="Q357" i="21"/>
  <c r="Q358" i="21"/>
  <c r="Q359" i="21"/>
  <c r="Q360" i="21"/>
  <c r="Q361" i="21"/>
  <c r="R361" i="21" s="1"/>
  <c r="Q362" i="21"/>
  <c r="Q363" i="21"/>
  <c r="Q364" i="21"/>
  <c r="Q365" i="21"/>
  <c r="Q366" i="21"/>
  <c r="Q367" i="21"/>
  <c r="Q368" i="21"/>
  <c r="Q369" i="21"/>
  <c r="R369" i="21" s="1"/>
  <c r="Q370" i="21"/>
  <c r="Q371" i="21"/>
  <c r="Q372" i="21"/>
  <c r="Q373" i="21"/>
  <c r="Q374" i="21"/>
  <c r="Q375" i="21"/>
  <c r="Q376" i="21"/>
  <c r="Q377" i="21"/>
  <c r="R377" i="21" s="1"/>
  <c r="Q378" i="21"/>
  <c r="Q379" i="21"/>
  <c r="Q380" i="21"/>
  <c r="Q381" i="21"/>
  <c r="Q382" i="21"/>
  <c r="Q383" i="21"/>
  <c r="Q384" i="21"/>
  <c r="Q385" i="21"/>
  <c r="R385" i="21" s="1"/>
  <c r="Q386" i="21"/>
  <c r="Q387" i="21"/>
  <c r="Q388" i="21"/>
  <c r="Q389" i="21"/>
  <c r="Q390" i="21"/>
  <c r="Q391" i="21"/>
  <c r="Q392" i="21"/>
  <c r="Q393" i="21"/>
  <c r="R393" i="21" s="1"/>
  <c r="Q394" i="21"/>
  <c r="Q395" i="21"/>
  <c r="Q396" i="21"/>
  <c r="Q397" i="21"/>
  <c r="Q398" i="21"/>
  <c r="Q399" i="21"/>
  <c r="Q400" i="21"/>
  <c r="R400" i="21" s="1"/>
  <c r="Q401" i="21"/>
  <c r="R401" i="21" s="1"/>
  <c r="Q402" i="21"/>
  <c r="Q403" i="21"/>
  <c r="Q404" i="21"/>
  <c r="Q2" i="21"/>
  <c r="O3" i="21"/>
  <c r="O4" i="21"/>
  <c r="O5" i="21"/>
  <c r="O6" i="21"/>
  <c r="O7" i="21"/>
  <c r="O8" i="21"/>
  <c r="O9" i="21"/>
  <c r="P9" i="21" s="1"/>
  <c r="O10" i="21"/>
  <c r="O11" i="21"/>
  <c r="O12" i="21"/>
  <c r="O13" i="21"/>
  <c r="O14" i="21"/>
  <c r="O15" i="21"/>
  <c r="O16" i="21"/>
  <c r="O17" i="21"/>
  <c r="P17" i="21" s="1"/>
  <c r="O18" i="21"/>
  <c r="O19" i="21"/>
  <c r="O20" i="21"/>
  <c r="O21" i="21"/>
  <c r="O22" i="21"/>
  <c r="O23" i="21"/>
  <c r="O24" i="21"/>
  <c r="O25" i="21"/>
  <c r="P25" i="21" s="1"/>
  <c r="O26" i="21"/>
  <c r="O27" i="21"/>
  <c r="O28" i="21"/>
  <c r="O29" i="21"/>
  <c r="O30" i="21"/>
  <c r="O31" i="21"/>
  <c r="O32" i="21"/>
  <c r="O33" i="21"/>
  <c r="P33" i="21" s="1"/>
  <c r="O34" i="21"/>
  <c r="O35" i="21"/>
  <c r="O36" i="21"/>
  <c r="O37" i="21"/>
  <c r="O38" i="21"/>
  <c r="O39" i="21"/>
  <c r="O40" i="21"/>
  <c r="O41" i="21"/>
  <c r="O42" i="21"/>
  <c r="O43" i="21"/>
  <c r="O44" i="21"/>
  <c r="O45" i="21"/>
  <c r="O46" i="21"/>
  <c r="O47" i="21"/>
  <c r="O48" i="21"/>
  <c r="O49" i="21"/>
  <c r="P49" i="21" s="1"/>
  <c r="O50" i="21"/>
  <c r="O51" i="21"/>
  <c r="O52" i="21"/>
  <c r="O53" i="21"/>
  <c r="O54" i="21"/>
  <c r="O55" i="21"/>
  <c r="O56" i="21"/>
  <c r="O57" i="21"/>
  <c r="P57" i="21" s="1"/>
  <c r="O58" i="21"/>
  <c r="O59" i="21"/>
  <c r="O60" i="21"/>
  <c r="O61" i="21"/>
  <c r="O62" i="21"/>
  <c r="O63" i="21"/>
  <c r="O64" i="21"/>
  <c r="O65" i="21"/>
  <c r="P65" i="21" s="1"/>
  <c r="O66" i="21"/>
  <c r="O67" i="21"/>
  <c r="O68" i="21"/>
  <c r="O69" i="21"/>
  <c r="O70" i="21"/>
  <c r="O71" i="21"/>
  <c r="O72" i="21"/>
  <c r="O73" i="21"/>
  <c r="P73" i="21" s="1"/>
  <c r="O74" i="21"/>
  <c r="O75" i="21"/>
  <c r="O76" i="21"/>
  <c r="O77" i="21"/>
  <c r="O78" i="21"/>
  <c r="O79" i="21"/>
  <c r="O80" i="21"/>
  <c r="O81" i="21"/>
  <c r="P81" i="21" s="1"/>
  <c r="O82" i="21"/>
  <c r="O83" i="21"/>
  <c r="O84" i="21"/>
  <c r="O85" i="21"/>
  <c r="O86" i="21"/>
  <c r="O87" i="21"/>
  <c r="O88" i="21"/>
  <c r="O89" i="21"/>
  <c r="P89" i="21" s="1"/>
  <c r="O90" i="21"/>
  <c r="O91" i="21"/>
  <c r="O92" i="21"/>
  <c r="O93" i="21"/>
  <c r="O94" i="21"/>
  <c r="O95" i="21"/>
  <c r="O96" i="21"/>
  <c r="O97" i="21"/>
  <c r="O98" i="21"/>
  <c r="O99" i="21"/>
  <c r="O100" i="21"/>
  <c r="O101" i="21"/>
  <c r="O102" i="21"/>
  <c r="O103" i="21"/>
  <c r="O104" i="21"/>
  <c r="O105" i="21"/>
  <c r="P105" i="21" s="1"/>
  <c r="O106" i="21"/>
  <c r="O107" i="21"/>
  <c r="O108" i="21"/>
  <c r="O109" i="21"/>
  <c r="O110" i="21"/>
  <c r="O111" i="21"/>
  <c r="O112" i="21"/>
  <c r="O113" i="21"/>
  <c r="P113" i="21" s="1"/>
  <c r="O114" i="21"/>
  <c r="O115" i="21"/>
  <c r="O116" i="21"/>
  <c r="O117" i="21"/>
  <c r="O118" i="21"/>
  <c r="O119" i="21"/>
  <c r="O120" i="21"/>
  <c r="O121" i="21"/>
  <c r="P121" i="21" s="1"/>
  <c r="O122" i="21"/>
  <c r="O123" i="21"/>
  <c r="O124" i="21"/>
  <c r="O125" i="21"/>
  <c r="O126" i="21"/>
  <c r="O127" i="21"/>
  <c r="O128" i="21"/>
  <c r="O129" i="21"/>
  <c r="P129" i="21" s="1"/>
  <c r="O130" i="21"/>
  <c r="O131" i="21"/>
  <c r="O132" i="21"/>
  <c r="O133" i="21"/>
  <c r="O134" i="21"/>
  <c r="O135" i="21"/>
  <c r="O136" i="21"/>
  <c r="O137" i="21"/>
  <c r="O138" i="21"/>
  <c r="O139" i="21"/>
  <c r="O140" i="21"/>
  <c r="O141" i="21"/>
  <c r="O142" i="21"/>
  <c r="O143" i="21"/>
  <c r="O144" i="21"/>
  <c r="O145" i="21"/>
  <c r="P145" i="21" s="1"/>
  <c r="O146" i="21"/>
  <c r="O147" i="21"/>
  <c r="O148" i="21"/>
  <c r="O149" i="21"/>
  <c r="O150" i="21"/>
  <c r="O151" i="21"/>
  <c r="O152" i="21"/>
  <c r="O153" i="21"/>
  <c r="P153" i="21" s="1"/>
  <c r="O154" i="21"/>
  <c r="O155" i="21"/>
  <c r="O156" i="21"/>
  <c r="O157" i="21"/>
  <c r="O158" i="21"/>
  <c r="O159" i="21"/>
  <c r="O160" i="21"/>
  <c r="O161" i="21"/>
  <c r="P161" i="21" s="1"/>
  <c r="O162" i="21"/>
  <c r="O163" i="21"/>
  <c r="O164" i="21"/>
  <c r="O165" i="21"/>
  <c r="O166" i="21"/>
  <c r="O167" i="21"/>
  <c r="O168" i="21"/>
  <c r="O169" i="21"/>
  <c r="P169" i="21" s="1"/>
  <c r="O170" i="21"/>
  <c r="O171" i="21"/>
  <c r="O172" i="21"/>
  <c r="O173" i="21"/>
  <c r="O174" i="21"/>
  <c r="O175" i="21"/>
  <c r="O176" i="21"/>
  <c r="O177" i="21"/>
  <c r="P177" i="21" s="1"/>
  <c r="O178" i="21"/>
  <c r="O179" i="21"/>
  <c r="O180" i="21"/>
  <c r="O181" i="21"/>
  <c r="O182" i="21"/>
  <c r="O183" i="21"/>
  <c r="O184" i="21"/>
  <c r="O185" i="21"/>
  <c r="P185" i="21" s="1"/>
  <c r="O186" i="21"/>
  <c r="O187" i="21"/>
  <c r="O188" i="21"/>
  <c r="O189" i="21"/>
  <c r="O190" i="21"/>
  <c r="O191" i="21"/>
  <c r="O192" i="21"/>
  <c r="O193" i="21"/>
  <c r="P193" i="21" s="1"/>
  <c r="O194" i="21"/>
  <c r="O195" i="21"/>
  <c r="O196" i="21"/>
  <c r="O197" i="21"/>
  <c r="O198" i="21"/>
  <c r="O199" i="21"/>
  <c r="O200" i="21"/>
  <c r="O201" i="21"/>
  <c r="P201" i="21" s="1"/>
  <c r="O202" i="21"/>
  <c r="O203" i="21"/>
  <c r="O204" i="21"/>
  <c r="O205" i="21"/>
  <c r="O206" i="21"/>
  <c r="O207" i="21"/>
  <c r="O208" i="21"/>
  <c r="O209" i="21"/>
  <c r="P209" i="21" s="1"/>
  <c r="O210" i="21"/>
  <c r="O211" i="21"/>
  <c r="O212" i="21"/>
  <c r="O213" i="21"/>
  <c r="O214" i="21"/>
  <c r="O215" i="21"/>
  <c r="O216" i="21"/>
  <c r="O217" i="21"/>
  <c r="O218" i="21"/>
  <c r="O219" i="21"/>
  <c r="O220" i="21"/>
  <c r="O221" i="21"/>
  <c r="O222" i="21"/>
  <c r="O223" i="21"/>
  <c r="O224" i="21"/>
  <c r="O225" i="21"/>
  <c r="P225" i="21" s="1"/>
  <c r="O226" i="21"/>
  <c r="O227" i="21"/>
  <c r="O228" i="21"/>
  <c r="O229" i="21"/>
  <c r="O230" i="21"/>
  <c r="O231" i="21"/>
  <c r="O232" i="21"/>
  <c r="O233" i="21"/>
  <c r="P233" i="21" s="1"/>
  <c r="O234" i="21"/>
  <c r="O235" i="21"/>
  <c r="O236" i="21"/>
  <c r="O237" i="21"/>
  <c r="O238" i="21"/>
  <c r="O239" i="21"/>
  <c r="O240" i="21"/>
  <c r="O241" i="21"/>
  <c r="P241" i="21" s="1"/>
  <c r="O242" i="21"/>
  <c r="O243" i="21"/>
  <c r="O244" i="21"/>
  <c r="O245" i="21"/>
  <c r="O246" i="21"/>
  <c r="O247" i="21"/>
  <c r="O248" i="21"/>
  <c r="O249" i="21"/>
  <c r="P249" i="21" s="1"/>
  <c r="O250" i="21"/>
  <c r="O251" i="21"/>
  <c r="O252" i="21"/>
  <c r="O253" i="21"/>
  <c r="O254" i="21"/>
  <c r="O255" i="21"/>
  <c r="O256" i="21"/>
  <c r="O257" i="21"/>
  <c r="P257" i="21" s="1"/>
  <c r="O258" i="21"/>
  <c r="O259" i="21"/>
  <c r="O260" i="21"/>
  <c r="O261" i="21"/>
  <c r="O262" i="21"/>
  <c r="O263" i="21"/>
  <c r="O264" i="21"/>
  <c r="O265" i="21"/>
  <c r="O266" i="21"/>
  <c r="O267" i="21"/>
  <c r="O268" i="21"/>
  <c r="O269" i="21"/>
  <c r="O270" i="21"/>
  <c r="O271" i="21"/>
  <c r="O272" i="21"/>
  <c r="O273" i="21"/>
  <c r="O274" i="21"/>
  <c r="O275" i="21"/>
  <c r="O276" i="21"/>
  <c r="O277" i="21"/>
  <c r="O278" i="21"/>
  <c r="O279" i="21"/>
  <c r="O280" i="21"/>
  <c r="O281" i="21"/>
  <c r="P281" i="21" s="1"/>
  <c r="O282" i="21"/>
  <c r="O283" i="21"/>
  <c r="O284" i="21"/>
  <c r="O285" i="21"/>
  <c r="O286" i="21"/>
  <c r="O287" i="21"/>
  <c r="O288" i="21"/>
  <c r="O289" i="21"/>
  <c r="P289" i="21" s="1"/>
  <c r="O290" i="21"/>
  <c r="O291" i="21"/>
  <c r="O292" i="21"/>
  <c r="O293" i="21"/>
  <c r="O294" i="21"/>
  <c r="O295" i="21"/>
  <c r="O296" i="21"/>
  <c r="O297" i="21"/>
  <c r="O298" i="21"/>
  <c r="O299" i="21"/>
  <c r="O300" i="21"/>
  <c r="O301" i="21"/>
  <c r="O302" i="21"/>
  <c r="O303" i="21"/>
  <c r="O304" i="21"/>
  <c r="O305" i="21"/>
  <c r="P305" i="21" s="1"/>
  <c r="O306" i="21"/>
  <c r="O307" i="21"/>
  <c r="O308" i="21"/>
  <c r="O309" i="21"/>
  <c r="O310" i="21"/>
  <c r="O311" i="21"/>
  <c r="O312" i="21"/>
  <c r="O313" i="21"/>
  <c r="P313" i="21" s="1"/>
  <c r="O314" i="21"/>
  <c r="O315" i="21"/>
  <c r="O316" i="21"/>
  <c r="O317" i="21"/>
  <c r="O318" i="21"/>
  <c r="O319" i="21"/>
  <c r="O320" i="21"/>
  <c r="O321" i="21"/>
  <c r="P321" i="21" s="1"/>
  <c r="O322" i="21"/>
  <c r="O323" i="21"/>
  <c r="O324" i="21"/>
  <c r="O325" i="21"/>
  <c r="O326" i="21"/>
  <c r="O327" i="21"/>
  <c r="O328" i="21"/>
  <c r="O329" i="21"/>
  <c r="P329" i="21" s="1"/>
  <c r="O330" i="21"/>
  <c r="O331" i="21"/>
  <c r="O332" i="21"/>
  <c r="O333" i="21"/>
  <c r="O334" i="21"/>
  <c r="O335" i="21"/>
  <c r="O336" i="21"/>
  <c r="O337" i="21"/>
  <c r="P337" i="21" s="1"/>
  <c r="O338" i="21"/>
  <c r="O339" i="21"/>
  <c r="O340" i="21"/>
  <c r="O341" i="21"/>
  <c r="O342" i="21"/>
  <c r="O343" i="21"/>
  <c r="O344" i="21"/>
  <c r="O345" i="21"/>
  <c r="O346" i="21"/>
  <c r="O347" i="21"/>
  <c r="O348" i="21"/>
  <c r="O349" i="21"/>
  <c r="O350" i="21"/>
  <c r="O351" i="21"/>
  <c r="O352" i="21"/>
  <c r="O353" i="21"/>
  <c r="P353" i="21" s="1"/>
  <c r="O354" i="21"/>
  <c r="O355" i="21"/>
  <c r="O356" i="21"/>
  <c r="O357" i="21"/>
  <c r="O358" i="21"/>
  <c r="O359" i="21"/>
  <c r="O360" i="21"/>
  <c r="O361" i="21"/>
  <c r="P361" i="21" s="1"/>
  <c r="O362" i="21"/>
  <c r="O363" i="21"/>
  <c r="O364" i="21"/>
  <c r="O365" i="21"/>
  <c r="O366" i="21"/>
  <c r="O367" i="21"/>
  <c r="O368" i="21"/>
  <c r="O369" i="21"/>
  <c r="P369" i="21" s="1"/>
  <c r="O370" i="21"/>
  <c r="O371" i="21"/>
  <c r="O372" i="21"/>
  <c r="O373" i="21"/>
  <c r="O374" i="21"/>
  <c r="O375" i="21"/>
  <c r="O376" i="21"/>
  <c r="O377" i="21"/>
  <c r="O378" i="21"/>
  <c r="O379" i="21"/>
  <c r="O380" i="21"/>
  <c r="O381" i="21"/>
  <c r="O382" i="21"/>
  <c r="O383" i="21"/>
  <c r="O384" i="21"/>
  <c r="O385" i="21"/>
  <c r="P385" i="21" s="1"/>
  <c r="O386" i="21"/>
  <c r="O387" i="21"/>
  <c r="O388" i="21"/>
  <c r="O389" i="21"/>
  <c r="O390" i="21"/>
  <c r="O391" i="21"/>
  <c r="O392" i="21"/>
  <c r="P392" i="21" s="1"/>
  <c r="O393" i="21"/>
  <c r="P393" i="21" s="1"/>
  <c r="O394" i="21"/>
  <c r="O395" i="21"/>
  <c r="O396" i="21"/>
  <c r="O397" i="21"/>
  <c r="O398" i="21"/>
  <c r="O399" i="21"/>
  <c r="O400" i="21"/>
  <c r="P400" i="21" s="1"/>
  <c r="O401" i="21"/>
  <c r="P401" i="21" s="1"/>
  <c r="O402" i="21"/>
  <c r="O403" i="21"/>
  <c r="O404" i="21"/>
  <c r="O2" i="21"/>
  <c r="M3" i="21"/>
  <c r="M4" i="21"/>
  <c r="M5" i="21"/>
  <c r="M6" i="21"/>
  <c r="M7" i="21"/>
  <c r="M8" i="21"/>
  <c r="M9" i="21"/>
  <c r="M10" i="21"/>
  <c r="M11" i="21"/>
  <c r="M12" i="21"/>
  <c r="M13" i="21"/>
  <c r="M14" i="21"/>
  <c r="M15" i="21"/>
  <c r="M16" i="21"/>
  <c r="M17" i="21"/>
  <c r="N17" i="21" s="1"/>
  <c r="M18" i="21"/>
  <c r="M19" i="21"/>
  <c r="M20" i="21"/>
  <c r="M21" i="21"/>
  <c r="M22" i="21"/>
  <c r="M23" i="21"/>
  <c r="M24" i="21"/>
  <c r="M25" i="21"/>
  <c r="N25" i="21" s="1"/>
  <c r="M26" i="21"/>
  <c r="M27" i="21"/>
  <c r="M28" i="21"/>
  <c r="M29" i="21"/>
  <c r="M30" i="21"/>
  <c r="M31" i="21"/>
  <c r="M32" i="21"/>
  <c r="M33" i="21"/>
  <c r="N33" i="21" s="1"/>
  <c r="M34" i="21"/>
  <c r="M35" i="21"/>
  <c r="M36" i="21"/>
  <c r="M37" i="21"/>
  <c r="M38" i="21"/>
  <c r="M39" i="21"/>
  <c r="M40" i="21"/>
  <c r="M41" i="21"/>
  <c r="N41" i="21" s="1"/>
  <c r="M42" i="21"/>
  <c r="M43" i="21"/>
  <c r="M44" i="21"/>
  <c r="M45" i="21"/>
  <c r="M46" i="21"/>
  <c r="M47" i="21"/>
  <c r="M48" i="21"/>
  <c r="M49" i="21"/>
  <c r="N49" i="21" s="1"/>
  <c r="M50" i="21"/>
  <c r="M51" i="21"/>
  <c r="M52" i="21"/>
  <c r="M53" i="21"/>
  <c r="M54" i="21"/>
  <c r="M55" i="21"/>
  <c r="M56" i="21"/>
  <c r="M57" i="21"/>
  <c r="N57" i="21" s="1"/>
  <c r="M58" i="21"/>
  <c r="M59" i="21"/>
  <c r="M60" i="21"/>
  <c r="M61" i="21"/>
  <c r="M62" i="21"/>
  <c r="M63" i="21"/>
  <c r="M64" i="21"/>
  <c r="M65" i="21"/>
  <c r="N65" i="21" s="1"/>
  <c r="M66" i="21"/>
  <c r="M67" i="21"/>
  <c r="M68" i="21"/>
  <c r="M69" i="21"/>
  <c r="M70" i="21"/>
  <c r="M71" i="21"/>
  <c r="M72" i="21"/>
  <c r="M73" i="21"/>
  <c r="N73" i="21" s="1"/>
  <c r="M74" i="21"/>
  <c r="M75" i="21"/>
  <c r="M76" i="21"/>
  <c r="M77" i="21"/>
  <c r="M78" i="21"/>
  <c r="M79" i="21"/>
  <c r="M80" i="21"/>
  <c r="M81" i="21"/>
  <c r="N81" i="21" s="1"/>
  <c r="M82" i="21"/>
  <c r="M83" i="21"/>
  <c r="M84" i="21"/>
  <c r="M85" i="21"/>
  <c r="M86" i="21"/>
  <c r="M87" i="21"/>
  <c r="M88" i="21"/>
  <c r="M89" i="21"/>
  <c r="N89" i="21" s="1"/>
  <c r="M90" i="21"/>
  <c r="M91" i="21"/>
  <c r="M92" i="21"/>
  <c r="M93" i="21"/>
  <c r="M94" i="21"/>
  <c r="M95" i="21"/>
  <c r="M96" i="21"/>
  <c r="M97" i="21"/>
  <c r="M98" i="21"/>
  <c r="M99" i="21"/>
  <c r="M100" i="21"/>
  <c r="M101" i="21"/>
  <c r="M102" i="21"/>
  <c r="M103" i="21"/>
  <c r="M104" i="21"/>
  <c r="M105" i="21"/>
  <c r="N105" i="21" s="1"/>
  <c r="M106" i="21"/>
  <c r="M107" i="21"/>
  <c r="M108" i="21"/>
  <c r="M109" i="21"/>
  <c r="M110" i="21"/>
  <c r="M111" i="21"/>
  <c r="M112" i="21"/>
  <c r="M113" i="21"/>
  <c r="N113" i="21" s="1"/>
  <c r="M114" i="21"/>
  <c r="M115" i="21"/>
  <c r="M116" i="21"/>
  <c r="M117" i="21"/>
  <c r="M118" i="21"/>
  <c r="M119" i="21"/>
  <c r="M120" i="21"/>
  <c r="M121" i="21"/>
  <c r="N121" i="21" s="1"/>
  <c r="M122" i="21"/>
  <c r="M123" i="21"/>
  <c r="M124" i="21"/>
  <c r="M125" i="21"/>
  <c r="M126" i="21"/>
  <c r="M127" i="21"/>
  <c r="M128" i="21"/>
  <c r="M129" i="21"/>
  <c r="N129" i="21" s="1"/>
  <c r="M130" i="21"/>
  <c r="M131" i="21"/>
  <c r="M132" i="21"/>
  <c r="M133" i="21"/>
  <c r="M134" i="21"/>
  <c r="M135" i="21"/>
  <c r="M136" i="21"/>
  <c r="M137" i="21"/>
  <c r="N137" i="21" s="1"/>
  <c r="M138" i="21"/>
  <c r="M139" i="21"/>
  <c r="M140" i="21"/>
  <c r="M141" i="21"/>
  <c r="M142" i="21"/>
  <c r="M143" i="21"/>
  <c r="M144" i="21"/>
  <c r="M145" i="21"/>
  <c r="N145" i="21" s="1"/>
  <c r="M146" i="21"/>
  <c r="M147" i="21"/>
  <c r="M148" i="21"/>
  <c r="M149" i="21"/>
  <c r="M150" i="21"/>
  <c r="M151" i="21"/>
  <c r="M152" i="21"/>
  <c r="M153" i="21"/>
  <c r="N153" i="21" s="1"/>
  <c r="M154" i="21"/>
  <c r="M155" i="21"/>
  <c r="M156" i="21"/>
  <c r="M157" i="21"/>
  <c r="M158" i="21"/>
  <c r="M159" i="21"/>
  <c r="M160" i="21"/>
  <c r="M161" i="21"/>
  <c r="N161" i="21" s="1"/>
  <c r="M162" i="21"/>
  <c r="M163" i="21"/>
  <c r="M164" i="21"/>
  <c r="M165" i="21"/>
  <c r="M166" i="21"/>
  <c r="M167" i="21"/>
  <c r="M168" i="21"/>
  <c r="M169" i="21"/>
  <c r="N169" i="21" s="1"/>
  <c r="M170" i="21"/>
  <c r="M171" i="21"/>
  <c r="M172" i="21"/>
  <c r="M173" i="21"/>
  <c r="M174" i="21"/>
  <c r="M175" i="21"/>
  <c r="M176" i="21"/>
  <c r="M177" i="21"/>
  <c r="N177" i="21" s="1"/>
  <c r="M178" i="21"/>
  <c r="M179" i="21"/>
  <c r="M180" i="21"/>
  <c r="M181" i="21"/>
  <c r="M182" i="21"/>
  <c r="M183" i="21"/>
  <c r="M184" i="21"/>
  <c r="M185" i="21"/>
  <c r="N185" i="21" s="1"/>
  <c r="M186" i="21"/>
  <c r="M187" i="21"/>
  <c r="M188" i="21"/>
  <c r="M189" i="21"/>
  <c r="M190" i="21"/>
  <c r="M191" i="21"/>
  <c r="M192" i="21"/>
  <c r="M193" i="21"/>
  <c r="N193" i="21" s="1"/>
  <c r="M194" i="21"/>
  <c r="M195" i="21"/>
  <c r="M196" i="21"/>
  <c r="M197" i="21"/>
  <c r="M198" i="21"/>
  <c r="M199" i="21"/>
  <c r="M200" i="21"/>
  <c r="M201" i="21"/>
  <c r="N201" i="21" s="1"/>
  <c r="M202" i="21"/>
  <c r="M203" i="21"/>
  <c r="M204" i="21"/>
  <c r="M205" i="21"/>
  <c r="M206" i="21"/>
  <c r="M207" i="21"/>
  <c r="M208" i="21"/>
  <c r="M209" i="21"/>
  <c r="M210" i="21"/>
  <c r="M211" i="21"/>
  <c r="M212" i="21"/>
  <c r="M213" i="21"/>
  <c r="M214" i="21"/>
  <c r="M215" i="21"/>
  <c r="M216" i="21"/>
  <c r="M217" i="21"/>
  <c r="N217" i="21" s="1"/>
  <c r="M218" i="21"/>
  <c r="M219" i="21"/>
  <c r="M220" i="21"/>
  <c r="M221" i="21"/>
  <c r="M222" i="21"/>
  <c r="M223" i="21"/>
  <c r="M224" i="21"/>
  <c r="M225" i="21"/>
  <c r="N225" i="21" s="1"/>
  <c r="M226" i="21"/>
  <c r="M227" i="21"/>
  <c r="M228" i="21"/>
  <c r="M229" i="21"/>
  <c r="M230" i="21"/>
  <c r="M231" i="21"/>
  <c r="M232" i="21"/>
  <c r="M233" i="21"/>
  <c r="N233" i="21" s="1"/>
  <c r="M234" i="21"/>
  <c r="M235" i="21"/>
  <c r="M236" i="21"/>
  <c r="M237" i="21"/>
  <c r="M238" i="21"/>
  <c r="M239" i="21"/>
  <c r="M240" i="21"/>
  <c r="M241" i="21"/>
  <c r="N241" i="21" s="1"/>
  <c r="M242" i="21"/>
  <c r="M243" i="21"/>
  <c r="M244" i="21"/>
  <c r="M245" i="21"/>
  <c r="M246" i="21"/>
  <c r="M247" i="21"/>
  <c r="M248" i="21"/>
  <c r="M249" i="21"/>
  <c r="N249" i="21" s="1"/>
  <c r="M250" i="21"/>
  <c r="M251" i="21"/>
  <c r="M252" i="21"/>
  <c r="M253" i="21"/>
  <c r="M254" i="21"/>
  <c r="M255" i="21"/>
  <c r="M256" i="21"/>
  <c r="M257" i="21"/>
  <c r="N257" i="21" s="1"/>
  <c r="M258" i="21"/>
  <c r="M259" i="21"/>
  <c r="M260" i="21"/>
  <c r="M261" i="21"/>
  <c r="M262" i="21"/>
  <c r="M263" i="21"/>
  <c r="M264" i="21"/>
  <c r="M265" i="21"/>
  <c r="N265" i="21" s="1"/>
  <c r="M266" i="21"/>
  <c r="M267" i="21"/>
  <c r="M268" i="21"/>
  <c r="M269" i="21"/>
  <c r="M270" i="21"/>
  <c r="M271" i="21"/>
  <c r="M272" i="21"/>
  <c r="M273" i="21"/>
  <c r="N273" i="21" s="1"/>
  <c r="M274" i="21"/>
  <c r="M275" i="21"/>
  <c r="M276" i="21"/>
  <c r="M277" i="21"/>
  <c r="M278" i="21"/>
  <c r="M279" i="21"/>
  <c r="M280" i="21"/>
  <c r="M281" i="21"/>
  <c r="N281" i="21" s="1"/>
  <c r="M282" i="21"/>
  <c r="M283" i="21"/>
  <c r="M284" i="21"/>
  <c r="M285" i="21"/>
  <c r="M286" i="21"/>
  <c r="M287" i="21"/>
  <c r="M288" i="21"/>
  <c r="M289" i="21"/>
  <c r="N289" i="21" s="1"/>
  <c r="M290" i="21"/>
  <c r="M291" i="21"/>
  <c r="M292" i="21"/>
  <c r="M293" i="21"/>
  <c r="M294" i="21"/>
  <c r="M295" i="21"/>
  <c r="M296" i="21"/>
  <c r="M297" i="21"/>
  <c r="N297" i="21" s="1"/>
  <c r="M298" i="21"/>
  <c r="M299" i="21"/>
  <c r="M300" i="21"/>
  <c r="M301" i="21"/>
  <c r="M302" i="21"/>
  <c r="M303" i="21"/>
  <c r="M304" i="21"/>
  <c r="M305" i="21"/>
  <c r="N305" i="21" s="1"/>
  <c r="M306" i="21"/>
  <c r="M307" i="21"/>
  <c r="M308" i="21"/>
  <c r="M309" i="21"/>
  <c r="M310" i="21"/>
  <c r="M311" i="21"/>
  <c r="M312" i="21"/>
  <c r="M313" i="21"/>
  <c r="N313" i="21" s="1"/>
  <c r="M314" i="21"/>
  <c r="M315" i="21"/>
  <c r="M316" i="21"/>
  <c r="M317" i="21"/>
  <c r="M318" i="21"/>
  <c r="M319" i="21"/>
  <c r="M320" i="21"/>
  <c r="M321" i="21"/>
  <c r="N321" i="21" s="1"/>
  <c r="M322" i="21"/>
  <c r="M323" i="21"/>
  <c r="M324" i="21"/>
  <c r="M325" i="21"/>
  <c r="M326" i="21"/>
  <c r="M327" i="21"/>
  <c r="M328" i="21"/>
  <c r="M329" i="21"/>
  <c r="N329" i="21" s="1"/>
  <c r="M330" i="21"/>
  <c r="M331" i="21"/>
  <c r="M332" i="21"/>
  <c r="M333" i="21"/>
  <c r="M334" i="21"/>
  <c r="M335" i="21"/>
  <c r="M336" i="21"/>
  <c r="M337" i="21"/>
  <c r="N337" i="21" s="1"/>
  <c r="M338" i="21"/>
  <c r="M339" i="21"/>
  <c r="M340" i="21"/>
  <c r="M341" i="21"/>
  <c r="M342" i="21"/>
  <c r="M343" i="21"/>
  <c r="M344" i="21"/>
  <c r="M345" i="21"/>
  <c r="N345" i="21" s="1"/>
  <c r="M346" i="21"/>
  <c r="M347" i="21"/>
  <c r="M348" i="21"/>
  <c r="M349" i="21"/>
  <c r="M350" i="21"/>
  <c r="M351" i="21"/>
  <c r="M352" i="21"/>
  <c r="M353" i="21"/>
  <c r="N353" i="21" s="1"/>
  <c r="M354" i="21"/>
  <c r="M355" i="21"/>
  <c r="M356" i="21"/>
  <c r="M357" i="21"/>
  <c r="M358" i="21"/>
  <c r="M359" i="21"/>
  <c r="M360" i="21"/>
  <c r="M361" i="21"/>
  <c r="N361" i="21" s="1"/>
  <c r="M362" i="21"/>
  <c r="M363" i="21"/>
  <c r="M364" i="21"/>
  <c r="M365" i="21"/>
  <c r="M366" i="21"/>
  <c r="M367" i="21"/>
  <c r="M368" i="21"/>
  <c r="M369" i="21"/>
  <c r="N369" i="21" s="1"/>
  <c r="M370" i="21"/>
  <c r="M371" i="21"/>
  <c r="M372" i="21"/>
  <c r="M373" i="21"/>
  <c r="M374" i="21"/>
  <c r="M375" i="21"/>
  <c r="M376" i="21"/>
  <c r="N376" i="21" s="1"/>
  <c r="M377" i="21"/>
  <c r="N377" i="21" s="1"/>
  <c r="M378" i="21"/>
  <c r="M379" i="21"/>
  <c r="M380" i="21"/>
  <c r="M381" i="21"/>
  <c r="M382" i="21"/>
  <c r="M383" i="21"/>
  <c r="M384" i="21"/>
  <c r="N384" i="21" s="1"/>
  <c r="M385" i="21"/>
  <c r="N385" i="21" s="1"/>
  <c r="M386" i="21"/>
  <c r="M387" i="21"/>
  <c r="M388" i="21"/>
  <c r="M389" i="21"/>
  <c r="M390" i="21"/>
  <c r="M391" i="21"/>
  <c r="M392" i="21"/>
  <c r="N392" i="21" s="1"/>
  <c r="M393" i="21"/>
  <c r="N393" i="21" s="1"/>
  <c r="M394" i="21"/>
  <c r="M395" i="21"/>
  <c r="M396" i="21"/>
  <c r="M397" i="21"/>
  <c r="M398" i="21"/>
  <c r="M399" i="21"/>
  <c r="M400" i="21"/>
  <c r="N400" i="21" s="1"/>
  <c r="M401" i="21"/>
  <c r="N401" i="21" s="1"/>
  <c r="M402" i="21"/>
  <c r="M403" i="21"/>
  <c r="M404" i="21"/>
  <c r="M2" i="21"/>
  <c r="K3" i="21"/>
  <c r="K4" i="21"/>
  <c r="K5" i="21"/>
  <c r="K6" i="21"/>
  <c r="K7" i="21"/>
  <c r="K8" i="21"/>
  <c r="K9" i="21"/>
  <c r="L9" i="21" s="1"/>
  <c r="K10" i="21"/>
  <c r="K11" i="21"/>
  <c r="K12" i="21"/>
  <c r="K13" i="21"/>
  <c r="K14" i="21"/>
  <c r="K15" i="21"/>
  <c r="K16" i="21"/>
  <c r="K17" i="21"/>
  <c r="L17" i="21" s="1"/>
  <c r="K18" i="21"/>
  <c r="K19" i="21"/>
  <c r="K20" i="21"/>
  <c r="K21" i="21"/>
  <c r="K22" i="21"/>
  <c r="K23" i="21"/>
  <c r="K24" i="21"/>
  <c r="K25" i="21"/>
  <c r="L25" i="21" s="1"/>
  <c r="K26" i="21"/>
  <c r="K27" i="21"/>
  <c r="K28" i="21"/>
  <c r="K29" i="21"/>
  <c r="K30" i="21"/>
  <c r="K31" i="21"/>
  <c r="K32" i="21"/>
  <c r="K33" i="21"/>
  <c r="L33" i="21" s="1"/>
  <c r="K34" i="21"/>
  <c r="K35" i="21"/>
  <c r="K36" i="21"/>
  <c r="K37" i="21"/>
  <c r="K38" i="21"/>
  <c r="K39" i="21"/>
  <c r="K40" i="21"/>
  <c r="K41" i="21"/>
  <c r="L41" i="21" s="1"/>
  <c r="K42" i="21"/>
  <c r="K43" i="21"/>
  <c r="K44" i="21"/>
  <c r="K45" i="21"/>
  <c r="K46" i="21"/>
  <c r="K47" i="21"/>
  <c r="K48" i="21"/>
  <c r="K49" i="21"/>
  <c r="L49" i="21" s="1"/>
  <c r="K50" i="21"/>
  <c r="K51" i="21"/>
  <c r="K52" i="21"/>
  <c r="K53" i="21"/>
  <c r="K54" i="21"/>
  <c r="K55" i="21"/>
  <c r="K56" i="21"/>
  <c r="K57" i="21"/>
  <c r="L57" i="21" s="1"/>
  <c r="K58" i="21"/>
  <c r="K59" i="21"/>
  <c r="K60" i="21"/>
  <c r="K61" i="21"/>
  <c r="K62" i="21"/>
  <c r="K63" i="21"/>
  <c r="K64" i="21"/>
  <c r="K65" i="21"/>
  <c r="L65" i="21" s="1"/>
  <c r="K66" i="21"/>
  <c r="K67" i="21"/>
  <c r="K68" i="21"/>
  <c r="K69" i="21"/>
  <c r="K70" i="21"/>
  <c r="K71" i="21"/>
  <c r="K72" i="21"/>
  <c r="K73" i="21"/>
  <c r="L73" i="21" s="1"/>
  <c r="K74" i="21"/>
  <c r="K75" i="21"/>
  <c r="K76" i="21"/>
  <c r="K77" i="21"/>
  <c r="K78" i="21"/>
  <c r="K79" i="21"/>
  <c r="K80" i="21"/>
  <c r="K81" i="21"/>
  <c r="L81" i="21" s="1"/>
  <c r="K82" i="21"/>
  <c r="K83" i="21"/>
  <c r="K84" i="21"/>
  <c r="K85" i="21"/>
  <c r="K86" i="21"/>
  <c r="K87" i="21"/>
  <c r="K88" i="21"/>
  <c r="K89" i="21"/>
  <c r="L89" i="21" s="1"/>
  <c r="K90" i="21"/>
  <c r="K91" i="21"/>
  <c r="K92" i="21"/>
  <c r="K93" i="21"/>
  <c r="K94" i="21"/>
  <c r="K95" i="21"/>
  <c r="K96" i="21"/>
  <c r="K97" i="21"/>
  <c r="L97" i="21" s="1"/>
  <c r="K98" i="21"/>
  <c r="K99" i="21"/>
  <c r="K100" i="21"/>
  <c r="K101" i="21"/>
  <c r="K102" i="21"/>
  <c r="K103" i="21"/>
  <c r="K104" i="21"/>
  <c r="K105" i="21"/>
  <c r="L105" i="21" s="1"/>
  <c r="K106" i="21"/>
  <c r="K107" i="21"/>
  <c r="K108" i="21"/>
  <c r="K109" i="21"/>
  <c r="K110" i="21"/>
  <c r="K111" i="21"/>
  <c r="K112" i="21"/>
  <c r="K113" i="21"/>
  <c r="L113" i="21" s="1"/>
  <c r="K114" i="21"/>
  <c r="K115" i="21"/>
  <c r="K116" i="21"/>
  <c r="K117" i="21"/>
  <c r="K118" i="21"/>
  <c r="K119" i="21"/>
  <c r="K120" i="21"/>
  <c r="K121" i="21"/>
  <c r="L121" i="21" s="1"/>
  <c r="K122" i="21"/>
  <c r="K123" i="21"/>
  <c r="K124" i="21"/>
  <c r="K125" i="21"/>
  <c r="K126" i="21"/>
  <c r="K127" i="21"/>
  <c r="K128" i="21"/>
  <c r="K129" i="21"/>
  <c r="L129" i="21" s="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L153" i="21" s="1"/>
  <c r="K154" i="21"/>
  <c r="K155" i="21"/>
  <c r="K156" i="21"/>
  <c r="K157" i="21"/>
  <c r="K158" i="21"/>
  <c r="K159" i="21"/>
  <c r="K160" i="21"/>
  <c r="K161" i="21"/>
  <c r="L161" i="21" s="1"/>
  <c r="K162" i="21"/>
  <c r="K163" i="21"/>
  <c r="K164" i="21"/>
  <c r="K165" i="21"/>
  <c r="K166" i="21"/>
  <c r="K167" i="21"/>
  <c r="K168" i="21"/>
  <c r="K169" i="21"/>
  <c r="L169" i="21" s="1"/>
  <c r="K170" i="21"/>
  <c r="K171" i="21"/>
  <c r="K172" i="21"/>
  <c r="K173" i="21"/>
  <c r="K174" i="21"/>
  <c r="K175" i="21"/>
  <c r="K176" i="21"/>
  <c r="K177" i="21"/>
  <c r="L177" i="21" s="1"/>
  <c r="K178" i="21"/>
  <c r="K179" i="21"/>
  <c r="K180" i="21"/>
  <c r="K181" i="21"/>
  <c r="K182" i="21"/>
  <c r="K183" i="21"/>
  <c r="K184" i="21"/>
  <c r="K185" i="21"/>
  <c r="L185" i="21" s="1"/>
  <c r="K186" i="21"/>
  <c r="K187" i="21"/>
  <c r="K188" i="21"/>
  <c r="K189" i="21"/>
  <c r="K190" i="21"/>
  <c r="K191" i="21"/>
  <c r="K192" i="21"/>
  <c r="K193" i="21"/>
  <c r="L193" i="21" s="1"/>
  <c r="K194" i="21"/>
  <c r="K195" i="21"/>
  <c r="K196" i="21"/>
  <c r="K197" i="21"/>
  <c r="K198" i="21"/>
  <c r="K199" i="21"/>
  <c r="K200" i="21"/>
  <c r="K201" i="21"/>
  <c r="L201" i="21" s="1"/>
  <c r="K202" i="21"/>
  <c r="K203" i="21"/>
  <c r="K204" i="21"/>
  <c r="K205" i="21"/>
  <c r="K206" i="21"/>
  <c r="K207" i="21"/>
  <c r="K208" i="21"/>
  <c r="K209" i="21"/>
  <c r="L209" i="21" s="1"/>
  <c r="K210" i="21"/>
  <c r="K211" i="21"/>
  <c r="K212" i="21"/>
  <c r="K213" i="21"/>
  <c r="K214" i="21"/>
  <c r="K215" i="21"/>
  <c r="K216" i="21"/>
  <c r="K217" i="21"/>
  <c r="L217" i="21" s="1"/>
  <c r="K218" i="21"/>
  <c r="K219" i="21"/>
  <c r="K220" i="21"/>
  <c r="K221" i="21"/>
  <c r="K222" i="21"/>
  <c r="K223" i="21"/>
  <c r="K224" i="21"/>
  <c r="K225" i="21"/>
  <c r="L225" i="21" s="1"/>
  <c r="K226" i="21"/>
  <c r="K227" i="21"/>
  <c r="K228" i="21"/>
  <c r="K229" i="21"/>
  <c r="K230" i="21"/>
  <c r="K231" i="21"/>
  <c r="K232" i="21"/>
  <c r="K233" i="21"/>
  <c r="K234" i="21"/>
  <c r="K235" i="21"/>
  <c r="K236" i="21"/>
  <c r="K237" i="21"/>
  <c r="K238" i="21"/>
  <c r="K239" i="21"/>
  <c r="K240" i="21"/>
  <c r="K241" i="21"/>
  <c r="L241" i="21" s="1"/>
  <c r="K242" i="21"/>
  <c r="K243" i="21"/>
  <c r="K244" i="21"/>
  <c r="K245" i="21"/>
  <c r="K246" i="21"/>
  <c r="K247" i="21"/>
  <c r="K248" i="21"/>
  <c r="K249" i="21"/>
  <c r="L249" i="21" s="1"/>
  <c r="K250" i="21"/>
  <c r="K251" i="21"/>
  <c r="K252" i="21"/>
  <c r="K253" i="21"/>
  <c r="K254" i="21"/>
  <c r="K255" i="21"/>
  <c r="K256" i="21"/>
  <c r="K257" i="21"/>
  <c r="L257" i="21" s="1"/>
  <c r="K258" i="21"/>
  <c r="K259" i="21"/>
  <c r="K260" i="21"/>
  <c r="K261" i="21"/>
  <c r="K262" i="21"/>
  <c r="K263" i="21"/>
  <c r="K264" i="21"/>
  <c r="K265" i="21"/>
  <c r="L265" i="21" s="1"/>
  <c r="K266" i="21"/>
  <c r="K267" i="21"/>
  <c r="K268" i="21"/>
  <c r="K269" i="21"/>
  <c r="K270" i="21"/>
  <c r="K271" i="21"/>
  <c r="K272" i="21"/>
  <c r="K273" i="21"/>
  <c r="L273" i="21" s="1"/>
  <c r="K274" i="21"/>
  <c r="K275" i="21"/>
  <c r="K276" i="21"/>
  <c r="K277" i="21"/>
  <c r="K278" i="21"/>
  <c r="K279" i="21"/>
  <c r="K280" i="21"/>
  <c r="K281" i="21"/>
  <c r="L281" i="21" s="1"/>
  <c r="K282" i="21"/>
  <c r="K283" i="21"/>
  <c r="K284" i="21"/>
  <c r="K285" i="21"/>
  <c r="K286" i="21"/>
  <c r="K287" i="21"/>
  <c r="K288" i="21"/>
  <c r="K289" i="21"/>
  <c r="L289" i="21" s="1"/>
  <c r="K290" i="21"/>
  <c r="K291" i="21"/>
  <c r="K292" i="21"/>
  <c r="K293" i="21"/>
  <c r="K294" i="21"/>
  <c r="K295" i="21"/>
  <c r="K296" i="21"/>
  <c r="K297" i="21"/>
  <c r="L297" i="21" s="1"/>
  <c r="K298" i="21"/>
  <c r="K299" i="21"/>
  <c r="K300" i="21"/>
  <c r="K301" i="21"/>
  <c r="K302" i="21"/>
  <c r="K303" i="21"/>
  <c r="K304" i="21"/>
  <c r="K305" i="21"/>
  <c r="L305" i="21" s="1"/>
  <c r="K306" i="21"/>
  <c r="K307" i="21"/>
  <c r="K308" i="21"/>
  <c r="K309" i="21"/>
  <c r="K310" i="21"/>
  <c r="K311" i="21"/>
  <c r="K312" i="21"/>
  <c r="K313" i="21"/>
  <c r="L313" i="21" s="1"/>
  <c r="K314" i="21"/>
  <c r="K315" i="21"/>
  <c r="K316" i="21"/>
  <c r="K317" i="21"/>
  <c r="K318" i="21"/>
  <c r="K319" i="21"/>
  <c r="K320" i="21"/>
  <c r="K321" i="21"/>
  <c r="L321" i="21" s="1"/>
  <c r="K322" i="21"/>
  <c r="K323" i="21"/>
  <c r="K324" i="21"/>
  <c r="K325" i="21"/>
  <c r="K326" i="21"/>
  <c r="K327" i="21"/>
  <c r="K328" i="21"/>
  <c r="K329" i="21"/>
  <c r="L329" i="21" s="1"/>
  <c r="K330" i="21"/>
  <c r="K331" i="21"/>
  <c r="K332" i="21"/>
  <c r="K333" i="21"/>
  <c r="K334" i="21"/>
  <c r="K335" i="21"/>
  <c r="K336" i="21"/>
  <c r="K337" i="21"/>
  <c r="L337" i="21" s="1"/>
  <c r="K338" i="21"/>
  <c r="K339" i="21"/>
  <c r="K340" i="21"/>
  <c r="K341" i="21"/>
  <c r="K342" i="21"/>
  <c r="K343" i="21"/>
  <c r="K344" i="21"/>
  <c r="K345" i="21"/>
  <c r="L345" i="21" s="1"/>
  <c r="K346" i="21"/>
  <c r="K347" i="21"/>
  <c r="K348" i="21"/>
  <c r="K349" i="21"/>
  <c r="K350" i="21"/>
  <c r="K351" i="21"/>
  <c r="K352" i="21"/>
  <c r="K353" i="21"/>
  <c r="L353" i="21" s="1"/>
  <c r="K354" i="21"/>
  <c r="K355" i="21"/>
  <c r="K356" i="21"/>
  <c r="K357" i="21"/>
  <c r="K358" i="21"/>
  <c r="K359" i="21"/>
  <c r="K360" i="21"/>
  <c r="K361" i="21"/>
  <c r="L361" i="21" s="1"/>
  <c r="K362" i="21"/>
  <c r="K363" i="21"/>
  <c r="K364" i="21"/>
  <c r="K365" i="21"/>
  <c r="K366" i="21"/>
  <c r="K367" i="21"/>
  <c r="K368" i="21"/>
  <c r="K369" i="21"/>
  <c r="L369" i="21" s="1"/>
  <c r="K370" i="21"/>
  <c r="K371" i="21"/>
  <c r="K372" i="21"/>
  <c r="K373" i="21"/>
  <c r="K374" i="21"/>
  <c r="K375" i="21"/>
  <c r="K376" i="21"/>
  <c r="K377" i="21"/>
  <c r="K378" i="21"/>
  <c r="K379" i="21"/>
  <c r="K380" i="21"/>
  <c r="K381" i="21"/>
  <c r="K382" i="21"/>
  <c r="K383" i="21"/>
  <c r="K384" i="21"/>
  <c r="K385" i="21"/>
  <c r="L385" i="21" s="1"/>
  <c r="K386" i="21"/>
  <c r="K387" i="21"/>
  <c r="K388" i="21"/>
  <c r="K389" i="21"/>
  <c r="K390" i="21"/>
  <c r="K391" i="21"/>
  <c r="K392" i="21"/>
  <c r="K393" i="21"/>
  <c r="K394" i="21"/>
  <c r="K395" i="21"/>
  <c r="K396" i="21"/>
  <c r="K397" i="21"/>
  <c r="K398" i="21"/>
  <c r="K399" i="21"/>
  <c r="K400" i="21"/>
  <c r="K401" i="21"/>
  <c r="L401" i="21" s="1"/>
  <c r="K402" i="21"/>
  <c r="K403" i="21"/>
  <c r="L403" i="21" s="1"/>
  <c r="K404" i="21"/>
  <c r="K2" i="21"/>
  <c r="G3" i="21"/>
  <c r="G4" i="21"/>
  <c r="G5" i="21"/>
  <c r="G6" i="21"/>
  <c r="G7" i="21"/>
  <c r="G8" i="21"/>
  <c r="G9" i="21"/>
  <c r="H9" i="21" s="1"/>
  <c r="G10" i="21"/>
  <c r="G11" i="21"/>
  <c r="G12" i="21"/>
  <c r="G13" i="21"/>
  <c r="G14" i="21"/>
  <c r="G15" i="21"/>
  <c r="G16" i="21"/>
  <c r="G17" i="21"/>
  <c r="H17" i="21" s="1"/>
  <c r="G18" i="21"/>
  <c r="G19" i="21"/>
  <c r="G20" i="21"/>
  <c r="G21" i="21"/>
  <c r="G22" i="21"/>
  <c r="G23" i="21"/>
  <c r="G24" i="21"/>
  <c r="H24" i="21" s="1"/>
  <c r="G25" i="21"/>
  <c r="H25" i="21" s="1"/>
  <c r="G26" i="21"/>
  <c r="G27" i="21"/>
  <c r="G28" i="21"/>
  <c r="G29" i="21"/>
  <c r="G30" i="21"/>
  <c r="G31" i="21"/>
  <c r="G32" i="21"/>
  <c r="H32" i="21" s="1"/>
  <c r="G33" i="21"/>
  <c r="H33" i="21" s="1"/>
  <c r="G34" i="21"/>
  <c r="G35" i="21"/>
  <c r="G36" i="21"/>
  <c r="G37" i="21"/>
  <c r="G38" i="21"/>
  <c r="G39" i="21"/>
  <c r="G40" i="21"/>
  <c r="H40" i="21" s="1"/>
  <c r="G41" i="21"/>
  <c r="H41" i="21" s="1"/>
  <c r="G42" i="21"/>
  <c r="G43" i="21"/>
  <c r="G44" i="21"/>
  <c r="G45" i="21"/>
  <c r="G46" i="21"/>
  <c r="G47" i="21"/>
  <c r="G48" i="21"/>
  <c r="H48" i="21" s="1"/>
  <c r="G49" i="21"/>
  <c r="H49" i="21" s="1"/>
  <c r="G50" i="21"/>
  <c r="G51" i="21"/>
  <c r="G52" i="21"/>
  <c r="G53" i="21"/>
  <c r="G54" i="21"/>
  <c r="G55" i="21"/>
  <c r="G56" i="21"/>
  <c r="H56" i="21" s="1"/>
  <c r="J56" i="21" s="1"/>
  <c r="G57" i="21"/>
  <c r="H57" i="21" s="1"/>
  <c r="G58" i="21"/>
  <c r="G59" i="21"/>
  <c r="G60" i="21"/>
  <c r="G61" i="21"/>
  <c r="G62" i="21"/>
  <c r="G63" i="21"/>
  <c r="G64" i="21"/>
  <c r="H64" i="21" s="1"/>
  <c r="G65" i="21"/>
  <c r="H65" i="21" s="1"/>
  <c r="G66" i="21"/>
  <c r="G67" i="21"/>
  <c r="G68" i="21"/>
  <c r="G69" i="21"/>
  <c r="G70" i="21"/>
  <c r="G71" i="21"/>
  <c r="G72" i="21"/>
  <c r="G73" i="21"/>
  <c r="H73" i="21" s="1"/>
  <c r="G74" i="21"/>
  <c r="G75" i="21"/>
  <c r="G76" i="21"/>
  <c r="G77" i="21"/>
  <c r="G78" i="21"/>
  <c r="G79" i="21"/>
  <c r="G80" i="21"/>
  <c r="G81" i="21"/>
  <c r="H81" i="21" s="1"/>
  <c r="G82" i="21"/>
  <c r="G83" i="21"/>
  <c r="G84" i="21"/>
  <c r="G85" i="21"/>
  <c r="G86" i="21"/>
  <c r="G87" i="21"/>
  <c r="G88" i="21"/>
  <c r="G89" i="21"/>
  <c r="H89" i="21" s="1"/>
  <c r="J89" i="21" s="1"/>
  <c r="G90" i="21"/>
  <c r="G91" i="21"/>
  <c r="G92" i="21"/>
  <c r="G93" i="21"/>
  <c r="G94" i="21"/>
  <c r="G95" i="21"/>
  <c r="G96" i="21"/>
  <c r="H96" i="21" s="1"/>
  <c r="G97" i="21"/>
  <c r="H97" i="21" s="1"/>
  <c r="G98" i="21"/>
  <c r="G99" i="21"/>
  <c r="G100" i="21"/>
  <c r="G101" i="21"/>
  <c r="G102" i="21"/>
  <c r="G103" i="21"/>
  <c r="G104" i="21"/>
  <c r="H104" i="21" s="1"/>
  <c r="G105" i="21"/>
  <c r="H105" i="21" s="1"/>
  <c r="G106" i="21"/>
  <c r="G107" i="21"/>
  <c r="G108" i="21"/>
  <c r="G109" i="21"/>
  <c r="G110" i="21"/>
  <c r="G111" i="21"/>
  <c r="G112" i="21"/>
  <c r="G113" i="21"/>
  <c r="H113" i="21" s="1"/>
  <c r="G114" i="21"/>
  <c r="G115" i="21"/>
  <c r="G116" i="21"/>
  <c r="G117" i="21"/>
  <c r="G118" i="21"/>
  <c r="G119" i="21"/>
  <c r="G120" i="21"/>
  <c r="G121" i="21"/>
  <c r="H121" i="21" s="1"/>
  <c r="G122" i="21"/>
  <c r="G123" i="21"/>
  <c r="G124" i="21"/>
  <c r="G125" i="21"/>
  <c r="G126" i="21"/>
  <c r="G127" i="21"/>
  <c r="G128" i="21"/>
  <c r="G129" i="21"/>
  <c r="H129" i="21" s="1"/>
  <c r="G130" i="21"/>
  <c r="G131" i="21"/>
  <c r="G132" i="21"/>
  <c r="G133" i="21"/>
  <c r="G134" i="21"/>
  <c r="G135" i="21"/>
  <c r="G136" i="21"/>
  <c r="H136" i="21" s="1"/>
  <c r="G137" i="21"/>
  <c r="H137" i="21" s="1"/>
  <c r="G138" i="21"/>
  <c r="G139" i="21"/>
  <c r="G140" i="21"/>
  <c r="G141" i="21"/>
  <c r="G142" i="21"/>
  <c r="G143" i="21"/>
  <c r="G144" i="21"/>
  <c r="H144" i="21" s="1"/>
  <c r="G145" i="21"/>
  <c r="H145" i="21" s="1"/>
  <c r="G146" i="21"/>
  <c r="G147" i="21"/>
  <c r="G148" i="21"/>
  <c r="G149" i="21"/>
  <c r="G150" i="21"/>
  <c r="G151" i="21"/>
  <c r="G152" i="21"/>
  <c r="H152" i="21" s="1"/>
  <c r="G153" i="21"/>
  <c r="H153" i="21" s="1"/>
  <c r="G154" i="21"/>
  <c r="G155" i="21"/>
  <c r="G156" i="21"/>
  <c r="G157" i="21"/>
  <c r="G158" i="21"/>
  <c r="G159" i="21"/>
  <c r="G160" i="21"/>
  <c r="G161" i="21"/>
  <c r="H161" i="21" s="1"/>
  <c r="G162" i="21"/>
  <c r="G163" i="21"/>
  <c r="G164" i="21"/>
  <c r="G165" i="21"/>
  <c r="G166" i="21"/>
  <c r="G167" i="21"/>
  <c r="G168" i="21"/>
  <c r="H168" i="21" s="1"/>
  <c r="G169" i="21"/>
  <c r="H169" i="21" s="1"/>
  <c r="G170" i="21"/>
  <c r="G171" i="21"/>
  <c r="G172" i="21"/>
  <c r="G173" i="21"/>
  <c r="G174" i="21"/>
  <c r="G175" i="21"/>
  <c r="G176" i="21"/>
  <c r="H176" i="21" s="1"/>
  <c r="G177" i="21"/>
  <c r="H177" i="21" s="1"/>
  <c r="G178" i="21"/>
  <c r="G179" i="21"/>
  <c r="G180" i="21"/>
  <c r="G181" i="21"/>
  <c r="G182" i="21"/>
  <c r="G183" i="21"/>
  <c r="G184" i="21"/>
  <c r="H184" i="21" s="1"/>
  <c r="G185" i="21"/>
  <c r="H185" i="21" s="1"/>
  <c r="G186" i="21"/>
  <c r="G187" i="21"/>
  <c r="G188" i="21"/>
  <c r="G189" i="21"/>
  <c r="G190" i="21"/>
  <c r="G191" i="21"/>
  <c r="G192" i="21"/>
  <c r="H192" i="21" s="1"/>
  <c r="G193" i="21"/>
  <c r="H193" i="21" s="1"/>
  <c r="G194" i="21"/>
  <c r="G195" i="21"/>
  <c r="G196" i="21"/>
  <c r="G197" i="21"/>
  <c r="G198" i="21"/>
  <c r="G199" i="21"/>
  <c r="G200" i="21"/>
  <c r="H200" i="21" s="1"/>
  <c r="G201" i="21"/>
  <c r="H201" i="21" s="1"/>
  <c r="G202" i="21"/>
  <c r="G203" i="21"/>
  <c r="G204" i="21"/>
  <c r="G205" i="21"/>
  <c r="G206" i="21"/>
  <c r="G207" i="21"/>
  <c r="G208" i="21"/>
  <c r="H208" i="21" s="1"/>
  <c r="G209" i="21"/>
  <c r="H209" i="21" s="1"/>
  <c r="G210" i="21"/>
  <c r="G211" i="21"/>
  <c r="G212" i="21"/>
  <c r="G213" i="21"/>
  <c r="G214" i="21"/>
  <c r="G215" i="21"/>
  <c r="G216" i="21"/>
  <c r="G217" i="21"/>
  <c r="G218" i="21"/>
  <c r="G219" i="21"/>
  <c r="G220" i="21"/>
  <c r="G221" i="21"/>
  <c r="G222" i="21"/>
  <c r="G223" i="21"/>
  <c r="G224" i="21"/>
  <c r="H224" i="21" s="1"/>
  <c r="J224" i="21" s="1"/>
  <c r="G225" i="21"/>
  <c r="H225" i="21" s="1"/>
  <c r="G226" i="21"/>
  <c r="G227" i="21"/>
  <c r="G228" i="21"/>
  <c r="G229" i="21"/>
  <c r="G230" i="21"/>
  <c r="G231" i="21"/>
  <c r="G232" i="21"/>
  <c r="G233" i="21"/>
  <c r="H233" i="21" s="1"/>
  <c r="G234" i="21"/>
  <c r="G235" i="21"/>
  <c r="G236" i="21"/>
  <c r="G237" i="21"/>
  <c r="G238" i="21"/>
  <c r="G239" i="21"/>
  <c r="G240" i="21"/>
  <c r="G241" i="21"/>
  <c r="H241" i="21" s="1"/>
  <c r="G242" i="21"/>
  <c r="G243" i="21"/>
  <c r="G244" i="21"/>
  <c r="G245" i="21"/>
  <c r="G246" i="21"/>
  <c r="G247" i="21"/>
  <c r="G248" i="21"/>
  <c r="H248" i="21" s="1"/>
  <c r="G249" i="21"/>
  <c r="G250" i="21"/>
  <c r="G251" i="21"/>
  <c r="G252" i="21"/>
  <c r="G253" i="21"/>
  <c r="G254" i="21"/>
  <c r="G255" i="21"/>
  <c r="G256" i="21"/>
  <c r="H256" i="21" s="1"/>
  <c r="J256" i="21" s="1"/>
  <c r="G257" i="21"/>
  <c r="H257" i="21" s="1"/>
  <c r="G258" i="21"/>
  <c r="G259" i="21"/>
  <c r="G260" i="21"/>
  <c r="G261" i="21"/>
  <c r="G262" i="21"/>
  <c r="G263" i="21"/>
  <c r="G264" i="21"/>
  <c r="G265" i="21"/>
  <c r="H265" i="21" s="1"/>
  <c r="G266" i="21"/>
  <c r="G267" i="21"/>
  <c r="G268" i="21"/>
  <c r="G269" i="21"/>
  <c r="G270" i="21"/>
  <c r="G271" i="21"/>
  <c r="G272" i="21"/>
  <c r="H272" i="21" s="1"/>
  <c r="G273" i="21"/>
  <c r="H273" i="21" s="1"/>
  <c r="G274" i="21"/>
  <c r="G275" i="21"/>
  <c r="G276" i="21"/>
  <c r="G277" i="21"/>
  <c r="G278" i="21"/>
  <c r="G279" i="21"/>
  <c r="G280" i="21"/>
  <c r="H280" i="21" s="1"/>
  <c r="J280" i="21" s="1"/>
  <c r="G281" i="21"/>
  <c r="H281" i="21" s="1"/>
  <c r="G282" i="21"/>
  <c r="G283" i="21"/>
  <c r="G284" i="21"/>
  <c r="G285" i="21"/>
  <c r="G286" i="21"/>
  <c r="G287" i="21"/>
  <c r="G288" i="21"/>
  <c r="H288" i="21" s="1"/>
  <c r="G289" i="21"/>
  <c r="G290" i="21"/>
  <c r="G291" i="21"/>
  <c r="G292" i="21"/>
  <c r="G293" i="21"/>
  <c r="G294" i="21"/>
  <c r="G295" i="21"/>
  <c r="G296" i="21"/>
  <c r="H296" i="21" s="1"/>
  <c r="G297" i="21"/>
  <c r="H297" i="21" s="1"/>
  <c r="G298" i="21"/>
  <c r="G299" i="21"/>
  <c r="G300" i="21"/>
  <c r="G301" i="21"/>
  <c r="G302" i="21"/>
  <c r="G303" i="21"/>
  <c r="G304" i="21"/>
  <c r="H304" i="21" s="1"/>
  <c r="G305" i="21"/>
  <c r="H305" i="21" s="1"/>
  <c r="G306" i="21"/>
  <c r="G307" i="21"/>
  <c r="G308" i="21"/>
  <c r="G309" i="21"/>
  <c r="G310" i="21"/>
  <c r="G311" i="21"/>
  <c r="G312" i="21"/>
  <c r="H312" i="21" s="1"/>
  <c r="G313" i="21"/>
  <c r="G314" i="21"/>
  <c r="G315" i="21"/>
  <c r="G316" i="21"/>
  <c r="G317" i="21"/>
  <c r="G318" i="21"/>
  <c r="G319" i="21"/>
  <c r="G320" i="21"/>
  <c r="G321" i="21"/>
  <c r="H321" i="21" s="1"/>
  <c r="G322" i="21"/>
  <c r="G323" i="21"/>
  <c r="G324" i="21"/>
  <c r="G325" i="21"/>
  <c r="G326" i="21"/>
  <c r="G327" i="21"/>
  <c r="G328" i="21"/>
  <c r="H328" i="21" s="1"/>
  <c r="G329" i="21"/>
  <c r="H329" i="21" s="1"/>
  <c r="G330" i="21"/>
  <c r="G331" i="21"/>
  <c r="G332" i="21"/>
  <c r="G333" i="21"/>
  <c r="G334" i="21"/>
  <c r="G335" i="21"/>
  <c r="G336" i="21"/>
  <c r="G337" i="21"/>
  <c r="H337" i="21" s="1"/>
  <c r="G338" i="21"/>
  <c r="G339" i="21"/>
  <c r="G340" i="21"/>
  <c r="G341" i="21"/>
  <c r="G342" i="21"/>
  <c r="G343" i="21"/>
  <c r="G344" i="21"/>
  <c r="H344" i="21" s="1"/>
  <c r="G345" i="21"/>
  <c r="H345" i="21" s="1"/>
  <c r="G346" i="21"/>
  <c r="G347" i="21"/>
  <c r="G348" i="21"/>
  <c r="G349" i="21"/>
  <c r="G350" i="21"/>
  <c r="G351" i="21"/>
  <c r="G352" i="21"/>
  <c r="G353" i="21"/>
  <c r="H353" i="21" s="1"/>
  <c r="G354" i="21"/>
  <c r="G355" i="21"/>
  <c r="G356" i="21"/>
  <c r="G357" i="21"/>
  <c r="G358" i="21"/>
  <c r="G359" i="21"/>
  <c r="G360" i="21"/>
  <c r="H360" i="21" s="1"/>
  <c r="G361" i="21"/>
  <c r="H361" i="21" s="1"/>
  <c r="G362" i="21"/>
  <c r="G363" i="21"/>
  <c r="G364" i="21"/>
  <c r="G365" i="21"/>
  <c r="G366" i="21"/>
  <c r="G367" i="21"/>
  <c r="G368" i="21"/>
  <c r="G369" i="21"/>
  <c r="H369" i="21" s="1"/>
  <c r="G370" i="21"/>
  <c r="G371" i="21"/>
  <c r="G372" i="21"/>
  <c r="G373" i="21"/>
  <c r="G374" i="21"/>
  <c r="G375" i="21"/>
  <c r="G376" i="21"/>
  <c r="H376" i="21" s="1"/>
  <c r="G377" i="21"/>
  <c r="H377" i="21" s="1"/>
  <c r="G378" i="21"/>
  <c r="G379" i="21"/>
  <c r="G380" i="21"/>
  <c r="G381" i="21"/>
  <c r="G382" i="21"/>
  <c r="G383" i="21"/>
  <c r="G384" i="21"/>
  <c r="H384" i="21" s="1"/>
  <c r="G385" i="21"/>
  <c r="H385" i="21" s="1"/>
  <c r="G386" i="21"/>
  <c r="G387" i="21"/>
  <c r="G388" i="21"/>
  <c r="G389" i="21"/>
  <c r="G390" i="21"/>
  <c r="G391" i="21"/>
  <c r="G392" i="21"/>
  <c r="H392" i="21" s="1"/>
  <c r="G393" i="21"/>
  <c r="H393" i="21" s="1"/>
  <c r="G394" i="21"/>
  <c r="G395" i="21"/>
  <c r="G396" i="21"/>
  <c r="G397" i="21"/>
  <c r="G398" i="21"/>
  <c r="G399" i="21"/>
  <c r="G400" i="21"/>
  <c r="H400" i="21" s="1"/>
  <c r="G401" i="21"/>
  <c r="H401" i="21" s="1"/>
  <c r="G402" i="21"/>
  <c r="G403" i="21"/>
  <c r="G404" i="21"/>
  <c r="H7" i="21"/>
  <c r="H10" i="21"/>
  <c r="H14" i="21"/>
  <c r="H15" i="21"/>
  <c r="H18" i="21"/>
  <c r="H22" i="21"/>
  <c r="H23" i="21"/>
  <c r="H26" i="21"/>
  <c r="H30" i="21"/>
  <c r="H31" i="21"/>
  <c r="H34" i="21"/>
  <c r="H39" i="21"/>
  <c r="H46" i="21"/>
  <c r="H47" i="21"/>
  <c r="H54" i="21"/>
  <c r="H55" i="21"/>
  <c r="H62" i="21"/>
  <c r="H63" i="21"/>
  <c r="H71" i="21"/>
  <c r="H74" i="21"/>
  <c r="H78" i="21"/>
  <c r="H82" i="21"/>
  <c r="H86" i="21"/>
  <c r="H87" i="21"/>
  <c r="H90" i="21"/>
  <c r="H94" i="21"/>
  <c r="H95" i="21"/>
  <c r="H102" i="21"/>
  <c r="H103" i="21"/>
  <c r="H110" i="21"/>
  <c r="H111" i="21"/>
  <c r="H118" i="21"/>
  <c r="H119" i="21"/>
  <c r="H122" i="21"/>
  <c r="H127" i="21"/>
  <c r="H134" i="21"/>
  <c r="H135" i="21"/>
  <c r="H138" i="21"/>
  <c r="H142" i="21"/>
  <c r="H143" i="21"/>
  <c r="H146" i="21"/>
  <c r="H150" i="21"/>
  <c r="H154" i="21"/>
  <c r="H158" i="21"/>
  <c r="H159" i="21"/>
  <c r="H166" i="21"/>
  <c r="H167" i="21"/>
  <c r="H170" i="21"/>
  <c r="H174" i="21"/>
  <c r="H175" i="21"/>
  <c r="H178" i="21"/>
  <c r="H182" i="21"/>
  <c r="H183" i="21"/>
  <c r="H186" i="21"/>
  <c r="H191" i="21"/>
  <c r="H198" i="21"/>
  <c r="H199" i="21"/>
  <c r="H202" i="21"/>
  <c r="H206" i="21"/>
  <c r="H207" i="21"/>
  <c r="H210" i="21"/>
  <c r="H215" i="21"/>
  <c r="H222" i="21"/>
  <c r="H223" i="21"/>
  <c r="H226" i="21"/>
  <c r="H231" i="21"/>
  <c r="H234" i="21"/>
  <c r="H238" i="21"/>
  <c r="H239" i="21"/>
  <c r="H242" i="21"/>
  <c r="H246" i="21"/>
  <c r="H250" i="21"/>
  <c r="H255" i="21"/>
  <c r="H258" i="21"/>
  <c r="H262" i="21"/>
  <c r="H263" i="21"/>
  <c r="H266" i="21"/>
  <c r="H271" i="21"/>
  <c r="H274" i="21"/>
  <c r="H278" i="21"/>
  <c r="H282" i="21"/>
  <c r="H287" i="21"/>
  <c r="H290" i="21"/>
  <c r="H294" i="21"/>
  <c r="H295" i="21"/>
  <c r="H302" i="21"/>
  <c r="J302" i="21" s="1"/>
  <c r="H303" i="21"/>
  <c r="H306" i="21"/>
  <c r="H311" i="21"/>
  <c r="H318" i="21"/>
  <c r="H319" i="21"/>
  <c r="H326" i="21"/>
  <c r="H334" i="21"/>
  <c r="J334" i="21" s="1"/>
  <c r="H335" i="21"/>
  <c r="H338" i="21"/>
  <c r="H343" i="21"/>
  <c r="H346" i="21"/>
  <c r="H350" i="21"/>
  <c r="H351" i="21"/>
  <c r="H359" i="21"/>
  <c r="H366" i="21"/>
  <c r="H370" i="21"/>
  <c r="H374" i="21"/>
  <c r="H375" i="21"/>
  <c r="H378" i="21"/>
  <c r="H382" i="21"/>
  <c r="H383" i="21"/>
  <c r="H391" i="21"/>
  <c r="H394" i="21"/>
  <c r="H399" i="21"/>
  <c r="H402" i="21"/>
  <c r="G2" i="21"/>
  <c r="E3" i="21"/>
  <c r="E4" i="21"/>
  <c r="E5" i="21"/>
  <c r="E6" i="21"/>
  <c r="E7" i="21"/>
  <c r="E8" i="21"/>
  <c r="E9" i="21"/>
  <c r="F9" i="21" s="1"/>
  <c r="E10" i="21"/>
  <c r="E11" i="21"/>
  <c r="E12" i="21"/>
  <c r="E13" i="21"/>
  <c r="E14" i="21"/>
  <c r="E15" i="21"/>
  <c r="E16" i="21"/>
  <c r="E17" i="21"/>
  <c r="F17" i="21" s="1"/>
  <c r="E18" i="21"/>
  <c r="E19" i="21"/>
  <c r="E20" i="21"/>
  <c r="E21" i="21"/>
  <c r="E22" i="21"/>
  <c r="E23" i="21"/>
  <c r="E24" i="21"/>
  <c r="E25" i="21"/>
  <c r="F25" i="21" s="1"/>
  <c r="E26" i="21"/>
  <c r="E27" i="21"/>
  <c r="E28" i="21"/>
  <c r="E29" i="21"/>
  <c r="E30" i="21"/>
  <c r="E31" i="21"/>
  <c r="E32" i="21"/>
  <c r="E33" i="21"/>
  <c r="F33" i="21" s="1"/>
  <c r="E34" i="21"/>
  <c r="E35" i="21"/>
  <c r="E36" i="21"/>
  <c r="E37" i="21"/>
  <c r="E38" i="21"/>
  <c r="E39" i="21"/>
  <c r="E40" i="21"/>
  <c r="E41" i="21"/>
  <c r="F41" i="21" s="1"/>
  <c r="E42" i="21"/>
  <c r="E43" i="21"/>
  <c r="E44" i="21"/>
  <c r="E45" i="21"/>
  <c r="E46" i="21"/>
  <c r="E47" i="21"/>
  <c r="E48" i="21"/>
  <c r="E49" i="21"/>
  <c r="F49" i="21" s="1"/>
  <c r="E50" i="21"/>
  <c r="E51" i="21"/>
  <c r="E52" i="21"/>
  <c r="E53" i="21"/>
  <c r="E54" i="21"/>
  <c r="E55" i="21"/>
  <c r="E56" i="21"/>
  <c r="E57" i="21"/>
  <c r="E58" i="21"/>
  <c r="E59" i="21"/>
  <c r="E60" i="21"/>
  <c r="E61" i="21"/>
  <c r="E62" i="21"/>
  <c r="E63" i="21"/>
  <c r="E64" i="21"/>
  <c r="E65" i="21"/>
  <c r="F65" i="21" s="1"/>
  <c r="E66" i="21"/>
  <c r="E67" i="21"/>
  <c r="E68" i="21"/>
  <c r="E69" i="21"/>
  <c r="E70" i="21"/>
  <c r="E71" i="21"/>
  <c r="E72" i="21"/>
  <c r="E73" i="21"/>
  <c r="F73" i="21" s="1"/>
  <c r="E74" i="21"/>
  <c r="E75" i="21"/>
  <c r="E76" i="21"/>
  <c r="E77" i="21"/>
  <c r="E78" i="21"/>
  <c r="E79" i="21"/>
  <c r="E80" i="21"/>
  <c r="E81" i="21"/>
  <c r="F81" i="21" s="1"/>
  <c r="E82" i="21"/>
  <c r="E83" i="21"/>
  <c r="E84" i="21"/>
  <c r="E85" i="21"/>
  <c r="E86" i="21"/>
  <c r="E87" i="21"/>
  <c r="E88" i="21"/>
  <c r="E89" i="21"/>
  <c r="F89" i="21" s="1"/>
  <c r="E90" i="21"/>
  <c r="E91" i="21"/>
  <c r="E92" i="21"/>
  <c r="E93" i="21"/>
  <c r="E94" i="21"/>
  <c r="E95" i="21"/>
  <c r="E96" i="21"/>
  <c r="E97" i="21"/>
  <c r="F97" i="21" s="1"/>
  <c r="E98" i="21"/>
  <c r="E99" i="21"/>
  <c r="E100" i="21"/>
  <c r="E101" i="21"/>
  <c r="E102" i="21"/>
  <c r="E103" i="21"/>
  <c r="E104" i="21"/>
  <c r="E105" i="21"/>
  <c r="E106" i="21"/>
  <c r="E107" i="21"/>
  <c r="E108" i="21"/>
  <c r="E109" i="21"/>
  <c r="E110" i="21"/>
  <c r="E111" i="21"/>
  <c r="E112" i="21"/>
  <c r="E113" i="21"/>
  <c r="F113" i="21" s="1"/>
  <c r="E114" i="21"/>
  <c r="E115" i="21"/>
  <c r="E116" i="21"/>
  <c r="E117" i="21"/>
  <c r="E118" i="21"/>
  <c r="E119" i="21"/>
  <c r="E120" i="21"/>
  <c r="E121" i="21"/>
  <c r="F121" i="21" s="1"/>
  <c r="E122" i="21"/>
  <c r="E123" i="21"/>
  <c r="E124" i="21"/>
  <c r="E125" i="21"/>
  <c r="E126" i="21"/>
  <c r="E127" i="21"/>
  <c r="E128" i="21"/>
  <c r="E129" i="21"/>
  <c r="E130" i="21"/>
  <c r="E131" i="21"/>
  <c r="E132" i="21"/>
  <c r="E133" i="21"/>
  <c r="E134" i="21"/>
  <c r="E135" i="21"/>
  <c r="E136" i="21"/>
  <c r="E137" i="21"/>
  <c r="F137" i="21" s="1"/>
  <c r="E138" i="21"/>
  <c r="E139" i="21"/>
  <c r="E140" i="21"/>
  <c r="E141" i="21"/>
  <c r="E142" i="21"/>
  <c r="E143" i="21"/>
  <c r="E144" i="21"/>
  <c r="E145" i="21"/>
  <c r="F145" i="21" s="1"/>
  <c r="E146" i="21"/>
  <c r="E147" i="21"/>
  <c r="E148" i="21"/>
  <c r="E149" i="21"/>
  <c r="E150" i="21"/>
  <c r="E151" i="21"/>
  <c r="E152" i="21"/>
  <c r="E153" i="21"/>
  <c r="F153" i="21" s="1"/>
  <c r="E154" i="21"/>
  <c r="E155" i="21"/>
  <c r="E156" i="21"/>
  <c r="E157" i="21"/>
  <c r="E158" i="21"/>
  <c r="E159" i="21"/>
  <c r="E160" i="21"/>
  <c r="E161" i="21"/>
  <c r="F161" i="21" s="1"/>
  <c r="E162" i="21"/>
  <c r="E163" i="21"/>
  <c r="E164" i="21"/>
  <c r="E165" i="21"/>
  <c r="E166" i="21"/>
  <c r="E167" i="21"/>
  <c r="E168" i="21"/>
  <c r="E169" i="21"/>
  <c r="F169" i="21" s="1"/>
  <c r="E170" i="21"/>
  <c r="E171" i="21"/>
  <c r="E172" i="21"/>
  <c r="E173" i="21"/>
  <c r="E174" i="21"/>
  <c r="E175" i="21"/>
  <c r="E176" i="21"/>
  <c r="E177" i="21"/>
  <c r="F177" i="21" s="1"/>
  <c r="E178" i="21"/>
  <c r="E179" i="21"/>
  <c r="E180" i="21"/>
  <c r="E181" i="21"/>
  <c r="E182" i="21"/>
  <c r="E183" i="21"/>
  <c r="E184" i="21"/>
  <c r="E185" i="21"/>
  <c r="F185" i="21" s="1"/>
  <c r="E186" i="21"/>
  <c r="E187" i="21"/>
  <c r="E188" i="21"/>
  <c r="E189" i="21"/>
  <c r="E190" i="21"/>
  <c r="E191" i="21"/>
  <c r="E192" i="21"/>
  <c r="E193" i="21"/>
  <c r="F193" i="21" s="1"/>
  <c r="E194" i="21"/>
  <c r="E195" i="21"/>
  <c r="E196" i="21"/>
  <c r="E197" i="21"/>
  <c r="E198" i="21"/>
  <c r="E199" i="21"/>
  <c r="E200" i="21"/>
  <c r="E201" i="21"/>
  <c r="F201" i="21" s="1"/>
  <c r="E202" i="21"/>
  <c r="E203" i="21"/>
  <c r="E204" i="21"/>
  <c r="E205" i="21"/>
  <c r="E206" i="21"/>
  <c r="E207" i="21"/>
  <c r="E208" i="21"/>
  <c r="E209" i="21"/>
  <c r="F209" i="21" s="1"/>
  <c r="E210" i="21"/>
  <c r="E211" i="21"/>
  <c r="E212" i="21"/>
  <c r="E213" i="21"/>
  <c r="E214" i="21"/>
  <c r="E215" i="21"/>
  <c r="E216" i="21"/>
  <c r="E217" i="21"/>
  <c r="F217" i="21" s="1"/>
  <c r="E218" i="21"/>
  <c r="E219" i="21"/>
  <c r="E220" i="21"/>
  <c r="E221" i="21"/>
  <c r="E222" i="21"/>
  <c r="E223" i="21"/>
  <c r="E224" i="21"/>
  <c r="E225" i="21"/>
  <c r="F225" i="21" s="1"/>
  <c r="E226" i="21"/>
  <c r="E227" i="21"/>
  <c r="E228" i="21"/>
  <c r="E229" i="21"/>
  <c r="E230" i="21"/>
  <c r="E231" i="21"/>
  <c r="E232" i="21"/>
  <c r="E233" i="21"/>
  <c r="F233" i="21" s="1"/>
  <c r="E234" i="21"/>
  <c r="E235" i="21"/>
  <c r="E236" i="21"/>
  <c r="E237" i="21"/>
  <c r="E238" i="21"/>
  <c r="E239" i="21"/>
  <c r="E240" i="21"/>
  <c r="E241" i="21"/>
  <c r="F241" i="21" s="1"/>
  <c r="E242" i="21"/>
  <c r="E243" i="21"/>
  <c r="E244" i="21"/>
  <c r="E245" i="21"/>
  <c r="E246" i="21"/>
  <c r="E247" i="21"/>
  <c r="E248" i="21"/>
  <c r="E249" i="21"/>
  <c r="F249" i="21" s="1"/>
  <c r="E250" i="21"/>
  <c r="E251" i="21"/>
  <c r="E252" i="21"/>
  <c r="E253" i="21"/>
  <c r="E254" i="21"/>
  <c r="E255" i="21"/>
  <c r="E256" i="21"/>
  <c r="E257" i="21"/>
  <c r="F257" i="21" s="1"/>
  <c r="E258" i="21"/>
  <c r="E259" i="21"/>
  <c r="E260" i="21"/>
  <c r="E261" i="21"/>
  <c r="E262" i="21"/>
  <c r="E263" i="21"/>
  <c r="E264" i="21"/>
  <c r="E265" i="21"/>
  <c r="F265" i="21" s="1"/>
  <c r="E266" i="21"/>
  <c r="E267" i="21"/>
  <c r="E268" i="21"/>
  <c r="E269" i="21"/>
  <c r="E270" i="21"/>
  <c r="E271" i="21"/>
  <c r="E272" i="21"/>
  <c r="E273" i="21"/>
  <c r="F273" i="21" s="1"/>
  <c r="E274" i="21"/>
  <c r="E275" i="21"/>
  <c r="E276" i="21"/>
  <c r="E277" i="21"/>
  <c r="E278" i="21"/>
  <c r="E279" i="21"/>
  <c r="E280" i="21"/>
  <c r="E281" i="21"/>
  <c r="F281" i="21" s="1"/>
  <c r="E282" i="21"/>
  <c r="E283" i="21"/>
  <c r="E284" i="21"/>
  <c r="E285" i="21"/>
  <c r="E286" i="21"/>
  <c r="E287" i="21"/>
  <c r="E288" i="21"/>
  <c r="E289" i="21"/>
  <c r="F289" i="21" s="1"/>
  <c r="E290" i="21"/>
  <c r="E291" i="21"/>
  <c r="E292" i="21"/>
  <c r="E293" i="21"/>
  <c r="E294" i="21"/>
  <c r="E295" i="21"/>
  <c r="E296" i="21"/>
  <c r="E297" i="21"/>
  <c r="F297" i="21" s="1"/>
  <c r="E298" i="21"/>
  <c r="E299" i="21"/>
  <c r="E300" i="21"/>
  <c r="E301" i="21"/>
  <c r="E302" i="21"/>
  <c r="E303" i="21"/>
  <c r="E304" i="21"/>
  <c r="E305" i="21"/>
  <c r="F305" i="21" s="1"/>
  <c r="E306" i="21"/>
  <c r="E307" i="21"/>
  <c r="E308" i="21"/>
  <c r="E309" i="21"/>
  <c r="E310" i="21"/>
  <c r="E311" i="21"/>
  <c r="E312" i="21"/>
  <c r="E313" i="21"/>
  <c r="E314" i="21"/>
  <c r="E315" i="21"/>
  <c r="E316" i="21"/>
  <c r="E317" i="21"/>
  <c r="E318" i="21"/>
  <c r="E319" i="21"/>
  <c r="E320" i="21"/>
  <c r="E321" i="21"/>
  <c r="F321" i="21" s="1"/>
  <c r="E322" i="21"/>
  <c r="E323" i="21"/>
  <c r="E324" i="21"/>
  <c r="E325" i="21"/>
  <c r="E326" i="21"/>
  <c r="E327" i="21"/>
  <c r="E328" i="21"/>
  <c r="E329" i="21"/>
  <c r="F329" i="21" s="1"/>
  <c r="E330" i="21"/>
  <c r="E331" i="21"/>
  <c r="E332" i="21"/>
  <c r="E333" i="21"/>
  <c r="E334" i="21"/>
  <c r="E335" i="21"/>
  <c r="E336" i="21"/>
  <c r="E337" i="21"/>
  <c r="F337" i="21" s="1"/>
  <c r="E338" i="21"/>
  <c r="E339" i="21"/>
  <c r="E340" i="21"/>
  <c r="E341" i="21"/>
  <c r="E342" i="21"/>
  <c r="E343" i="21"/>
  <c r="E344" i="21"/>
  <c r="E345" i="21"/>
  <c r="E346" i="21"/>
  <c r="E347" i="21"/>
  <c r="E348" i="21"/>
  <c r="E349" i="21"/>
  <c r="E350" i="21"/>
  <c r="E351" i="21"/>
  <c r="E352" i="21"/>
  <c r="E353" i="21"/>
  <c r="F353" i="21" s="1"/>
  <c r="E354" i="21"/>
  <c r="E355" i="21"/>
  <c r="E356" i="21"/>
  <c r="E357" i="21"/>
  <c r="E358" i="21"/>
  <c r="E359" i="21"/>
  <c r="E360" i="21"/>
  <c r="E361" i="21"/>
  <c r="E362" i="21"/>
  <c r="E363" i="21"/>
  <c r="E364" i="21"/>
  <c r="E365" i="21"/>
  <c r="E366" i="21"/>
  <c r="E367" i="21"/>
  <c r="E368" i="21"/>
  <c r="E369" i="21"/>
  <c r="F369" i="21" s="1"/>
  <c r="E370" i="21"/>
  <c r="E371" i="21"/>
  <c r="E372" i="21"/>
  <c r="E373" i="21"/>
  <c r="E374" i="21"/>
  <c r="E375" i="21"/>
  <c r="E376" i="21"/>
  <c r="E377" i="21"/>
  <c r="F377" i="21" s="1"/>
  <c r="E378" i="21"/>
  <c r="E379" i="21"/>
  <c r="E380" i="21"/>
  <c r="E381" i="21"/>
  <c r="E382" i="21"/>
  <c r="E383" i="21"/>
  <c r="E384" i="21"/>
  <c r="E385" i="21"/>
  <c r="F385" i="21" s="1"/>
  <c r="E386" i="21"/>
  <c r="E387" i="21"/>
  <c r="E388" i="21"/>
  <c r="E389" i="21"/>
  <c r="E390" i="21"/>
  <c r="E391" i="21"/>
  <c r="E392" i="21"/>
  <c r="E393" i="21"/>
  <c r="F393" i="21" s="1"/>
  <c r="E394" i="21"/>
  <c r="E395" i="21"/>
  <c r="E396" i="21"/>
  <c r="E397" i="21"/>
  <c r="E398" i="21"/>
  <c r="E399" i="21"/>
  <c r="F399" i="21" s="1"/>
  <c r="E400" i="21"/>
  <c r="E401" i="21"/>
  <c r="F401" i="21" s="1"/>
  <c r="E402" i="21"/>
  <c r="E403" i="21"/>
  <c r="F403" i="21" s="1"/>
  <c r="E404" i="21"/>
  <c r="E2" i="21"/>
  <c r="C3" i="21"/>
  <c r="C4" i="21"/>
  <c r="C5" i="21"/>
  <c r="C6" i="21"/>
  <c r="C7" i="21"/>
  <c r="C8" i="21"/>
  <c r="C9" i="21"/>
  <c r="C10" i="21"/>
  <c r="D10" i="21" s="1"/>
  <c r="C11" i="21"/>
  <c r="C12" i="21"/>
  <c r="C13" i="21"/>
  <c r="C14" i="21"/>
  <c r="C15" i="21"/>
  <c r="D15" i="21" s="1"/>
  <c r="C16" i="21"/>
  <c r="C17" i="21"/>
  <c r="C18" i="21"/>
  <c r="D18" i="21" s="1"/>
  <c r="C19" i="21"/>
  <c r="C20" i="21"/>
  <c r="C21" i="21"/>
  <c r="C22" i="21"/>
  <c r="C23" i="21"/>
  <c r="C24" i="21"/>
  <c r="C25" i="21"/>
  <c r="C26" i="21"/>
  <c r="D26" i="21" s="1"/>
  <c r="C27" i="21"/>
  <c r="C28" i="21"/>
  <c r="C29" i="21"/>
  <c r="C30" i="21"/>
  <c r="C31" i="21"/>
  <c r="C32" i="21"/>
  <c r="C33" i="21"/>
  <c r="C34" i="21"/>
  <c r="C35" i="21"/>
  <c r="C36" i="21"/>
  <c r="C37" i="21"/>
  <c r="C38" i="21"/>
  <c r="C39" i="21"/>
  <c r="C40" i="21"/>
  <c r="C41" i="21"/>
  <c r="C42" i="21"/>
  <c r="D42" i="21" s="1"/>
  <c r="C43" i="21"/>
  <c r="C44" i="21"/>
  <c r="C45" i="21"/>
  <c r="C46" i="21"/>
  <c r="C47" i="21"/>
  <c r="D47" i="21" s="1"/>
  <c r="C48" i="21"/>
  <c r="C49" i="21"/>
  <c r="C50" i="21"/>
  <c r="D50" i="21" s="1"/>
  <c r="C51" i="21"/>
  <c r="C52" i="21"/>
  <c r="C53" i="21"/>
  <c r="C54" i="21"/>
  <c r="C55" i="21"/>
  <c r="C56" i="21"/>
  <c r="C57" i="21"/>
  <c r="C58" i="21"/>
  <c r="D58" i="21" s="1"/>
  <c r="C59" i="21"/>
  <c r="C60" i="21"/>
  <c r="C61" i="21"/>
  <c r="C62" i="21"/>
  <c r="C63" i="21"/>
  <c r="C64" i="21"/>
  <c r="C65" i="21"/>
  <c r="C66" i="21"/>
  <c r="D66" i="21" s="1"/>
  <c r="C67" i="21"/>
  <c r="C68" i="21"/>
  <c r="C69" i="21"/>
  <c r="C70" i="21"/>
  <c r="C71" i="21"/>
  <c r="D71" i="21" s="1"/>
  <c r="C72" i="21"/>
  <c r="C73" i="21"/>
  <c r="C74" i="21"/>
  <c r="C75" i="21"/>
  <c r="C76" i="21"/>
  <c r="C77" i="21"/>
  <c r="C78" i="21"/>
  <c r="C79" i="21"/>
  <c r="D79" i="21" s="1"/>
  <c r="C80" i="21"/>
  <c r="C81" i="21"/>
  <c r="C82" i="21"/>
  <c r="C83" i="21"/>
  <c r="C84" i="21"/>
  <c r="C85" i="21"/>
  <c r="C86" i="21"/>
  <c r="C87" i="21"/>
  <c r="C88" i="21"/>
  <c r="C89" i="21"/>
  <c r="C90" i="21"/>
  <c r="D90" i="21" s="1"/>
  <c r="C91" i="21"/>
  <c r="C92" i="21"/>
  <c r="C93" i="21"/>
  <c r="C94" i="21"/>
  <c r="C95" i="21"/>
  <c r="D95" i="21" s="1"/>
  <c r="C96" i="21"/>
  <c r="C97" i="21"/>
  <c r="C98" i="21"/>
  <c r="D98" i="21" s="1"/>
  <c r="C99" i="21"/>
  <c r="C100" i="21"/>
  <c r="C101" i="21"/>
  <c r="C102" i="21"/>
  <c r="C103" i="21"/>
  <c r="C104" i="21"/>
  <c r="C105" i="21"/>
  <c r="C106" i="21"/>
  <c r="D106" i="21" s="1"/>
  <c r="C107" i="21"/>
  <c r="C108" i="21"/>
  <c r="C109" i="21"/>
  <c r="C110" i="21"/>
  <c r="C111" i="21"/>
  <c r="D111" i="21" s="1"/>
  <c r="C112" i="21"/>
  <c r="C113" i="21"/>
  <c r="C114" i="21"/>
  <c r="D114" i="21" s="1"/>
  <c r="C115" i="21"/>
  <c r="C116" i="21"/>
  <c r="C117" i="21"/>
  <c r="C118" i="21"/>
  <c r="C119" i="21"/>
  <c r="D119" i="21" s="1"/>
  <c r="C120" i="21"/>
  <c r="C121" i="21"/>
  <c r="C122" i="21"/>
  <c r="D122" i="21" s="1"/>
  <c r="C123" i="21"/>
  <c r="C124" i="21"/>
  <c r="C125" i="21"/>
  <c r="C126" i="21"/>
  <c r="C127" i="21"/>
  <c r="C128" i="21"/>
  <c r="C129" i="21"/>
  <c r="C130" i="21"/>
  <c r="D130" i="21" s="1"/>
  <c r="C131" i="21"/>
  <c r="C132" i="21"/>
  <c r="C133" i="21"/>
  <c r="C134" i="21"/>
  <c r="C135" i="21"/>
  <c r="C136" i="21"/>
  <c r="C137" i="21"/>
  <c r="C138" i="21"/>
  <c r="D138" i="21" s="1"/>
  <c r="C139" i="21"/>
  <c r="C140" i="21"/>
  <c r="C141" i="21"/>
  <c r="C142" i="21"/>
  <c r="C143" i="21"/>
  <c r="D143" i="21" s="1"/>
  <c r="C144" i="21"/>
  <c r="C145" i="21"/>
  <c r="C146" i="21"/>
  <c r="D146" i="21" s="1"/>
  <c r="C147" i="21"/>
  <c r="C148" i="21"/>
  <c r="C149" i="21"/>
  <c r="C150" i="21"/>
  <c r="C151" i="21"/>
  <c r="D151" i="21" s="1"/>
  <c r="C152" i="21"/>
  <c r="C153" i="21"/>
  <c r="C154" i="21"/>
  <c r="D154" i="21" s="1"/>
  <c r="C155" i="21"/>
  <c r="C156" i="21"/>
  <c r="C157" i="21"/>
  <c r="C158" i="21"/>
  <c r="C159" i="21"/>
  <c r="C160" i="21"/>
  <c r="C161" i="21"/>
  <c r="C162" i="21"/>
  <c r="D162" i="21" s="1"/>
  <c r="C163" i="21"/>
  <c r="C164" i="21"/>
  <c r="C165" i="21"/>
  <c r="C166" i="21"/>
  <c r="C167" i="21"/>
  <c r="C168" i="21"/>
  <c r="C169" i="21"/>
  <c r="C170" i="21"/>
  <c r="D170" i="21" s="1"/>
  <c r="C171" i="21"/>
  <c r="C172" i="21"/>
  <c r="C173" i="21"/>
  <c r="C174" i="21"/>
  <c r="C175" i="21"/>
  <c r="D175" i="21" s="1"/>
  <c r="C176" i="21"/>
  <c r="C177" i="21"/>
  <c r="C178" i="21"/>
  <c r="D178" i="21" s="1"/>
  <c r="C179" i="21"/>
  <c r="C180" i="21"/>
  <c r="C181" i="21"/>
  <c r="C182" i="21"/>
  <c r="C183" i="21"/>
  <c r="D183" i="21" s="1"/>
  <c r="C184" i="21"/>
  <c r="C185" i="21"/>
  <c r="C186" i="21"/>
  <c r="C187" i="21"/>
  <c r="C188" i="21"/>
  <c r="C189" i="21"/>
  <c r="C190" i="21"/>
  <c r="C191" i="21"/>
  <c r="D191" i="21" s="1"/>
  <c r="C192" i="21"/>
  <c r="C193" i="21"/>
  <c r="C194" i="21"/>
  <c r="D194" i="21" s="1"/>
  <c r="C195" i="21"/>
  <c r="C196" i="21"/>
  <c r="C197" i="21"/>
  <c r="C198" i="21"/>
  <c r="C199" i="21"/>
  <c r="D199" i="21" s="1"/>
  <c r="C200" i="21"/>
  <c r="C201" i="21"/>
  <c r="C202" i="21"/>
  <c r="D202" i="21" s="1"/>
  <c r="C203" i="21"/>
  <c r="C204" i="21"/>
  <c r="C205" i="21"/>
  <c r="C206" i="21"/>
  <c r="C207" i="21"/>
  <c r="D207" i="21" s="1"/>
  <c r="C208" i="21"/>
  <c r="C209" i="21"/>
  <c r="C210" i="21"/>
  <c r="D210" i="21" s="1"/>
  <c r="C211" i="21"/>
  <c r="C212" i="21"/>
  <c r="C213" i="21"/>
  <c r="C214" i="21"/>
  <c r="C215" i="21"/>
  <c r="D215" i="21" s="1"/>
  <c r="C216" i="21"/>
  <c r="C217" i="21"/>
  <c r="D217" i="21" s="1"/>
  <c r="C218" i="21"/>
  <c r="D218" i="21" s="1"/>
  <c r="C219" i="21"/>
  <c r="C220" i="21"/>
  <c r="C221" i="21"/>
  <c r="C222" i="21"/>
  <c r="C223" i="21"/>
  <c r="D223" i="21" s="1"/>
  <c r="C224" i="21"/>
  <c r="C225" i="21"/>
  <c r="D225" i="21" s="1"/>
  <c r="C226" i="21"/>
  <c r="D226" i="21" s="1"/>
  <c r="C227" i="21"/>
  <c r="C228" i="21"/>
  <c r="C229" i="21"/>
  <c r="C230" i="21"/>
  <c r="C231" i="21"/>
  <c r="C232" i="21"/>
  <c r="C233" i="21"/>
  <c r="D233" i="21" s="1"/>
  <c r="C234" i="21"/>
  <c r="D234" i="21" s="1"/>
  <c r="C235" i="21"/>
  <c r="C236" i="21"/>
  <c r="C237" i="21"/>
  <c r="C238" i="21"/>
  <c r="C239" i="21"/>
  <c r="D239" i="21" s="1"/>
  <c r="C240" i="21"/>
  <c r="C241" i="21"/>
  <c r="D241" i="21" s="1"/>
  <c r="C242" i="21"/>
  <c r="D242" i="21" s="1"/>
  <c r="C243" i="21"/>
  <c r="C244" i="21"/>
  <c r="C245" i="21"/>
  <c r="C246" i="21"/>
  <c r="C247" i="21"/>
  <c r="D247" i="21" s="1"/>
  <c r="C248" i="21"/>
  <c r="C249" i="21"/>
  <c r="D249" i="21" s="1"/>
  <c r="C250" i="21"/>
  <c r="D250" i="21" s="1"/>
  <c r="C251" i="21"/>
  <c r="C252" i="21"/>
  <c r="C253" i="21"/>
  <c r="C254" i="21"/>
  <c r="C255" i="21"/>
  <c r="D255" i="21" s="1"/>
  <c r="C256" i="21"/>
  <c r="C257" i="21"/>
  <c r="C258" i="21"/>
  <c r="C259" i="21"/>
  <c r="C260" i="21"/>
  <c r="C261" i="21"/>
  <c r="C262" i="21"/>
  <c r="C263" i="21"/>
  <c r="C264" i="21"/>
  <c r="C265" i="21"/>
  <c r="C266" i="21"/>
  <c r="D266" i="21" s="1"/>
  <c r="C267" i="21"/>
  <c r="C268" i="21"/>
  <c r="C269" i="21"/>
  <c r="C270" i="21"/>
  <c r="C271" i="21"/>
  <c r="C272" i="21"/>
  <c r="C273" i="21"/>
  <c r="C274" i="21"/>
  <c r="D274" i="21" s="1"/>
  <c r="C275" i="21"/>
  <c r="C276" i="21"/>
  <c r="C277" i="21"/>
  <c r="C278" i="21"/>
  <c r="C279" i="21"/>
  <c r="C280" i="21"/>
  <c r="C281" i="21"/>
  <c r="C282" i="21"/>
  <c r="D282" i="21" s="1"/>
  <c r="C283" i="21"/>
  <c r="C284" i="21"/>
  <c r="C285" i="21"/>
  <c r="C286" i="21"/>
  <c r="C287" i="21"/>
  <c r="D287" i="21" s="1"/>
  <c r="C288" i="21"/>
  <c r="C289" i="21"/>
  <c r="D289" i="21" s="1"/>
  <c r="C290" i="21"/>
  <c r="C291" i="21"/>
  <c r="C292" i="21"/>
  <c r="C293" i="21"/>
  <c r="C294" i="21"/>
  <c r="C295" i="21"/>
  <c r="C296" i="21"/>
  <c r="C297" i="21"/>
  <c r="D297" i="21" s="1"/>
  <c r="C298" i="21"/>
  <c r="D298" i="21" s="1"/>
  <c r="C299" i="21"/>
  <c r="C300" i="21"/>
  <c r="C301" i="21"/>
  <c r="C302" i="21"/>
  <c r="C303" i="21"/>
  <c r="D303" i="21" s="1"/>
  <c r="C304" i="21"/>
  <c r="C305" i="21"/>
  <c r="C306" i="21"/>
  <c r="D306" i="21" s="1"/>
  <c r="C307" i="21"/>
  <c r="C308" i="21"/>
  <c r="C309" i="21"/>
  <c r="C310" i="21"/>
  <c r="C311" i="21"/>
  <c r="D311" i="21" s="1"/>
  <c r="C312" i="21"/>
  <c r="C313" i="21"/>
  <c r="D313" i="21" s="1"/>
  <c r="C314" i="21"/>
  <c r="D314" i="21" s="1"/>
  <c r="C315" i="21"/>
  <c r="C316" i="21"/>
  <c r="C317" i="21"/>
  <c r="C318" i="21"/>
  <c r="C319" i="21"/>
  <c r="D319" i="21" s="1"/>
  <c r="C320" i="21"/>
  <c r="C321" i="21"/>
  <c r="C322" i="21"/>
  <c r="C323" i="21"/>
  <c r="C324" i="21"/>
  <c r="C325" i="21"/>
  <c r="C326" i="21"/>
  <c r="C327" i="21"/>
  <c r="D327" i="21" s="1"/>
  <c r="C328" i="21"/>
  <c r="C329" i="21"/>
  <c r="C330" i="21"/>
  <c r="D330" i="21" s="1"/>
  <c r="C331" i="21"/>
  <c r="C332" i="21"/>
  <c r="C333" i="21"/>
  <c r="C334" i="21"/>
  <c r="C335" i="21"/>
  <c r="D335" i="21" s="1"/>
  <c r="C336" i="21"/>
  <c r="C337" i="21"/>
  <c r="D337" i="21" s="1"/>
  <c r="C338" i="21"/>
  <c r="D338" i="21" s="1"/>
  <c r="C339" i="21"/>
  <c r="C340" i="21"/>
  <c r="C341" i="21"/>
  <c r="C342" i="21"/>
  <c r="C343" i="21"/>
  <c r="C344" i="21"/>
  <c r="C345" i="21"/>
  <c r="D345" i="21" s="1"/>
  <c r="C346" i="21"/>
  <c r="D346" i="21" s="1"/>
  <c r="C347" i="21"/>
  <c r="C348" i="21"/>
  <c r="C349" i="21"/>
  <c r="C350" i="21"/>
  <c r="C351" i="21"/>
  <c r="D351" i="21" s="1"/>
  <c r="C352" i="21"/>
  <c r="D352" i="21" s="1"/>
  <c r="C353" i="21"/>
  <c r="D353" i="21" s="1"/>
  <c r="C354" i="21"/>
  <c r="D354" i="21" s="1"/>
  <c r="C355" i="21"/>
  <c r="C356" i="21"/>
  <c r="C357" i="21"/>
  <c r="C358" i="21"/>
  <c r="C359" i="21"/>
  <c r="D359" i="21" s="1"/>
  <c r="C360" i="21"/>
  <c r="C361" i="21"/>
  <c r="D361" i="21" s="1"/>
  <c r="C362" i="21"/>
  <c r="D362" i="21" s="1"/>
  <c r="C363" i="21"/>
  <c r="C364" i="21"/>
  <c r="C365" i="21"/>
  <c r="C366" i="21"/>
  <c r="C367" i="21"/>
  <c r="D367" i="21" s="1"/>
  <c r="C368" i="21"/>
  <c r="C369" i="21"/>
  <c r="C370" i="21"/>
  <c r="D370" i="21" s="1"/>
  <c r="C371" i="21"/>
  <c r="C372" i="21"/>
  <c r="C373" i="21"/>
  <c r="C374" i="21"/>
  <c r="C375" i="21"/>
  <c r="C376" i="21"/>
  <c r="C377" i="21"/>
  <c r="D377" i="21" s="1"/>
  <c r="C378" i="21"/>
  <c r="D378" i="21" s="1"/>
  <c r="C379" i="21"/>
  <c r="C380" i="21"/>
  <c r="C381" i="21"/>
  <c r="C382" i="21"/>
  <c r="C383" i="21"/>
  <c r="D383" i="21" s="1"/>
  <c r="C384" i="21"/>
  <c r="C385" i="21"/>
  <c r="D385" i="21" s="1"/>
  <c r="C386" i="21"/>
  <c r="D386" i="21" s="1"/>
  <c r="C387" i="21"/>
  <c r="C388" i="21"/>
  <c r="C389" i="21"/>
  <c r="C390" i="21"/>
  <c r="C391" i="21"/>
  <c r="D391" i="21" s="1"/>
  <c r="C392" i="21"/>
  <c r="C393" i="21"/>
  <c r="D393" i="21" s="1"/>
  <c r="C394" i="21"/>
  <c r="D394" i="21" s="1"/>
  <c r="C395" i="21"/>
  <c r="C396" i="21"/>
  <c r="C397" i="21"/>
  <c r="C398" i="21"/>
  <c r="C399" i="21"/>
  <c r="C400" i="21"/>
  <c r="C401" i="21"/>
  <c r="D401" i="21" s="1"/>
  <c r="C402" i="21"/>
  <c r="D402" i="21" s="1"/>
  <c r="C403" i="21"/>
  <c r="C404" i="21"/>
  <c r="C2" i="21"/>
  <c r="A3" i="21"/>
  <c r="A4" i="21"/>
  <c r="A5" i="21"/>
  <c r="A6" i="21"/>
  <c r="A7" i="21"/>
  <c r="A8" i="21"/>
  <c r="A9" i="21"/>
  <c r="A10" i="21"/>
  <c r="A11" i="21"/>
  <c r="A12" i="21"/>
  <c r="A13" i="21"/>
  <c r="A14" i="21"/>
  <c r="A15" i="21"/>
  <c r="A16" i="21"/>
  <c r="A17" i="21"/>
  <c r="A18" i="21"/>
  <c r="A19" i="21"/>
  <c r="A20" i="21"/>
  <c r="A21" i="21"/>
  <c r="A22" i="21"/>
  <c r="A23" i="21"/>
  <c r="A24" i="21"/>
  <c r="A25" i="21"/>
  <c r="B25" i="21" s="1"/>
  <c r="A26" i="21"/>
  <c r="A27" i="21"/>
  <c r="A28" i="21"/>
  <c r="A29" i="21"/>
  <c r="A30" i="21"/>
  <c r="A31" i="21"/>
  <c r="A32" i="21"/>
  <c r="A33" i="21"/>
  <c r="B33" i="21" s="1"/>
  <c r="A34" i="21"/>
  <c r="A35" i="21"/>
  <c r="A36" i="21"/>
  <c r="A37" i="21"/>
  <c r="A38" i="21"/>
  <c r="A39" i="21"/>
  <c r="A40" i="21"/>
  <c r="A41" i="21"/>
  <c r="A42" i="21"/>
  <c r="A43" i="21"/>
  <c r="A44" i="21"/>
  <c r="A45" i="21"/>
  <c r="A46" i="21"/>
  <c r="A47" i="21"/>
  <c r="A48" i="21"/>
  <c r="A49" i="21"/>
  <c r="B49" i="21" s="1"/>
  <c r="A50" i="21"/>
  <c r="A51" i="21"/>
  <c r="A52" i="21"/>
  <c r="A53" i="21"/>
  <c r="A54" i="21"/>
  <c r="A55" i="21"/>
  <c r="A56" i="21"/>
  <c r="A57" i="21"/>
  <c r="B57" i="21" s="1"/>
  <c r="A58" i="21"/>
  <c r="A59" i="21"/>
  <c r="A60" i="21"/>
  <c r="A61" i="21"/>
  <c r="A62" i="21"/>
  <c r="A63" i="21"/>
  <c r="A64" i="21"/>
  <c r="A65" i="21"/>
  <c r="B65" i="21" s="1"/>
  <c r="A66" i="21"/>
  <c r="A67" i="21"/>
  <c r="A68" i="21"/>
  <c r="A69" i="21"/>
  <c r="A70" i="21"/>
  <c r="A71" i="21"/>
  <c r="A72" i="21"/>
  <c r="A73" i="21"/>
  <c r="B73" i="21" s="1"/>
  <c r="A74" i="21"/>
  <c r="A75" i="21"/>
  <c r="A76" i="21"/>
  <c r="A77" i="21"/>
  <c r="A78" i="21"/>
  <c r="A79" i="21"/>
  <c r="A80" i="21"/>
  <c r="A81" i="21"/>
  <c r="B81" i="21" s="1"/>
  <c r="A82" i="21"/>
  <c r="A83" i="21"/>
  <c r="A84" i="21"/>
  <c r="A85" i="21"/>
  <c r="A86" i="21"/>
  <c r="A87" i="21"/>
  <c r="A88" i="21"/>
  <c r="A89" i="21"/>
  <c r="B89" i="21" s="1"/>
  <c r="A90" i="21"/>
  <c r="A91" i="21"/>
  <c r="A92" i="21"/>
  <c r="A93" i="21"/>
  <c r="A94" i="21"/>
  <c r="A95" i="21"/>
  <c r="A96" i="21"/>
  <c r="A97" i="21"/>
  <c r="B97" i="21" s="1"/>
  <c r="A98" i="21"/>
  <c r="A99" i="21"/>
  <c r="A100" i="21"/>
  <c r="A101" i="21"/>
  <c r="A102" i="21"/>
  <c r="A103" i="21"/>
  <c r="A104" i="21"/>
  <c r="A105" i="21"/>
  <c r="B105" i="21" s="1"/>
  <c r="A106" i="21"/>
  <c r="A107" i="21"/>
  <c r="A108" i="21"/>
  <c r="A109" i="21"/>
  <c r="A110" i="21"/>
  <c r="A111" i="21"/>
  <c r="A112" i="21"/>
  <c r="A113" i="21"/>
  <c r="B113" i="21" s="1"/>
  <c r="A114" i="21"/>
  <c r="A115" i="21"/>
  <c r="A116" i="21"/>
  <c r="A117" i="21"/>
  <c r="A118" i="21"/>
  <c r="A119" i="21"/>
  <c r="A120" i="21"/>
  <c r="A121" i="21"/>
  <c r="B121" i="21" s="1"/>
  <c r="A122" i="21"/>
  <c r="A123" i="21"/>
  <c r="A124" i="21"/>
  <c r="A125" i="21"/>
  <c r="A126" i="21"/>
  <c r="A127" i="21"/>
  <c r="A128" i="21"/>
  <c r="A129" i="21"/>
  <c r="B129" i="21" s="1"/>
  <c r="A130" i="21"/>
  <c r="A131" i="21"/>
  <c r="A132" i="21"/>
  <c r="A133" i="21"/>
  <c r="A134" i="21"/>
  <c r="A135" i="21"/>
  <c r="A136" i="21"/>
  <c r="A137" i="21"/>
  <c r="B137" i="21" s="1"/>
  <c r="A138" i="21"/>
  <c r="A139" i="21"/>
  <c r="A140" i="21"/>
  <c r="A141" i="21"/>
  <c r="A142" i="21"/>
  <c r="A143" i="21"/>
  <c r="A144" i="21"/>
  <c r="A145" i="21"/>
  <c r="B145" i="21" s="1"/>
  <c r="A146" i="21"/>
  <c r="A147" i="21"/>
  <c r="A148" i="21"/>
  <c r="A149" i="21"/>
  <c r="A150" i="21"/>
  <c r="A151" i="21"/>
  <c r="A152" i="21"/>
  <c r="A153" i="21"/>
  <c r="B153" i="21" s="1"/>
  <c r="A154" i="21"/>
  <c r="A155" i="21"/>
  <c r="A156" i="21"/>
  <c r="A157" i="21"/>
  <c r="A158" i="21"/>
  <c r="A159" i="21"/>
  <c r="A160" i="21"/>
  <c r="A161" i="21"/>
  <c r="B161" i="21" s="1"/>
  <c r="A162" i="21"/>
  <c r="A163" i="21"/>
  <c r="A164" i="21"/>
  <c r="A165" i="21"/>
  <c r="A166" i="21"/>
  <c r="A167" i="21"/>
  <c r="A168" i="21"/>
  <c r="A169" i="21"/>
  <c r="B169" i="21" s="1"/>
  <c r="A170" i="21"/>
  <c r="A171" i="21"/>
  <c r="A172" i="21"/>
  <c r="A173" i="21"/>
  <c r="A174" i="21"/>
  <c r="A175" i="21"/>
  <c r="A176" i="21"/>
  <c r="A177" i="21"/>
  <c r="B177" i="21" s="1"/>
  <c r="A178" i="21"/>
  <c r="A179" i="21"/>
  <c r="A180" i="21"/>
  <c r="A181" i="21"/>
  <c r="A182" i="21"/>
  <c r="A183" i="21"/>
  <c r="A184" i="21"/>
  <c r="A185" i="21"/>
  <c r="B185" i="21" s="1"/>
  <c r="A186" i="21"/>
  <c r="A187" i="21"/>
  <c r="A188" i="21"/>
  <c r="A189" i="21"/>
  <c r="A190" i="21"/>
  <c r="A191" i="21"/>
  <c r="A192" i="21"/>
  <c r="A193" i="21"/>
  <c r="B193" i="21" s="1"/>
  <c r="A194" i="21"/>
  <c r="A195" i="21"/>
  <c r="A196" i="21"/>
  <c r="A197" i="21"/>
  <c r="A198" i="21"/>
  <c r="A199" i="21"/>
  <c r="A200" i="21"/>
  <c r="A201" i="21"/>
  <c r="B201" i="21" s="1"/>
  <c r="A202" i="21"/>
  <c r="A203" i="21"/>
  <c r="A204" i="21"/>
  <c r="A205" i="21"/>
  <c r="A206" i="21"/>
  <c r="A207" i="21"/>
  <c r="A208" i="21"/>
  <c r="A209" i="21"/>
  <c r="B209" i="21" s="1"/>
  <c r="A210" i="21"/>
  <c r="A211" i="21"/>
  <c r="A212" i="21"/>
  <c r="A213" i="21"/>
  <c r="A214" i="21"/>
  <c r="A215" i="21"/>
  <c r="A216" i="21"/>
  <c r="A217" i="21"/>
  <c r="A218" i="21"/>
  <c r="A219" i="21"/>
  <c r="A220" i="21"/>
  <c r="A221" i="21"/>
  <c r="A222" i="21"/>
  <c r="A223" i="21"/>
  <c r="A224" i="21"/>
  <c r="A225" i="21"/>
  <c r="B225" i="21" s="1"/>
  <c r="A226" i="21"/>
  <c r="A227" i="21"/>
  <c r="A228" i="21"/>
  <c r="A229" i="21"/>
  <c r="A230" i="21"/>
  <c r="A231" i="21"/>
  <c r="A232" i="21"/>
  <c r="A233" i="21"/>
  <c r="B233" i="21" s="1"/>
  <c r="A234" i="21"/>
  <c r="A235" i="21"/>
  <c r="A236" i="21"/>
  <c r="A237" i="21"/>
  <c r="A238" i="21"/>
  <c r="A239" i="21"/>
  <c r="A240" i="21"/>
  <c r="A241" i="21"/>
  <c r="A242" i="21"/>
  <c r="A243" i="21"/>
  <c r="A244" i="21"/>
  <c r="A245" i="21"/>
  <c r="A246" i="21"/>
  <c r="A247" i="21"/>
  <c r="A248" i="21"/>
  <c r="A249" i="21"/>
  <c r="B249" i="21" s="1"/>
  <c r="A250" i="21"/>
  <c r="A251" i="21"/>
  <c r="A252" i="21"/>
  <c r="A253" i="21"/>
  <c r="A254" i="21"/>
  <c r="A255" i="21"/>
  <c r="A256" i="21"/>
  <c r="A257" i="21"/>
  <c r="B257" i="21" s="1"/>
  <c r="A258" i="21"/>
  <c r="A259" i="21"/>
  <c r="A260" i="21"/>
  <c r="A261" i="21"/>
  <c r="A262" i="21"/>
  <c r="A263" i="21"/>
  <c r="A264" i="21"/>
  <c r="A265" i="21"/>
  <c r="B265" i="21" s="1"/>
  <c r="A266" i="21"/>
  <c r="A267" i="21"/>
  <c r="A268" i="21"/>
  <c r="A269" i="21"/>
  <c r="A270" i="21"/>
  <c r="A271" i="21"/>
  <c r="A272" i="21"/>
  <c r="A273" i="21"/>
  <c r="B273" i="21" s="1"/>
  <c r="A274" i="21"/>
  <c r="A275" i="21"/>
  <c r="A276" i="21"/>
  <c r="A277" i="21"/>
  <c r="A278" i="21"/>
  <c r="A279" i="21"/>
  <c r="A280" i="21"/>
  <c r="A281" i="21"/>
  <c r="B281" i="21" s="1"/>
  <c r="A282" i="21"/>
  <c r="A283" i="21"/>
  <c r="A284" i="21"/>
  <c r="A285" i="21"/>
  <c r="A286" i="21"/>
  <c r="A287" i="21"/>
  <c r="A288" i="21"/>
  <c r="A289" i="21"/>
  <c r="B289" i="21" s="1"/>
  <c r="A290" i="21"/>
  <c r="A291" i="21"/>
  <c r="A292" i="21"/>
  <c r="A293" i="21"/>
  <c r="A294" i="21"/>
  <c r="A295" i="21"/>
  <c r="A296" i="21"/>
  <c r="A297" i="21"/>
  <c r="B297" i="21" s="1"/>
  <c r="A298" i="21"/>
  <c r="A299" i="21"/>
  <c r="A300" i="21"/>
  <c r="A301" i="21"/>
  <c r="A302" i="21"/>
  <c r="A303" i="21"/>
  <c r="A304" i="21"/>
  <c r="A305" i="21"/>
  <c r="B305" i="21" s="1"/>
  <c r="A306" i="21"/>
  <c r="A307" i="21"/>
  <c r="A308" i="21"/>
  <c r="A309" i="21"/>
  <c r="A310" i="21"/>
  <c r="A311" i="21"/>
  <c r="A312" i="21"/>
  <c r="A313" i="21"/>
  <c r="B313" i="21" s="1"/>
  <c r="A314" i="21"/>
  <c r="A315" i="21"/>
  <c r="A316" i="21"/>
  <c r="A317" i="21"/>
  <c r="A318" i="21"/>
  <c r="A319" i="21"/>
  <c r="A320" i="21"/>
  <c r="A321" i="21"/>
  <c r="B321" i="21" s="1"/>
  <c r="A322" i="21"/>
  <c r="A323" i="21"/>
  <c r="A324" i="21"/>
  <c r="A325" i="21"/>
  <c r="A326" i="21"/>
  <c r="A327" i="21"/>
  <c r="A328" i="21"/>
  <c r="A329" i="21"/>
  <c r="B329" i="21" s="1"/>
  <c r="A330" i="21"/>
  <c r="A331" i="21"/>
  <c r="A332" i="21"/>
  <c r="B332" i="21" s="1"/>
  <c r="A333" i="21"/>
  <c r="A334" i="21"/>
  <c r="A335" i="21"/>
  <c r="A336" i="21"/>
  <c r="A337" i="21"/>
  <c r="B337" i="21" s="1"/>
  <c r="A338" i="21"/>
  <c r="A339" i="21"/>
  <c r="A340" i="21"/>
  <c r="A341" i="21"/>
  <c r="A342" i="21"/>
  <c r="A343" i="21"/>
  <c r="A344" i="21"/>
  <c r="A345" i="21"/>
  <c r="B345" i="21" s="1"/>
  <c r="A346" i="21"/>
  <c r="A347" i="21"/>
  <c r="A348" i="21"/>
  <c r="B348" i="21" s="1"/>
  <c r="A349" i="21"/>
  <c r="A350" i="21"/>
  <c r="A351" i="21"/>
  <c r="A352" i="21"/>
  <c r="A353" i="21"/>
  <c r="B353" i="21" s="1"/>
  <c r="A354" i="21"/>
  <c r="A355" i="21"/>
  <c r="B355" i="21" s="1"/>
  <c r="A356" i="21"/>
  <c r="B356" i="21" s="1"/>
  <c r="A357" i="21"/>
  <c r="A358" i="21"/>
  <c r="A359" i="21"/>
  <c r="A360" i="21"/>
  <c r="A361" i="21"/>
  <c r="B361" i="21" s="1"/>
  <c r="A362" i="21"/>
  <c r="A363" i="21"/>
  <c r="B363" i="21" s="1"/>
  <c r="I363" i="21" s="1"/>
  <c r="A364" i="21"/>
  <c r="A365" i="21"/>
  <c r="A366" i="21"/>
  <c r="A367" i="21"/>
  <c r="A368" i="21"/>
  <c r="A369" i="21"/>
  <c r="A370" i="21"/>
  <c r="A371" i="21"/>
  <c r="B371" i="21" s="1"/>
  <c r="A372" i="21"/>
  <c r="B372" i="21" s="1"/>
  <c r="A373" i="21"/>
  <c r="A374" i="21"/>
  <c r="A375" i="21"/>
  <c r="A376" i="21"/>
  <c r="A377" i="21"/>
  <c r="B377" i="21" s="1"/>
  <c r="A378" i="21"/>
  <c r="A379" i="21"/>
  <c r="B379" i="21" s="1"/>
  <c r="I379" i="21" s="1"/>
  <c r="A380" i="21"/>
  <c r="B380" i="21" s="1"/>
  <c r="A381" i="21"/>
  <c r="A382" i="21"/>
  <c r="A383" i="21"/>
  <c r="A384" i="21"/>
  <c r="A385" i="21"/>
  <c r="B385" i="21" s="1"/>
  <c r="A386" i="21"/>
  <c r="A387" i="21"/>
  <c r="B387" i="21" s="1"/>
  <c r="I387" i="21" s="1"/>
  <c r="A388" i="21"/>
  <c r="A389" i="21"/>
  <c r="A390" i="21"/>
  <c r="B390" i="21" s="1"/>
  <c r="A391" i="21"/>
  <c r="A392" i="21"/>
  <c r="A393" i="21"/>
  <c r="B393" i="21" s="1"/>
  <c r="A394" i="21"/>
  <c r="A395" i="21"/>
  <c r="B395" i="21" s="1"/>
  <c r="A396" i="21"/>
  <c r="B396" i="21" s="1"/>
  <c r="A397" i="21"/>
  <c r="A398" i="21"/>
  <c r="A399" i="21"/>
  <c r="A400" i="21"/>
  <c r="A401" i="21"/>
  <c r="B401" i="21" s="1"/>
  <c r="A402" i="21"/>
  <c r="A403" i="21"/>
  <c r="A404" i="21"/>
  <c r="A2" i="21"/>
  <c r="AP404" i="21"/>
  <c r="AJ404" i="21"/>
  <c r="AH404" i="21"/>
  <c r="AF404" i="21"/>
  <c r="AD404" i="21"/>
  <c r="AB404" i="21"/>
  <c r="Z404" i="21"/>
  <c r="X404" i="21"/>
  <c r="V404" i="21"/>
  <c r="R404" i="21"/>
  <c r="P404" i="21"/>
  <c r="N404" i="21"/>
  <c r="L404" i="21"/>
  <c r="S404" i="21" s="1"/>
  <c r="H404" i="21"/>
  <c r="F404" i="21"/>
  <c r="D404" i="21"/>
  <c r="B404" i="21"/>
  <c r="I404" i="21" s="1"/>
  <c r="AR403" i="21"/>
  <c r="AS403" i="21"/>
  <c r="AP403" i="21"/>
  <c r="AJ403" i="21"/>
  <c r="AH403" i="21"/>
  <c r="AF403" i="21"/>
  <c r="AD403" i="21"/>
  <c r="Z403" i="21"/>
  <c r="R403" i="21"/>
  <c r="P403" i="21"/>
  <c r="N403" i="21"/>
  <c r="H403" i="21"/>
  <c r="J403" i="21" s="1"/>
  <c r="D403" i="21"/>
  <c r="B403" i="21"/>
  <c r="AS402" i="21"/>
  <c r="AR402" i="21"/>
  <c r="AP402" i="21"/>
  <c r="AJ402" i="21"/>
  <c r="AH402" i="21"/>
  <c r="AF402" i="21"/>
  <c r="AD402" i="21"/>
  <c r="Z402" i="21"/>
  <c r="V402" i="21"/>
  <c r="AK402" i="21" s="1"/>
  <c r="R402" i="21"/>
  <c r="T402" i="21" s="1"/>
  <c r="P402" i="21"/>
  <c r="N402" i="21"/>
  <c r="L402" i="21"/>
  <c r="S402" i="21" s="1"/>
  <c r="F402" i="21"/>
  <c r="B402" i="21"/>
  <c r="AB401" i="21"/>
  <c r="X401" i="21"/>
  <c r="AR400" i="21"/>
  <c r="AJ400" i="21"/>
  <c r="AH400" i="21"/>
  <c r="AF400" i="21"/>
  <c r="AD400" i="21"/>
  <c r="AB400" i="21"/>
  <c r="X400" i="21"/>
  <c r="AL400" i="21" s="1"/>
  <c r="V400" i="21"/>
  <c r="L400" i="21"/>
  <c r="F400" i="21"/>
  <c r="D400" i="21"/>
  <c r="B400" i="21"/>
  <c r="AR399" i="21"/>
  <c r="AS399" i="21"/>
  <c r="AP399" i="21"/>
  <c r="AJ399" i="21"/>
  <c r="AH399" i="21"/>
  <c r="AF399" i="21"/>
  <c r="AD399" i="21"/>
  <c r="Z399" i="21"/>
  <c r="X399" i="21"/>
  <c r="V399" i="21"/>
  <c r="R399" i="21"/>
  <c r="P399" i="21"/>
  <c r="N399" i="21"/>
  <c r="T399" i="21" s="1"/>
  <c r="L399" i="21"/>
  <c r="S399" i="21" s="1"/>
  <c r="D399" i="21"/>
  <c r="B399" i="21"/>
  <c r="AP398" i="21"/>
  <c r="AJ398" i="21"/>
  <c r="AH398" i="21"/>
  <c r="AF398" i="21"/>
  <c r="AD398" i="21"/>
  <c r="AB398" i="21"/>
  <c r="Z398" i="21"/>
  <c r="X398" i="21"/>
  <c r="V398" i="21"/>
  <c r="R398" i="21"/>
  <c r="P398" i="21"/>
  <c r="N398" i="21"/>
  <c r="L398" i="21"/>
  <c r="S398" i="21" s="1"/>
  <c r="H398" i="21"/>
  <c r="F398" i="21"/>
  <c r="D398" i="21"/>
  <c r="B398" i="21"/>
  <c r="AS397" i="21"/>
  <c r="AR397" i="21"/>
  <c r="AP397" i="21"/>
  <c r="AJ397" i="21"/>
  <c r="AH397" i="21"/>
  <c r="AF397" i="21"/>
  <c r="AD397" i="21"/>
  <c r="AB397" i="21"/>
  <c r="Z397" i="21"/>
  <c r="X397" i="21"/>
  <c r="V397" i="21"/>
  <c r="R397" i="21"/>
  <c r="P397" i="21"/>
  <c r="N397" i="21"/>
  <c r="T397" i="21" s="1"/>
  <c r="L397" i="21"/>
  <c r="S397" i="21" s="1"/>
  <c r="H397" i="21"/>
  <c r="F397" i="21"/>
  <c r="D397" i="21"/>
  <c r="B397" i="21"/>
  <c r="AP396" i="21"/>
  <c r="AJ396" i="21"/>
  <c r="AH396" i="21"/>
  <c r="AF396" i="21"/>
  <c r="AD396" i="21"/>
  <c r="AB396" i="21"/>
  <c r="Z396" i="21"/>
  <c r="X396" i="21"/>
  <c r="R396" i="21"/>
  <c r="P396" i="21"/>
  <c r="N396" i="21"/>
  <c r="T396" i="21" s="1"/>
  <c r="L396" i="21"/>
  <c r="S396" i="21" s="1"/>
  <c r="H396" i="21"/>
  <c r="F396" i="21"/>
  <c r="D396" i="21"/>
  <c r="J396" i="21" s="1"/>
  <c r="AR395" i="21"/>
  <c r="AS395" i="21"/>
  <c r="AP395" i="21"/>
  <c r="AJ395" i="21"/>
  <c r="AH395" i="21"/>
  <c r="AF395" i="21"/>
  <c r="AD395" i="21"/>
  <c r="Z395" i="21"/>
  <c r="X395" i="21"/>
  <c r="V395" i="21"/>
  <c r="R395" i="21"/>
  <c r="P395" i="21"/>
  <c r="N395" i="21"/>
  <c r="T395" i="21" s="1"/>
  <c r="L395" i="21"/>
  <c r="H395" i="21"/>
  <c r="F395" i="21"/>
  <c r="D395" i="21"/>
  <c r="AS394" i="21"/>
  <c r="AR394" i="21"/>
  <c r="AP394" i="21"/>
  <c r="AJ394" i="21"/>
  <c r="AH394" i="21"/>
  <c r="AF394" i="21"/>
  <c r="AD394" i="21"/>
  <c r="Z394" i="21"/>
  <c r="V394" i="21"/>
  <c r="R394" i="21"/>
  <c r="P394" i="21"/>
  <c r="N394" i="21"/>
  <c r="T394" i="21" s="1"/>
  <c r="L394" i="21"/>
  <c r="S394" i="21" s="1"/>
  <c r="F394" i="21"/>
  <c r="B394" i="21"/>
  <c r="AS393" i="21"/>
  <c r="AB393" i="21"/>
  <c r="X393" i="21"/>
  <c r="L393" i="21"/>
  <c r="AR392" i="21"/>
  <c r="AJ392" i="21"/>
  <c r="AH392" i="21"/>
  <c r="AF392" i="21"/>
  <c r="AD392" i="21"/>
  <c r="AB392" i="21"/>
  <c r="X392" i="21"/>
  <c r="V392" i="21"/>
  <c r="R392" i="21"/>
  <c r="L392" i="21"/>
  <c r="F392" i="21"/>
  <c r="D392" i="21"/>
  <c r="B392" i="21"/>
  <c r="I392" i="21" s="1"/>
  <c r="AR391" i="21"/>
  <c r="AS391" i="21"/>
  <c r="AP391" i="21"/>
  <c r="AJ391" i="21"/>
  <c r="AH391" i="21"/>
  <c r="AF391" i="21"/>
  <c r="AD391" i="21"/>
  <c r="AB391" i="21"/>
  <c r="Z391" i="21"/>
  <c r="X391" i="21"/>
  <c r="V391" i="21"/>
  <c r="T391" i="21"/>
  <c r="R391" i="21"/>
  <c r="P391" i="21"/>
  <c r="N391" i="21"/>
  <c r="L391" i="21"/>
  <c r="S391" i="21" s="1"/>
  <c r="F391" i="21"/>
  <c r="B391" i="21"/>
  <c r="I391" i="21" s="1"/>
  <c r="AP390" i="21"/>
  <c r="AJ390" i="21"/>
  <c r="AH390" i="21"/>
  <c r="AF390" i="21"/>
  <c r="AD390" i="21"/>
  <c r="AB390" i="21"/>
  <c r="Z390" i="21"/>
  <c r="X390" i="21"/>
  <c r="V390" i="21"/>
  <c r="R390" i="21"/>
  <c r="P390" i="21"/>
  <c r="N390" i="21"/>
  <c r="L390" i="21"/>
  <c r="H390" i="21"/>
  <c r="F390" i="21"/>
  <c r="D390" i="21"/>
  <c r="AS389" i="21"/>
  <c r="AR389" i="21"/>
  <c r="AP389" i="21"/>
  <c r="AJ389" i="21"/>
  <c r="AH389" i="21"/>
  <c r="AF389" i="21"/>
  <c r="AD389" i="21"/>
  <c r="AB389" i="21"/>
  <c r="Z389" i="21"/>
  <c r="X389" i="21"/>
  <c r="V389" i="21"/>
  <c r="R389" i="21"/>
  <c r="P389" i="21"/>
  <c r="N389" i="21"/>
  <c r="T389" i="21" s="1"/>
  <c r="L389" i="21"/>
  <c r="H389" i="21"/>
  <c r="F389" i="21"/>
  <c r="D389" i="21"/>
  <c r="J389" i="21" s="1"/>
  <c r="B389" i="21"/>
  <c r="AP388" i="21"/>
  <c r="AJ388" i="21"/>
  <c r="AH388" i="21"/>
  <c r="AF388" i="21"/>
  <c r="AD388" i="21"/>
  <c r="AB388" i="21"/>
  <c r="Z388" i="21"/>
  <c r="X388" i="21"/>
  <c r="R388" i="21"/>
  <c r="P388" i="21"/>
  <c r="N388" i="21"/>
  <c r="L388" i="21"/>
  <c r="S388" i="21" s="1"/>
  <c r="H388" i="21"/>
  <c r="F388" i="21"/>
  <c r="D388" i="21"/>
  <c r="B388" i="21"/>
  <c r="AS387" i="21"/>
  <c r="AP387" i="21"/>
  <c r="AJ387" i="21"/>
  <c r="AH387" i="21"/>
  <c r="AF387" i="21"/>
  <c r="AD387" i="21"/>
  <c r="Z387" i="21"/>
  <c r="X387" i="21"/>
  <c r="V387" i="21"/>
  <c r="R387" i="21"/>
  <c r="P387" i="21"/>
  <c r="N387" i="21"/>
  <c r="T387" i="21" s="1"/>
  <c r="L387" i="21"/>
  <c r="H387" i="21"/>
  <c r="F387" i="21"/>
  <c r="D387" i="21"/>
  <c r="AS386" i="21"/>
  <c r="AR386" i="21"/>
  <c r="AP386" i="21"/>
  <c r="AJ386" i="21"/>
  <c r="AH386" i="21"/>
  <c r="AF386" i="21"/>
  <c r="AD386" i="21"/>
  <c r="Z386" i="21"/>
  <c r="V386" i="21"/>
  <c r="R386" i="21"/>
  <c r="P386" i="21"/>
  <c r="N386" i="21"/>
  <c r="L386" i="21"/>
  <c r="H386" i="21"/>
  <c r="F386" i="21"/>
  <c r="B386" i="21"/>
  <c r="AH385" i="21"/>
  <c r="AB385" i="21"/>
  <c r="Z385" i="21"/>
  <c r="X385" i="21"/>
  <c r="AR384" i="21"/>
  <c r="AJ384" i="21"/>
  <c r="AH384" i="21"/>
  <c r="AF384" i="21"/>
  <c r="AD384" i="21"/>
  <c r="AB384" i="21"/>
  <c r="Z384" i="21"/>
  <c r="X384" i="21"/>
  <c r="V384" i="21"/>
  <c r="R384" i="21"/>
  <c r="P384" i="21"/>
  <c r="L384" i="21"/>
  <c r="F384" i="21"/>
  <c r="D384" i="21"/>
  <c r="B384" i="21"/>
  <c r="AS383" i="21"/>
  <c r="AP383" i="21"/>
  <c r="AJ383" i="21"/>
  <c r="AH383" i="21"/>
  <c r="AF383" i="21"/>
  <c r="AD383" i="21"/>
  <c r="Z383" i="21"/>
  <c r="X383" i="21"/>
  <c r="V383" i="21"/>
  <c r="AK383" i="21" s="1"/>
  <c r="R383" i="21"/>
  <c r="P383" i="21"/>
  <c r="N383" i="21"/>
  <c r="L383" i="21"/>
  <c r="F383" i="21"/>
  <c r="B383" i="21"/>
  <c r="I383" i="21" s="1"/>
  <c r="AP382" i="21"/>
  <c r="AJ382" i="21"/>
  <c r="AH382" i="21"/>
  <c r="AF382" i="21"/>
  <c r="AD382" i="21"/>
  <c r="AB382" i="21"/>
  <c r="Z382" i="21"/>
  <c r="X382" i="21"/>
  <c r="V382" i="21"/>
  <c r="R382" i="21"/>
  <c r="T382" i="21" s="1"/>
  <c r="P382" i="21"/>
  <c r="N382" i="21"/>
  <c r="L382" i="21"/>
  <c r="F382" i="21"/>
  <c r="D382" i="21"/>
  <c r="B382" i="21"/>
  <c r="AS381" i="21"/>
  <c r="AR381" i="21"/>
  <c r="AP381" i="21"/>
  <c r="AJ381" i="21"/>
  <c r="AH381" i="21"/>
  <c r="AF381" i="21"/>
  <c r="AD381" i="21"/>
  <c r="AB381" i="21"/>
  <c r="Z381" i="21"/>
  <c r="X381" i="21"/>
  <c r="V381" i="21"/>
  <c r="R381" i="21"/>
  <c r="P381" i="21"/>
  <c r="N381" i="21"/>
  <c r="T381" i="21" s="1"/>
  <c r="L381" i="21"/>
  <c r="H381" i="21"/>
  <c r="F381" i="21"/>
  <c r="I381" i="21" s="1"/>
  <c r="D381" i="21"/>
  <c r="B381" i="21"/>
  <c r="AR380" i="21"/>
  <c r="AP380" i="21"/>
  <c r="AS380" i="21"/>
  <c r="AJ380" i="21"/>
  <c r="AH380" i="21"/>
  <c r="AF380" i="21"/>
  <c r="AD380" i="21"/>
  <c r="Z380" i="21"/>
  <c r="X380" i="21"/>
  <c r="R380" i="21"/>
  <c r="P380" i="21"/>
  <c r="N380" i="21"/>
  <c r="T380" i="21" s="1"/>
  <c r="L380" i="21"/>
  <c r="S380" i="21" s="1"/>
  <c r="H380" i="21"/>
  <c r="F380" i="21"/>
  <c r="D380" i="21"/>
  <c r="J380" i="21" s="1"/>
  <c r="AR379" i="21"/>
  <c r="AS379" i="21"/>
  <c r="AP379" i="21"/>
  <c r="AJ379" i="21"/>
  <c r="AH379" i="21"/>
  <c r="AF379" i="21"/>
  <c r="AD379" i="21"/>
  <c r="AB379" i="21"/>
  <c r="Z379" i="21"/>
  <c r="X379" i="21"/>
  <c r="R379" i="21"/>
  <c r="P379" i="21"/>
  <c r="N379" i="21"/>
  <c r="T379" i="21" s="1"/>
  <c r="L379" i="21"/>
  <c r="H379" i="21"/>
  <c r="F379" i="21"/>
  <c r="D379" i="21"/>
  <c r="AS378" i="21"/>
  <c r="AR378" i="21"/>
  <c r="AP378" i="21"/>
  <c r="AJ378" i="21"/>
  <c r="AH378" i="21"/>
  <c r="AF378" i="21"/>
  <c r="AD378" i="21"/>
  <c r="Z378" i="21"/>
  <c r="X378" i="21"/>
  <c r="V378" i="21"/>
  <c r="R378" i="21"/>
  <c r="P378" i="21"/>
  <c r="N378" i="21"/>
  <c r="T378" i="21" s="1"/>
  <c r="L378" i="21"/>
  <c r="S378" i="21" s="1"/>
  <c r="F378" i="21"/>
  <c r="B378" i="21"/>
  <c r="AD377" i="21"/>
  <c r="AB377" i="21"/>
  <c r="X377" i="21"/>
  <c r="P377" i="21"/>
  <c r="L377" i="21"/>
  <c r="AS376" i="21"/>
  <c r="AJ376" i="21"/>
  <c r="AH376" i="21"/>
  <c r="AF376" i="21"/>
  <c r="AD376" i="21"/>
  <c r="AB376" i="21"/>
  <c r="Z376" i="21"/>
  <c r="X376" i="21"/>
  <c r="V376" i="21"/>
  <c r="R376" i="21"/>
  <c r="P376" i="21"/>
  <c r="L376" i="21"/>
  <c r="F376" i="21"/>
  <c r="D376" i="21"/>
  <c r="B376" i="21"/>
  <c r="I376" i="21" s="1"/>
  <c r="AS375" i="21"/>
  <c r="AP375" i="21"/>
  <c r="AJ375" i="21"/>
  <c r="AH375" i="21"/>
  <c r="AF375" i="21"/>
  <c r="AD375" i="21"/>
  <c r="AB375" i="21"/>
  <c r="Z375" i="21"/>
  <c r="X375" i="21"/>
  <c r="V375" i="21"/>
  <c r="R375" i="21"/>
  <c r="P375" i="21"/>
  <c r="N375" i="21"/>
  <c r="T375" i="21" s="1"/>
  <c r="L375" i="21"/>
  <c r="F375" i="21"/>
  <c r="D375" i="21"/>
  <c r="B375" i="21"/>
  <c r="AP374" i="21"/>
  <c r="AJ374" i="21"/>
  <c r="AH374" i="21"/>
  <c r="AF374" i="21"/>
  <c r="AD374" i="21"/>
  <c r="AB374" i="21"/>
  <c r="Z374" i="21"/>
  <c r="X374" i="21"/>
  <c r="V374" i="21"/>
  <c r="R374" i="21"/>
  <c r="P374" i="21"/>
  <c r="N374" i="21"/>
  <c r="L374" i="21"/>
  <c r="F374" i="21"/>
  <c r="D374" i="21"/>
  <c r="B374" i="21"/>
  <c r="AS373" i="21"/>
  <c r="AR373" i="21"/>
  <c r="AP373" i="21"/>
  <c r="AJ373" i="21"/>
  <c r="AH373" i="21"/>
  <c r="AF373" i="21"/>
  <c r="AD373" i="21"/>
  <c r="AB373" i="21"/>
  <c r="Z373" i="21"/>
  <c r="X373" i="21"/>
  <c r="V373" i="21"/>
  <c r="R373" i="21"/>
  <c r="P373" i="21"/>
  <c r="N373" i="21"/>
  <c r="T373" i="21" s="1"/>
  <c r="L373" i="21"/>
  <c r="H373" i="21"/>
  <c r="F373" i="21"/>
  <c r="D373" i="21"/>
  <c r="B373" i="21"/>
  <c r="AS372" i="21"/>
  <c r="AR372" i="21"/>
  <c r="AP372" i="21"/>
  <c r="AJ372" i="21"/>
  <c r="AH372" i="21"/>
  <c r="AF372" i="21"/>
  <c r="AD372" i="21"/>
  <c r="AB372" i="21"/>
  <c r="Z372" i="21"/>
  <c r="X372" i="21"/>
  <c r="R372" i="21"/>
  <c r="P372" i="21"/>
  <c r="N372" i="21"/>
  <c r="T372" i="21" s="1"/>
  <c r="L372" i="21"/>
  <c r="S372" i="21" s="1"/>
  <c r="H372" i="21"/>
  <c r="F372" i="21"/>
  <c r="D372" i="21"/>
  <c r="AR371" i="21"/>
  <c r="AS371" i="21"/>
  <c r="AP371" i="21"/>
  <c r="AJ371" i="21"/>
  <c r="AH371" i="21"/>
  <c r="AF371" i="21"/>
  <c r="AD371" i="21"/>
  <c r="AB371" i="21"/>
  <c r="Z371" i="21"/>
  <c r="X371" i="21"/>
  <c r="R371" i="21"/>
  <c r="P371" i="21"/>
  <c r="N371" i="21"/>
  <c r="L371" i="21"/>
  <c r="H371" i="21"/>
  <c r="J371" i="21" s="1"/>
  <c r="F371" i="21"/>
  <c r="D371" i="21"/>
  <c r="AS370" i="21"/>
  <c r="AR370" i="21"/>
  <c r="AP370" i="21"/>
  <c r="AJ370" i="21"/>
  <c r="AH370" i="21"/>
  <c r="AF370" i="21"/>
  <c r="AD370" i="21"/>
  <c r="Z370" i="21"/>
  <c r="V370" i="21"/>
  <c r="R370" i="21"/>
  <c r="T370" i="21" s="1"/>
  <c r="P370" i="21"/>
  <c r="N370" i="21"/>
  <c r="L370" i="21"/>
  <c r="S370" i="21" s="1"/>
  <c r="F370" i="21"/>
  <c r="B370" i="21"/>
  <c r="AB369" i="21"/>
  <c r="X369" i="21"/>
  <c r="V369" i="21"/>
  <c r="D369" i="21"/>
  <c r="B369" i="21"/>
  <c r="AP368" i="21"/>
  <c r="AJ368" i="21"/>
  <c r="AH368" i="21"/>
  <c r="AF368" i="21"/>
  <c r="AD368" i="21"/>
  <c r="AB368" i="21"/>
  <c r="Z368" i="21"/>
  <c r="X368" i="21"/>
  <c r="R368" i="21"/>
  <c r="P368" i="21"/>
  <c r="N368" i="21"/>
  <c r="T368" i="21" s="1"/>
  <c r="L368" i="21"/>
  <c r="H368" i="21"/>
  <c r="F368" i="21"/>
  <c r="I368" i="21" s="1"/>
  <c r="D368" i="21"/>
  <c r="B368" i="21"/>
  <c r="AS367" i="21"/>
  <c r="AR367" i="21"/>
  <c r="AP367" i="21"/>
  <c r="AJ367" i="21"/>
  <c r="AH367" i="21"/>
  <c r="AF367" i="21"/>
  <c r="AD367" i="21"/>
  <c r="AB367" i="21"/>
  <c r="Z367" i="21"/>
  <c r="X367" i="21"/>
  <c r="V367" i="21"/>
  <c r="R367" i="21"/>
  <c r="P367" i="21"/>
  <c r="N367" i="21"/>
  <c r="T367" i="21" s="1"/>
  <c r="L367" i="21"/>
  <c r="S367" i="21" s="1"/>
  <c r="H367" i="21"/>
  <c r="F367" i="21"/>
  <c r="B367" i="21"/>
  <c r="AP366" i="21"/>
  <c r="AJ366" i="21"/>
  <c r="AH366" i="21"/>
  <c r="AF366" i="21"/>
  <c r="AD366" i="21"/>
  <c r="AB366" i="21"/>
  <c r="Z366" i="21"/>
  <c r="X366" i="21"/>
  <c r="V366" i="21"/>
  <c r="R366" i="21"/>
  <c r="P366" i="21"/>
  <c r="S366" i="21" s="1"/>
  <c r="N366" i="21"/>
  <c r="L366" i="21"/>
  <c r="F366" i="21"/>
  <c r="D366" i="21"/>
  <c r="B366" i="21"/>
  <c r="I366" i="21" s="1"/>
  <c r="AS365" i="21"/>
  <c r="AR365" i="21"/>
  <c r="AP365" i="21"/>
  <c r="AJ365" i="21"/>
  <c r="AH365" i="21"/>
  <c r="AF365" i="21"/>
  <c r="AD365" i="21"/>
  <c r="AB365" i="21"/>
  <c r="Z365" i="21"/>
  <c r="X365" i="21"/>
  <c r="R365" i="21"/>
  <c r="P365" i="21"/>
  <c r="N365" i="21"/>
  <c r="L365" i="21"/>
  <c r="H365" i="21"/>
  <c r="F365" i="21"/>
  <c r="D365" i="21"/>
  <c r="B365" i="21"/>
  <c r="AS364" i="21"/>
  <c r="AP364" i="21"/>
  <c r="AJ364" i="21"/>
  <c r="AH364" i="21"/>
  <c r="AF364" i="21"/>
  <c r="AD364" i="21"/>
  <c r="AB364" i="21"/>
  <c r="Z364" i="21"/>
  <c r="X364" i="21"/>
  <c r="V364" i="21"/>
  <c r="R364" i="21"/>
  <c r="T364" i="21" s="1"/>
  <c r="P364" i="21"/>
  <c r="N364" i="21"/>
  <c r="L364" i="21"/>
  <c r="H364" i="21"/>
  <c r="F364" i="21"/>
  <c r="D364" i="21"/>
  <c r="B364" i="21"/>
  <c r="I364" i="21" s="1"/>
  <c r="AR363" i="21"/>
  <c r="AS363" i="21"/>
  <c r="AP363" i="21"/>
  <c r="AJ363" i="21"/>
  <c r="AH363" i="21"/>
  <c r="AF363" i="21"/>
  <c r="AD363" i="21"/>
  <c r="AB363" i="21"/>
  <c r="Z363" i="21"/>
  <c r="X363" i="21"/>
  <c r="R363" i="21"/>
  <c r="P363" i="21"/>
  <c r="N363" i="21"/>
  <c r="L363" i="21"/>
  <c r="H363" i="21"/>
  <c r="F363" i="21"/>
  <c r="D363" i="21"/>
  <c r="AR362" i="21"/>
  <c r="AJ362" i="21"/>
  <c r="AH362" i="21"/>
  <c r="AF362" i="21"/>
  <c r="AD362" i="21"/>
  <c r="Z362" i="21"/>
  <c r="V362" i="21"/>
  <c r="R362" i="21"/>
  <c r="P362" i="21"/>
  <c r="N362" i="21"/>
  <c r="L362" i="21"/>
  <c r="S362" i="21" s="1"/>
  <c r="H362" i="21"/>
  <c r="F362" i="21"/>
  <c r="B362" i="21"/>
  <c r="AB361" i="21"/>
  <c r="X361" i="21"/>
  <c r="V361" i="21"/>
  <c r="F361" i="21"/>
  <c r="AP360" i="21"/>
  <c r="AJ360" i="21"/>
  <c r="AH360" i="21"/>
  <c r="AF360" i="21"/>
  <c r="AD360" i="21"/>
  <c r="AB360" i="21"/>
  <c r="Z360" i="21"/>
  <c r="X360" i="21"/>
  <c r="V360" i="21"/>
  <c r="R360" i="21"/>
  <c r="P360" i="21"/>
  <c r="N360" i="21"/>
  <c r="L360" i="21"/>
  <c r="S360" i="21" s="1"/>
  <c r="F360" i="21"/>
  <c r="D360" i="21"/>
  <c r="B360" i="21"/>
  <c r="AP359" i="21"/>
  <c r="AJ359" i="21"/>
  <c r="AH359" i="21"/>
  <c r="AF359" i="21"/>
  <c r="AD359" i="21"/>
  <c r="AB359" i="21"/>
  <c r="Z359" i="21"/>
  <c r="X359" i="21"/>
  <c r="V359" i="21"/>
  <c r="R359" i="21"/>
  <c r="P359" i="21"/>
  <c r="N359" i="21"/>
  <c r="L359" i="21"/>
  <c r="S359" i="21" s="1"/>
  <c r="F359" i="21"/>
  <c r="B359" i="21"/>
  <c r="I359" i="21" s="1"/>
  <c r="AS358" i="21"/>
  <c r="AR358" i="21"/>
  <c r="AP358" i="21"/>
  <c r="AJ358" i="21"/>
  <c r="AH358" i="21"/>
  <c r="AF358" i="21"/>
  <c r="AD358" i="21"/>
  <c r="AB358" i="21"/>
  <c r="Z358" i="21"/>
  <c r="X358" i="21"/>
  <c r="V358" i="21"/>
  <c r="R358" i="21"/>
  <c r="P358" i="21"/>
  <c r="N358" i="21"/>
  <c r="L358" i="21"/>
  <c r="H358" i="21"/>
  <c r="F358" i="21"/>
  <c r="D358" i="21"/>
  <c r="B358" i="21"/>
  <c r="AR357" i="21"/>
  <c r="AP357" i="21"/>
  <c r="AJ357" i="21"/>
  <c r="AH357" i="21"/>
  <c r="AF357" i="21"/>
  <c r="AD357" i="21"/>
  <c r="AB357" i="21"/>
  <c r="Z357" i="21"/>
  <c r="X357" i="21"/>
  <c r="S357" i="21"/>
  <c r="R357" i="21"/>
  <c r="P357" i="21"/>
  <c r="N357" i="21"/>
  <c r="L357" i="21"/>
  <c r="H357" i="21"/>
  <c r="F357" i="21"/>
  <c r="D357" i="21"/>
  <c r="J357" i="21" s="1"/>
  <c r="B357" i="21"/>
  <c r="AS356" i="21"/>
  <c r="AR356" i="21"/>
  <c r="AP356" i="21"/>
  <c r="AJ356" i="21"/>
  <c r="AH356" i="21"/>
  <c r="AF356" i="21"/>
  <c r="AD356" i="21"/>
  <c r="AB356" i="21"/>
  <c r="Z356" i="21"/>
  <c r="X356" i="21"/>
  <c r="V356" i="21"/>
  <c r="R356" i="21"/>
  <c r="P356" i="21"/>
  <c r="N356" i="21"/>
  <c r="L356" i="21"/>
  <c r="S356" i="21" s="1"/>
  <c r="H356" i="21"/>
  <c r="F356" i="21"/>
  <c r="D356" i="21"/>
  <c r="AS355" i="21"/>
  <c r="AR355" i="21"/>
  <c r="AP355" i="21"/>
  <c r="AJ355" i="21"/>
  <c r="AH355" i="21"/>
  <c r="AF355" i="21"/>
  <c r="AD355" i="21"/>
  <c r="AB355" i="21"/>
  <c r="Z355" i="21"/>
  <c r="X355" i="21"/>
  <c r="V355" i="21"/>
  <c r="AK355" i="21" s="1"/>
  <c r="R355" i="21"/>
  <c r="P355" i="21"/>
  <c r="N355" i="21"/>
  <c r="L355" i="21"/>
  <c r="S355" i="21" s="1"/>
  <c r="H355" i="21"/>
  <c r="F355" i="21"/>
  <c r="D355" i="21"/>
  <c r="AR354" i="21"/>
  <c r="AP354" i="21"/>
  <c r="AS354" i="21"/>
  <c r="AJ354" i="21"/>
  <c r="AH354" i="21"/>
  <c r="AF354" i="21"/>
  <c r="AD354" i="21"/>
  <c r="Z354" i="21"/>
  <c r="V354" i="21"/>
  <c r="R354" i="21"/>
  <c r="P354" i="21"/>
  <c r="N354" i="21"/>
  <c r="L354" i="21"/>
  <c r="H354" i="21"/>
  <c r="F354" i="21"/>
  <c r="B354" i="21"/>
  <c r="AB353" i="21"/>
  <c r="Z353" i="21"/>
  <c r="X353" i="21"/>
  <c r="V353" i="21"/>
  <c r="AJ352" i="21"/>
  <c r="AH352" i="21"/>
  <c r="AF352" i="21"/>
  <c r="AD352" i="21"/>
  <c r="AB352" i="21"/>
  <c r="Z352" i="21"/>
  <c r="X352" i="21"/>
  <c r="V352" i="21"/>
  <c r="R352" i="21"/>
  <c r="P352" i="21"/>
  <c r="N352" i="21"/>
  <c r="T352" i="21" s="1"/>
  <c r="L352" i="21"/>
  <c r="S352" i="21" s="1"/>
  <c r="H352" i="21"/>
  <c r="F352" i="21"/>
  <c r="B352" i="21"/>
  <c r="I352" i="21" s="1"/>
  <c r="AP351" i="21"/>
  <c r="AJ351" i="21"/>
  <c r="AH351" i="21"/>
  <c r="AF351" i="21"/>
  <c r="AD351" i="21"/>
  <c r="AB351" i="21"/>
  <c r="Z351" i="21"/>
  <c r="X351" i="21"/>
  <c r="V351" i="21"/>
  <c r="R351" i="21"/>
  <c r="P351" i="21"/>
  <c r="N351" i="21"/>
  <c r="L351" i="21"/>
  <c r="S351" i="21" s="1"/>
  <c r="F351" i="21"/>
  <c r="B351" i="21"/>
  <c r="I351" i="21" s="1"/>
  <c r="AS350" i="21"/>
  <c r="AR350" i="21"/>
  <c r="AP350" i="21"/>
  <c r="AJ350" i="21"/>
  <c r="AH350" i="21"/>
  <c r="AF350" i="21"/>
  <c r="AD350" i="21"/>
  <c r="AB350" i="21"/>
  <c r="AL350" i="21" s="1"/>
  <c r="Z350" i="21"/>
  <c r="X350" i="21"/>
  <c r="V350" i="21"/>
  <c r="R350" i="21"/>
  <c r="P350" i="21"/>
  <c r="N350" i="21"/>
  <c r="T350" i="21" s="1"/>
  <c r="L350" i="21"/>
  <c r="F350" i="21"/>
  <c r="D350" i="21"/>
  <c r="B350" i="21"/>
  <c r="AS349" i="21"/>
  <c r="AR349" i="21"/>
  <c r="AP349" i="21"/>
  <c r="AJ349" i="21"/>
  <c r="AH349" i="21"/>
  <c r="AF349" i="21"/>
  <c r="AD349" i="21"/>
  <c r="AB349" i="21"/>
  <c r="Z349" i="21"/>
  <c r="X349" i="21"/>
  <c r="V349" i="21"/>
  <c r="R349" i="21"/>
  <c r="P349" i="21"/>
  <c r="N349" i="21"/>
  <c r="L349" i="21"/>
  <c r="H349" i="21"/>
  <c r="F349" i="21"/>
  <c r="D349" i="21"/>
  <c r="B349" i="21"/>
  <c r="AS348" i="21"/>
  <c r="AR348" i="21"/>
  <c r="AP348" i="21"/>
  <c r="AJ348" i="21"/>
  <c r="AH348" i="21"/>
  <c r="AF348" i="21"/>
  <c r="AD348" i="21"/>
  <c r="AB348" i="21"/>
  <c r="Z348" i="21"/>
  <c r="X348" i="21"/>
  <c r="V348" i="21"/>
  <c r="R348" i="21"/>
  <c r="P348" i="21"/>
  <c r="N348" i="21"/>
  <c r="L348" i="21"/>
  <c r="H348" i="21"/>
  <c r="F348" i="21"/>
  <c r="D348" i="21"/>
  <c r="AS347" i="21"/>
  <c r="AR347" i="21"/>
  <c r="AP347" i="21"/>
  <c r="AJ347" i="21"/>
  <c r="AH347" i="21"/>
  <c r="AF347" i="21"/>
  <c r="AD347" i="21"/>
  <c r="AB347" i="21"/>
  <c r="Z347" i="21"/>
  <c r="X347" i="21"/>
  <c r="R347" i="21"/>
  <c r="T347" i="21" s="1"/>
  <c r="P347" i="21"/>
  <c r="N347" i="21"/>
  <c r="L347" i="21"/>
  <c r="H347" i="21"/>
  <c r="F347" i="21"/>
  <c r="D347" i="21"/>
  <c r="J347" i="21" s="1"/>
  <c r="B347" i="21"/>
  <c r="AS346" i="21"/>
  <c r="AR346" i="21"/>
  <c r="AP346" i="21"/>
  <c r="AJ346" i="21"/>
  <c r="AH346" i="21"/>
  <c r="AF346" i="21"/>
  <c r="AD346" i="21"/>
  <c r="Z346" i="21"/>
  <c r="V346" i="21"/>
  <c r="R346" i="21"/>
  <c r="P346" i="21"/>
  <c r="N346" i="21"/>
  <c r="T346" i="21" s="1"/>
  <c r="L346" i="21"/>
  <c r="F346" i="21"/>
  <c r="B346" i="21"/>
  <c r="AB345" i="21"/>
  <c r="X345" i="21"/>
  <c r="P345" i="21"/>
  <c r="F345" i="21"/>
  <c r="AJ344" i="21"/>
  <c r="AH344" i="21"/>
  <c r="AF344" i="21"/>
  <c r="AD344" i="21"/>
  <c r="AB344" i="21"/>
  <c r="Z344" i="21"/>
  <c r="X344" i="21"/>
  <c r="V344" i="21"/>
  <c r="R344" i="21"/>
  <c r="T344" i="21" s="1"/>
  <c r="P344" i="21"/>
  <c r="N344" i="21"/>
  <c r="L344" i="21"/>
  <c r="F344" i="21"/>
  <c r="D344" i="21"/>
  <c r="B344" i="21"/>
  <c r="AS343" i="21"/>
  <c r="AR343" i="21"/>
  <c r="AP343" i="21"/>
  <c r="AJ343" i="21"/>
  <c r="AH343" i="21"/>
  <c r="AF343" i="21"/>
  <c r="AD343" i="21"/>
  <c r="AK343" i="21" s="1"/>
  <c r="AB343" i="21"/>
  <c r="Z343" i="21"/>
  <c r="X343" i="21"/>
  <c r="V343" i="21"/>
  <c r="R343" i="21"/>
  <c r="P343" i="21"/>
  <c r="N343" i="21"/>
  <c r="T343" i="21" s="1"/>
  <c r="L343" i="21"/>
  <c r="F343" i="21"/>
  <c r="I343" i="21" s="1"/>
  <c r="D343" i="21"/>
  <c r="B343" i="21"/>
  <c r="AS342" i="21"/>
  <c r="AR342" i="21"/>
  <c r="AP342" i="21"/>
  <c r="AJ342" i="21"/>
  <c r="AH342" i="21"/>
  <c r="AF342" i="21"/>
  <c r="AD342" i="21"/>
  <c r="AB342" i="21"/>
  <c r="Z342" i="21"/>
  <c r="X342" i="21"/>
  <c r="V342" i="21"/>
  <c r="R342" i="21"/>
  <c r="P342" i="21"/>
  <c r="N342" i="21"/>
  <c r="T342" i="21" s="1"/>
  <c r="L342" i="21"/>
  <c r="H342" i="21"/>
  <c r="F342" i="21"/>
  <c r="D342" i="21"/>
  <c r="B342" i="21"/>
  <c r="AP341" i="21"/>
  <c r="AJ341" i="21"/>
  <c r="AH341" i="21"/>
  <c r="AF341" i="21"/>
  <c r="AD341" i="21"/>
  <c r="AB341" i="21"/>
  <c r="Z341" i="21"/>
  <c r="X341" i="21"/>
  <c r="V341" i="21"/>
  <c r="R341" i="21"/>
  <c r="P341" i="21"/>
  <c r="S341" i="21" s="1"/>
  <c r="N341" i="21"/>
  <c r="L341" i="21"/>
  <c r="H341" i="21"/>
  <c r="F341" i="21"/>
  <c r="D341" i="21"/>
  <c r="J341" i="21" s="1"/>
  <c r="B341" i="21"/>
  <c r="AR340" i="21"/>
  <c r="AP340" i="21"/>
  <c r="AS340" i="21"/>
  <c r="AJ340" i="21"/>
  <c r="AH340" i="21"/>
  <c r="AF340" i="21"/>
  <c r="AD340" i="21"/>
  <c r="AB340" i="21"/>
  <c r="Z340" i="21"/>
  <c r="X340" i="21"/>
  <c r="V340" i="21"/>
  <c r="R340" i="21"/>
  <c r="P340" i="21"/>
  <c r="N340" i="21"/>
  <c r="T340" i="21" s="1"/>
  <c r="L340" i="21"/>
  <c r="S340" i="21" s="1"/>
  <c r="H340" i="21"/>
  <c r="F340" i="21"/>
  <c r="D340" i="21"/>
  <c r="B340" i="21"/>
  <c r="AP339" i="21"/>
  <c r="AJ339" i="21"/>
  <c r="AH339" i="21"/>
  <c r="AF339" i="21"/>
  <c r="AD339" i="21"/>
  <c r="AB339" i="21"/>
  <c r="Z339" i="21"/>
  <c r="AK339" i="21" s="1"/>
  <c r="X339" i="21"/>
  <c r="V339" i="21"/>
  <c r="R339" i="21"/>
  <c r="P339" i="21"/>
  <c r="N339" i="21"/>
  <c r="L339" i="21"/>
  <c r="S339" i="21" s="1"/>
  <c r="I339" i="21"/>
  <c r="H339" i="21"/>
  <c r="F339" i="21"/>
  <c r="D339" i="21"/>
  <c r="B339" i="21"/>
  <c r="AR338" i="21"/>
  <c r="AP338" i="21"/>
  <c r="AJ338" i="21"/>
  <c r="AH338" i="21"/>
  <c r="AF338" i="21"/>
  <c r="AD338" i="21"/>
  <c r="Z338" i="21"/>
  <c r="V338" i="21"/>
  <c r="R338" i="21"/>
  <c r="P338" i="21"/>
  <c r="N338" i="21"/>
  <c r="L338" i="21"/>
  <c r="F338" i="21"/>
  <c r="B338" i="21"/>
  <c r="AB337" i="21"/>
  <c r="X337" i="21"/>
  <c r="AS336" i="21"/>
  <c r="AP336" i="21"/>
  <c r="AJ336" i="21"/>
  <c r="AH336" i="21"/>
  <c r="AF336" i="21"/>
  <c r="AD336" i="21"/>
  <c r="AB336" i="21"/>
  <c r="Z336" i="21"/>
  <c r="X336" i="21"/>
  <c r="V336" i="21"/>
  <c r="AK336" i="21" s="1"/>
  <c r="R336" i="21"/>
  <c r="T336" i="21" s="1"/>
  <c r="P336" i="21"/>
  <c r="N336" i="21"/>
  <c r="L336" i="21"/>
  <c r="S336" i="21" s="1"/>
  <c r="H336" i="21"/>
  <c r="F336" i="21"/>
  <c r="D336" i="21"/>
  <c r="B336" i="21"/>
  <c r="I336" i="21" s="1"/>
  <c r="AR335" i="21"/>
  <c r="AJ335" i="21"/>
  <c r="AH335" i="21"/>
  <c r="AF335" i="21"/>
  <c r="AD335" i="21"/>
  <c r="AB335" i="21"/>
  <c r="Z335" i="21"/>
  <c r="X335" i="21"/>
  <c r="V335" i="21"/>
  <c r="R335" i="21"/>
  <c r="P335" i="21"/>
  <c r="N335" i="21"/>
  <c r="L335" i="21"/>
  <c r="F335" i="21"/>
  <c r="B335" i="21"/>
  <c r="AS334" i="21"/>
  <c r="AR334" i="21"/>
  <c r="AP334" i="21"/>
  <c r="AJ334" i="21"/>
  <c r="AH334" i="21"/>
  <c r="AF334" i="21"/>
  <c r="AD334" i="21"/>
  <c r="AB334" i="21"/>
  <c r="Z334" i="21"/>
  <c r="X334" i="21"/>
  <c r="V334" i="21"/>
  <c r="T334" i="21"/>
  <c r="R334" i="21"/>
  <c r="P334" i="21"/>
  <c r="N334" i="21"/>
  <c r="L334" i="21"/>
  <c r="F334" i="21"/>
  <c r="D334" i="21"/>
  <c r="B334" i="21"/>
  <c r="AP333" i="21"/>
  <c r="AJ333" i="21"/>
  <c r="AH333" i="21"/>
  <c r="AF333" i="21"/>
  <c r="AD333" i="21"/>
  <c r="AB333" i="21"/>
  <c r="Z333" i="21"/>
  <c r="X333" i="21"/>
  <c r="V333" i="21"/>
  <c r="R333" i="21"/>
  <c r="P333" i="21"/>
  <c r="N333" i="21"/>
  <c r="L333" i="21"/>
  <c r="S333" i="21" s="1"/>
  <c r="H333" i="21"/>
  <c r="F333" i="21"/>
  <c r="D333" i="21"/>
  <c r="B333" i="21"/>
  <c r="I333" i="21" s="1"/>
  <c r="AR332" i="21"/>
  <c r="AS332" i="21"/>
  <c r="AP332" i="21"/>
  <c r="AJ332" i="21"/>
  <c r="AH332" i="21"/>
  <c r="AF332" i="21"/>
  <c r="AD332" i="21"/>
  <c r="AB332" i="21"/>
  <c r="Z332" i="21"/>
  <c r="X332" i="21"/>
  <c r="V332" i="21"/>
  <c r="R332" i="21"/>
  <c r="P332" i="21"/>
  <c r="N332" i="21"/>
  <c r="T332" i="21" s="1"/>
  <c r="L332" i="21"/>
  <c r="H332" i="21"/>
  <c r="F332" i="21"/>
  <c r="D332" i="21"/>
  <c r="AS331" i="21"/>
  <c r="AR331" i="21"/>
  <c r="AP331" i="21"/>
  <c r="AJ331" i="21"/>
  <c r="AH331" i="21"/>
  <c r="AF331" i="21"/>
  <c r="AD331" i="21"/>
  <c r="AB331" i="21"/>
  <c r="Z331" i="21"/>
  <c r="X331" i="21"/>
  <c r="V331" i="21"/>
  <c r="R331" i="21"/>
  <c r="P331" i="21"/>
  <c r="N331" i="21"/>
  <c r="L331" i="21"/>
  <c r="S331" i="21" s="1"/>
  <c r="H331" i="21"/>
  <c r="F331" i="21"/>
  <c r="D331" i="21"/>
  <c r="J331" i="21" s="1"/>
  <c r="B331" i="21"/>
  <c r="I331" i="21" s="1"/>
  <c r="AS330" i="21"/>
  <c r="AP330" i="21"/>
  <c r="AJ330" i="21"/>
  <c r="AH330" i="21"/>
  <c r="AF330" i="21"/>
  <c r="AD330" i="21"/>
  <c r="Z330" i="21"/>
  <c r="V330" i="21"/>
  <c r="R330" i="21"/>
  <c r="P330" i="21"/>
  <c r="N330" i="21"/>
  <c r="L330" i="21"/>
  <c r="S330" i="21" s="1"/>
  <c r="H330" i="21"/>
  <c r="F330" i="21"/>
  <c r="B330" i="21"/>
  <c r="AB329" i="21"/>
  <c r="X329" i="21"/>
  <c r="D329" i="21"/>
  <c r="AS328" i="21"/>
  <c r="AP328" i="21"/>
  <c r="AJ328" i="21"/>
  <c r="AH328" i="21"/>
  <c r="AF328" i="21"/>
  <c r="AD328" i="21"/>
  <c r="AB328" i="21"/>
  <c r="Z328" i="21"/>
  <c r="X328" i="21"/>
  <c r="V328" i="21"/>
  <c r="R328" i="21"/>
  <c r="T328" i="21" s="1"/>
  <c r="P328" i="21"/>
  <c r="N328" i="21"/>
  <c r="L328" i="21"/>
  <c r="S328" i="21" s="1"/>
  <c r="F328" i="21"/>
  <c r="D328" i="21"/>
  <c r="B328" i="21"/>
  <c r="AR327" i="21"/>
  <c r="AJ327" i="21"/>
  <c r="AH327" i="21"/>
  <c r="AF327" i="21"/>
  <c r="AD327" i="21"/>
  <c r="AB327" i="21"/>
  <c r="Z327" i="21"/>
  <c r="X327" i="21"/>
  <c r="V327" i="21"/>
  <c r="T327" i="21"/>
  <c r="R327" i="21"/>
  <c r="P327" i="21"/>
  <c r="N327" i="21"/>
  <c r="L327" i="21"/>
  <c r="S327" i="21" s="1"/>
  <c r="H327" i="21"/>
  <c r="F327" i="21"/>
  <c r="B327" i="21"/>
  <c r="AP326" i="21"/>
  <c r="AJ326" i="21"/>
  <c r="AH326" i="21"/>
  <c r="AF326" i="21"/>
  <c r="AD326" i="21"/>
  <c r="AB326" i="21"/>
  <c r="Z326" i="21"/>
  <c r="X326" i="21"/>
  <c r="V326" i="21"/>
  <c r="R326" i="21"/>
  <c r="P326" i="21"/>
  <c r="N326" i="21"/>
  <c r="T326" i="21" s="1"/>
  <c r="L326" i="21"/>
  <c r="F326" i="21"/>
  <c r="D326" i="21"/>
  <c r="B326" i="21"/>
  <c r="I326" i="21" s="1"/>
  <c r="AP325" i="21"/>
  <c r="AJ325" i="21"/>
  <c r="AH325" i="21"/>
  <c r="AF325" i="21"/>
  <c r="AD325" i="21"/>
  <c r="AB325" i="21"/>
  <c r="Z325" i="21"/>
  <c r="X325" i="21"/>
  <c r="V325" i="21"/>
  <c r="R325" i="21"/>
  <c r="P325" i="21"/>
  <c r="S325" i="21" s="1"/>
  <c r="N325" i="21"/>
  <c r="L325" i="21"/>
  <c r="H325" i="21"/>
  <c r="F325" i="21"/>
  <c r="D325" i="21"/>
  <c r="B325" i="21"/>
  <c r="AP324" i="21"/>
  <c r="AJ324" i="21"/>
  <c r="AH324" i="21"/>
  <c r="AF324" i="21"/>
  <c r="AD324" i="21"/>
  <c r="AB324" i="21"/>
  <c r="Z324" i="21"/>
  <c r="X324" i="21"/>
  <c r="V324" i="21"/>
  <c r="R324" i="21"/>
  <c r="P324" i="21"/>
  <c r="N324" i="21"/>
  <c r="T324" i="21" s="1"/>
  <c r="L324" i="21"/>
  <c r="H324" i="21"/>
  <c r="F324" i="21"/>
  <c r="D324" i="21"/>
  <c r="B324" i="21"/>
  <c r="AR323" i="21"/>
  <c r="AS323" i="21"/>
  <c r="AP323" i="21"/>
  <c r="AJ323" i="21"/>
  <c r="AH323" i="21"/>
  <c r="AF323" i="21"/>
  <c r="AD323" i="21"/>
  <c r="AB323" i="21"/>
  <c r="Z323" i="21"/>
  <c r="X323" i="21"/>
  <c r="V323" i="21"/>
  <c r="R323" i="21"/>
  <c r="P323" i="21"/>
  <c r="N323" i="21"/>
  <c r="T323" i="21" s="1"/>
  <c r="L323" i="21"/>
  <c r="H323" i="21"/>
  <c r="F323" i="21"/>
  <c r="D323" i="21"/>
  <c r="B323" i="21"/>
  <c r="AR322" i="21"/>
  <c r="AJ322" i="21"/>
  <c r="AH322" i="21"/>
  <c r="AF322" i="21"/>
  <c r="AD322" i="21"/>
  <c r="Z322" i="21"/>
  <c r="V322" i="21"/>
  <c r="R322" i="21"/>
  <c r="P322" i="21"/>
  <c r="N322" i="21"/>
  <c r="T322" i="21" s="1"/>
  <c r="L322" i="21"/>
  <c r="H322" i="21"/>
  <c r="F322" i="21"/>
  <c r="D322" i="21"/>
  <c r="B322" i="21"/>
  <c r="AH321" i="21"/>
  <c r="AB321" i="21"/>
  <c r="Z321" i="21"/>
  <c r="X321" i="21"/>
  <c r="D321" i="21"/>
  <c r="AR320" i="21"/>
  <c r="AJ320" i="21"/>
  <c r="AH320" i="21"/>
  <c r="AF320" i="21"/>
  <c r="AD320" i="21"/>
  <c r="AB320" i="21"/>
  <c r="Z320" i="21"/>
  <c r="X320" i="21"/>
  <c r="V320" i="21"/>
  <c r="R320" i="21"/>
  <c r="P320" i="21"/>
  <c r="N320" i="21"/>
  <c r="L320" i="21"/>
  <c r="H320" i="21"/>
  <c r="F320" i="21"/>
  <c r="D320" i="21"/>
  <c r="B320" i="21"/>
  <c r="AR319" i="21"/>
  <c r="AJ319" i="21"/>
  <c r="AH319" i="21"/>
  <c r="AF319" i="21"/>
  <c r="AD319" i="21"/>
  <c r="AB319" i="21"/>
  <c r="Z319" i="21"/>
  <c r="X319" i="21"/>
  <c r="AL319" i="21" s="1"/>
  <c r="V319" i="21"/>
  <c r="R319" i="21"/>
  <c r="T319" i="21" s="1"/>
  <c r="P319" i="21"/>
  <c r="N319" i="21"/>
  <c r="L319" i="21"/>
  <c r="F319" i="21"/>
  <c r="B319" i="21"/>
  <c r="AR318" i="21"/>
  <c r="AP318" i="21"/>
  <c r="AJ318" i="21"/>
  <c r="AH318" i="21"/>
  <c r="AF318" i="21"/>
  <c r="AD318" i="21"/>
  <c r="AB318" i="21"/>
  <c r="Z318" i="21"/>
  <c r="X318" i="21"/>
  <c r="V318" i="21"/>
  <c r="AK318" i="21" s="1"/>
  <c r="R318" i="21"/>
  <c r="P318" i="21"/>
  <c r="N318" i="21"/>
  <c r="T318" i="21" s="1"/>
  <c r="L318" i="21"/>
  <c r="F318" i="21"/>
  <c r="D318" i="21"/>
  <c r="B318" i="21"/>
  <c r="AP317" i="21"/>
  <c r="AJ317" i="21"/>
  <c r="AH317" i="21"/>
  <c r="AF317" i="21"/>
  <c r="AD317" i="21"/>
  <c r="AB317" i="21"/>
  <c r="Z317" i="21"/>
  <c r="X317" i="21"/>
  <c r="V317" i="21"/>
  <c r="R317" i="21"/>
  <c r="P317" i="21"/>
  <c r="N317" i="21"/>
  <c r="L317" i="21"/>
  <c r="S317" i="21" s="1"/>
  <c r="H317" i="21"/>
  <c r="F317" i="21"/>
  <c r="D317" i="21"/>
  <c r="B317" i="21"/>
  <c r="I317" i="21" s="1"/>
  <c r="AS316" i="21"/>
  <c r="AR316" i="21"/>
  <c r="AP316" i="21"/>
  <c r="AJ316" i="21"/>
  <c r="AH316" i="21"/>
  <c r="AF316" i="21"/>
  <c r="AD316" i="21"/>
  <c r="AB316" i="21"/>
  <c r="Z316" i="21"/>
  <c r="X316" i="21"/>
  <c r="V316" i="21"/>
  <c r="R316" i="21"/>
  <c r="P316" i="21"/>
  <c r="S316" i="21" s="1"/>
  <c r="N316" i="21"/>
  <c r="T316" i="21" s="1"/>
  <c r="L316" i="21"/>
  <c r="H316" i="21"/>
  <c r="F316" i="21"/>
  <c r="D316" i="21"/>
  <c r="B316" i="21"/>
  <c r="AP315" i="21"/>
  <c r="AJ315" i="21"/>
  <c r="AH315" i="21"/>
  <c r="AF315" i="21"/>
  <c r="AD315" i="21"/>
  <c r="AB315" i="21"/>
  <c r="Z315" i="21"/>
  <c r="X315" i="21"/>
  <c r="V315" i="21"/>
  <c r="R315" i="21"/>
  <c r="P315" i="21"/>
  <c r="N315" i="21"/>
  <c r="T315" i="21" s="1"/>
  <c r="L315" i="21"/>
  <c r="H315" i="21"/>
  <c r="F315" i="21"/>
  <c r="D315" i="21"/>
  <c r="B315" i="21"/>
  <c r="I315" i="21" s="1"/>
  <c r="AS314" i="21"/>
  <c r="AR314" i="21"/>
  <c r="AP314" i="21"/>
  <c r="AJ314" i="21"/>
  <c r="AH314" i="21"/>
  <c r="AF314" i="21"/>
  <c r="AD314" i="21"/>
  <c r="Z314" i="21"/>
  <c r="V314" i="21"/>
  <c r="R314" i="21"/>
  <c r="P314" i="21"/>
  <c r="N314" i="21"/>
  <c r="T314" i="21" s="1"/>
  <c r="L314" i="21"/>
  <c r="H314" i="21"/>
  <c r="F314" i="21"/>
  <c r="I314" i="21" s="1"/>
  <c r="B314" i="21"/>
  <c r="AD313" i="21"/>
  <c r="AB313" i="21"/>
  <c r="X313" i="21"/>
  <c r="H313" i="21"/>
  <c r="F313" i="21"/>
  <c r="AR312" i="21"/>
  <c r="AJ312" i="21"/>
  <c r="AH312" i="21"/>
  <c r="AF312" i="21"/>
  <c r="AD312" i="21"/>
  <c r="AB312" i="21"/>
  <c r="AL312" i="21" s="1"/>
  <c r="Z312" i="21"/>
  <c r="X312" i="21"/>
  <c r="V312" i="21"/>
  <c r="R312" i="21"/>
  <c r="P312" i="21"/>
  <c r="N312" i="21"/>
  <c r="L312" i="21"/>
  <c r="S312" i="21" s="1"/>
  <c r="F312" i="21"/>
  <c r="D312" i="21"/>
  <c r="B312" i="21"/>
  <c r="I312" i="21" s="1"/>
  <c r="AP311" i="21"/>
  <c r="AJ311" i="21"/>
  <c r="AH311" i="21"/>
  <c r="AF311" i="21"/>
  <c r="AD311" i="21"/>
  <c r="AB311" i="21"/>
  <c r="Z311" i="21"/>
  <c r="X311" i="21"/>
  <c r="V311" i="21"/>
  <c r="R311" i="21"/>
  <c r="P311" i="21"/>
  <c r="N311" i="21"/>
  <c r="L311" i="21"/>
  <c r="F311" i="21"/>
  <c r="B311" i="21"/>
  <c r="I311" i="21" s="1"/>
  <c r="AS310" i="21"/>
  <c r="AP310" i="21"/>
  <c r="AJ310" i="21"/>
  <c r="AH310" i="21"/>
  <c r="AF310" i="21"/>
  <c r="AD310" i="21"/>
  <c r="AB310" i="21"/>
  <c r="Z310" i="21"/>
  <c r="X310" i="21"/>
  <c r="V310" i="21"/>
  <c r="R310" i="21"/>
  <c r="P310" i="21"/>
  <c r="N310" i="21"/>
  <c r="T310" i="21" s="1"/>
  <c r="L310" i="21"/>
  <c r="H310" i="21"/>
  <c r="F310" i="21"/>
  <c r="D310" i="21"/>
  <c r="B310" i="21"/>
  <c r="I310" i="21" s="1"/>
  <c r="AR309" i="21"/>
  <c r="AP309" i="21"/>
  <c r="AJ309" i="21"/>
  <c r="AH309" i="21"/>
  <c r="AF309" i="21"/>
  <c r="AD309" i="21"/>
  <c r="AB309" i="21"/>
  <c r="Z309" i="21"/>
  <c r="X309" i="21"/>
  <c r="V309" i="21"/>
  <c r="R309" i="21"/>
  <c r="P309" i="21"/>
  <c r="N309" i="21"/>
  <c r="T309" i="21" s="1"/>
  <c r="L309" i="21"/>
  <c r="S309" i="21" s="1"/>
  <c r="H309" i="21"/>
  <c r="F309" i="21"/>
  <c r="D309" i="21"/>
  <c r="B309" i="21"/>
  <c r="AS308" i="21"/>
  <c r="AR308" i="21"/>
  <c r="AP308" i="21"/>
  <c r="AJ308" i="21"/>
  <c r="AH308" i="21"/>
  <c r="AF308" i="21"/>
  <c r="AD308" i="21"/>
  <c r="AB308" i="21"/>
  <c r="Z308" i="21"/>
  <c r="X308" i="21"/>
  <c r="V308" i="21"/>
  <c r="R308" i="21"/>
  <c r="P308" i="21"/>
  <c r="N308" i="21"/>
  <c r="T308" i="21" s="1"/>
  <c r="L308" i="21"/>
  <c r="H308" i="21"/>
  <c r="J308" i="21" s="1"/>
  <c r="F308" i="21"/>
  <c r="D308" i="21"/>
  <c r="B308" i="21"/>
  <c r="AP307" i="21"/>
  <c r="AJ307" i="21"/>
  <c r="AH307" i="21"/>
  <c r="AF307" i="21"/>
  <c r="AD307" i="21"/>
  <c r="AB307" i="21"/>
  <c r="Z307" i="21"/>
  <c r="X307" i="21"/>
  <c r="V307" i="21"/>
  <c r="R307" i="21"/>
  <c r="P307" i="21"/>
  <c r="S307" i="21" s="1"/>
  <c r="N307" i="21"/>
  <c r="L307" i="21"/>
  <c r="H307" i="21"/>
  <c r="F307" i="21"/>
  <c r="D307" i="21"/>
  <c r="B307" i="21"/>
  <c r="I307" i="21" s="1"/>
  <c r="AS306" i="21"/>
  <c r="AR306" i="21"/>
  <c r="AP306" i="21"/>
  <c r="AJ306" i="21"/>
  <c r="AH306" i="21"/>
  <c r="AF306" i="21"/>
  <c r="AD306" i="21"/>
  <c r="AB306" i="21"/>
  <c r="Z306" i="21"/>
  <c r="V306" i="21"/>
  <c r="R306" i="21"/>
  <c r="P306" i="21"/>
  <c r="N306" i="21"/>
  <c r="T306" i="21" s="1"/>
  <c r="L306" i="21"/>
  <c r="F306" i="21"/>
  <c r="B306" i="21"/>
  <c r="AH305" i="21"/>
  <c r="AB305" i="21"/>
  <c r="X305" i="21"/>
  <c r="D305" i="21"/>
  <c r="AR304" i="21"/>
  <c r="AS304" i="21"/>
  <c r="AJ304" i="21"/>
  <c r="AH304" i="21"/>
  <c r="AF304" i="21"/>
  <c r="AD304" i="21"/>
  <c r="AB304" i="21"/>
  <c r="Z304" i="21"/>
  <c r="X304" i="21"/>
  <c r="V304" i="21"/>
  <c r="R304" i="21"/>
  <c r="T304" i="21" s="1"/>
  <c r="P304" i="21"/>
  <c r="N304" i="21"/>
  <c r="L304" i="21"/>
  <c r="F304" i="21"/>
  <c r="D304" i="21"/>
  <c r="B304" i="21"/>
  <c r="I304" i="21" s="1"/>
  <c r="AS303" i="21"/>
  <c r="AR303" i="21"/>
  <c r="AP303" i="21"/>
  <c r="AJ303" i="21"/>
  <c r="AH303" i="21"/>
  <c r="AF303" i="21"/>
  <c r="AD303" i="21"/>
  <c r="AB303" i="21"/>
  <c r="Z303" i="21"/>
  <c r="X303" i="21"/>
  <c r="V303" i="21"/>
  <c r="R303" i="21"/>
  <c r="P303" i="21"/>
  <c r="S303" i="21" s="1"/>
  <c r="N303" i="21"/>
  <c r="T303" i="21" s="1"/>
  <c r="L303" i="21"/>
  <c r="F303" i="21"/>
  <c r="B303" i="21"/>
  <c r="AR302" i="21"/>
  <c r="AS302" i="21"/>
  <c r="AP302" i="21"/>
  <c r="AJ302" i="21"/>
  <c r="AH302" i="21"/>
  <c r="AF302" i="21"/>
  <c r="AD302" i="21"/>
  <c r="AB302" i="21"/>
  <c r="Z302" i="21"/>
  <c r="X302" i="21"/>
  <c r="V302" i="21"/>
  <c r="R302" i="21"/>
  <c r="P302" i="21"/>
  <c r="N302" i="21"/>
  <c r="T302" i="21" s="1"/>
  <c r="L302" i="21"/>
  <c r="S302" i="21" s="1"/>
  <c r="F302" i="21"/>
  <c r="D302" i="21"/>
  <c r="B302" i="21"/>
  <c r="AR301" i="21"/>
  <c r="AP301" i="21"/>
  <c r="AJ301" i="21"/>
  <c r="AH301" i="21"/>
  <c r="AF301" i="21"/>
  <c r="AD301" i="21"/>
  <c r="AB301" i="21"/>
  <c r="Z301" i="21"/>
  <c r="X301" i="21"/>
  <c r="V301" i="21"/>
  <c r="S301" i="21"/>
  <c r="R301" i="21"/>
  <c r="P301" i="21"/>
  <c r="N301" i="21"/>
  <c r="L301" i="21"/>
  <c r="H301" i="21"/>
  <c r="F301" i="21"/>
  <c r="D301" i="21"/>
  <c r="B301" i="21"/>
  <c r="AP300" i="21"/>
  <c r="AJ300" i="21"/>
  <c r="AH300" i="21"/>
  <c r="AF300" i="21"/>
  <c r="AD300" i="21"/>
  <c r="AB300" i="21"/>
  <c r="Z300" i="21"/>
  <c r="X300" i="21"/>
  <c r="V300" i="21"/>
  <c r="R300" i="21"/>
  <c r="P300" i="21"/>
  <c r="N300" i="21"/>
  <c r="L300" i="21"/>
  <c r="S300" i="21" s="1"/>
  <c r="H300" i="21"/>
  <c r="F300" i="21"/>
  <c r="D300" i="21"/>
  <c r="J300" i="21" s="1"/>
  <c r="B300" i="21"/>
  <c r="AR299" i="21"/>
  <c r="AS299" i="21"/>
  <c r="AJ299" i="21"/>
  <c r="AH299" i="21"/>
  <c r="AF299" i="21"/>
  <c r="AD299" i="21"/>
  <c r="AB299" i="21"/>
  <c r="Z299" i="21"/>
  <c r="X299" i="21"/>
  <c r="V299" i="21"/>
  <c r="R299" i="21"/>
  <c r="P299" i="21"/>
  <c r="N299" i="21"/>
  <c r="L299" i="21"/>
  <c r="S299" i="21" s="1"/>
  <c r="H299" i="21"/>
  <c r="F299" i="21"/>
  <c r="D299" i="21"/>
  <c r="B299" i="21"/>
  <c r="AS298" i="21"/>
  <c r="AP298" i="21"/>
  <c r="AJ298" i="21"/>
  <c r="AH298" i="21"/>
  <c r="AF298" i="21"/>
  <c r="AD298" i="21"/>
  <c r="Z298" i="21"/>
  <c r="V298" i="21"/>
  <c r="R298" i="21"/>
  <c r="T298" i="21" s="1"/>
  <c r="P298" i="21"/>
  <c r="N298" i="21"/>
  <c r="L298" i="21"/>
  <c r="S298" i="21" s="1"/>
  <c r="H298" i="21"/>
  <c r="F298" i="21"/>
  <c r="B298" i="21"/>
  <c r="I298" i="21" s="1"/>
  <c r="AB297" i="21"/>
  <c r="X297" i="21"/>
  <c r="P297" i="21"/>
  <c r="AR296" i="21"/>
  <c r="AJ296" i="21"/>
  <c r="AH296" i="21"/>
  <c r="AF296" i="21"/>
  <c r="AD296" i="21"/>
  <c r="AB296" i="21"/>
  <c r="Z296" i="21"/>
  <c r="X296" i="21"/>
  <c r="V296" i="21"/>
  <c r="R296" i="21"/>
  <c r="P296" i="21"/>
  <c r="N296" i="21"/>
  <c r="L296" i="21"/>
  <c r="S296" i="21" s="1"/>
  <c r="F296" i="21"/>
  <c r="D296" i="21"/>
  <c r="B296" i="21"/>
  <c r="AS295" i="21"/>
  <c r="AP295" i="21"/>
  <c r="AJ295" i="21"/>
  <c r="AH295" i="21"/>
  <c r="AF295" i="21"/>
  <c r="AD295" i="21"/>
  <c r="AB295" i="21"/>
  <c r="Z295" i="21"/>
  <c r="X295" i="21"/>
  <c r="V295" i="21"/>
  <c r="R295" i="21"/>
  <c r="P295" i="21"/>
  <c r="N295" i="21"/>
  <c r="T295" i="21" s="1"/>
  <c r="L295" i="21"/>
  <c r="F295" i="21"/>
  <c r="D295" i="21"/>
  <c r="B295" i="21"/>
  <c r="AP294" i="21"/>
  <c r="AJ294" i="21"/>
  <c r="AH294" i="21"/>
  <c r="AF294" i="21"/>
  <c r="AD294" i="21"/>
  <c r="AB294" i="21"/>
  <c r="Z294" i="21"/>
  <c r="X294" i="21"/>
  <c r="V294" i="21"/>
  <c r="R294" i="21"/>
  <c r="P294" i="21"/>
  <c r="N294" i="21"/>
  <c r="T294" i="21" s="1"/>
  <c r="L294" i="21"/>
  <c r="S294" i="21" s="1"/>
  <c r="F294" i="21"/>
  <c r="D294" i="21"/>
  <c r="B294" i="21"/>
  <c r="I294" i="21" s="1"/>
  <c r="AR293" i="21"/>
  <c r="AS293" i="21"/>
  <c r="AJ293" i="21"/>
  <c r="AH293" i="21"/>
  <c r="AF293" i="21"/>
  <c r="AD293" i="21"/>
  <c r="AB293" i="21"/>
  <c r="Z293" i="21"/>
  <c r="X293" i="21"/>
  <c r="V293" i="21"/>
  <c r="R293" i="21"/>
  <c r="P293" i="21"/>
  <c r="N293" i="21"/>
  <c r="L293" i="21"/>
  <c r="H293" i="21"/>
  <c r="F293" i="21"/>
  <c r="D293" i="21"/>
  <c r="B293" i="21"/>
  <c r="I293" i="21" s="1"/>
  <c r="AS292" i="21"/>
  <c r="AR292" i="21"/>
  <c r="AP292" i="21"/>
  <c r="AJ292" i="21"/>
  <c r="AH292" i="21"/>
  <c r="AF292" i="21"/>
  <c r="AD292" i="21"/>
  <c r="AB292" i="21"/>
  <c r="Z292" i="21"/>
  <c r="X292" i="21"/>
  <c r="V292" i="21"/>
  <c r="R292" i="21"/>
  <c r="P292" i="21"/>
  <c r="N292" i="21"/>
  <c r="T292" i="21" s="1"/>
  <c r="L292" i="21"/>
  <c r="S292" i="21" s="1"/>
  <c r="H292" i="21"/>
  <c r="J292" i="21" s="1"/>
  <c r="F292" i="21"/>
  <c r="D292" i="21"/>
  <c r="B292" i="21"/>
  <c r="AS291" i="21"/>
  <c r="AP291" i="21"/>
  <c r="AJ291" i="21"/>
  <c r="AH291" i="21"/>
  <c r="AF291" i="21"/>
  <c r="AD291" i="21"/>
  <c r="AB291" i="21"/>
  <c r="Z291" i="21"/>
  <c r="X291" i="21"/>
  <c r="V291" i="21"/>
  <c r="R291" i="21"/>
  <c r="P291" i="21"/>
  <c r="N291" i="21"/>
  <c r="T291" i="21" s="1"/>
  <c r="L291" i="21"/>
  <c r="S291" i="21" s="1"/>
  <c r="H291" i="21"/>
  <c r="J291" i="21" s="1"/>
  <c r="F291" i="21"/>
  <c r="D291" i="21"/>
  <c r="B291" i="21"/>
  <c r="I291" i="21" s="1"/>
  <c r="AS290" i="21"/>
  <c r="AP290" i="21"/>
  <c r="AJ290" i="21"/>
  <c r="AH290" i="21"/>
  <c r="AF290" i="21"/>
  <c r="AD290" i="21"/>
  <c r="Z290" i="21"/>
  <c r="V290" i="21"/>
  <c r="R290" i="21"/>
  <c r="P290" i="21"/>
  <c r="N290" i="21"/>
  <c r="L290" i="21"/>
  <c r="F290" i="21"/>
  <c r="D290" i="21"/>
  <c r="B290" i="21"/>
  <c r="I290" i="21" s="1"/>
  <c r="AF289" i="21"/>
  <c r="AB289" i="21"/>
  <c r="X289" i="21"/>
  <c r="V289" i="21"/>
  <c r="H289" i="21"/>
  <c r="AR288" i="21"/>
  <c r="AJ288" i="21"/>
  <c r="AH288" i="21"/>
  <c r="AF288" i="21"/>
  <c r="AD288" i="21"/>
  <c r="AB288" i="21"/>
  <c r="Z288" i="21"/>
  <c r="X288" i="21"/>
  <c r="V288" i="21"/>
  <c r="R288" i="21"/>
  <c r="P288" i="21"/>
  <c r="N288" i="21"/>
  <c r="L288" i="21"/>
  <c r="F288" i="21"/>
  <c r="D288" i="21"/>
  <c r="B288" i="21"/>
  <c r="AS287" i="21"/>
  <c r="AP287" i="21"/>
  <c r="AJ287" i="21"/>
  <c r="AH287" i="21"/>
  <c r="AF287" i="21"/>
  <c r="AD287" i="21"/>
  <c r="AB287" i="21"/>
  <c r="Z287" i="21"/>
  <c r="X287" i="21"/>
  <c r="V287" i="21"/>
  <c r="R287" i="21"/>
  <c r="P287" i="21"/>
  <c r="N287" i="21"/>
  <c r="T287" i="21" s="1"/>
  <c r="L287" i="21"/>
  <c r="F287" i="21"/>
  <c r="B287" i="21"/>
  <c r="AP286" i="21"/>
  <c r="AJ286" i="21"/>
  <c r="AH286" i="21"/>
  <c r="AF286" i="21"/>
  <c r="AD286" i="21"/>
  <c r="AB286" i="21"/>
  <c r="Z286" i="21"/>
  <c r="X286" i="21"/>
  <c r="V286" i="21"/>
  <c r="R286" i="21"/>
  <c r="P286" i="21"/>
  <c r="N286" i="21"/>
  <c r="L286" i="21"/>
  <c r="H286" i="21"/>
  <c r="F286" i="21"/>
  <c r="D286" i="21"/>
  <c r="B286" i="21"/>
  <c r="I286" i="21" s="1"/>
  <c r="AR285" i="21"/>
  <c r="AS285" i="21"/>
  <c r="AJ285" i="21"/>
  <c r="AH285" i="21"/>
  <c r="AF285" i="21"/>
  <c r="AD285" i="21"/>
  <c r="AB285" i="21"/>
  <c r="Z285" i="21"/>
  <c r="X285" i="21"/>
  <c r="V285" i="21"/>
  <c r="R285" i="21"/>
  <c r="P285" i="21"/>
  <c r="N285" i="21"/>
  <c r="L285" i="21"/>
  <c r="H285" i="21"/>
  <c r="F285" i="21"/>
  <c r="D285" i="21"/>
  <c r="B285" i="21"/>
  <c r="I285" i="21" s="1"/>
  <c r="AS284" i="21"/>
  <c r="AR284" i="21"/>
  <c r="AP284" i="21"/>
  <c r="AJ284" i="21"/>
  <c r="AH284" i="21"/>
  <c r="AF284" i="21"/>
  <c r="AD284" i="21"/>
  <c r="AB284" i="21"/>
  <c r="Z284" i="21"/>
  <c r="X284" i="21"/>
  <c r="V284" i="21"/>
  <c r="AK284" i="21" s="1"/>
  <c r="R284" i="21"/>
  <c r="P284" i="21"/>
  <c r="N284" i="21"/>
  <c r="T284" i="21" s="1"/>
  <c r="L284" i="21"/>
  <c r="H284" i="21"/>
  <c r="J284" i="21" s="1"/>
  <c r="F284" i="21"/>
  <c r="D284" i="21"/>
  <c r="B284" i="21"/>
  <c r="AP283" i="21"/>
  <c r="AJ283" i="21"/>
  <c r="AH283" i="21"/>
  <c r="AF283" i="21"/>
  <c r="AD283" i="21"/>
  <c r="AB283" i="21"/>
  <c r="Z283" i="21"/>
  <c r="X283" i="21"/>
  <c r="V283" i="21"/>
  <c r="R283" i="21"/>
  <c r="P283" i="21"/>
  <c r="N283" i="21"/>
  <c r="L283" i="21"/>
  <c r="H283" i="21"/>
  <c r="F283" i="21"/>
  <c r="D283" i="21"/>
  <c r="J283" i="21" s="1"/>
  <c r="B283" i="21"/>
  <c r="I283" i="21" s="1"/>
  <c r="AS282" i="21"/>
  <c r="AP282" i="21"/>
  <c r="AJ282" i="21"/>
  <c r="AH282" i="21"/>
  <c r="AF282" i="21"/>
  <c r="AD282" i="21"/>
  <c r="Z282" i="21"/>
  <c r="V282" i="21"/>
  <c r="R282" i="21"/>
  <c r="P282" i="21"/>
  <c r="N282" i="21"/>
  <c r="L282" i="21"/>
  <c r="F282" i="21"/>
  <c r="B282" i="21"/>
  <c r="I282" i="21" s="1"/>
  <c r="AB281" i="21"/>
  <c r="X281" i="21"/>
  <c r="D281" i="21"/>
  <c r="AR280" i="21"/>
  <c r="AJ280" i="21"/>
  <c r="AH280" i="21"/>
  <c r="AF280" i="21"/>
  <c r="AD280" i="21"/>
  <c r="AB280" i="21"/>
  <c r="Z280" i="21"/>
  <c r="X280" i="21"/>
  <c r="V280" i="21"/>
  <c r="R280" i="21"/>
  <c r="P280" i="21"/>
  <c r="N280" i="21"/>
  <c r="L280" i="21"/>
  <c r="S280" i="21" s="1"/>
  <c r="F280" i="21"/>
  <c r="D280" i="21"/>
  <c r="B280" i="21"/>
  <c r="I280" i="21" s="1"/>
  <c r="AS279" i="21"/>
  <c r="AP279" i="21"/>
  <c r="AJ279" i="21"/>
  <c r="AH279" i="21"/>
  <c r="AF279" i="21"/>
  <c r="AD279" i="21"/>
  <c r="AB279" i="21"/>
  <c r="Z279" i="21"/>
  <c r="X279" i="21"/>
  <c r="V279" i="21"/>
  <c r="R279" i="21"/>
  <c r="P279" i="21"/>
  <c r="N279" i="21"/>
  <c r="T279" i="21" s="1"/>
  <c r="L279" i="21"/>
  <c r="H279" i="21"/>
  <c r="F279" i="21"/>
  <c r="D279" i="21"/>
  <c r="B279" i="21"/>
  <c r="AS278" i="21"/>
  <c r="AP278" i="21"/>
  <c r="AJ278" i="21"/>
  <c r="AH278" i="21"/>
  <c r="AF278" i="21"/>
  <c r="AD278" i="21"/>
  <c r="AB278" i="21"/>
  <c r="Z278" i="21"/>
  <c r="X278" i="21"/>
  <c r="V278" i="21"/>
  <c r="T278" i="21"/>
  <c r="R278" i="21"/>
  <c r="P278" i="21"/>
  <c r="N278" i="21"/>
  <c r="L278" i="21"/>
  <c r="F278" i="21"/>
  <c r="D278" i="21"/>
  <c r="B278" i="21"/>
  <c r="I278" i="21" s="1"/>
  <c r="AR277" i="21"/>
  <c r="AJ277" i="21"/>
  <c r="AH277" i="21"/>
  <c r="AF277" i="21"/>
  <c r="AD277" i="21"/>
  <c r="AB277" i="21"/>
  <c r="Z277" i="21"/>
  <c r="X277" i="21"/>
  <c r="AL277" i="21" s="1"/>
  <c r="V277" i="21"/>
  <c r="R277" i="21"/>
  <c r="P277" i="21"/>
  <c r="N277" i="21"/>
  <c r="L277" i="21"/>
  <c r="S277" i="21" s="1"/>
  <c r="H277" i="21"/>
  <c r="F277" i="21"/>
  <c r="D277" i="21"/>
  <c r="J277" i="21" s="1"/>
  <c r="B277" i="21"/>
  <c r="AS276" i="21"/>
  <c r="AR276" i="21"/>
  <c r="AP276" i="21"/>
  <c r="AJ276" i="21"/>
  <c r="AH276" i="21"/>
  <c r="AF276" i="21"/>
  <c r="AD276" i="21"/>
  <c r="AB276" i="21"/>
  <c r="Z276" i="21"/>
  <c r="X276" i="21"/>
  <c r="V276" i="21"/>
  <c r="R276" i="21"/>
  <c r="P276" i="21"/>
  <c r="N276" i="21"/>
  <c r="T276" i="21" s="1"/>
  <c r="L276" i="21"/>
  <c r="H276" i="21"/>
  <c r="J276" i="21" s="1"/>
  <c r="F276" i="21"/>
  <c r="D276" i="21"/>
  <c r="B276" i="21"/>
  <c r="AP275" i="21"/>
  <c r="AJ275" i="21"/>
  <c r="AH275" i="21"/>
  <c r="AF275" i="21"/>
  <c r="AD275" i="21"/>
  <c r="AB275" i="21"/>
  <c r="Z275" i="21"/>
  <c r="X275" i="21"/>
  <c r="V275" i="21"/>
  <c r="R275" i="21"/>
  <c r="P275" i="21"/>
  <c r="N275" i="21"/>
  <c r="T275" i="21" s="1"/>
  <c r="L275" i="21"/>
  <c r="H275" i="21"/>
  <c r="F275" i="21"/>
  <c r="D275" i="21"/>
  <c r="B275" i="21"/>
  <c r="I275" i="21" s="1"/>
  <c r="AP274" i="21"/>
  <c r="AJ274" i="21"/>
  <c r="AH274" i="21"/>
  <c r="AF274" i="21"/>
  <c r="AD274" i="21"/>
  <c r="Z274" i="21"/>
  <c r="V274" i="21"/>
  <c r="R274" i="21"/>
  <c r="P274" i="21"/>
  <c r="S274" i="21" s="1"/>
  <c r="N274" i="21"/>
  <c r="L274" i="21"/>
  <c r="F274" i="21"/>
  <c r="B274" i="21"/>
  <c r="I274" i="21" s="1"/>
  <c r="AP273" i="21"/>
  <c r="AB273" i="21"/>
  <c r="X273" i="21"/>
  <c r="R273" i="21"/>
  <c r="P273" i="21"/>
  <c r="D273" i="21"/>
  <c r="AR272" i="21"/>
  <c r="AP272" i="21"/>
  <c r="AJ272" i="21"/>
  <c r="AH272" i="21"/>
  <c r="AF272" i="21"/>
  <c r="AD272" i="21"/>
  <c r="AB272" i="21"/>
  <c r="Z272" i="21"/>
  <c r="X272" i="21"/>
  <c r="V272" i="21"/>
  <c r="R272" i="21"/>
  <c r="P272" i="21"/>
  <c r="N272" i="21"/>
  <c r="L272" i="21"/>
  <c r="F272" i="21"/>
  <c r="D272" i="21"/>
  <c r="B272" i="21"/>
  <c r="I272" i="21" s="1"/>
  <c r="AS271" i="21"/>
  <c r="AP271" i="21"/>
  <c r="AJ271" i="21"/>
  <c r="AH271" i="21"/>
  <c r="AF271" i="21"/>
  <c r="AD271" i="21"/>
  <c r="AB271" i="21"/>
  <c r="Z271" i="21"/>
  <c r="X271" i="21"/>
  <c r="V271" i="21"/>
  <c r="R271" i="21"/>
  <c r="P271" i="21"/>
  <c r="N271" i="21"/>
  <c r="L271" i="21"/>
  <c r="F271" i="21"/>
  <c r="D271" i="21"/>
  <c r="B271" i="21"/>
  <c r="AS270" i="21"/>
  <c r="AP270" i="21"/>
  <c r="AJ270" i="21"/>
  <c r="AH270" i="21"/>
  <c r="AF270" i="21"/>
  <c r="AD270" i="21"/>
  <c r="AB270" i="21"/>
  <c r="Z270" i="21"/>
  <c r="X270" i="21"/>
  <c r="V270" i="21"/>
  <c r="R270" i="21"/>
  <c r="P270" i="21"/>
  <c r="N270" i="21"/>
  <c r="L270" i="21"/>
  <c r="H270" i="21"/>
  <c r="F270" i="21"/>
  <c r="D270" i="21"/>
  <c r="B270" i="21"/>
  <c r="AR269" i="21"/>
  <c r="AS269" i="21"/>
  <c r="AP269" i="21"/>
  <c r="AJ269" i="21"/>
  <c r="AH269" i="21"/>
  <c r="AF269" i="21"/>
  <c r="AD269" i="21"/>
  <c r="AB269" i="21"/>
  <c r="Z269" i="21"/>
  <c r="X269" i="21"/>
  <c r="V269" i="21"/>
  <c r="R269" i="21"/>
  <c r="P269" i="21"/>
  <c r="N269" i="21"/>
  <c r="T269" i="21" s="1"/>
  <c r="L269" i="21"/>
  <c r="S269" i="21" s="1"/>
  <c r="H269" i="21"/>
  <c r="F269" i="21"/>
  <c r="D269" i="21"/>
  <c r="J269" i="21" s="1"/>
  <c r="B269" i="21"/>
  <c r="I269" i="21" s="1"/>
  <c r="AS268" i="21"/>
  <c r="AR268" i="21"/>
  <c r="AP268" i="21"/>
  <c r="AJ268" i="21"/>
  <c r="AH268" i="21"/>
  <c r="AF268" i="21"/>
  <c r="AD268" i="21"/>
  <c r="AB268" i="21"/>
  <c r="Z268" i="21"/>
  <c r="X268" i="21"/>
  <c r="V268" i="21"/>
  <c r="R268" i="21"/>
  <c r="P268" i="21"/>
  <c r="N268" i="21"/>
  <c r="L268" i="21"/>
  <c r="H268" i="21"/>
  <c r="F268" i="21"/>
  <c r="D268" i="21"/>
  <c r="B268" i="21"/>
  <c r="AP267" i="21"/>
  <c r="AJ267" i="21"/>
  <c r="AH267" i="21"/>
  <c r="AF267" i="21"/>
  <c r="AD267" i="21"/>
  <c r="AB267" i="21"/>
  <c r="Z267" i="21"/>
  <c r="X267" i="21"/>
  <c r="AL267" i="21" s="1"/>
  <c r="V267" i="21"/>
  <c r="R267" i="21"/>
  <c r="P267" i="21"/>
  <c r="N267" i="21"/>
  <c r="L267" i="21"/>
  <c r="S267" i="21" s="1"/>
  <c r="H267" i="21"/>
  <c r="J267" i="21" s="1"/>
  <c r="F267" i="21"/>
  <c r="D267" i="21"/>
  <c r="B267" i="21"/>
  <c r="AP266" i="21"/>
  <c r="AJ266" i="21"/>
  <c r="AH266" i="21"/>
  <c r="AF266" i="21"/>
  <c r="AD266" i="21"/>
  <c r="AB266" i="21"/>
  <c r="Z266" i="21"/>
  <c r="V266" i="21"/>
  <c r="AK266" i="21" s="1"/>
  <c r="R266" i="21"/>
  <c r="P266" i="21"/>
  <c r="N266" i="21"/>
  <c r="T266" i="21" s="1"/>
  <c r="L266" i="21"/>
  <c r="F266" i="21"/>
  <c r="B266" i="21"/>
  <c r="AJ265" i="21"/>
  <c r="AB265" i="21"/>
  <c r="X265" i="21"/>
  <c r="P265" i="21"/>
  <c r="D265" i="21"/>
  <c r="AR264" i="21"/>
  <c r="AJ264" i="21"/>
  <c r="AH264" i="21"/>
  <c r="AF264" i="21"/>
  <c r="AD264" i="21"/>
  <c r="AB264" i="21"/>
  <c r="Z264" i="21"/>
  <c r="X264" i="21"/>
  <c r="V264" i="21"/>
  <c r="R264" i="21"/>
  <c r="P264" i="21"/>
  <c r="N264" i="21"/>
  <c r="L264" i="21"/>
  <c r="H264" i="21"/>
  <c r="F264" i="21"/>
  <c r="D264" i="21"/>
  <c r="B264" i="21"/>
  <c r="I264" i="21" s="1"/>
  <c r="AR263" i="21"/>
  <c r="AS263" i="21"/>
  <c r="AP263" i="21"/>
  <c r="AJ263" i="21"/>
  <c r="AH263" i="21"/>
  <c r="AF263" i="21"/>
  <c r="AD263" i="21"/>
  <c r="AB263" i="21"/>
  <c r="Z263" i="21"/>
  <c r="X263" i="21"/>
  <c r="AL263" i="21" s="1"/>
  <c r="V263" i="21"/>
  <c r="R263" i="21"/>
  <c r="P263" i="21"/>
  <c r="N263" i="21"/>
  <c r="L263" i="21"/>
  <c r="F263" i="21"/>
  <c r="D263" i="21"/>
  <c r="B263" i="21"/>
  <c r="AR262" i="21"/>
  <c r="AS262" i="21"/>
  <c r="AP262" i="21"/>
  <c r="AJ262" i="21"/>
  <c r="AH262" i="21"/>
  <c r="AF262" i="21"/>
  <c r="AD262" i="21"/>
  <c r="AB262" i="21"/>
  <c r="Z262" i="21"/>
  <c r="X262" i="21"/>
  <c r="V262" i="21"/>
  <c r="R262" i="21"/>
  <c r="P262" i="21"/>
  <c r="N262" i="21"/>
  <c r="L262" i="21"/>
  <c r="S262" i="21" s="1"/>
  <c r="F262" i="21"/>
  <c r="D262" i="21"/>
  <c r="B262" i="21"/>
  <c r="AR261" i="21"/>
  <c r="AP261" i="21"/>
  <c r="AJ261" i="21"/>
  <c r="AH261" i="21"/>
  <c r="AF261" i="21"/>
  <c r="AD261" i="21"/>
  <c r="AB261" i="21"/>
  <c r="Z261" i="21"/>
  <c r="X261" i="21"/>
  <c r="V261" i="21"/>
  <c r="R261" i="21"/>
  <c r="P261" i="21"/>
  <c r="N261" i="21"/>
  <c r="T261" i="21" s="1"/>
  <c r="L261" i="21"/>
  <c r="S261" i="21" s="1"/>
  <c r="I261" i="21"/>
  <c r="H261" i="21"/>
  <c r="F261" i="21"/>
  <c r="D261" i="21"/>
  <c r="B261" i="21"/>
  <c r="AS260" i="21"/>
  <c r="AR260" i="21"/>
  <c r="AP260" i="21"/>
  <c r="AJ260" i="21"/>
  <c r="AH260" i="21"/>
  <c r="AF260" i="21"/>
  <c r="AD260" i="21"/>
  <c r="AB260" i="21"/>
  <c r="Z260" i="21"/>
  <c r="X260" i="21"/>
  <c r="V260" i="21"/>
  <c r="R260" i="21"/>
  <c r="P260" i="21"/>
  <c r="N260" i="21"/>
  <c r="T260" i="21" s="1"/>
  <c r="L260" i="21"/>
  <c r="H260" i="21"/>
  <c r="F260" i="21"/>
  <c r="D260" i="21"/>
  <c r="B260" i="21"/>
  <c r="AR259" i="21"/>
  <c r="AP259" i="21"/>
  <c r="AJ259" i="21"/>
  <c r="AH259" i="21"/>
  <c r="AF259" i="21"/>
  <c r="AD259" i="21"/>
  <c r="AB259" i="21"/>
  <c r="Z259" i="21"/>
  <c r="X259" i="21"/>
  <c r="V259" i="21"/>
  <c r="R259" i="21"/>
  <c r="P259" i="21"/>
  <c r="N259" i="21"/>
  <c r="L259" i="21"/>
  <c r="S259" i="21" s="1"/>
  <c r="H259" i="21"/>
  <c r="F259" i="21"/>
  <c r="D259" i="21"/>
  <c r="B259" i="21"/>
  <c r="AP258" i="21"/>
  <c r="AJ258" i="21"/>
  <c r="AH258" i="21"/>
  <c r="AF258" i="21"/>
  <c r="AD258" i="21"/>
  <c r="Z258" i="21"/>
  <c r="V258" i="21"/>
  <c r="R258" i="21"/>
  <c r="P258" i="21"/>
  <c r="N258" i="21"/>
  <c r="T258" i="21" s="1"/>
  <c r="L258" i="21"/>
  <c r="S258" i="21" s="1"/>
  <c r="F258" i="21"/>
  <c r="D258" i="21"/>
  <c r="B258" i="21"/>
  <c r="AB257" i="21"/>
  <c r="X257" i="21"/>
  <c r="D257" i="21"/>
  <c r="AS256" i="21"/>
  <c r="AR256" i="21"/>
  <c r="AJ256" i="21"/>
  <c r="AH256" i="21"/>
  <c r="AF256" i="21"/>
  <c r="AD256" i="21"/>
  <c r="AB256" i="21"/>
  <c r="Z256" i="21"/>
  <c r="X256" i="21"/>
  <c r="AL256" i="21" s="1"/>
  <c r="V256" i="21"/>
  <c r="R256" i="21"/>
  <c r="P256" i="21"/>
  <c r="N256" i="21"/>
  <c r="T256" i="21" s="1"/>
  <c r="L256" i="21"/>
  <c r="F256" i="21"/>
  <c r="D256" i="21"/>
  <c r="B256" i="21"/>
  <c r="AP255" i="21"/>
  <c r="AJ255" i="21"/>
  <c r="AH255" i="21"/>
  <c r="AF255" i="21"/>
  <c r="AD255" i="21"/>
  <c r="AB255" i="21"/>
  <c r="Z255" i="21"/>
  <c r="X255" i="21"/>
  <c r="AL255" i="21" s="1"/>
  <c r="V255" i="21"/>
  <c r="R255" i="21"/>
  <c r="P255" i="21"/>
  <c r="N255" i="21"/>
  <c r="T255" i="21" s="1"/>
  <c r="L255" i="21"/>
  <c r="F255" i="21"/>
  <c r="B255" i="21"/>
  <c r="I255" i="21" s="1"/>
  <c r="AR254" i="21"/>
  <c r="AS254" i="21"/>
  <c r="AJ254" i="21"/>
  <c r="AH254" i="21"/>
  <c r="AF254" i="21"/>
  <c r="AD254" i="21"/>
  <c r="AB254" i="21"/>
  <c r="Z254" i="21"/>
  <c r="X254" i="21"/>
  <c r="V254" i="21"/>
  <c r="R254" i="21"/>
  <c r="P254" i="21"/>
  <c r="N254" i="21"/>
  <c r="L254" i="21"/>
  <c r="H254" i="21"/>
  <c r="F254" i="21"/>
  <c r="D254" i="21"/>
  <c r="B254" i="21"/>
  <c r="I254" i="21" s="1"/>
  <c r="AS253" i="21"/>
  <c r="AR253" i="21"/>
  <c r="AP253" i="21"/>
  <c r="AJ253" i="21"/>
  <c r="AH253" i="21"/>
  <c r="AF253" i="21"/>
  <c r="AD253" i="21"/>
  <c r="AB253" i="21"/>
  <c r="Z253" i="21"/>
  <c r="X253" i="21"/>
  <c r="V253" i="21"/>
  <c r="R253" i="21"/>
  <c r="P253" i="21"/>
  <c r="N253" i="21"/>
  <c r="T253" i="21" s="1"/>
  <c r="L253" i="21"/>
  <c r="H253" i="21"/>
  <c r="F253" i="21"/>
  <c r="D253" i="21"/>
  <c r="J253" i="21" s="1"/>
  <c r="B253" i="21"/>
  <c r="AS252" i="21"/>
  <c r="AP252" i="21"/>
  <c r="AJ252" i="21"/>
  <c r="AH252" i="21"/>
  <c r="AF252" i="21"/>
  <c r="AD252" i="21"/>
  <c r="AB252" i="21"/>
  <c r="Z252" i="21"/>
  <c r="X252" i="21"/>
  <c r="V252" i="21"/>
  <c r="AK252" i="21" s="1"/>
  <c r="R252" i="21"/>
  <c r="P252" i="21"/>
  <c r="N252" i="21"/>
  <c r="L252" i="21"/>
  <c r="S252" i="21" s="1"/>
  <c r="H252" i="21"/>
  <c r="F252" i="21"/>
  <c r="D252" i="21"/>
  <c r="J252" i="21" s="1"/>
  <c r="B252" i="21"/>
  <c r="I252" i="21" s="1"/>
  <c r="AR251" i="21"/>
  <c r="AP251" i="21"/>
  <c r="AJ251" i="21"/>
  <c r="AH251" i="21"/>
  <c r="AF251" i="21"/>
  <c r="AD251" i="21"/>
  <c r="AB251" i="21"/>
  <c r="Z251" i="21"/>
  <c r="X251" i="21"/>
  <c r="V251" i="21"/>
  <c r="R251" i="21"/>
  <c r="P251" i="21"/>
  <c r="N251" i="21"/>
  <c r="L251" i="21"/>
  <c r="H251" i="21"/>
  <c r="F251" i="21"/>
  <c r="D251" i="21"/>
  <c r="B251" i="21"/>
  <c r="AS250" i="21"/>
  <c r="AP250" i="21"/>
  <c r="AJ250" i="21"/>
  <c r="AH250" i="21"/>
  <c r="AF250" i="21"/>
  <c r="AD250" i="21"/>
  <c r="AB250" i="21"/>
  <c r="Z250" i="21"/>
  <c r="V250" i="21"/>
  <c r="AK250" i="21" s="1"/>
  <c r="R250" i="21"/>
  <c r="P250" i="21"/>
  <c r="N250" i="21"/>
  <c r="T250" i="21" s="1"/>
  <c r="L250" i="21"/>
  <c r="F250" i="21"/>
  <c r="B250" i="21"/>
  <c r="AR249" i="21"/>
  <c r="AJ249" i="21"/>
  <c r="AB249" i="21"/>
  <c r="X249" i="21"/>
  <c r="H249" i="21"/>
  <c r="AR248" i="21"/>
  <c r="AJ248" i="21"/>
  <c r="AH248" i="21"/>
  <c r="AF248" i="21"/>
  <c r="AD248" i="21"/>
  <c r="AB248" i="21"/>
  <c r="Z248" i="21"/>
  <c r="X248" i="21"/>
  <c r="AL248" i="21" s="1"/>
  <c r="V248" i="21"/>
  <c r="R248" i="21"/>
  <c r="P248" i="21"/>
  <c r="N248" i="21"/>
  <c r="L248" i="21"/>
  <c r="F248" i="21"/>
  <c r="D248" i="21"/>
  <c r="B248" i="21"/>
  <c r="AP247" i="21"/>
  <c r="AJ247" i="21"/>
  <c r="AH247" i="21"/>
  <c r="AF247" i="21"/>
  <c r="AD247" i="21"/>
  <c r="AB247" i="21"/>
  <c r="Z247" i="21"/>
  <c r="X247" i="21"/>
  <c r="V247" i="21"/>
  <c r="R247" i="21"/>
  <c r="P247" i="21"/>
  <c r="N247" i="21"/>
  <c r="T247" i="21" s="1"/>
  <c r="L247" i="21"/>
  <c r="S247" i="21" s="1"/>
  <c r="H247" i="21"/>
  <c r="F247" i="21"/>
  <c r="B247" i="21"/>
  <c r="I247" i="21" s="1"/>
  <c r="AR246" i="21"/>
  <c r="AS246" i="21"/>
  <c r="AJ246" i="21"/>
  <c r="AH246" i="21"/>
  <c r="AF246" i="21"/>
  <c r="AD246" i="21"/>
  <c r="AB246" i="21"/>
  <c r="Z246" i="21"/>
  <c r="X246" i="21"/>
  <c r="V246" i="21"/>
  <c r="AK246" i="21" s="1"/>
  <c r="R246" i="21"/>
  <c r="T246" i="21" s="1"/>
  <c r="P246" i="21"/>
  <c r="N246" i="21"/>
  <c r="L246" i="21"/>
  <c r="F246" i="21"/>
  <c r="D246" i="21"/>
  <c r="B246" i="21"/>
  <c r="AS245" i="21"/>
  <c r="AR245" i="21"/>
  <c r="AP245" i="21"/>
  <c r="AJ245" i="21"/>
  <c r="AH245" i="21"/>
  <c r="AF245" i="21"/>
  <c r="AD245" i="21"/>
  <c r="AB245" i="21"/>
  <c r="Z245" i="21"/>
  <c r="X245" i="21"/>
  <c r="V245" i="21"/>
  <c r="R245" i="21"/>
  <c r="P245" i="21"/>
  <c r="N245" i="21"/>
  <c r="L245" i="21"/>
  <c r="H245" i="21"/>
  <c r="F245" i="21"/>
  <c r="D245" i="21"/>
  <c r="B245" i="21"/>
  <c r="AP244" i="21"/>
  <c r="AJ244" i="21"/>
  <c r="AH244" i="21"/>
  <c r="AF244" i="21"/>
  <c r="AD244" i="21"/>
  <c r="AB244" i="21"/>
  <c r="Z244" i="21"/>
  <c r="X244" i="21"/>
  <c r="V244" i="21"/>
  <c r="R244" i="21"/>
  <c r="P244" i="21"/>
  <c r="N244" i="21"/>
  <c r="L244" i="21"/>
  <c r="H244" i="21"/>
  <c r="F244" i="21"/>
  <c r="D244" i="21"/>
  <c r="J244" i="21" s="1"/>
  <c r="B244" i="21"/>
  <c r="I244" i="21" s="1"/>
  <c r="AR243" i="21"/>
  <c r="AP243" i="21"/>
  <c r="AJ243" i="21"/>
  <c r="AH243" i="21"/>
  <c r="AF243" i="21"/>
  <c r="AD243" i="21"/>
  <c r="AB243" i="21"/>
  <c r="Z243" i="21"/>
  <c r="X243" i="21"/>
  <c r="AL243" i="21" s="1"/>
  <c r="V243" i="21"/>
  <c r="R243" i="21"/>
  <c r="P243" i="21"/>
  <c r="N243" i="21"/>
  <c r="L243" i="21"/>
  <c r="S243" i="21" s="1"/>
  <c r="H243" i="21"/>
  <c r="F243" i="21"/>
  <c r="D243" i="21"/>
  <c r="B243" i="21"/>
  <c r="AS242" i="21"/>
  <c r="AP242" i="21"/>
  <c r="AJ242" i="21"/>
  <c r="AH242" i="21"/>
  <c r="AF242" i="21"/>
  <c r="AD242" i="21"/>
  <c r="AB242" i="21"/>
  <c r="Z242" i="21"/>
  <c r="V242" i="21"/>
  <c r="R242" i="21"/>
  <c r="P242" i="21"/>
  <c r="N242" i="21"/>
  <c r="T242" i="21" s="1"/>
  <c r="L242" i="21"/>
  <c r="F242" i="21"/>
  <c r="B242" i="21"/>
  <c r="AB241" i="21"/>
  <c r="X241" i="21"/>
  <c r="B241" i="21"/>
  <c r="AR240" i="21"/>
  <c r="AJ240" i="21"/>
  <c r="AH240" i="21"/>
  <c r="AF240" i="21"/>
  <c r="AD240" i="21"/>
  <c r="AB240" i="21"/>
  <c r="Z240" i="21"/>
  <c r="X240" i="21"/>
  <c r="AL240" i="21" s="1"/>
  <c r="V240" i="21"/>
  <c r="R240" i="21"/>
  <c r="P240" i="21"/>
  <c r="N240" i="21"/>
  <c r="T240" i="21" s="1"/>
  <c r="L240" i="21"/>
  <c r="S240" i="21" s="1"/>
  <c r="H240" i="21"/>
  <c r="F240" i="21"/>
  <c r="D240" i="21"/>
  <c r="B240" i="21"/>
  <c r="I240" i="21" s="1"/>
  <c r="AP239" i="21"/>
  <c r="AJ239" i="21"/>
  <c r="AH239" i="21"/>
  <c r="AF239" i="21"/>
  <c r="AD239" i="21"/>
  <c r="AB239" i="21"/>
  <c r="Z239" i="21"/>
  <c r="X239" i="21"/>
  <c r="V239" i="21"/>
  <c r="R239" i="21"/>
  <c r="P239" i="21"/>
  <c r="S239" i="21" s="1"/>
  <c r="N239" i="21"/>
  <c r="L239" i="21"/>
  <c r="F239" i="21"/>
  <c r="B239" i="21"/>
  <c r="I239" i="21" s="1"/>
  <c r="AR238" i="21"/>
  <c r="AS238" i="21"/>
  <c r="AJ238" i="21"/>
  <c r="AH238" i="21"/>
  <c r="AF238" i="21"/>
  <c r="AD238" i="21"/>
  <c r="AB238" i="21"/>
  <c r="Z238" i="21"/>
  <c r="X238" i="21"/>
  <c r="V238" i="21"/>
  <c r="R238" i="21"/>
  <c r="P238" i="21"/>
  <c r="N238" i="21"/>
  <c r="L238" i="21"/>
  <c r="F238" i="21"/>
  <c r="D238" i="21"/>
  <c r="B238" i="21"/>
  <c r="I238" i="21" s="1"/>
  <c r="AS237" i="21"/>
  <c r="AR237" i="21"/>
  <c r="AP237" i="21"/>
  <c r="AJ237" i="21"/>
  <c r="AH237" i="21"/>
  <c r="AF237" i="21"/>
  <c r="AD237" i="21"/>
  <c r="AB237" i="21"/>
  <c r="Z237" i="21"/>
  <c r="X237" i="21"/>
  <c r="V237" i="21"/>
  <c r="R237" i="21"/>
  <c r="P237" i="21"/>
  <c r="N237" i="21"/>
  <c r="T237" i="21" s="1"/>
  <c r="L237" i="21"/>
  <c r="S237" i="21" s="1"/>
  <c r="H237" i="21"/>
  <c r="F237" i="21"/>
  <c r="D237" i="21"/>
  <c r="B237" i="21"/>
  <c r="AP236" i="21"/>
  <c r="AJ236" i="21"/>
  <c r="AH236" i="21"/>
  <c r="AF236" i="21"/>
  <c r="AD236" i="21"/>
  <c r="AB236" i="21"/>
  <c r="Z236" i="21"/>
  <c r="X236" i="21"/>
  <c r="V236" i="21"/>
  <c r="R236" i="21"/>
  <c r="P236" i="21"/>
  <c r="N236" i="21"/>
  <c r="L236" i="21"/>
  <c r="H236" i="21"/>
  <c r="F236" i="21"/>
  <c r="D236" i="21"/>
  <c r="B236" i="21"/>
  <c r="AR235" i="21"/>
  <c r="AP235" i="21"/>
  <c r="AJ235" i="21"/>
  <c r="AH235" i="21"/>
  <c r="AF235" i="21"/>
  <c r="AD235" i="21"/>
  <c r="AB235" i="21"/>
  <c r="Z235" i="21"/>
  <c r="X235" i="21"/>
  <c r="AL235" i="21" s="1"/>
  <c r="V235" i="21"/>
  <c r="R235" i="21"/>
  <c r="P235" i="21"/>
  <c r="N235" i="21"/>
  <c r="T235" i="21" s="1"/>
  <c r="L235" i="21"/>
  <c r="S235" i="21" s="1"/>
  <c r="H235" i="21"/>
  <c r="F235" i="21"/>
  <c r="D235" i="21"/>
  <c r="B235" i="21"/>
  <c r="I235" i="21" s="1"/>
  <c r="AR234" i="21"/>
  <c r="AS234" i="21"/>
  <c r="AP234" i="21"/>
  <c r="AJ234" i="21"/>
  <c r="AH234" i="21"/>
  <c r="AF234" i="21"/>
  <c r="AD234" i="21"/>
  <c r="Z234" i="21"/>
  <c r="V234" i="21"/>
  <c r="R234" i="21"/>
  <c r="P234" i="21"/>
  <c r="N234" i="21"/>
  <c r="L234" i="21"/>
  <c r="S234" i="21" s="1"/>
  <c r="F234" i="21"/>
  <c r="B234" i="21"/>
  <c r="AB233" i="21"/>
  <c r="X233" i="21"/>
  <c r="L233" i="21"/>
  <c r="AR232" i="21"/>
  <c r="AJ232" i="21"/>
  <c r="AH232" i="21"/>
  <c r="AF232" i="21"/>
  <c r="AD232" i="21"/>
  <c r="AB232" i="21"/>
  <c r="Z232" i="21"/>
  <c r="X232" i="21"/>
  <c r="AL232" i="21" s="1"/>
  <c r="V232" i="21"/>
  <c r="R232" i="21"/>
  <c r="P232" i="21"/>
  <c r="N232" i="21"/>
  <c r="T232" i="21" s="1"/>
  <c r="L232" i="21"/>
  <c r="H232" i="21"/>
  <c r="F232" i="21"/>
  <c r="D232" i="21"/>
  <c r="B232" i="21"/>
  <c r="AP231" i="21"/>
  <c r="AJ231" i="21"/>
  <c r="AH231" i="21"/>
  <c r="AF231" i="21"/>
  <c r="AD231" i="21"/>
  <c r="AB231" i="21"/>
  <c r="Z231" i="21"/>
  <c r="X231" i="21"/>
  <c r="AL231" i="21" s="1"/>
  <c r="V231" i="21"/>
  <c r="R231" i="21"/>
  <c r="P231" i="21"/>
  <c r="N231" i="21"/>
  <c r="T231" i="21" s="1"/>
  <c r="L231" i="21"/>
  <c r="S231" i="21" s="1"/>
  <c r="F231" i="21"/>
  <c r="D231" i="21"/>
  <c r="B231" i="21"/>
  <c r="I231" i="21" s="1"/>
  <c r="AR230" i="21"/>
  <c r="AS230" i="21"/>
  <c r="AP230" i="21"/>
  <c r="AJ230" i="21"/>
  <c r="AH230" i="21"/>
  <c r="AF230" i="21"/>
  <c r="AD230" i="21"/>
  <c r="AB230" i="21"/>
  <c r="Z230" i="21"/>
  <c r="X230" i="21"/>
  <c r="V230" i="21"/>
  <c r="R230" i="21"/>
  <c r="T230" i="21" s="1"/>
  <c r="P230" i="21"/>
  <c r="N230" i="21"/>
  <c r="L230" i="21"/>
  <c r="H230" i="21"/>
  <c r="F230" i="21"/>
  <c r="D230" i="21"/>
  <c r="B230" i="21"/>
  <c r="AR229" i="21"/>
  <c r="AP229" i="21"/>
  <c r="AJ229" i="21"/>
  <c r="AH229" i="21"/>
  <c r="AF229" i="21"/>
  <c r="AD229" i="21"/>
  <c r="AB229" i="21"/>
  <c r="Z229" i="21"/>
  <c r="X229" i="21"/>
  <c r="V229" i="21"/>
  <c r="R229" i="21"/>
  <c r="P229" i="21"/>
  <c r="N229" i="21"/>
  <c r="T229" i="21" s="1"/>
  <c r="L229" i="21"/>
  <c r="S229" i="21" s="1"/>
  <c r="H229" i="21"/>
  <c r="F229" i="21"/>
  <c r="D229" i="21"/>
  <c r="J229" i="21" s="1"/>
  <c r="B229" i="21"/>
  <c r="I229" i="21" s="1"/>
  <c r="AR228" i="21"/>
  <c r="AS228" i="21"/>
  <c r="AP228" i="21"/>
  <c r="AJ228" i="21"/>
  <c r="AH228" i="21"/>
  <c r="AF228" i="21"/>
  <c r="AD228" i="21"/>
  <c r="AB228" i="21"/>
  <c r="Z228" i="21"/>
  <c r="X228" i="21"/>
  <c r="AL228" i="21" s="1"/>
  <c r="V228" i="21"/>
  <c r="R228" i="21"/>
  <c r="P228" i="21"/>
  <c r="N228" i="21"/>
  <c r="L228" i="21"/>
  <c r="H228" i="21"/>
  <c r="J228" i="21" s="1"/>
  <c r="F228" i="21"/>
  <c r="D228" i="21"/>
  <c r="B228" i="21"/>
  <c r="AP227" i="21"/>
  <c r="AJ227" i="21"/>
  <c r="AH227" i="21"/>
  <c r="AF227" i="21"/>
  <c r="AD227" i="21"/>
  <c r="AB227" i="21"/>
  <c r="Z227" i="21"/>
  <c r="X227" i="21"/>
  <c r="V227" i="21"/>
  <c r="R227" i="21"/>
  <c r="P227" i="21"/>
  <c r="N227" i="21"/>
  <c r="T227" i="21" s="1"/>
  <c r="L227" i="21"/>
  <c r="H227" i="21"/>
  <c r="F227" i="21"/>
  <c r="D227" i="21"/>
  <c r="B227" i="21"/>
  <c r="I227" i="21" s="1"/>
  <c r="AR226" i="21"/>
  <c r="AS226" i="21"/>
  <c r="AP226" i="21"/>
  <c r="AJ226" i="21"/>
  <c r="AH226" i="21"/>
  <c r="AF226" i="21"/>
  <c r="AD226" i="21"/>
  <c r="Z226" i="21"/>
  <c r="V226" i="21"/>
  <c r="R226" i="21"/>
  <c r="T226" i="21" s="1"/>
  <c r="P226" i="21"/>
  <c r="N226" i="21"/>
  <c r="L226" i="21"/>
  <c r="S226" i="21" s="1"/>
  <c r="F226" i="21"/>
  <c r="B226" i="21"/>
  <c r="AJ225" i="21"/>
  <c r="AH225" i="21"/>
  <c r="AB225" i="21"/>
  <c r="X225" i="21"/>
  <c r="V225" i="21"/>
  <c r="AR224" i="21"/>
  <c r="AJ224" i="21"/>
  <c r="AH224" i="21"/>
  <c r="AF224" i="21"/>
  <c r="AD224" i="21"/>
  <c r="AB224" i="21"/>
  <c r="AL224" i="21" s="1"/>
  <c r="Z224" i="21"/>
  <c r="X224" i="21"/>
  <c r="V224" i="21"/>
  <c r="R224" i="21"/>
  <c r="P224" i="21"/>
  <c r="N224" i="21"/>
  <c r="L224" i="21"/>
  <c r="S224" i="21" s="1"/>
  <c r="F224" i="21"/>
  <c r="D224" i="21"/>
  <c r="B224" i="21"/>
  <c r="AP223" i="21"/>
  <c r="AJ223" i="21"/>
  <c r="AH223" i="21"/>
  <c r="AF223" i="21"/>
  <c r="AD223" i="21"/>
  <c r="AB223" i="21"/>
  <c r="Z223" i="21"/>
  <c r="X223" i="21"/>
  <c r="V223" i="21"/>
  <c r="R223" i="21"/>
  <c r="P223" i="21"/>
  <c r="N223" i="21"/>
  <c r="L223" i="21"/>
  <c r="F223" i="21"/>
  <c r="B223" i="21"/>
  <c r="AR222" i="21"/>
  <c r="AS222" i="21"/>
  <c r="AP222" i="21"/>
  <c r="AJ222" i="21"/>
  <c r="AH222" i="21"/>
  <c r="AF222" i="21"/>
  <c r="AD222" i="21"/>
  <c r="AB222" i="21"/>
  <c r="Z222" i="21"/>
  <c r="X222" i="21"/>
  <c r="V222" i="21"/>
  <c r="T222" i="21"/>
  <c r="R222" i="21"/>
  <c r="P222" i="21"/>
  <c r="N222" i="21"/>
  <c r="L222" i="21"/>
  <c r="F222" i="21"/>
  <c r="D222" i="21"/>
  <c r="B222" i="21"/>
  <c r="AR221" i="21"/>
  <c r="AP221" i="21"/>
  <c r="AJ221" i="21"/>
  <c r="AH221" i="21"/>
  <c r="AF221" i="21"/>
  <c r="AD221" i="21"/>
  <c r="AB221" i="21"/>
  <c r="Z221" i="21"/>
  <c r="X221" i="21"/>
  <c r="V221" i="21"/>
  <c r="R221" i="21"/>
  <c r="P221" i="21"/>
  <c r="S221" i="21" s="1"/>
  <c r="N221" i="21"/>
  <c r="T221" i="21" s="1"/>
  <c r="L221" i="21"/>
  <c r="H221" i="21"/>
  <c r="F221" i="21"/>
  <c r="D221" i="21"/>
  <c r="B221" i="21"/>
  <c r="AR220" i="21"/>
  <c r="AP220" i="21"/>
  <c r="AS220" i="21"/>
  <c r="AJ220" i="21"/>
  <c r="AH220" i="21"/>
  <c r="AF220" i="21"/>
  <c r="AD220" i="21"/>
  <c r="AB220" i="21"/>
  <c r="Z220" i="21"/>
  <c r="X220" i="21"/>
  <c r="V220" i="21"/>
  <c r="AK220" i="21" s="1"/>
  <c r="R220" i="21"/>
  <c r="P220" i="21"/>
  <c r="N220" i="21"/>
  <c r="T220" i="21" s="1"/>
  <c r="L220" i="21"/>
  <c r="H220" i="21"/>
  <c r="J220" i="21" s="1"/>
  <c r="F220" i="21"/>
  <c r="D220" i="21"/>
  <c r="B220" i="21"/>
  <c r="I220" i="21" s="1"/>
  <c r="AS219" i="21"/>
  <c r="AR219" i="21"/>
  <c r="AP219" i="21"/>
  <c r="AJ219" i="21"/>
  <c r="AH219" i="21"/>
  <c r="AF219" i="21"/>
  <c r="AD219" i="21"/>
  <c r="AB219" i="21"/>
  <c r="Z219" i="21"/>
  <c r="X219" i="21"/>
  <c r="V219" i="21"/>
  <c r="R219" i="21"/>
  <c r="P219" i="21"/>
  <c r="N219" i="21"/>
  <c r="L219" i="21"/>
  <c r="H219" i="21"/>
  <c r="F219" i="21"/>
  <c r="D219" i="21"/>
  <c r="B219" i="21"/>
  <c r="AR218" i="21"/>
  <c r="AS218" i="21"/>
  <c r="AP218" i="21"/>
  <c r="AJ218" i="21"/>
  <c r="AH218" i="21"/>
  <c r="AF218" i="21"/>
  <c r="AD218" i="21"/>
  <c r="Z218" i="21"/>
  <c r="X218" i="21"/>
  <c r="V218" i="21"/>
  <c r="R218" i="21"/>
  <c r="P218" i="21"/>
  <c r="N218" i="21"/>
  <c r="L218" i="21"/>
  <c r="S218" i="21" s="1"/>
  <c r="H218" i="21"/>
  <c r="F218" i="21"/>
  <c r="B218" i="21"/>
  <c r="I218" i="21" s="1"/>
  <c r="AB217" i="21"/>
  <c r="X217" i="21"/>
  <c r="P217" i="21"/>
  <c r="H217" i="21"/>
  <c r="B217" i="21"/>
  <c r="AR216" i="21"/>
  <c r="AJ216" i="21"/>
  <c r="AH216" i="21"/>
  <c r="AF216" i="21"/>
  <c r="AD216" i="21"/>
  <c r="AB216" i="21"/>
  <c r="Z216" i="21"/>
  <c r="X216" i="21"/>
  <c r="V216" i="21"/>
  <c r="AK216" i="21" s="1"/>
  <c r="R216" i="21"/>
  <c r="P216" i="21"/>
  <c r="N216" i="21"/>
  <c r="L216" i="21"/>
  <c r="H216" i="21"/>
  <c r="F216" i="21"/>
  <c r="D216" i="21"/>
  <c r="B216" i="21"/>
  <c r="AP215" i="21"/>
  <c r="AJ215" i="21"/>
  <c r="AH215" i="21"/>
  <c r="AF215" i="21"/>
  <c r="AD215" i="21"/>
  <c r="AB215" i="21"/>
  <c r="Z215" i="21"/>
  <c r="X215" i="21"/>
  <c r="V215" i="21"/>
  <c r="R215" i="21"/>
  <c r="P215" i="21"/>
  <c r="N215" i="21"/>
  <c r="T215" i="21" s="1"/>
  <c r="L215" i="21"/>
  <c r="S215" i="21" s="1"/>
  <c r="F215" i="21"/>
  <c r="B215" i="21"/>
  <c r="I215" i="21" s="1"/>
  <c r="AS214" i="21"/>
  <c r="AR214" i="21"/>
  <c r="AP214" i="21"/>
  <c r="AJ214" i="21"/>
  <c r="AH214" i="21"/>
  <c r="AF214" i="21"/>
  <c r="AD214" i="21"/>
  <c r="AB214" i="21"/>
  <c r="Z214" i="21"/>
  <c r="X214" i="21"/>
  <c r="V214" i="21"/>
  <c r="R214" i="21"/>
  <c r="P214" i="21"/>
  <c r="N214" i="21"/>
  <c r="T214" i="21" s="1"/>
  <c r="L214" i="21"/>
  <c r="S214" i="21" s="1"/>
  <c r="H214" i="21"/>
  <c r="F214" i="21"/>
  <c r="D214" i="21"/>
  <c r="B214" i="21"/>
  <c r="AP213" i="21"/>
  <c r="AJ213" i="21"/>
  <c r="AH213" i="21"/>
  <c r="AF213" i="21"/>
  <c r="AD213" i="21"/>
  <c r="AB213" i="21"/>
  <c r="Z213" i="21"/>
  <c r="X213" i="21"/>
  <c r="V213" i="21"/>
  <c r="S213" i="21"/>
  <c r="R213" i="21"/>
  <c r="P213" i="21"/>
  <c r="N213" i="21"/>
  <c r="T213" i="21" s="1"/>
  <c r="L213" i="21"/>
  <c r="H213" i="21"/>
  <c r="F213" i="21"/>
  <c r="D213" i="21"/>
  <c r="B213" i="21"/>
  <c r="I213" i="21" s="1"/>
  <c r="AR212" i="21"/>
  <c r="AP212" i="21"/>
  <c r="AS212" i="21"/>
  <c r="AJ212" i="21"/>
  <c r="AH212" i="21"/>
  <c r="AF212" i="21"/>
  <c r="AD212" i="21"/>
  <c r="AB212" i="21"/>
  <c r="Z212" i="21"/>
  <c r="X212" i="21"/>
  <c r="V212" i="21"/>
  <c r="R212" i="21"/>
  <c r="P212" i="21"/>
  <c r="N212" i="21"/>
  <c r="L212" i="21"/>
  <c r="H212" i="21"/>
  <c r="F212" i="21"/>
  <c r="D212" i="21"/>
  <c r="B212" i="21"/>
  <c r="I212" i="21" s="1"/>
  <c r="AS211" i="21"/>
  <c r="AR211" i="21"/>
  <c r="AP211" i="21"/>
  <c r="AJ211" i="21"/>
  <c r="AH211" i="21"/>
  <c r="AF211" i="21"/>
  <c r="AD211" i="21"/>
  <c r="AB211" i="21"/>
  <c r="Z211" i="21"/>
  <c r="X211" i="21"/>
  <c r="V211" i="21"/>
  <c r="R211" i="21"/>
  <c r="P211" i="21"/>
  <c r="N211" i="21"/>
  <c r="L211" i="21"/>
  <c r="H211" i="21"/>
  <c r="F211" i="21"/>
  <c r="D211" i="21"/>
  <c r="B211" i="21"/>
  <c r="AR210" i="21"/>
  <c r="AS210" i="21"/>
  <c r="AP210" i="21"/>
  <c r="AJ210" i="21"/>
  <c r="AH210" i="21"/>
  <c r="AF210" i="21"/>
  <c r="AD210" i="21"/>
  <c r="Z210" i="21"/>
  <c r="X210" i="21"/>
  <c r="V210" i="21"/>
  <c r="R210" i="21"/>
  <c r="T210" i="21" s="1"/>
  <c r="P210" i="21"/>
  <c r="N210" i="21"/>
  <c r="L210" i="21"/>
  <c r="S210" i="21" s="1"/>
  <c r="F210" i="21"/>
  <c r="B210" i="21"/>
  <c r="I210" i="21" s="1"/>
  <c r="AF209" i="21"/>
  <c r="AD209" i="21"/>
  <c r="AB209" i="21"/>
  <c r="X209" i="21"/>
  <c r="N209" i="21"/>
  <c r="D209" i="21"/>
  <c r="AR208" i="21"/>
  <c r="AP208" i="21"/>
  <c r="AJ208" i="21"/>
  <c r="AH208" i="21"/>
  <c r="AF208" i="21"/>
  <c r="AD208" i="21"/>
  <c r="AB208" i="21"/>
  <c r="Z208" i="21"/>
  <c r="X208" i="21"/>
  <c r="V208" i="21"/>
  <c r="R208" i="21"/>
  <c r="P208" i="21"/>
  <c r="N208" i="21"/>
  <c r="L208" i="21"/>
  <c r="F208" i="21"/>
  <c r="D208" i="21"/>
  <c r="B208" i="21"/>
  <c r="I208" i="21" s="1"/>
  <c r="AP207" i="21"/>
  <c r="AJ207" i="21"/>
  <c r="AH207" i="21"/>
  <c r="AF207" i="21"/>
  <c r="AD207" i="21"/>
  <c r="AB207" i="21"/>
  <c r="Z207" i="21"/>
  <c r="X207" i="21"/>
  <c r="V207" i="21"/>
  <c r="R207" i="21"/>
  <c r="P207" i="21"/>
  <c r="N207" i="21"/>
  <c r="T207" i="21" s="1"/>
  <c r="L207" i="21"/>
  <c r="S207" i="21" s="1"/>
  <c r="F207" i="21"/>
  <c r="B207" i="21"/>
  <c r="I207" i="21" s="1"/>
  <c r="AS206" i="21"/>
  <c r="AR206" i="21"/>
  <c r="AP206" i="21"/>
  <c r="AJ206" i="21"/>
  <c r="AH206" i="21"/>
  <c r="AF206" i="21"/>
  <c r="AD206" i="21"/>
  <c r="AB206" i="21"/>
  <c r="Z206" i="21"/>
  <c r="X206" i="21"/>
  <c r="V206" i="21"/>
  <c r="R206" i="21"/>
  <c r="P206" i="21"/>
  <c r="N206" i="21"/>
  <c r="L206" i="21"/>
  <c r="S206" i="21" s="1"/>
  <c r="F206" i="21"/>
  <c r="D206" i="21"/>
  <c r="B206" i="21"/>
  <c r="AP205" i="21"/>
  <c r="AJ205" i="21"/>
  <c r="AH205" i="21"/>
  <c r="AF205" i="21"/>
  <c r="AD205" i="21"/>
  <c r="AB205" i="21"/>
  <c r="Z205" i="21"/>
  <c r="X205" i="21"/>
  <c r="V205" i="21"/>
  <c r="R205" i="21"/>
  <c r="P205" i="21"/>
  <c r="N205" i="21"/>
  <c r="L205" i="21"/>
  <c r="H205" i="21"/>
  <c r="F205" i="21"/>
  <c r="D205" i="21"/>
  <c r="B205" i="21"/>
  <c r="AR204" i="21"/>
  <c r="AP204" i="21"/>
  <c r="AS204" i="21"/>
  <c r="AJ204" i="21"/>
  <c r="AH204" i="21"/>
  <c r="AF204" i="21"/>
  <c r="AD204" i="21"/>
  <c r="AB204" i="21"/>
  <c r="Z204" i="21"/>
  <c r="X204" i="21"/>
  <c r="V204" i="21"/>
  <c r="R204" i="21"/>
  <c r="P204" i="21"/>
  <c r="N204" i="21"/>
  <c r="T204" i="21" s="1"/>
  <c r="L204" i="21"/>
  <c r="H204" i="21"/>
  <c r="F204" i="21"/>
  <c r="D204" i="21"/>
  <c r="B204" i="21"/>
  <c r="AS203" i="21"/>
  <c r="AR203" i="21"/>
  <c r="AP203" i="21"/>
  <c r="AJ203" i="21"/>
  <c r="AH203" i="21"/>
  <c r="AF203" i="21"/>
  <c r="AD203" i="21"/>
  <c r="AB203" i="21"/>
  <c r="Z203" i="21"/>
  <c r="X203" i="21"/>
  <c r="V203" i="21"/>
  <c r="R203" i="21"/>
  <c r="P203" i="21"/>
  <c r="N203" i="21"/>
  <c r="T203" i="21" s="1"/>
  <c r="L203" i="21"/>
  <c r="S203" i="21" s="1"/>
  <c r="H203" i="21"/>
  <c r="F203" i="21"/>
  <c r="D203" i="21"/>
  <c r="B203" i="21"/>
  <c r="I203" i="21" s="1"/>
  <c r="AR202" i="21"/>
  <c r="AS202" i="21"/>
  <c r="AP202" i="21"/>
  <c r="AJ202" i="21"/>
  <c r="AH202" i="21"/>
  <c r="AF202" i="21"/>
  <c r="AD202" i="21"/>
  <c r="Z202" i="21"/>
  <c r="V202" i="21"/>
  <c r="R202" i="21"/>
  <c r="P202" i="21"/>
  <c r="N202" i="21"/>
  <c r="L202" i="21"/>
  <c r="F202" i="21"/>
  <c r="B202" i="21"/>
  <c r="AH201" i="21"/>
  <c r="AB201" i="21"/>
  <c r="X201" i="21"/>
  <c r="V201" i="21"/>
  <c r="D201" i="21"/>
  <c r="AJ200" i="21"/>
  <c r="AH200" i="21"/>
  <c r="AF200" i="21"/>
  <c r="AD200" i="21"/>
  <c r="AB200" i="21"/>
  <c r="Z200" i="21"/>
  <c r="X200" i="21"/>
  <c r="V200" i="21"/>
  <c r="R200" i="21"/>
  <c r="P200" i="21"/>
  <c r="N200" i="21"/>
  <c r="T200" i="21" s="1"/>
  <c r="L200" i="21"/>
  <c r="S200" i="21" s="1"/>
  <c r="F200" i="21"/>
  <c r="D200" i="21"/>
  <c r="B200" i="21"/>
  <c r="I200" i="21" s="1"/>
  <c r="AP199" i="21"/>
  <c r="AJ199" i="21"/>
  <c r="AH199" i="21"/>
  <c r="AF199" i="21"/>
  <c r="AD199" i="21"/>
  <c r="AB199" i="21"/>
  <c r="Z199" i="21"/>
  <c r="X199" i="21"/>
  <c r="V199" i="21"/>
  <c r="R199" i="21"/>
  <c r="P199" i="21"/>
  <c r="N199" i="21"/>
  <c r="L199" i="21"/>
  <c r="F199" i="21"/>
  <c r="B199" i="21"/>
  <c r="I199" i="21" s="1"/>
  <c r="AS198" i="21"/>
  <c r="AR198" i="21"/>
  <c r="AP198" i="21"/>
  <c r="AJ198" i="21"/>
  <c r="AH198" i="21"/>
  <c r="AF198" i="21"/>
  <c r="AD198" i="21"/>
  <c r="AB198" i="21"/>
  <c r="Z198" i="21"/>
  <c r="X198" i="21"/>
  <c r="V198" i="21"/>
  <c r="R198" i="21"/>
  <c r="P198" i="21"/>
  <c r="N198" i="21"/>
  <c r="T198" i="21" s="1"/>
  <c r="L198" i="21"/>
  <c r="S198" i="21" s="1"/>
  <c r="F198" i="21"/>
  <c r="D198" i="21"/>
  <c r="B198" i="21"/>
  <c r="AP197" i="21"/>
  <c r="AJ197" i="21"/>
  <c r="AH197" i="21"/>
  <c r="AF197" i="21"/>
  <c r="AD197" i="21"/>
  <c r="AB197" i="21"/>
  <c r="Z197" i="21"/>
  <c r="X197" i="21"/>
  <c r="V197" i="21"/>
  <c r="R197" i="21"/>
  <c r="P197" i="21"/>
  <c r="N197" i="21"/>
  <c r="L197" i="21"/>
  <c r="S197" i="21" s="1"/>
  <c r="J197" i="21"/>
  <c r="H197" i="21"/>
  <c r="F197" i="21"/>
  <c r="D197" i="21"/>
  <c r="B197" i="21"/>
  <c r="AS196" i="21"/>
  <c r="AP196" i="21"/>
  <c r="AJ196" i="21"/>
  <c r="AH196" i="21"/>
  <c r="AF196" i="21"/>
  <c r="AD196" i="21"/>
  <c r="AB196" i="21"/>
  <c r="Z196" i="21"/>
  <c r="X196" i="21"/>
  <c r="V196" i="21"/>
  <c r="R196" i="21"/>
  <c r="P196" i="21"/>
  <c r="N196" i="21"/>
  <c r="L196" i="21"/>
  <c r="H196" i="21"/>
  <c r="F196" i="21"/>
  <c r="D196" i="21"/>
  <c r="B196" i="21"/>
  <c r="AS195" i="21"/>
  <c r="AR195" i="21"/>
  <c r="AP195" i="21"/>
  <c r="AJ195" i="21"/>
  <c r="AH195" i="21"/>
  <c r="AF195" i="21"/>
  <c r="AD195" i="21"/>
  <c r="AB195" i="21"/>
  <c r="Z195" i="21"/>
  <c r="X195" i="21"/>
  <c r="V195" i="21"/>
  <c r="AK195" i="21" s="1"/>
  <c r="R195" i="21"/>
  <c r="P195" i="21"/>
  <c r="N195" i="21"/>
  <c r="L195" i="21"/>
  <c r="H195" i="21"/>
  <c r="F195" i="21"/>
  <c r="D195" i="21"/>
  <c r="B195" i="21"/>
  <c r="I195" i="21" s="1"/>
  <c r="AR194" i="21"/>
  <c r="AP194" i="21"/>
  <c r="AJ194" i="21"/>
  <c r="AH194" i="21"/>
  <c r="AF194" i="21"/>
  <c r="AD194" i="21"/>
  <c r="Z194" i="21"/>
  <c r="V194" i="21"/>
  <c r="R194" i="21"/>
  <c r="P194" i="21"/>
  <c r="N194" i="21"/>
  <c r="L194" i="21"/>
  <c r="H194" i="21"/>
  <c r="F194" i="21"/>
  <c r="B194" i="21"/>
  <c r="I194" i="21" s="1"/>
  <c r="AH193" i="21"/>
  <c r="AB193" i="21"/>
  <c r="Z193" i="21"/>
  <c r="X193" i="21"/>
  <c r="D193" i="21"/>
  <c r="AJ192" i="21"/>
  <c r="AH192" i="21"/>
  <c r="AF192" i="21"/>
  <c r="AD192" i="21"/>
  <c r="AB192" i="21"/>
  <c r="Z192" i="21"/>
  <c r="X192" i="21"/>
  <c r="V192" i="21"/>
  <c r="R192" i="21"/>
  <c r="T192" i="21" s="1"/>
  <c r="P192" i="21"/>
  <c r="N192" i="21"/>
  <c r="L192" i="21"/>
  <c r="F192" i="21"/>
  <c r="D192" i="21"/>
  <c r="B192" i="21"/>
  <c r="I192" i="21" s="1"/>
  <c r="AS191" i="21"/>
  <c r="AP191" i="21"/>
  <c r="AJ191" i="21"/>
  <c r="AH191" i="21"/>
  <c r="AF191" i="21"/>
  <c r="AD191" i="21"/>
  <c r="AB191" i="21"/>
  <c r="Z191" i="21"/>
  <c r="X191" i="21"/>
  <c r="V191" i="21"/>
  <c r="AK191" i="21" s="1"/>
  <c r="R191" i="21"/>
  <c r="P191" i="21"/>
  <c r="N191" i="21"/>
  <c r="L191" i="21"/>
  <c r="F191" i="21"/>
  <c r="I191" i="21" s="1"/>
  <c r="B191" i="21"/>
  <c r="AS190" i="21"/>
  <c r="AR190" i="21"/>
  <c r="AP190" i="21"/>
  <c r="AJ190" i="21"/>
  <c r="AH190" i="21"/>
  <c r="AF190" i="21"/>
  <c r="AD190" i="21"/>
  <c r="AB190" i="21"/>
  <c r="Z190" i="21"/>
  <c r="X190" i="21"/>
  <c r="V190" i="21"/>
  <c r="R190" i="21"/>
  <c r="P190" i="21"/>
  <c r="N190" i="21"/>
  <c r="L190" i="21"/>
  <c r="S190" i="21" s="1"/>
  <c r="H190" i="21"/>
  <c r="F190" i="21"/>
  <c r="D190" i="21"/>
  <c r="B190" i="21"/>
  <c r="AP189" i="21"/>
  <c r="AJ189" i="21"/>
  <c r="AH189" i="21"/>
  <c r="AF189" i="21"/>
  <c r="AD189" i="21"/>
  <c r="AB189" i="21"/>
  <c r="Z189" i="21"/>
  <c r="X189" i="21"/>
  <c r="AL189" i="21" s="1"/>
  <c r="V189" i="21"/>
  <c r="R189" i="21"/>
  <c r="P189" i="21"/>
  <c r="N189" i="21"/>
  <c r="L189" i="21"/>
  <c r="S189" i="21" s="1"/>
  <c r="H189" i="21"/>
  <c r="F189" i="21"/>
  <c r="D189" i="21"/>
  <c r="B189" i="21"/>
  <c r="AS188" i="21"/>
  <c r="AP188" i="21"/>
  <c r="AJ188" i="21"/>
  <c r="AH188" i="21"/>
  <c r="AF188" i="21"/>
  <c r="AD188" i="21"/>
  <c r="AB188" i="21"/>
  <c r="Z188" i="21"/>
  <c r="X188" i="21"/>
  <c r="V188" i="21"/>
  <c r="R188" i="21"/>
  <c r="P188" i="21"/>
  <c r="N188" i="21"/>
  <c r="T188" i="21" s="1"/>
  <c r="L188" i="21"/>
  <c r="H188" i="21"/>
  <c r="F188" i="21"/>
  <c r="D188" i="21"/>
  <c r="B188" i="21"/>
  <c r="AS187" i="21"/>
  <c r="AR187" i="21"/>
  <c r="AP187" i="21"/>
  <c r="AJ187" i="21"/>
  <c r="AH187" i="21"/>
  <c r="AF187" i="21"/>
  <c r="AD187" i="21"/>
  <c r="AB187" i="21"/>
  <c r="Z187" i="21"/>
  <c r="X187" i="21"/>
  <c r="V187" i="21"/>
  <c r="R187" i="21"/>
  <c r="P187" i="21"/>
  <c r="N187" i="21"/>
  <c r="T187" i="21" s="1"/>
  <c r="L187" i="21"/>
  <c r="H187" i="21"/>
  <c r="F187" i="21"/>
  <c r="D187" i="21"/>
  <c r="J187" i="21" s="1"/>
  <c r="B187" i="21"/>
  <c r="AR186" i="21"/>
  <c r="AP186" i="21"/>
  <c r="AJ186" i="21"/>
  <c r="AH186" i="21"/>
  <c r="AF186" i="21"/>
  <c r="AD186" i="21"/>
  <c r="Z186" i="21"/>
  <c r="V186" i="21"/>
  <c r="R186" i="21"/>
  <c r="P186" i="21"/>
  <c r="N186" i="21"/>
  <c r="L186" i="21"/>
  <c r="S186" i="21" s="1"/>
  <c r="F186" i="21"/>
  <c r="D186" i="21"/>
  <c r="B186" i="21"/>
  <c r="I186" i="21" s="1"/>
  <c r="AB185" i="21"/>
  <c r="X185" i="21"/>
  <c r="D185" i="21"/>
  <c r="AP184" i="21"/>
  <c r="AJ184" i="21"/>
  <c r="AH184" i="21"/>
  <c r="AF184" i="21"/>
  <c r="AD184" i="21"/>
  <c r="AB184" i="21"/>
  <c r="Z184" i="21"/>
  <c r="X184" i="21"/>
  <c r="V184" i="21"/>
  <c r="R184" i="21"/>
  <c r="P184" i="21"/>
  <c r="N184" i="21"/>
  <c r="T184" i="21" s="1"/>
  <c r="L184" i="21"/>
  <c r="S184" i="21" s="1"/>
  <c r="F184" i="21"/>
  <c r="D184" i="21"/>
  <c r="B184" i="21"/>
  <c r="AP183" i="21"/>
  <c r="AJ183" i="21"/>
  <c r="AH183" i="21"/>
  <c r="AF183" i="21"/>
  <c r="AD183" i="21"/>
  <c r="AB183" i="21"/>
  <c r="Z183" i="21"/>
  <c r="X183" i="21"/>
  <c r="V183" i="21"/>
  <c r="R183" i="21"/>
  <c r="P183" i="21"/>
  <c r="N183" i="21"/>
  <c r="T183" i="21" s="1"/>
  <c r="L183" i="21"/>
  <c r="S183" i="21" s="1"/>
  <c r="F183" i="21"/>
  <c r="B183" i="21"/>
  <c r="I183" i="21" s="1"/>
  <c r="AS182" i="21"/>
  <c r="AR182" i="21"/>
  <c r="AP182" i="21"/>
  <c r="AJ182" i="21"/>
  <c r="AH182" i="21"/>
  <c r="AF182" i="21"/>
  <c r="AD182" i="21"/>
  <c r="AB182" i="21"/>
  <c r="Z182" i="21"/>
  <c r="X182" i="21"/>
  <c r="V182" i="21"/>
  <c r="R182" i="21"/>
  <c r="P182" i="21"/>
  <c r="N182" i="21"/>
  <c r="T182" i="21" s="1"/>
  <c r="L182" i="21"/>
  <c r="S182" i="21" s="1"/>
  <c r="F182" i="21"/>
  <c r="D182" i="21"/>
  <c r="B182" i="21"/>
  <c r="AS181" i="21"/>
  <c r="AR181" i="21"/>
  <c r="AP181" i="21"/>
  <c r="AJ181" i="21"/>
  <c r="AH181" i="21"/>
  <c r="AF181" i="21"/>
  <c r="AD181" i="21"/>
  <c r="AB181" i="21"/>
  <c r="Z181" i="21"/>
  <c r="X181" i="21"/>
  <c r="AL181" i="21" s="1"/>
  <c r="V181" i="21"/>
  <c r="R181" i="21"/>
  <c r="P181" i="21"/>
  <c r="N181" i="21"/>
  <c r="T181" i="21" s="1"/>
  <c r="L181" i="21"/>
  <c r="H181" i="21"/>
  <c r="F181" i="21"/>
  <c r="D181" i="21"/>
  <c r="B181" i="21"/>
  <c r="I181" i="21" s="1"/>
  <c r="AS180" i="21"/>
  <c r="AP180" i="21"/>
  <c r="AJ180" i="21"/>
  <c r="AH180" i="21"/>
  <c r="AF180" i="21"/>
  <c r="AD180" i="21"/>
  <c r="AB180" i="21"/>
  <c r="Z180" i="21"/>
  <c r="X180" i="21"/>
  <c r="AL180" i="21" s="1"/>
  <c r="V180" i="21"/>
  <c r="AK180" i="21" s="1"/>
  <c r="R180" i="21"/>
  <c r="P180" i="21"/>
  <c r="N180" i="21"/>
  <c r="L180" i="21"/>
  <c r="H180" i="21"/>
  <c r="F180" i="21"/>
  <c r="D180" i="21"/>
  <c r="B180" i="21"/>
  <c r="AS179" i="21"/>
  <c r="AR179" i="21"/>
  <c r="AP179" i="21"/>
  <c r="AJ179" i="21"/>
  <c r="AH179" i="21"/>
  <c r="AF179" i="21"/>
  <c r="AD179" i="21"/>
  <c r="AB179" i="21"/>
  <c r="Z179" i="21"/>
  <c r="X179" i="21"/>
  <c r="V179" i="21"/>
  <c r="R179" i="21"/>
  <c r="T179" i="21" s="1"/>
  <c r="P179" i="21"/>
  <c r="N179" i="21"/>
  <c r="L179" i="21"/>
  <c r="S179" i="21" s="1"/>
  <c r="H179" i="21"/>
  <c r="J179" i="21" s="1"/>
  <c r="F179" i="21"/>
  <c r="D179" i="21"/>
  <c r="B179" i="21"/>
  <c r="I179" i="21" s="1"/>
  <c r="AS178" i="21"/>
  <c r="AR178" i="21"/>
  <c r="AP178" i="21"/>
  <c r="AJ178" i="21"/>
  <c r="AH178" i="21"/>
  <c r="AF178" i="21"/>
  <c r="AD178" i="21"/>
  <c r="AB178" i="21"/>
  <c r="Z178" i="21"/>
  <c r="X178" i="21"/>
  <c r="V178" i="21"/>
  <c r="R178" i="21"/>
  <c r="P178" i="21"/>
  <c r="N178" i="21"/>
  <c r="L178" i="21"/>
  <c r="S178" i="21" s="1"/>
  <c r="F178" i="21"/>
  <c r="B178" i="21"/>
  <c r="I178" i="21" s="1"/>
  <c r="AB177" i="21"/>
  <c r="X177" i="21"/>
  <c r="V177" i="21"/>
  <c r="D177" i="21"/>
  <c r="AJ176" i="21"/>
  <c r="AH176" i="21"/>
  <c r="AF176" i="21"/>
  <c r="AD176" i="21"/>
  <c r="AB176" i="21"/>
  <c r="Z176" i="21"/>
  <c r="X176" i="21"/>
  <c r="V176" i="21"/>
  <c r="AK176" i="21" s="1"/>
  <c r="R176" i="21"/>
  <c r="P176" i="21"/>
  <c r="N176" i="21"/>
  <c r="L176" i="21"/>
  <c r="F176" i="21"/>
  <c r="D176" i="21"/>
  <c r="B176" i="21"/>
  <c r="AS175" i="21"/>
  <c r="AR175" i="21"/>
  <c r="AP175" i="21"/>
  <c r="AJ175" i="21"/>
  <c r="AH175" i="21"/>
  <c r="AK175" i="21" s="1"/>
  <c r="AF175" i="21"/>
  <c r="AD175" i="21"/>
  <c r="AB175" i="21"/>
  <c r="Z175" i="21"/>
  <c r="X175" i="21"/>
  <c r="V175" i="21"/>
  <c r="R175" i="21"/>
  <c r="P175" i="21"/>
  <c r="N175" i="21"/>
  <c r="L175" i="21"/>
  <c r="F175" i="21"/>
  <c r="B175" i="21"/>
  <c r="I175" i="21" s="1"/>
  <c r="AS174" i="21"/>
  <c r="AP174" i="21"/>
  <c r="AJ174" i="21"/>
  <c r="AH174" i="21"/>
  <c r="AF174" i="21"/>
  <c r="AD174" i="21"/>
  <c r="AB174" i="21"/>
  <c r="Z174" i="21"/>
  <c r="X174" i="21"/>
  <c r="V174" i="21"/>
  <c r="R174" i="21"/>
  <c r="P174" i="21"/>
  <c r="N174" i="21"/>
  <c r="T174" i="21" s="1"/>
  <c r="L174" i="21"/>
  <c r="F174" i="21"/>
  <c r="D174" i="21"/>
  <c r="B174" i="21"/>
  <c r="I174" i="21" s="1"/>
  <c r="AR173" i="21"/>
  <c r="AS173" i="21"/>
  <c r="AP173" i="21"/>
  <c r="AJ173" i="21"/>
  <c r="AH173" i="21"/>
  <c r="AF173" i="21"/>
  <c r="AD173" i="21"/>
  <c r="AB173" i="21"/>
  <c r="Z173" i="21"/>
  <c r="X173" i="21"/>
  <c r="V173" i="21"/>
  <c r="R173" i="21"/>
  <c r="P173" i="21"/>
  <c r="N173" i="21"/>
  <c r="L173" i="21"/>
  <c r="H173" i="21"/>
  <c r="J173" i="21" s="1"/>
  <c r="F173" i="21"/>
  <c r="D173" i="21"/>
  <c r="B173" i="21"/>
  <c r="I173" i="21" s="1"/>
  <c r="AS172" i="21"/>
  <c r="AR172" i="21"/>
  <c r="AP172" i="21"/>
  <c r="AJ172" i="21"/>
  <c r="AH172" i="21"/>
  <c r="AF172" i="21"/>
  <c r="AD172" i="21"/>
  <c r="AB172" i="21"/>
  <c r="Z172" i="21"/>
  <c r="X172" i="21"/>
  <c r="V172" i="21"/>
  <c r="R172" i="21"/>
  <c r="P172" i="21"/>
  <c r="N172" i="21"/>
  <c r="T172" i="21" s="1"/>
  <c r="L172" i="21"/>
  <c r="S172" i="21" s="1"/>
  <c r="H172" i="21"/>
  <c r="F172" i="21"/>
  <c r="D172" i="21"/>
  <c r="B172" i="21"/>
  <c r="AP171" i="21"/>
  <c r="AJ171" i="21"/>
  <c r="AH171" i="21"/>
  <c r="AF171" i="21"/>
  <c r="AD171" i="21"/>
  <c r="AB171" i="21"/>
  <c r="Z171" i="21"/>
  <c r="X171" i="21"/>
  <c r="V171" i="21"/>
  <c r="R171" i="21"/>
  <c r="P171" i="21"/>
  <c r="N171" i="21"/>
  <c r="L171" i="21"/>
  <c r="S171" i="21" s="1"/>
  <c r="H171" i="21"/>
  <c r="F171" i="21"/>
  <c r="D171" i="21"/>
  <c r="J171" i="21" s="1"/>
  <c r="B171" i="21"/>
  <c r="I171" i="21" s="1"/>
  <c r="AS170" i="21"/>
  <c r="AR170" i="21"/>
  <c r="AP170" i="21"/>
  <c r="AJ170" i="21"/>
  <c r="AH170" i="21"/>
  <c r="AF170" i="21"/>
  <c r="AD170" i="21"/>
  <c r="AB170" i="21"/>
  <c r="Z170" i="21"/>
  <c r="V170" i="21"/>
  <c r="R170" i="21"/>
  <c r="P170" i="21"/>
  <c r="N170" i="21"/>
  <c r="T170" i="21" s="1"/>
  <c r="L170" i="21"/>
  <c r="F170" i="21"/>
  <c r="B170" i="21"/>
  <c r="I170" i="21" s="1"/>
  <c r="AH169" i="21"/>
  <c r="AF169" i="21"/>
  <c r="AD169" i="21"/>
  <c r="AB169" i="21"/>
  <c r="X169" i="21"/>
  <c r="D169" i="21"/>
  <c r="AJ168" i="21"/>
  <c r="AH168" i="21"/>
  <c r="AF168" i="21"/>
  <c r="AD168" i="21"/>
  <c r="AB168" i="21"/>
  <c r="Z168" i="21"/>
  <c r="X168" i="21"/>
  <c r="V168" i="21"/>
  <c r="R168" i="21"/>
  <c r="P168" i="21"/>
  <c r="N168" i="21"/>
  <c r="L168" i="21"/>
  <c r="F168" i="21"/>
  <c r="D168" i="21"/>
  <c r="B168" i="21"/>
  <c r="AS167" i="21"/>
  <c r="AR167" i="21"/>
  <c r="AP167" i="21"/>
  <c r="AJ167" i="21"/>
  <c r="AH167" i="21"/>
  <c r="AF167" i="21"/>
  <c r="AD167" i="21"/>
  <c r="AB167" i="21"/>
  <c r="Z167" i="21"/>
  <c r="X167" i="21"/>
  <c r="V167" i="21"/>
  <c r="R167" i="21"/>
  <c r="P167" i="21"/>
  <c r="N167" i="21"/>
  <c r="T167" i="21" s="1"/>
  <c r="L167" i="21"/>
  <c r="F167" i="21"/>
  <c r="D167" i="21"/>
  <c r="B167" i="21"/>
  <c r="I167" i="21" s="1"/>
  <c r="AS166" i="21"/>
  <c r="AP166" i="21"/>
  <c r="AJ166" i="21"/>
  <c r="AH166" i="21"/>
  <c r="AF166" i="21"/>
  <c r="AD166" i="21"/>
  <c r="AB166" i="21"/>
  <c r="Z166" i="21"/>
  <c r="X166" i="21"/>
  <c r="V166" i="21"/>
  <c r="R166" i="21"/>
  <c r="P166" i="21"/>
  <c r="N166" i="21"/>
  <c r="T166" i="21" s="1"/>
  <c r="L166" i="21"/>
  <c r="F166" i="21"/>
  <c r="D166" i="21"/>
  <c r="B166" i="21"/>
  <c r="I166" i="21" s="1"/>
  <c r="AR165" i="21"/>
  <c r="AS165" i="21"/>
  <c r="AP165" i="21"/>
  <c r="AJ165" i="21"/>
  <c r="AH165" i="21"/>
  <c r="AF165" i="21"/>
  <c r="AD165" i="21"/>
  <c r="AB165" i="21"/>
  <c r="Z165" i="21"/>
  <c r="X165" i="21"/>
  <c r="V165" i="21"/>
  <c r="R165" i="21"/>
  <c r="P165" i="21"/>
  <c r="N165" i="21"/>
  <c r="L165" i="21"/>
  <c r="S165" i="21" s="1"/>
  <c r="H165" i="21"/>
  <c r="F165" i="21"/>
  <c r="D165" i="21"/>
  <c r="B165" i="21"/>
  <c r="I165" i="21" s="1"/>
  <c r="AS164" i="21"/>
  <c r="AR164" i="21"/>
  <c r="AP164" i="21"/>
  <c r="AJ164" i="21"/>
  <c r="AH164" i="21"/>
  <c r="AF164" i="21"/>
  <c r="AD164" i="21"/>
  <c r="AB164" i="21"/>
  <c r="Z164" i="21"/>
  <c r="X164" i="21"/>
  <c r="V164" i="21"/>
  <c r="R164" i="21"/>
  <c r="P164" i="21"/>
  <c r="N164" i="21"/>
  <c r="T164" i="21" s="1"/>
  <c r="L164" i="21"/>
  <c r="H164" i="21"/>
  <c r="F164" i="21"/>
  <c r="D164" i="21"/>
  <c r="B164" i="21"/>
  <c r="I164" i="21" s="1"/>
  <c r="AP163" i="21"/>
  <c r="AJ163" i="21"/>
  <c r="AH163" i="21"/>
  <c r="AF163" i="21"/>
  <c r="AD163" i="21"/>
  <c r="AB163" i="21"/>
  <c r="Z163" i="21"/>
  <c r="X163" i="21"/>
  <c r="AL163" i="21" s="1"/>
  <c r="V163" i="21"/>
  <c r="R163" i="21"/>
  <c r="P163" i="21"/>
  <c r="N163" i="21"/>
  <c r="L163" i="21"/>
  <c r="S163" i="21" s="1"/>
  <c r="H163" i="21"/>
  <c r="F163" i="21"/>
  <c r="D163" i="21"/>
  <c r="B163" i="21"/>
  <c r="I163" i="21" s="1"/>
  <c r="AS162" i="21"/>
  <c r="AR162" i="21"/>
  <c r="AP162" i="21"/>
  <c r="AJ162" i="21"/>
  <c r="AH162" i="21"/>
  <c r="AF162" i="21"/>
  <c r="AD162" i="21"/>
  <c r="Z162" i="21"/>
  <c r="V162" i="21"/>
  <c r="R162" i="21"/>
  <c r="P162" i="21"/>
  <c r="N162" i="21"/>
  <c r="L162" i="21"/>
  <c r="H162" i="21"/>
  <c r="F162" i="21"/>
  <c r="B162" i="21"/>
  <c r="AP161" i="21"/>
  <c r="AJ161" i="21"/>
  <c r="AH161" i="21"/>
  <c r="AB161" i="21"/>
  <c r="Z161" i="21"/>
  <c r="X161" i="21"/>
  <c r="D161" i="21"/>
  <c r="AS160" i="21"/>
  <c r="AP160" i="21"/>
  <c r="AJ160" i="21"/>
  <c r="AH160" i="21"/>
  <c r="AF160" i="21"/>
  <c r="AD160" i="21"/>
  <c r="AB160" i="21"/>
  <c r="Z160" i="21"/>
  <c r="X160" i="21"/>
  <c r="V160" i="21"/>
  <c r="R160" i="21"/>
  <c r="P160" i="21"/>
  <c r="N160" i="21"/>
  <c r="T160" i="21" s="1"/>
  <c r="L160" i="21"/>
  <c r="H160" i="21"/>
  <c r="F160" i="21"/>
  <c r="D160" i="21"/>
  <c r="B160" i="21"/>
  <c r="AS159" i="21"/>
  <c r="AR159" i="21"/>
  <c r="AP159" i="21"/>
  <c r="AJ159" i="21"/>
  <c r="AH159" i="21"/>
  <c r="AF159" i="21"/>
  <c r="AD159" i="21"/>
  <c r="AB159" i="21"/>
  <c r="Z159" i="21"/>
  <c r="X159" i="21"/>
  <c r="V159" i="21"/>
  <c r="R159" i="21"/>
  <c r="P159" i="21"/>
  <c r="N159" i="21"/>
  <c r="T159" i="21" s="1"/>
  <c r="L159" i="21"/>
  <c r="F159" i="21"/>
  <c r="D159" i="21"/>
  <c r="B159" i="21"/>
  <c r="AS158" i="21"/>
  <c r="AP158" i="21"/>
  <c r="AJ158" i="21"/>
  <c r="AH158" i="21"/>
  <c r="AF158" i="21"/>
  <c r="AD158" i="21"/>
  <c r="AB158" i="21"/>
  <c r="Z158" i="21"/>
  <c r="X158" i="21"/>
  <c r="V158" i="21"/>
  <c r="R158" i="21"/>
  <c r="P158" i="21"/>
  <c r="N158" i="21"/>
  <c r="L158" i="21"/>
  <c r="F158" i="21"/>
  <c r="D158" i="21"/>
  <c r="B158" i="21"/>
  <c r="I158" i="21" s="1"/>
  <c r="AR157" i="21"/>
  <c r="AS157" i="21"/>
  <c r="AP157" i="21"/>
  <c r="AJ157" i="21"/>
  <c r="AH157" i="21"/>
  <c r="AF157" i="21"/>
  <c r="AD157" i="21"/>
  <c r="AB157" i="21"/>
  <c r="Z157" i="21"/>
  <c r="X157" i="21"/>
  <c r="AL157" i="21" s="1"/>
  <c r="V157" i="21"/>
  <c r="R157" i="21"/>
  <c r="P157" i="21"/>
  <c r="N157" i="21"/>
  <c r="L157" i="21"/>
  <c r="S157" i="21" s="1"/>
  <c r="H157" i="21"/>
  <c r="F157" i="21"/>
  <c r="D157" i="21"/>
  <c r="B157" i="21"/>
  <c r="I157" i="21" s="1"/>
  <c r="AS156" i="21"/>
  <c r="AR156" i="21"/>
  <c r="AP156" i="21"/>
  <c r="AJ156" i="21"/>
  <c r="AH156" i="21"/>
  <c r="AF156" i="21"/>
  <c r="AD156" i="21"/>
  <c r="AB156" i="21"/>
  <c r="Z156" i="21"/>
  <c r="X156" i="21"/>
  <c r="V156" i="21"/>
  <c r="R156" i="21"/>
  <c r="P156" i="21"/>
  <c r="N156" i="21"/>
  <c r="T156" i="21" s="1"/>
  <c r="L156" i="21"/>
  <c r="H156" i="21"/>
  <c r="F156" i="21"/>
  <c r="D156" i="21"/>
  <c r="J156" i="21" s="1"/>
  <c r="B156" i="21"/>
  <c r="I156" i="21" s="1"/>
  <c r="AP155" i="21"/>
  <c r="AJ155" i="21"/>
  <c r="AH155" i="21"/>
  <c r="AF155" i="21"/>
  <c r="AD155" i="21"/>
  <c r="AB155" i="21"/>
  <c r="Z155" i="21"/>
  <c r="X155" i="21"/>
  <c r="V155" i="21"/>
  <c r="R155" i="21"/>
  <c r="P155" i="21"/>
  <c r="N155" i="21"/>
  <c r="L155" i="21"/>
  <c r="S155" i="21" s="1"/>
  <c r="H155" i="21"/>
  <c r="J155" i="21" s="1"/>
  <c r="F155" i="21"/>
  <c r="D155" i="21"/>
  <c r="B155" i="21"/>
  <c r="AS154" i="21"/>
  <c r="AR154" i="21"/>
  <c r="AP154" i="21"/>
  <c r="AJ154" i="21"/>
  <c r="AH154" i="21"/>
  <c r="AF154" i="21"/>
  <c r="AD154" i="21"/>
  <c r="Z154" i="21"/>
  <c r="V154" i="21"/>
  <c r="R154" i="21"/>
  <c r="P154" i="21"/>
  <c r="N154" i="21"/>
  <c r="T154" i="21" s="1"/>
  <c r="L154" i="21"/>
  <c r="F154" i="21"/>
  <c r="B154" i="21"/>
  <c r="I154" i="21" s="1"/>
  <c r="AB153" i="21"/>
  <c r="X153" i="21"/>
  <c r="D153" i="21"/>
  <c r="AJ152" i="21"/>
  <c r="AH152" i="21"/>
  <c r="AF152" i="21"/>
  <c r="AD152" i="21"/>
  <c r="AB152" i="21"/>
  <c r="Z152" i="21"/>
  <c r="X152" i="21"/>
  <c r="V152" i="21"/>
  <c r="R152" i="21"/>
  <c r="P152" i="21"/>
  <c r="N152" i="21"/>
  <c r="L152" i="21"/>
  <c r="F152" i="21"/>
  <c r="D152" i="21"/>
  <c r="B152" i="21"/>
  <c r="I152" i="21" s="1"/>
  <c r="AS151" i="21"/>
  <c r="AR151" i="21"/>
  <c r="AP151" i="21"/>
  <c r="AJ151" i="21"/>
  <c r="AH151" i="21"/>
  <c r="AF151" i="21"/>
  <c r="AD151" i="21"/>
  <c r="AB151" i="21"/>
  <c r="Z151" i="21"/>
  <c r="X151" i="21"/>
  <c r="V151" i="21"/>
  <c r="R151" i="21"/>
  <c r="P151" i="21"/>
  <c r="N151" i="21"/>
  <c r="T151" i="21" s="1"/>
  <c r="L151" i="21"/>
  <c r="H151" i="21"/>
  <c r="F151" i="21"/>
  <c r="B151" i="21"/>
  <c r="AP150" i="21"/>
  <c r="AJ150" i="21"/>
  <c r="AH150" i="21"/>
  <c r="AF150" i="21"/>
  <c r="AD150" i="21"/>
  <c r="AB150" i="21"/>
  <c r="Z150" i="21"/>
  <c r="X150" i="21"/>
  <c r="AL150" i="21" s="1"/>
  <c r="V150" i="21"/>
  <c r="R150" i="21"/>
  <c r="P150" i="21"/>
  <c r="N150" i="21"/>
  <c r="T150" i="21" s="1"/>
  <c r="L150" i="21"/>
  <c r="S150" i="21" s="1"/>
  <c r="F150" i="21"/>
  <c r="D150" i="21"/>
  <c r="B150" i="21"/>
  <c r="I150" i="21" s="1"/>
  <c r="AR149" i="21"/>
  <c r="AS149" i="21"/>
  <c r="AP149" i="21"/>
  <c r="AJ149" i="21"/>
  <c r="AH149" i="21"/>
  <c r="AF149" i="21"/>
  <c r="AD149" i="21"/>
  <c r="AB149" i="21"/>
  <c r="Z149" i="21"/>
  <c r="X149" i="21"/>
  <c r="V149" i="21"/>
  <c r="R149" i="21"/>
  <c r="P149" i="21"/>
  <c r="N149" i="21"/>
  <c r="L149" i="21"/>
  <c r="H149" i="21"/>
  <c r="F149" i="21"/>
  <c r="D149" i="21"/>
  <c r="J149" i="21" s="1"/>
  <c r="B149" i="21"/>
  <c r="I149" i="21" s="1"/>
  <c r="AS148" i="21"/>
  <c r="AR148" i="21"/>
  <c r="AP148" i="21"/>
  <c r="AJ148" i="21"/>
  <c r="AH148" i="21"/>
  <c r="AF148" i="21"/>
  <c r="AD148" i="21"/>
  <c r="AB148" i="21"/>
  <c r="Z148" i="21"/>
  <c r="X148" i="21"/>
  <c r="V148" i="21"/>
  <c r="R148" i="21"/>
  <c r="P148" i="21"/>
  <c r="N148" i="21"/>
  <c r="T148" i="21" s="1"/>
  <c r="L148" i="21"/>
  <c r="H148" i="21"/>
  <c r="F148" i="21"/>
  <c r="D148" i="21"/>
  <c r="B148" i="21"/>
  <c r="I148" i="21" s="1"/>
  <c r="AR147" i="21"/>
  <c r="AS147" i="21"/>
  <c r="AP147" i="21"/>
  <c r="AJ147" i="21"/>
  <c r="AH147" i="21"/>
  <c r="AF147" i="21"/>
  <c r="AD147" i="21"/>
  <c r="AB147" i="21"/>
  <c r="Z147" i="21"/>
  <c r="X147" i="21"/>
  <c r="V147" i="21"/>
  <c r="R147" i="21"/>
  <c r="P147" i="21"/>
  <c r="N147" i="21"/>
  <c r="L147" i="21"/>
  <c r="H147" i="21"/>
  <c r="F147" i="21"/>
  <c r="D147" i="21"/>
  <c r="B147" i="21"/>
  <c r="AS146" i="21"/>
  <c r="AR146" i="21"/>
  <c r="AP146" i="21"/>
  <c r="AJ146" i="21"/>
  <c r="AH146" i="21"/>
  <c r="AF146" i="21"/>
  <c r="AD146" i="21"/>
  <c r="Z146" i="21"/>
  <c r="V146" i="21"/>
  <c r="R146" i="21"/>
  <c r="P146" i="21"/>
  <c r="N146" i="21"/>
  <c r="L146" i="21"/>
  <c r="F146" i="21"/>
  <c r="B146" i="21"/>
  <c r="I146" i="21" s="1"/>
  <c r="AB145" i="21"/>
  <c r="Z145" i="21"/>
  <c r="X145" i="21"/>
  <c r="L145" i="21"/>
  <c r="D145" i="21"/>
  <c r="AJ144" i="21"/>
  <c r="AH144" i="21"/>
  <c r="AF144" i="21"/>
  <c r="AD144" i="21"/>
  <c r="AB144" i="21"/>
  <c r="Z144" i="21"/>
  <c r="X144" i="21"/>
  <c r="V144" i="21"/>
  <c r="R144" i="21"/>
  <c r="P144" i="21"/>
  <c r="N144" i="21"/>
  <c r="T144" i="21" s="1"/>
  <c r="L144" i="21"/>
  <c r="F144" i="21"/>
  <c r="D144" i="21"/>
  <c r="B144" i="21"/>
  <c r="AS143" i="21"/>
  <c r="AR143" i="21"/>
  <c r="AP143" i="21"/>
  <c r="AJ143" i="21"/>
  <c r="AH143" i="21"/>
  <c r="AF143" i="21"/>
  <c r="AD143" i="21"/>
  <c r="AB143" i="21"/>
  <c r="Z143" i="21"/>
  <c r="X143" i="21"/>
  <c r="V143" i="21"/>
  <c r="R143" i="21"/>
  <c r="P143" i="21"/>
  <c r="N143" i="21"/>
  <c r="L143" i="21"/>
  <c r="S143" i="21" s="1"/>
  <c r="F143" i="21"/>
  <c r="B143" i="21"/>
  <c r="AP142" i="21"/>
  <c r="AJ142" i="21"/>
  <c r="AH142" i="21"/>
  <c r="AF142" i="21"/>
  <c r="AD142" i="21"/>
  <c r="AB142" i="21"/>
  <c r="Z142" i="21"/>
  <c r="X142" i="21"/>
  <c r="V142" i="21"/>
  <c r="R142" i="21"/>
  <c r="P142" i="21"/>
  <c r="N142" i="21"/>
  <c r="L142" i="21"/>
  <c r="F142" i="21"/>
  <c r="D142" i="21"/>
  <c r="B142" i="21"/>
  <c r="I142" i="21" s="1"/>
  <c r="AR141" i="21"/>
  <c r="AS141" i="21"/>
  <c r="AP141" i="21"/>
  <c r="AJ141" i="21"/>
  <c r="AH141" i="21"/>
  <c r="AF141" i="21"/>
  <c r="AD141" i="21"/>
  <c r="AB141" i="21"/>
  <c r="Z141" i="21"/>
  <c r="X141" i="21"/>
  <c r="V141" i="21"/>
  <c r="R141" i="21"/>
  <c r="P141" i="21"/>
  <c r="N141" i="21"/>
  <c r="L141" i="21"/>
  <c r="H141" i="21"/>
  <c r="F141" i="21"/>
  <c r="D141" i="21"/>
  <c r="B141" i="21"/>
  <c r="I141" i="21" s="1"/>
  <c r="AS140" i="21"/>
  <c r="AR140" i="21"/>
  <c r="AP140" i="21"/>
  <c r="AJ140" i="21"/>
  <c r="AH140" i="21"/>
  <c r="AF140" i="21"/>
  <c r="AD140" i="21"/>
  <c r="AB140" i="21"/>
  <c r="Z140" i="21"/>
  <c r="X140" i="21"/>
  <c r="V140" i="21"/>
  <c r="R140" i="21"/>
  <c r="P140" i="21"/>
  <c r="N140" i="21"/>
  <c r="T140" i="21" s="1"/>
  <c r="L140" i="21"/>
  <c r="S140" i="21" s="1"/>
  <c r="H140" i="21"/>
  <c r="F140" i="21"/>
  <c r="D140" i="21"/>
  <c r="B140" i="21"/>
  <c r="AR139" i="21"/>
  <c r="AP139" i="21"/>
  <c r="AJ139" i="21"/>
  <c r="AH139" i="21"/>
  <c r="AF139" i="21"/>
  <c r="AD139" i="21"/>
  <c r="AB139" i="21"/>
  <c r="Z139" i="21"/>
  <c r="X139" i="21"/>
  <c r="V139" i="21"/>
  <c r="R139" i="21"/>
  <c r="T139" i="21" s="1"/>
  <c r="P139" i="21"/>
  <c r="N139" i="21"/>
  <c r="L139" i="21"/>
  <c r="H139" i="21"/>
  <c r="F139" i="21"/>
  <c r="D139" i="21"/>
  <c r="J139" i="21" s="1"/>
  <c r="B139" i="21"/>
  <c r="I139" i="21" s="1"/>
  <c r="AR138" i="21"/>
  <c r="AP138" i="21"/>
  <c r="AJ138" i="21"/>
  <c r="AH138" i="21"/>
  <c r="AF138" i="21"/>
  <c r="AD138" i="21"/>
  <c r="Z138" i="21"/>
  <c r="V138" i="21"/>
  <c r="R138" i="21"/>
  <c r="P138" i="21"/>
  <c r="N138" i="21"/>
  <c r="L138" i="21"/>
  <c r="S138" i="21" s="1"/>
  <c r="F138" i="21"/>
  <c r="B138" i="21"/>
  <c r="I138" i="21" s="1"/>
  <c r="AR137" i="21"/>
  <c r="AD137" i="21"/>
  <c r="AB137" i="21"/>
  <c r="X137" i="21"/>
  <c r="R137" i="21"/>
  <c r="P137" i="21"/>
  <c r="L137" i="21"/>
  <c r="D137" i="21"/>
  <c r="AR136" i="21"/>
  <c r="AP136" i="21"/>
  <c r="AJ136" i="21"/>
  <c r="AH136" i="21"/>
  <c r="AF136" i="21"/>
  <c r="AD136" i="21"/>
  <c r="AB136" i="21"/>
  <c r="Z136" i="21"/>
  <c r="AK136" i="21" s="1"/>
  <c r="X136" i="21"/>
  <c r="V136" i="21"/>
  <c r="R136" i="21"/>
  <c r="P136" i="21"/>
  <c r="S136" i="21" s="1"/>
  <c r="N136" i="21"/>
  <c r="L136" i="21"/>
  <c r="F136" i="21"/>
  <c r="D136" i="21"/>
  <c r="B136" i="21"/>
  <c r="AS135" i="21"/>
  <c r="AR135" i="21"/>
  <c r="AP135" i="21"/>
  <c r="AJ135" i="21"/>
  <c r="AH135" i="21"/>
  <c r="AF135" i="21"/>
  <c r="AD135" i="21"/>
  <c r="AB135" i="21"/>
  <c r="Z135" i="21"/>
  <c r="X135" i="21"/>
  <c r="V135" i="21"/>
  <c r="R135" i="21"/>
  <c r="P135" i="21"/>
  <c r="N135" i="21"/>
  <c r="T135" i="21" s="1"/>
  <c r="L135" i="21"/>
  <c r="F135" i="21"/>
  <c r="D135" i="21"/>
  <c r="B135" i="21"/>
  <c r="AP134" i="21"/>
  <c r="AJ134" i="21"/>
  <c r="AH134" i="21"/>
  <c r="AF134" i="21"/>
  <c r="AD134" i="21"/>
  <c r="AB134" i="21"/>
  <c r="Z134" i="21"/>
  <c r="X134" i="21"/>
  <c r="AL134" i="21" s="1"/>
  <c r="V134" i="21"/>
  <c r="R134" i="21"/>
  <c r="P134" i="21"/>
  <c r="S134" i="21" s="1"/>
  <c r="N134" i="21"/>
  <c r="T134" i="21" s="1"/>
  <c r="L134" i="21"/>
  <c r="F134" i="21"/>
  <c r="D134" i="21"/>
  <c r="B134" i="21"/>
  <c r="AR133" i="21"/>
  <c r="AS133" i="21"/>
  <c r="AJ133" i="21"/>
  <c r="AH133" i="21"/>
  <c r="AF133" i="21"/>
  <c r="AD133" i="21"/>
  <c r="AB133" i="21"/>
  <c r="Z133" i="21"/>
  <c r="X133" i="21"/>
  <c r="AL133" i="21" s="1"/>
  <c r="V133" i="21"/>
  <c r="R133" i="21"/>
  <c r="P133" i="21"/>
  <c r="N133" i="21"/>
  <c r="L133" i="21"/>
  <c r="H133" i="21"/>
  <c r="F133" i="21"/>
  <c r="D133" i="21"/>
  <c r="J133" i="21" s="1"/>
  <c r="B133" i="21"/>
  <c r="AS132" i="21"/>
  <c r="AR132" i="21"/>
  <c r="AP132" i="21"/>
  <c r="AJ132" i="21"/>
  <c r="AH132" i="21"/>
  <c r="AF132" i="21"/>
  <c r="AD132" i="21"/>
  <c r="AB132" i="21"/>
  <c r="Z132" i="21"/>
  <c r="X132" i="21"/>
  <c r="V132" i="21"/>
  <c r="AK132" i="21" s="1"/>
  <c r="R132" i="21"/>
  <c r="P132" i="21"/>
  <c r="N132" i="21"/>
  <c r="T132" i="21" s="1"/>
  <c r="L132" i="21"/>
  <c r="H132" i="21"/>
  <c r="F132" i="21"/>
  <c r="D132" i="21"/>
  <c r="J132" i="21" s="1"/>
  <c r="B132" i="21"/>
  <c r="AS131" i="21"/>
  <c r="AP131" i="21"/>
  <c r="AJ131" i="21"/>
  <c r="AH131" i="21"/>
  <c r="AF131" i="21"/>
  <c r="AD131" i="21"/>
  <c r="AB131" i="21"/>
  <c r="Z131" i="21"/>
  <c r="X131" i="21"/>
  <c r="V131" i="21"/>
  <c r="R131" i="21"/>
  <c r="P131" i="21"/>
  <c r="N131" i="21"/>
  <c r="L131" i="21"/>
  <c r="S131" i="21" s="1"/>
  <c r="H131" i="21"/>
  <c r="F131" i="21"/>
  <c r="D131" i="21"/>
  <c r="B131" i="21"/>
  <c r="AS130" i="21"/>
  <c r="AP130" i="21"/>
  <c r="AJ130" i="21"/>
  <c r="AH130" i="21"/>
  <c r="AF130" i="21"/>
  <c r="AD130" i="21"/>
  <c r="Z130" i="21"/>
  <c r="V130" i="21"/>
  <c r="R130" i="21"/>
  <c r="P130" i="21"/>
  <c r="N130" i="21"/>
  <c r="T130" i="21" s="1"/>
  <c r="L130" i="21"/>
  <c r="H130" i="21"/>
  <c r="F130" i="21"/>
  <c r="B130" i="21"/>
  <c r="I130" i="21" s="1"/>
  <c r="AB129" i="21"/>
  <c r="X129" i="21"/>
  <c r="F129" i="21"/>
  <c r="D129" i="21"/>
  <c r="AR128" i="21"/>
  <c r="AJ128" i="21"/>
  <c r="AH128" i="21"/>
  <c r="AF128" i="21"/>
  <c r="AD128" i="21"/>
  <c r="AB128" i="21"/>
  <c r="Z128" i="21"/>
  <c r="X128" i="21"/>
  <c r="V128" i="21"/>
  <c r="R128" i="21"/>
  <c r="P128" i="21"/>
  <c r="N128" i="21"/>
  <c r="T128" i="21" s="1"/>
  <c r="L128" i="21"/>
  <c r="S128" i="21" s="1"/>
  <c r="H128" i="21"/>
  <c r="F128" i="21"/>
  <c r="D128" i="21"/>
  <c r="B128" i="21"/>
  <c r="AS127" i="21"/>
  <c r="AR127" i="21"/>
  <c r="AP127" i="21"/>
  <c r="AJ127" i="21"/>
  <c r="AH127" i="21"/>
  <c r="AF127" i="21"/>
  <c r="AD127" i="21"/>
  <c r="AB127" i="21"/>
  <c r="Z127" i="21"/>
  <c r="X127" i="21"/>
  <c r="V127" i="21"/>
  <c r="R127" i="21"/>
  <c r="P127" i="21"/>
  <c r="N127" i="21"/>
  <c r="T127" i="21" s="1"/>
  <c r="L127" i="21"/>
  <c r="S127" i="21" s="1"/>
  <c r="F127" i="21"/>
  <c r="D127" i="21"/>
  <c r="B127" i="21"/>
  <c r="AP126" i="21"/>
  <c r="AJ126" i="21"/>
  <c r="AH126" i="21"/>
  <c r="AF126" i="21"/>
  <c r="AD126" i="21"/>
  <c r="AB126" i="21"/>
  <c r="Z126" i="21"/>
  <c r="X126" i="21"/>
  <c r="V126" i="21"/>
  <c r="R126" i="21"/>
  <c r="P126" i="21"/>
  <c r="N126" i="21"/>
  <c r="L126" i="21"/>
  <c r="H126" i="21"/>
  <c r="F126" i="21"/>
  <c r="D126" i="21"/>
  <c r="B126" i="21"/>
  <c r="AR125" i="21"/>
  <c r="AS125" i="21"/>
  <c r="AJ125" i="21"/>
  <c r="AH125" i="21"/>
  <c r="AF125" i="21"/>
  <c r="AD125" i="21"/>
  <c r="AB125" i="21"/>
  <c r="Z125" i="21"/>
  <c r="X125" i="21"/>
  <c r="V125" i="21"/>
  <c r="R125" i="21"/>
  <c r="P125" i="21"/>
  <c r="N125" i="21"/>
  <c r="T125" i="21" s="1"/>
  <c r="L125" i="21"/>
  <c r="S125" i="21" s="1"/>
  <c r="H125" i="21"/>
  <c r="F125" i="21"/>
  <c r="D125" i="21"/>
  <c r="B125" i="21"/>
  <c r="I125" i="21" s="1"/>
  <c r="AS124" i="21"/>
  <c r="AR124" i="21"/>
  <c r="AP124" i="21"/>
  <c r="AJ124" i="21"/>
  <c r="AH124" i="21"/>
  <c r="AF124" i="21"/>
  <c r="AD124" i="21"/>
  <c r="AB124" i="21"/>
  <c r="Z124" i="21"/>
  <c r="X124" i="21"/>
  <c r="V124" i="21"/>
  <c r="R124" i="21"/>
  <c r="P124" i="21"/>
  <c r="N124" i="21"/>
  <c r="L124" i="21"/>
  <c r="H124" i="21"/>
  <c r="F124" i="21"/>
  <c r="D124" i="21"/>
  <c r="B124" i="21"/>
  <c r="I124" i="21" s="1"/>
  <c r="AS123" i="21"/>
  <c r="AP123" i="21"/>
  <c r="AJ123" i="21"/>
  <c r="AH123" i="21"/>
  <c r="AF123" i="21"/>
  <c r="AD123" i="21"/>
  <c r="AB123" i="21"/>
  <c r="Z123" i="21"/>
  <c r="X123" i="21"/>
  <c r="V123" i="21"/>
  <c r="AK123" i="21" s="1"/>
  <c r="R123" i="21"/>
  <c r="P123" i="21"/>
  <c r="N123" i="21"/>
  <c r="L123" i="21"/>
  <c r="S123" i="21" s="1"/>
  <c r="H123" i="21"/>
  <c r="J123" i="21" s="1"/>
  <c r="F123" i="21"/>
  <c r="D123" i="21"/>
  <c r="B123" i="21"/>
  <c r="I123" i="21" s="1"/>
  <c r="AS122" i="21"/>
  <c r="AP122" i="21"/>
  <c r="AJ122" i="21"/>
  <c r="AH122" i="21"/>
  <c r="AF122" i="21"/>
  <c r="AD122" i="21"/>
  <c r="Z122" i="21"/>
  <c r="V122" i="21"/>
  <c r="AK122" i="21" s="1"/>
  <c r="R122" i="21"/>
  <c r="P122" i="21"/>
  <c r="N122" i="21"/>
  <c r="L122" i="21"/>
  <c r="F122" i="21"/>
  <c r="B122" i="21"/>
  <c r="I122" i="21" s="1"/>
  <c r="AR121" i="21"/>
  <c r="AB121" i="21"/>
  <c r="X121" i="21"/>
  <c r="D121" i="21"/>
  <c r="AR120" i="21"/>
  <c r="AJ120" i="21"/>
  <c r="AH120" i="21"/>
  <c r="AF120" i="21"/>
  <c r="AD120" i="21"/>
  <c r="AB120" i="21"/>
  <c r="Z120" i="21"/>
  <c r="X120" i="21"/>
  <c r="V120" i="21"/>
  <c r="R120" i="21"/>
  <c r="P120" i="21"/>
  <c r="N120" i="21"/>
  <c r="T120" i="21" s="1"/>
  <c r="L120" i="21"/>
  <c r="S120" i="21" s="1"/>
  <c r="H120" i="21"/>
  <c r="F120" i="21"/>
  <c r="D120" i="21"/>
  <c r="B120" i="21"/>
  <c r="AS119" i="21"/>
  <c r="AR119" i="21"/>
  <c r="AP119" i="21"/>
  <c r="AJ119" i="21"/>
  <c r="AH119" i="21"/>
  <c r="AF119" i="21"/>
  <c r="AD119" i="21"/>
  <c r="AB119" i="21"/>
  <c r="Z119" i="21"/>
  <c r="X119" i="21"/>
  <c r="V119" i="21"/>
  <c r="AK119" i="21" s="1"/>
  <c r="R119" i="21"/>
  <c r="P119" i="21"/>
  <c r="N119" i="21"/>
  <c r="T119" i="21" s="1"/>
  <c r="L119" i="21"/>
  <c r="S119" i="21" s="1"/>
  <c r="F119" i="21"/>
  <c r="B119" i="21"/>
  <c r="AP118" i="21"/>
  <c r="AJ118" i="21"/>
  <c r="AH118" i="21"/>
  <c r="AF118" i="21"/>
  <c r="AD118" i="21"/>
  <c r="AB118" i="21"/>
  <c r="Z118" i="21"/>
  <c r="X118" i="21"/>
  <c r="V118" i="21"/>
  <c r="R118" i="21"/>
  <c r="P118" i="21"/>
  <c r="N118" i="21"/>
  <c r="L118" i="21"/>
  <c r="S118" i="21" s="1"/>
  <c r="F118" i="21"/>
  <c r="D118" i="21"/>
  <c r="B118" i="21"/>
  <c r="AR117" i="21"/>
  <c r="AS117" i="21"/>
  <c r="AP117" i="21"/>
  <c r="AJ117" i="21"/>
  <c r="AH117" i="21"/>
  <c r="AF117" i="21"/>
  <c r="AD117" i="21"/>
  <c r="AB117" i="21"/>
  <c r="Z117" i="21"/>
  <c r="X117" i="21"/>
  <c r="V117" i="21"/>
  <c r="R117" i="21"/>
  <c r="P117" i="21"/>
  <c r="N117" i="21"/>
  <c r="T117" i="21" s="1"/>
  <c r="L117" i="21"/>
  <c r="H117" i="21"/>
  <c r="F117" i="21"/>
  <c r="D117" i="21"/>
  <c r="J117" i="21" s="1"/>
  <c r="B117" i="21"/>
  <c r="AS116" i="21"/>
  <c r="AR116" i="21"/>
  <c r="AP116" i="21"/>
  <c r="AJ116" i="21"/>
  <c r="AH116" i="21"/>
  <c r="AF116" i="21"/>
  <c r="AD116" i="21"/>
  <c r="AB116" i="21"/>
  <c r="Z116" i="21"/>
  <c r="X116" i="21"/>
  <c r="V116" i="21"/>
  <c r="R116" i="21"/>
  <c r="P116" i="21"/>
  <c r="N116" i="21"/>
  <c r="L116" i="21"/>
  <c r="S116" i="21" s="1"/>
  <c r="H116" i="21"/>
  <c r="F116" i="21"/>
  <c r="D116" i="21"/>
  <c r="J116" i="21" s="1"/>
  <c r="B116" i="21"/>
  <c r="AS115" i="21"/>
  <c r="AP115" i="21"/>
  <c r="AJ115" i="21"/>
  <c r="AH115" i="21"/>
  <c r="AF115" i="21"/>
  <c r="AD115" i="21"/>
  <c r="AB115" i="21"/>
  <c r="Z115" i="21"/>
  <c r="X115" i="21"/>
  <c r="V115" i="21"/>
  <c r="R115" i="21"/>
  <c r="P115" i="21"/>
  <c r="N115" i="21"/>
  <c r="T115" i="21" s="1"/>
  <c r="L115" i="21"/>
  <c r="S115" i="21" s="1"/>
  <c r="H115" i="21"/>
  <c r="J115" i="21" s="1"/>
  <c r="F115" i="21"/>
  <c r="D115" i="21"/>
  <c r="B115" i="21"/>
  <c r="I115" i="21" s="1"/>
  <c r="AS114" i="21"/>
  <c r="AP114" i="21"/>
  <c r="AJ114" i="21"/>
  <c r="AH114" i="21"/>
  <c r="AF114" i="21"/>
  <c r="AD114" i="21"/>
  <c r="Z114" i="21"/>
  <c r="V114" i="21"/>
  <c r="R114" i="21"/>
  <c r="P114" i="21"/>
  <c r="N114" i="21"/>
  <c r="T114" i="21" s="1"/>
  <c r="L114" i="21"/>
  <c r="H114" i="21"/>
  <c r="F114" i="21"/>
  <c r="B114" i="21"/>
  <c r="I114" i="21" s="1"/>
  <c r="AB113" i="21"/>
  <c r="X113" i="21"/>
  <c r="D113" i="21"/>
  <c r="AR112" i="21"/>
  <c r="AJ112" i="21"/>
  <c r="AH112" i="21"/>
  <c r="AF112" i="21"/>
  <c r="AD112" i="21"/>
  <c r="AB112" i="21"/>
  <c r="Z112" i="21"/>
  <c r="X112" i="21"/>
  <c r="V112" i="21"/>
  <c r="R112" i="21"/>
  <c r="P112" i="21"/>
  <c r="N112" i="21"/>
  <c r="L112" i="21"/>
  <c r="H112" i="21"/>
  <c r="F112" i="21"/>
  <c r="D112" i="21"/>
  <c r="B112" i="21"/>
  <c r="AS111" i="21"/>
  <c r="AR111" i="21"/>
  <c r="AP111" i="21"/>
  <c r="AJ111" i="21"/>
  <c r="AH111" i="21"/>
  <c r="AF111" i="21"/>
  <c r="AD111" i="21"/>
  <c r="AB111" i="21"/>
  <c r="Z111" i="21"/>
  <c r="X111" i="21"/>
  <c r="V111" i="21"/>
  <c r="R111" i="21"/>
  <c r="P111" i="21"/>
  <c r="N111" i="21"/>
  <c r="L111" i="21"/>
  <c r="S111" i="21" s="1"/>
  <c r="F111" i="21"/>
  <c r="B111" i="21"/>
  <c r="AS110" i="21"/>
  <c r="AP110" i="21"/>
  <c r="AJ110" i="21"/>
  <c r="AH110" i="21"/>
  <c r="AF110" i="21"/>
  <c r="AD110" i="21"/>
  <c r="AB110" i="21"/>
  <c r="Z110" i="21"/>
  <c r="X110" i="21"/>
  <c r="V110" i="21"/>
  <c r="R110" i="21"/>
  <c r="T110" i="21" s="1"/>
  <c r="P110" i="21"/>
  <c r="N110" i="21"/>
  <c r="L110" i="21"/>
  <c r="F110" i="21"/>
  <c r="D110" i="21"/>
  <c r="B110" i="21"/>
  <c r="AR109" i="21"/>
  <c r="AP109" i="21"/>
  <c r="AJ109" i="21"/>
  <c r="AH109" i="21"/>
  <c r="AF109" i="21"/>
  <c r="AD109" i="21"/>
  <c r="AB109" i="21"/>
  <c r="Z109" i="21"/>
  <c r="X109" i="21"/>
  <c r="V109" i="21"/>
  <c r="R109" i="21"/>
  <c r="P109" i="21"/>
  <c r="N109" i="21"/>
  <c r="T109" i="21" s="1"/>
  <c r="L109" i="21"/>
  <c r="H109" i="21"/>
  <c r="F109" i="21"/>
  <c r="D109" i="21"/>
  <c r="B109" i="21"/>
  <c r="I109" i="21" s="1"/>
  <c r="AS108" i="21"/>
  <c r="AR108" i="21"/>
  <c r="AP108" i="21"/>
  <c r="AJ108" i="21"/>
  <c r="AH108" i="21"/>
  <c r="AF108" i="21"/>
  <c r="AD108" i="21"/>
  <c r="AB108" i="21"/>
  <c r="Z108" i="21"/>
  <c r="X108" i="21"/>
  <c r="AL108" i="21" s="1"/>
  <c r="V108" i="21"/>
  <c r="R108" i="21"/>
  <c r="P108" i="21"/>
  <c r="N108" i="21"/>
  <c r="T108" i="21" s="1"/>
  <c r="L108" i="21"/>
  <c r="H108" i="21"/>
  <c r="F108" i="21"/>
  <c r="D108" i="21"/>
  <c r="B108" i="21"/>
  <c r="AP107" i="21"/>
  <c r="AJ107" i="21"/>
  <c r="AH107" i="21"/>
  <c r="AF107" i="21"/>
  <c r="AD107" i="21"/>
  <c r="AB107" i="21"/>
  <c r="Z107" i="21"/>
  <c r="X107" i="21"/>
  <c r="V107" i="21"/>
  <c r="R107" i="21"/>
  <c r="P107" i="21"/>
  <c r="S107" i="21" s="1"/>
  <c r="N107" i="21"/>
  <c r="L107" i="21"/>
  <c r="H107" i="21"/>
  <c r="J107" i="21" s="1"/>
  <c r="F107" i="21"/>
  <c r="D107" i="21"/>
  <c r="B107" i="21"/>
  <c r="I107" i="21" s="1"/>
  <c r="AS106" i="21"/>
  <c r="AP106" i="21"/>
  <c r="AJ106" i="21"/>
  <c r="AH106" i="21"/>
  <c r="AF106" i="21"/>
  <c r="AD106" i="21"/>
  <c r="Z106" i="21"/>
  <c r="V106" i="21"/>
  <c r="R106" i="21"/>
  <c r="P106" i="21"/>
  <c r="N106" i="21"/>
  <c r="T106" i="21" s="1"/>
  <c r="L106" i="21"/>
  <c r="H106" i="21"/>
  <c r="F106" i="21"/>
  <c r="B106" i="21"/>
  <c r="I106" i="21" s="1"/>
  <c r="AB105" i="21"/>
  <c r="X105" i="21"/>
  <c r="F105" i="21"/>
  <c r="D105" i="21"/>
  <c r="AR104" i="21"/>
  <c r="AJ104" i="21"/>
  <c r="AH104" i="21"/>
  <c r="AF104" i="21"/>
  <c r="AD104" i="21"/>
  <c r="AB104" i="21"/>
  <c r="Z104" i="21"/>
  <c r="X104" i="21"/>
  <c r="V104" i="21"/>
  <c r="R104" i="21"/>
  <c r="P104" i="21"/>
  <c r="N104" i="21"/>
  <c r="L104" i="21"/>
  <c r="F104" i="21"/>
  <c r="D104" i="21"/>
  <c r="B104" i="21"/>
  <c r="AS103" i="21"/>
  <c r="AR103" i="21"/>
  <c r="AP103" i="21"/>
  <c r="AJ103" i="21"/>
  <c r="AH103" i="21"/>
  <c r="AF103" i="21"/>
  <c r="AD103" i="21"/>
  <c r="AB103" i="21"/>
  <c r="Z103" i="21"/>
  <c r="X103" i="21"/>
  <c r="AL103" i="21" s="1"/>
  <c r="V103" i="21"/>
  <c r="R103" i="21"/>
  <c r="P103" i="21"/>
  <c r="N103" i="21"/>
  <c r="T103" i="21" s="1"/>
  <c r="L103" i="21"/>
  <c r="S103" i="21" s="1"/>
  <c r="F103" i="21"/>
  <c r="D103" i="21"/>
  <c r="B103" i="21"/>
  <c r="AS102" i="21"/>
  <c r="AP102" i="21"/>
  <c r="AJ102" i="21"/>
  <c r="AH102" i="21"/>
  <c r="AF102" i="21"/>
  <c r="AD102" i="21"/>
  <c r="AB102" i="21"/>
  <c r="Z102" i="21"/>
  <c r="X102" i="21"/>
  <c r="V102" i="21"/>
  <c r="R102" i="21"/>
  <c r="P102" i="21"/>
  <c r="N102" i="21"/>
  <c r="L102" i="21"/>
  <c r="S102" i="21" s="1"/>
  <c r="F102" i="21"/>
  <c r="D102" i="21"/>
  <c r="B102" i="21"/>
  <c r="AR101" i="21"/>
  <c r="AS101" i="21"/>
  <c r="AP101" i="21"/>
  <c r="AJ101" i="21"/>
  <c r="AH101" i="21"/>
  <c r="AF101" i="21"/>
  <c r="AD101" i="21"/>
  <c r="AB101" i="21"/>
  <c r="Z101" i="21"/>
  <c r="X101" i="21"/>
  <c r="V101" i="21"/>
  <c r="R101" i="21"/>
  <c r="P101" i="21"/>
  <c r="N101" i="21"/>
  <c r="L101" i="21"/>
  <c r="H101" i="21"/>
  <c r="F101" i="21"/>
  <c r="D101" i="21"/>
  <c r="B101" i="21"/>
  <c r="I101" i="21" s="1"/>
  <c r="AR100" i="21"/>
  <c r="AJ100" i="21"/>
  <c r="AH100" i="21"/>
  <c r="AF100" i="21"/>
  <c r="AD100" i="21"/>
  <c r="AB100" i="21"/>
  <c r="Z100" i="21"/>
  <c r="X100" i="21"/>
  <c r="V100" i="21"/>
  <c r="R100" i="21"/>
  <c r="P100" i="21"/>
  <c r="N100" i="21"/>
  <c r="T100" i="21" s="1"/>
  <c r="L100" i="21"/>
  <c r="H100" i="21"/>
  <c r="F100" i="21"/>
  <c r="D100" i="21"/>
  <c r="B100" i="21"/>
  <c r="AP99" i="21"/>
  <c r="AJ99" i="21"/>
  <c r="AH99" i="21"/>
  <c r="AF99" i="21"/>
  <c r="AD99" i="21"/>
  <c r="AB99" i="21"/>
  <c r="Z99" i="21"/>
  <c r="X99" i="21"/>
  <c r="V99" i="21"/>
  <c r="R99" i="21"/>
  <c r="P99" i="21"/>
  <c r="N99" i="21"/>
  <c r="L99" i="21"/>
  <c r="S99" i="21" s="1"/>
  <c r="H99" i="21"/>
  <c r="F99" i="21"/>
  <c r="D99" i="21"/>
  <c r="B99" i="21"/>
  <c r="AP98" i="21"/>
  <c r="AJ98" i="21"/>
  <c r="AH98" i="21"/>
  <c r="AF98" i="21"/>
  <c r="AD98" i="21"/>
  <c r="Z98" i="21"/>
  <c r="V98" i="21"/>
  <c r="R98" i="21"/>
  <c r="P98" i="21"/>
  <c r="N98" i="21"/>
  <c r="L98" i="21"/>
  <c r="S98" i="21" s="1"/>
  <c r="H98" i="21"/>
  <c r="F98" i="21"/>
  <c r="B98" i="21"/>
  <c r="I98" i="21" s="1"/>
  <c r="AP97" i="21"/>
  <c r="AF97" i="21"/>
  <c r="AB97" i="21"/>
  <c r="X97" i="21"/>
  <c r="P97" i="21"/>
  <c r="N97" i="21"/>
  <c r="D97" i="21"/>
  <c r="AS96" i="21"/>
  <c r="AR96" i="21"/>
  <c r="AJ96" i="21"/>
  <c r="AH96" i="21"/>
  <c r="AF96" i="21"/>
  <c r="AD96" i="21"/>
  <c r="AB96" i="21"/>
  <c r="AL96" i="21" s="1"/>
  <c r="Z96" i="21"/>
  <c r="X96" i="21"/>
  <c r="V96" i="21"/>
  <c r="R96" i="21"/>
  <c r="P96" i="21"/>
  <c r="N96" i="21"/>
  <c r="T96" i="21" s="1"/>
  <c r="L96" i="21"/>
  <c r="S96" i="21" s="1"/>
  <c r="F96" i="21"/>
  <c r="D96" i="21"/>
  <c r="B96" i="21"/>
  <c r="AR95" i="21"/>
  <c r="AP95" i="21"/>
  <c r="AJ95" i="21"/>
  <c r="AH95" i="21"/>
  <c r="AF95" i="21"/>
  <c r="AD95" i="21"/>
  <c r="AB95" i="21"/>
  <c r="Z95" i="21"/>
  <c r="X95" i="21"/>
  <c r="V95" i="21"/>
  <c r="R95" i="21"/>
  <c r="P95" i="21"/>
  <c r="N95" i="21"/>
  <c r="L95" i="21"/>
  <c r="F95" i="21"/>
  <c r="B95" i="21"/>
  <c r="AS94" i="21"/>
  <c r="AR94" i="21"/>
  <c r="AP94" i="21"/>
  <c r="AJ94" i="21"/>
  <c r="AH94" i="21"/>
  <c r="AF94" i="21"/>
  <c r="AD94" i="21"/>
  <c r="AB94" i="21"/>
  <c r="Z94" i="21"/>
  <c r="X94" i="21"/>
  <c r="V94" i="21"/>
  <c r="R94" i="21"/>
  <c r="P94" i="21"/>
  <c r="N94" i="21"/>
  <c r="T94" i="21" s="1"/>
  <c r="L94" i="21"/>
  <c r="F94" i="21"/>
  <c r="D94" i="21"/>
  <c r="B94" i="21"/>
  <c r="I94" i="21" s="1"/>
  <c r="AP93" i="21"/>
  <c r="AJ93" i="21"/>
  <c r="AH93" i="21"/>
  <c r="AF93" i="21"/>
  <c r="AD93" i="21"/>
  <c r="AB93" i="21"/>
  <c r="Z93" i="21"/>
  <c r="X93" i="21"/>
  <c r="V93" i="21"/>
  <c r="R93" i="21"/>
  <c r="P93" i="21"/>
  <c r="N93" i="21"/>
  <c r="L93" i="21"/>
  <c r="S93" i="21" s="1"/>
  <c r="H93" i="21"/>
  <c r="F93" i="21"/>
  <c r="D93" i="21"/>
  <c r="B93" i="21"/>
  <c r="I93" i="21" s="1"/>
  <c r="AS92" i="21"/>
  <c r="AP92" i="21"/>
  <c r="AJ92" i="21"/>
  <c r="AH92" i="21"/>
  <c r="AF92" i="21"/>
  <c r="AD92" i="21"/>
  <c r="AB92" i="21"/>
  <c r="Z92" i="21"/>
  <c r="X92" i="21"/>
  <c r="V92" i="21"/>
  <c r="R92" i="21"/>
  <c r="P92" i="21"/>
  <c r="N92" i="21"/>
  <c r="T92" i="21" s="1"/>
  <c r="L92" i="21"/>
  <c r="H92" i="21"/>
  <c r="F92" i="21"/>
  <c r="D92" i="21"/>
  <c r="B92" i="21"/>
  <c r="AP91" i="21"/>
  <c r="AJ91" i="21"/>
  <c r="AH91" i="21"/>
  <c r="AF91" i="21"/>
  <c r="AD91" i="21"/>
  <c r="AB91" i="21"/>
  <c r="Z91" i="21"/>
  <c r="X91" i="21"/>
  <c r="V91" i="21"/>
  <c r="R91" i="21"/>
  <c r="P91" i="21"/>
  <c r="N91" i="21"/>
  <c r="T91" i="21" s="1"/>
  <c r="L91" i="21"/>
  <c r="H91" i="21"/>
  <c r="F91" i="21"/>
  <c r="D91" i="21"/>
  <c r="B91" i="21"/>
  <c r="AS90" i="21"/>
  <c r="AP90" i="21"/>
  <c r="AJ90" i="21"/>
  <c r="AH90" i="21"/>
  <c r="AF90" i="21"/>
  <c r="AD90" i="21"/>
  <c r="AB90" i="21"/>
  <c r="Z90" i="21"/>
  <c r="V90" i="21"/>
  <c r="R90" i="21"/>
  <c r="P90" i="21"/>
  <c r="N90" i="21"/>
  <c r="T90" i="21" s="1"/>
  <c r="L90" i="21"/>
  <c r="F90" i="21"/>
  <c r="B90" i="21"/>
  <c r="AB89" i="21"/>
  <c r="X89" i="21"/>
  <c r="D89" i="21"/>
  <c r="AS88" i="21"/>
  <c r="AJ88" i="21"/>
  <c r="AH88" i="21"/>
  <c r="AF88" i="21"/>
  <c r="AD88" i="21"/>
  <c r="AB88" i="21"/>
  <c r="Z88" i="21"/>
  <c r="X88" i="21"/>
  <c r="V88" i="21"/>
  <c r="AK88" i="21" s="1"/>
  <c r="R88" i="21"/>
  <c r="P88" i="21"/>
  <c r="N88" i="21"/>
  <c r="L88" i="21"/>
  <c r="H88" i="21"/>
  <c r="F88" i="21"/>
  <c r="D88" i="21"/>
  <c r="B88" i="21"/>
  <c r="AR87" i="21"/>
  <c r="AS87" i="21"/>
  <c r="AP87" i="21"/>
  <c r="AJ87" i="21"/>
  <c r="AH87" i="21"/>
  <c r="AF87" i="21"/>
  <c r="AD87" i="21"/>
  <c r="AB87" i="21"/>
  <c r="Z87" i="21"/>
  <c r="X87" i="21"/>
  <c r="V87" i="21"/>
  <c r="R87" i="21"/>
  <c r="P87" i="21"/>
  <c r="N87" i="21"/>
  <c r="L87" i="21"/>
  <c r="S87" i="21" s="1"/>
  <c r="F87" i="21"/>
  <c r="D87" i="21"/>
  <c r="B87" i="21"/>
  <c r="AS86" i="21"/>
  <c r="AR86" i="21"/>
  <c r="AP86" i="21"/>
  <c r="AJ86" i="21"/>
  <c r="AH86" i="21"/>
  <c r="AF86" i="21"/>
  <c r="AD86" i="21"/>
  <c r="AB86" i="21"/>
  <c r="Z86" i="21"/>
  <c r="X86" i="21"/>
  <c r="V86" i="21"/>
  <c r="R86" i="21"/>
  <c r="P86" i="21"/>
  <c r="N86" i="21"/>
  <c r="T86" i="21" s="1"/>
  <c r="L86" i="21"/>
  <c r="S86" i="21" s="1"/>
  <c r="F86" i="21"/>
  <c r="D86" i="21"/>
  <c r="B86" i="21"/>
  <c r="AP85" i="21"/>
  <c r="AJ85" i="21"/>
  <c r="AH85" i="21"/>
  <c r="AF85" i="21"/>
  <c r="AD85" i="21"/>
  <c r="AB85" i="21"/>
  <c r="Z85" i="21"/>
  <c r="X85" i="21"/>
  <c r="V85" i="21"/>
  <c r="R85" i="21"/>
  <c r="P85" i="21"/>
  <c r="N85" i="21"/>
  <c r="L85" i="21"/>
  <c r="S85" i="21" s="1"/>
  <c r="H85" i="21"/>
  <c r="F85" i="21"/>
  <c r="D85" i="21"/>
  <c r="J85" i="21" s="1"/>
  <c r="B85" i="21"/>
  <c r="I85" i="21" s="1"/>
  <c r="AS84" i="21"/>
  <c r="AP84" i="21"/>
  <c r="AJ84" i="21"/>
  <c r="AH84" i="21"/>
  <c r="AF84" i="21"/>
  <c r="AD84" i="21"/>
  <c r="AB84" i="21"/>
  <c r="Z84" i="21"/>
  <c r="X84" i="21"/>
  <c r="AL84" i="21" s="1"/>
  <c r="V84" i="21"/>
  <c r="R84" i="21"/>
  <c r="P84" i="21"/>
  <c r="N84" i="21"/>
  <c r="L84" i="21"/>
  <c r="H84" i="21"/>
  <c r="F84" i="21"/>
  <c r="D84" i="21"/>
  <c r="B84" i="21"/>
  <c r="I84" i="21" s="1"/>
  <c r="AP83" i="21"/>
  <c r="AJ83" i="21"/>
  <c r="AH83" i="21"/>
  <c r="AF83" i="21"/>
  <c r="AD83" i="21"/>
  <c r="AB83" i="21"/>
  <c r="Z83" i="21"/>
  <c r="X83" i="21"/>
  <c r="V83" i="21"/>
  <c r="S83" i="21"/>
  <c r="R83" i="21"/>
  <c r="P83" i="21"/>
  <c r="N83" i="21"/>
  <c r="L83" i="21"/>
  <c r="H83" i="21"/>
  <c r="F83" i="21"/>
  <c r="D83" i="21"/>
  <c r="J83" i="21" s="1"/>
  <c r="B83" i="21"/>
  <c r="AS82" i="21"/>
  <c r="AP82" i="21"/>
  <c r="AJ82" i="21"/>
  <c r="AH82" i="21"/>
  <c r="AF82" i="21"/>
  <c r="AD82" i="21"/>
  <c r="Z82" i="21"/>
  <c r="V82" i="21"/>
  <c r="R82" i="21"/>
  <c r="P82" i="21"/>
  <c r="N82" i="21"/>
  <c r="T82" i="21" s="1"/>
  <c r="L82" i="21"/>
  <c r="F82" i="21"/>
  <c r="D82" i="21"/>
  <c r="B82" i="21"/>
  <c r="AP81" i="21"/>
  <c r="AB81" i="21"/>
  <c r="X81" i="21"/>
  <c r="D81" i="21"/>
  <c r="AJ80" i="21"/>
  <c r="AH80" i="21"/>
  <c r="AF80" i="21"/>
  <c r="AD80" i="21"/>
  <c r="AB80" i="21"/>
  <c r="Z80" i="21"/>
  <c r="X80" i="21"/>
  <c r="V80" i="21"/>
  <c r="R80" i="21"/>
  <c r="P80" i="21"/>
  <c r="N80" i="21"/>
  <c r="L80" i="21"/>
  <c r="H80" i="21"/>
  <c r="J80" i="21" s="1"/>
  <c r="F80" i="21"/>
  <c r="D80" i="21"/>
  <c r="B80" i="21"/>
  <c r="AR79" i="21"/>
  <c r="AS79" i="21"/>
  <c r="AP79" i="21"/>
  <c r="AJ79" i="21"/>
  <c r="AH79" i="21"/>
  <c r="AF79" i="21"/>
  <c r="AD79" i="21"/>
  <c r="AB79" i="21"/>
  <c r="Z79" i="21"/>
  <c r="X79" i="21"/>
  <c r="V79" i="21"/>
  <c r="R79" i="21"/>
  <c r="T79" i="21" s="1"/>
  <c r="P79" i="21"/>
  <c r="N79" i="21"/>
  <c r="L79" i="21"/>
  <c r="H79" i="21"/>
  <c r="F79" i="21"/>
  <c r="B79" i="21"/>
  <c r="I79" i="21" s="1"/>
  <c r="AS78" i="21"/>
  <c r="AR78" i="21"/>
  <c r="AP78" i="21"/>
  <c r="AJ78" i="21"/>
  <c r="AH78" i="21"/>
  <c r="AF78" i="21"/>
  <c r="AD78" i="21"/>
  <c r="AB78" i="21"/>
  <c r="Z78" i="21"/>
  <c r="X78" i="21"/>
  <c r="V78" i="21"/>
  <c r="AK78" i="21" s="1"/>
  <c r="R78" i="21"/>
  <c r="P78" i="21"/>
  <c r="N78" i="21"/>
  <c r="L78" i="21"/>
  <c r="S78" i="21" s="1"/>
  <c r="F78" i="21"/>
  <c r="D78" i="21"/>
  <c r="B78" i="21"/>
  <c r="AS77" i="21"/>
  <c r="AP77" i="21"/>
  <c r="AJ77" i="21"/>
  <c r="AH77" i="21"/>
  <c r="AF77" i="21"/>
  <c r="AD77" i="21"/>
  <c r="AB77" i="21"/>
  <c r="Z77" i="21"/>
  <c r="X77" i="21"/>
  <c r="V77" i="21"/>
  <c r="R77" i="21"/>
  <c r="P77" i="21"/>
  <c r="N77" i="21"/>
  <c r="L77" i="21"/>
  <c r="S77" i="21" s="1"/>
  <c r="H77" i="21"/>
  <c r="F77" i="21"/>
  <c r="D77" i="21"/>
  <c r="J77" i="21" s="1"/>
  <c r="B77" i="21"/>
  <c r="AS76" i="21"/>
  <c r="AP76" i="21"/>
  <c r="AJ76" i="21"/>
  <c r="AH76" i="21"/>
  <c r="AF76" i="21"/>
  <c r="AD76" i="21"/>
  <c r="AB76" i="21"/>
  <c r="Z76" i="21"/>
  <c r="X76" i="21"/>
  <c r="V76" i="21"/>
  <c r="R76" i="21"/>
  <c r="P76" i="21"/>
  <c r="N76" i="21"/>
  <c r="T76" i="21" s="1"/>
  <c r="L76" i="21"/>
  <c r="H76" i="21"/>
  <c r="F76" i="21"/>
  <c r="D76" i="21"/>
  <c r="B76" i="21"/>
  <c r="I76" i="21" s="1"/>
  <c r="AR75" i="21"/>
  <c r="AS75" i="21"/>
  <c r="AP75" i="21"/>
  <c r="AJ75" i="21"/>
  <c r="AH75" i="21"/>
  <c r="AF75" i="21"/>
  <c r="AD75" i="21"/>
  <c r="AB75" i="21"/>
  <c r="Z75" i="21"/>
  <c r="X75" i="21"/>
  <c r="V75" i="21"/>
  <c r="R75" i="21"/>
  <c r="P75" i="21"/>
  <c r="N75" i="21"/>
  <c r="T75" i="21" s="1"/>
  <c r="L75" i="21"/>
  <c r="H75" i="21"/>
  <c r="F75" i="21"/>
  <c r="D75" i="21"/>
  <c r="B75" i="21"/>
  <c r="AP74" i="21"/>
  <c r="AJ74" i="21"/>
  <c r="AH74" i="21"/>
  <c r="AF74" i="21"/>
  <c r="AD74" i="21"/>
  <c r="Z74" i="21"/>
  <c r="V74" i="21"/>
  <c r="R74" i="21"/>
  <c r="P74" i="21"/>
  <c r="N74" i="21"/>
  <c r="L74" i="21"/>
  <c r="S74" i="21" s="1"/>
  <c r="F74" i="21"/>
  <c r="D74" i="21"/>
  <c r="B74" i="21"/>
  <c r="I74" i="21" s="1"/>
  <c r="AB73" i="21"/>
  <c r="X73" i="21"/>
  <c r="D73" i="21"/>
  <c r="AP72" i="21"/>
  <c r="AJ72" i="21"/>
  <c r="AH72" i="21"/>
  <c r="AF72" i="21"/>
  <c r="AD72" i="21"/>
  <c r="AB72" i="21"/>
  <c r="Z72" i="21"/>
  <c r="X72" i="21"/>
  <c r="V72" i="21"/>
  <c r="R72" i="21"/>
  <c r="P72" i="21"/>
  <c r="N72" i="21"/>
  <c r="L72" i="21"/>
  <c r="S72" i="21" s="1"/>
  <c r="H72" i="21"/>
  <c r="F72" i="21"/>
  <c r="D72" i="21"/>
  <c r="B72" i="21"/>
  <c r="AR71" i="21"/>
  <c r="AS71" i="21"/>
  <c r="AP71" i="21"/>
  <c r="AJ71" i="21"/>
  <c r="AH71" i="21"/>
  <c r="AF71" i="21"/>
  <c r="AD71" i="21"/>
  <c r="AB71" i="21"/>
  <c r="Z71" i="21"/>
  <c r="X71" i="21"/>
  <c r="V71" i="21"/>
  <c r="AK71" i="21" s="1"/>
  <c r="R71" i="21"/>
  <c r="T71" i="21" s="1"/>
  <c r="P71" i="21"/>
  <c r="N71" i="21"/>
  <c r="L71" i="21"/>
  <c r="F71" i="21"/>
  <c r="B71" i="21"/>
  <c r="AS70" i="21"/>
  <c r="AR70" i="21"/>
  <c r="AP70" i="21"/>
  <c r="AJ70" i="21"/>
  <c r="AH70" i="21"/>
  <c r="AF70" i="21"/>
  <c r="AD70" i="21"/>
  <c r="AB70" i="21"/>
  <c r="Z70" i="21"/>
  <c r="X70" i="21"/>
  <c r="V70" i="21"/>
  <c r="R70" i="21"/>
  <c r="P70" i="21"/>
  <c r="N70" i="21"/>
  <c r="L70" i="21"/>
  <c r="H70" i="21"/>
  <c r="F70" i="21"/>
  <c r="D70" i="21"/>
  <c r="B70" i="21"/>
  <c r="I70" i="21" s="1"/>
  <c r="AP69" i="21"/>
  <c r="AJ69" i="21"/>
  <c r="AH69" i="21"/>
  <c r="AF69" i="21"/>
  <c r="AD69" i="21"/>
  <c r="AB69" i="21"/>
  <c r="AL69" i="21" s="1"/>
  <c r="Z69" i="21"/>
  <c r="X69" i="21"/>
  <c r="V69" i="21"/>
  <c r="R69" i="21"/>
  <c r="P69" i="21"/>
  <c r="N69" i="21"/>
  <c r="L69" i="21"/>
  <c r="H69" i="21"/>
  <c r="F69" i="21"/>
  <c r="D69" i="21"/>
  <c r="B69" i="21"/>
  <c r="AS68" i="21"/>
  <c r="AP68" i="21"/>
  <c r="AJ68" i="21"/>
  <c r="AH68" i="21"/>
  <c r="AF68" i="21"/>
  <c r="AD68" i="21"/>
  <c r="AB68" i="21"/>
  <c r="Z68" i="21"/>
  <c r="X68" i="21"/>
  <c r="V68" i="21"/>
  <c r="R68" i="21"/>
  <c r="P68" i="21"/>
  <c r="N68" i="21"/>
  <c r="L68" i="21"/>
  <c r="H68" i="21"/>
  <c r="F68" i="21"/>
  <c r="D68" i="21"/>
  <c r="J68" i="21" s="1"/>
  <c r="B68" i="21"/>
  <c r="AS67" i="21"/>
  <c r="AP67" i="21"/>
  <c r="AJ67" i="21"/>
  <c r="AH67" i="21"/>
  <c r="AF67" i="21"/>
  <c r="AD67" i="21"/>
  <c r="AB67" i="21"/>
  <c r="Z67" i="21"/>
  <c r="X67" i="21"/>
  <c r="V67" i="21"/>
  <c r="AK67" i="21" s="1"/>
  <c r="R67" i="21"/>
  <c r="P67" i="21"/>
  <c r="N67" i="21"/>
  <c r="L67" i="21"/>
  <c r="H67" i="21"/>
  <c r="F67" i="21"/>
  <c r="D67" i="21"/>
  <c r="B67" i="21"/>
  <c r="AP66" i="21"/>
  <c r="AJ66" i="21"/>
  <c r="AH66" i="21"/>
  <c r="AF66" i="21"/>
  <c r="AD66" i="21"/>
  <c r="Z66" i="21"/>
  <c r="V66" i="21"/>
  <c r="R66" i="21"/>
  <c r="P66" i="21"/>
  <c r="N66" i="21"/>
  <c r="L66" i="21"/>
  <c r="H66" i="21"/>
  <c r="F66" i="21"/>
  <c r="B66" i="21"/>
  <c r="I66" i="21" s="1"/>
  <c r="AR65" i="21"/>
  <c r="AB65" i="21"/>
  <c r="X65" i="21"/>
  <c r="R65" i="21"/>
  <c r="D65" i="21"/>
  <c r="AJ64" i="21"/>
  <c r="AH64" i="21"/>
  <c r="AF64" i="21"/>
  <c r="AD64" i="21"/>
  <c r="AB64" i="21"/>
  <c r="Z64" i="21"/>
  <c r="X64" i="21"/>
  <c r="V64" i="21"/>
  <c r="T64" i="21"/>
  <c r="R64" i="21"/>
  <c r="P64" i="21"/>
  <c r="S64" i="21" s="1"/>
  <c r="N64" i="21"/>
  <c r="L64" i="21"/>
  <c r="F64" i="21"/>
  <c r="D64" i="21"/>
  <c r="B64" i="21"/>
  <c r="I64" i="21" s="1"/>
  <c r="AP63" i="21"/>
  <c r="AJ63" i="21"/>
  <c r="AH63" i="21"/>
  <c r="AF63" i="21"/>
  <c r="AD63" i="21"/>
  <c r="AB63" i="21"/>
  <c r="Z63" i="21"/>
  <c r="X63" i="21"/>
  <c r="AL63" i="21" s="1"/>
  <c r="V63" i="21"/>
  <c r="R63" i="21"/>
  <c r="P63" i="21"/>
  <c r="N63" i="21"/>
  <c r="L63" i="21"/>
  <c r="F63" i="21"/>
  <c r="D63" i="21"/>
  <c r="B63" i="21"/>
  <c r="AS62" i="21"/>
  <c r="AR62" i="21"/>
  <c r="AP62" i="21"/>
  <c r="AJ62" i="21"/>
  <c r="AH62" i="21"/>
  <c r="AF62" i="21"/>
  <c r="AD62" i="21"/>
  <c r="AB62" i="21"/>
  <c r="Z62" i="21"/>
  <c r="X62" i="21"/>
  <c r="V62" i="21"/>
  <c r="AK62" i="21" s="1"/>
  <c r="R62" i="21"/>
  <c r="P62" i="21"/>
  <c r="N62" i="21"/>
  <c r="L62" i="21"/>
  <c r="F62" i="21"/>
  <c r="D62" i="21"/>
  <c r="B62" i="21"/>
  <c r="AP61" i="21"/>
  <c r="AJ61" i="21"/>
  <c r="AH61" i="21"/>
  <c r="AF61" i="21"/>
  <c r="AD61" i="21"/>
  <c r="AB61" i="21"/>
  <c r="Z61" i="21"/>
  <c r="X61" i="21"/>
  <c r="V61" i="21"/>
  <c r="R61" i="21"/>
  <c r="P61" i="21"/>
  <c r="N61" i="21"/>
  <c r="L61" i="21"/>
  <c r="H61" i="21"/>
  <c r="F61" i="21"/>
  <c r="D61" i="21"/>
  <c r="B61" i="21"/>
  <c r="I61" i="21" s="1"/>
  <c r="AS60" i="21"/>
  <c r="AP60" i="21"/>
  <c r="AJ60" i="21"/>
  <c r="AH60" i="21"/>
  <c r="AF60" i="21"/>
  <c r="AD60" i="21"/>
  <c r="AB60" i="21"/>
  <c r="Z60" i="21"/>
  <c r="X60" i="21"/>
  <c r="AL60" i="21" s="1"/>
  <c r="V60" i="21"/>
  <c r="R60" i="21"/>
  <c r="P60" i="21"/>
  <c r="N60" i="21"/>
  <c r="T60" i="21" s="1"/>
  <c r="L60" i="21"/>
  <c r="H60" i="21"/>
  <c r="F60" i="21"/>
  <c r="D60" i="21"/>
  <c r="J60" i="21" s="1"/>
  <c r="B60" i="21"/>
  <c r="I60" i="21" s="1"/>
  <c r="AS59" i="21"/>
  <c r="AP59" i="21"/>
  <c r="AJ59" i="21"/>
  <c r="AH59" i="21"/>
  <c r="AF59" i="21"/>
  <c r="AD59" i="21"/>
  <c r="AB59" i="21"/>
  <c r="Z59" i="21"/>
  <c r="X59" i="21"/>
  <c r="V59" i="21"/>
  <c r="R59" i="21"/>
  <c r="P59" i="21"/>
  <c r="N59" i="21"/>
  <c r="T59" i="21" s="1"/>
  <c r="L59" i="21"/>
  <c r="S59" i="21" s="1"/>
  <c r="H59" i="21"/>
  <c r="F59" i="21"/>
  <c r="D59" i="21"/>
  <c r="J59" i="21" s="1"/>
  <c r="B59" i="21"/>
  <c r="AP58" i="21"/>
  <c r="AJ58" i="21"/>
  <c r="AH58" i="21"/>
  <c r="AF58" i="21"/>
  <c r="AD58" i="21"/>
  <c r="Z58" i="21"/>
  <c r="V58" i="21"/>
  <c r="R58" i="21"/>
  <c r="P58" i="21"/>
  <c r="N58" i="21"/>
  <c r="L58" i="21"/>
  <c r="S58" i="21" s="1"/>
  <c r="H58" i="21"/>
  <c r="F58" i="21"/>
  <c r="B58" i="21"/>
  <c r="I58" i="21" s="1"/>
  <c r="AF57" i="21"/>
  <c r="AB57" i="21"/>
  <c r="Z57" i="21"/>
  <c r="X57" i="21"/>
  <c r="F57" i="21"/>
  <c r="D57" i="21"/>
  <c r="AS56" i="21"/>
  <c r="AJ56" i="21"/>
  <c r="AH56" i="21"/>
  <c r="AF56" i="21"/>
  <c r="AD56" i="21"/>
  <c r="AB56" i="21"/>
  <c r="Z56" i="21"/>
  <c r="X56" i="21"/>
  <c r="V56" i="21"/>
  <c r="R56" i="21"/>
  <c r="P56" i="21"/>
  <c r="N56" i="21"/>
  <c r="L56" i="21"/>
  <c r="F56" i="21"/>
  <c r="D56" i="21"/>
  <c r="B56" i="21"/>
  <c r="AR55" i="21"/>
  <c r="AP55" i="21"/>
  <c r="AJ55" i="21"/>
  <c r="AH55" i="21"/>
  <c r="AF55" i="21"/>
  <c r="AD55" i="21"/>
  <c r="AB55" i="21"/>
  <c r="Z55" i="21"/>
  <c r="X55" i="21"/>
  <c r="V55" i="21"/>
  <c r="R55" i="21"/>
  <c r="P55" i="21"/>
  <c r="N55" i="21"/>
  <c r="L55" i="21"/>
  <c r="S55" i="21" s="1"/>
  <c r="F55" i="21"/>
  <c r="D55" i="21"/>
  <c r="B55" i="21"/>
  <c r="I55" i="21" s="1"/>
  <c r="AR54" i="21"/>
  <c r="AP54" i="21"/>
  <c r="AJ54" i="21"/>
  <c r="AH54" i="21"/>
  <c r="AF54" i="21"/>
  <c r="AD54" i="21"/>
  <c r="AB54" i="21"/>
  <c r="Z54" i="21"/>
  <c r="X54" i="21"/>
  <c r="V54" i="21"/>
  <c r="R54" i="21"/>
  <c r="T54" i="21" s="1"/>
  <c r="P54" i="21"/>
  <c r="N54" i="21"/>
  <c r="L54" i="21"/>
  <c r="F54" i="21"/>
  <c r="D54" i="21"/>
  <c r="B54" i="21"/>
  <c r="I54" i="21" s="1"/>
  <c r="AS53" i="21"/>
  <c r="AR53" i="21"/>
  <c r="AP53" i="21"/>
  <c r="AJ53" i="21"/>
  <c r="AH53" i="21"/>
  <c r="AF53" i="21"/>
  <c r="AD53" i="21"/>
  <c r="AB53" i="21"/>
  <c r="Z53" i="21"/>
  <c r="X53" i="21"/>
  <c r="V53" i="21"/>
  <c r="R53" i="21"/>
  <c r="P53" i="21"/>
  <c r="N53" i="21"/>
  <c r="T53" i="21" s="1"/>
  <c r="L53" i="21"/>
  <c r="H53" i="21"/>
  <c r="F53" i="21"/>
  <c r="D53" i="21"/>
  <c r="J53" i="21" s="1"/>
  <c r="B53" i="21"/>
  <c r="AP52" i="21"/>
  <c r="AJ52" i="21"/>
  <c r="AH52" i="21"/>
  <c r="AF52" i="21"/>
  <c r="AD52" i="21"/>
  <c r="AB52" i="21"/>
  <c r="Z52" i="21"/>
  <c r="X52" i="21"/>
  <c r="V52" i="21"/>
  <c r="R52" i="21"/>
  <c r="P52" i="21"/>
  <c r="N52" i="21"/>
  <c r="L52" i="21"/>
  <c r="H52" i="21"/>
  <c r="J52" i="21" s="1"/>
  <c r="F52" i="21"/>
  <c r="D52" i="21"/>
  <c r="B52" i="21"/>
  <c r="I52" i="21" s="1"/>
  <c r="AS51" i="21"/>
  <c r="AR51" i="21"/>
  <c r="AP51" i="21"/>
  <c r="AJ51" i="21"/>
  <c r="AH51" i="21"/>
  <c r="AF51" i="21"/>
  <c r="AD51" i="21"/>
  <c r="AB51" i="21"/>
  <c r="Z51" i="21"/>
  <c r="X51" i="21"/>
  <c r="V51" i="21"/>
  <c r="AK51" i="21" s="1"/>
  <c r="R51" i="21"/>
  <c r="P51" i="21"/>
  <c r="N51" i="21"/>
  <c r="T51" i="21" s="1"/>
  <c r="L51" i="21"/>
  <c r="H51" i="21"/>
  <c r="F51" i="21"/>
  <c r="D51" i="21"/>
  <c r="B51" i="21"/>
  <c r="I51" i="21" s="1"/>
  <c r="AS50" i="21"/>
  <c r="AP50" i="21"/>
  <c r="AJ50" i="21"/>
  <c r="AH50" i="21"/>
  <c r="AF50" i="21"/>
  <c r="AD50" i="21"/>
  <c r="Z50" i="21"/>
  <c r="V50" i="21"/>
  <c r="R50" i="21"/>
  <c r="T50" i="21" s="1"/>
  <c r="P50" i="21"/>
  <c r="N50" i="21"/>
  <c r="L50" i="21"/>
  <c r="S50" i="21" s="1"/>
  <c r="H50" i="21"/>
  <c r="F50" i="21"/>
  <c r="B50" i="21"/>
  <c r="I50" i="21" s="1"/>
  <c r="AD49" i="21"/>
  <c r="AB49" i="21"/>
  <c r="X49" i="21"/>
  <c r="R49" i="21"/>
  <c r="D49" i="21"/>
  <c r="AR48" i="21"/>
  <c r="AP48" i="21"/>
  <c r="AJ48" i="21"/>
  <c r="AH48" i="21"/>
  <c r="AF48" i="21"/>
  <c r="AD48" i="21"/>
  <c r="AB48" i="21"/>
  <c r="AL48" i="21" s="1"/>
  <c r="Z48" i="21"/>
  <c r="X48" i="21"/>
  <c r="V48" i="21"/>
  <c r="R48" i="21"/>
  <c r="T48" i="21" s="1"/>
  <c r="P48" i="21"/>
  <c r="N48" i="21"/>
  <c r="L48" i="21"/>
  <c r="F48" i="21"/>
  <c r="D48" i="21"/>
  <c r="B48" i="21"/>
  <c r="AS47" i="21"/>
  <c r="AP47" i="21"/>
  <c r="AJ47" i="21"/>
  <c r="AH47" i="21"/>
  <c r="AF47" i="21"/>
  <c r="AD47" i="21"/>
  <c r="AB47" i="21"/>
  <c r="Z47" i="21"/>
  <c r="X47" i="21"/>
  <c r="V47" i="21"/>
  <c r="R47" i="21"/>
  <c r="P47" i="21"/>
  <c r="N47" i="21"/>
  <c r="L47" i="21"/>
  <c r="F47" i="21"/>
  <c r="B47" i="21"/>
  <c r="I47" i="21" s="1"/>
  <c r="AS46" i="21"/>
  <c r="AP46" i="21"/>
  <c r="AJ46" i="21"/>
  <c r="AH46" i="21"/>
  <c r="AF46" i="21"/>
  <c r="AD46" i="21"/>
  <c r="AB46" i="21"/>
  <c r="Z46" i="21"/>
  <c r="X46" i="21"/>
  <c r="V46" i="21"/>
  <c r="R46" i="21"/>
  <c r="P46" i="21"/>
  <c r="N46" i="21"/>
  <c r="L46" i="21"/>
  <c r="S46" i="21" s="1"/>
  <c r="F46" i="21"/>
  <c r="D46" i="21"/>
  <c r="B46" i="21"/>
  <c r="AP45" i="21"/>
  <c r="AJ45" i="21"/>
  <c r="AH45" i="21"/>
  <c r="AF45" i="21"/>
  <c r="AD45" i="21"/>
  <c r="AB45" i="21"/>
  <c r="Z45" i="21"/>
  <c r="X45" i="21"/>
  <c r="V45" i="21"/>
  <c r="R45" i="21"/>
  <c r="P45" i="21"/>
  <c r="N45" i="21"/>
  <c r="L45" i="21"/>
  <c r="S45" i="21" s="1"/>
  <c r="H45" i="21"/>
  <c r="F45" i="21"/>
  <c r="D45" i="21"/>
  <c r="J45" i="21" s="1"/>
  <c r="B45" i="21"/>
  <c r="AR44" i="21"/>
  <c r="AS44" i="21"/>
  <c r="AJ44" i="21"/>
  <c r="AH44" i="21"/>
  <c r="AF44" i="21"/>
  <c r="AD44" i="21"/>
  <c r="AB44" i="21"/>
  <c r="Z44" i="21"/>
  <c r="X44" i="21"/>
  <c r="V44" i="21"/>
  <c r="R44" i="21"/>
  <c r="P44" i="21"/>
  <c r="N44" i="21"/>
  <c r="L44" i="21"/>
  <c r="H44" i="21"/>
  <c r="F44" i="21"/>
  <c r="D44" i="21"/>
  <c r="B44" i="21"/>
  <c r="I44" i="21" s="1"/>
  <c r="AS43" i="21"/>
  <c r="AR43" i="21"/>
  <c r="AP43" i="21"/>
  <c r="AJ43" i="21"/>
  <c r="AH43" i="21"/>
  <c r="AF43" i="21"/>
  <c r="AD43" i="21"/>
  <c r="AB43" i="21"/>
  <c r="Z43" i="21"/>
  <c r="X43" i="21"/>
  <c r="V43" i="21"/>
  <c r="R43" i="21"/>
  <c r="P43" i="21"/>
  <c r="N43" i="21"/>
  <c r="T43" i="21" s="1"/>
  <c r="L43" i="21"/>
  <c r="H43" i="21"/>
  <c r="F43" i="21"/>
  <c r="D43" i="21"/>
  <c r="J43" i="21" s="1"/>
  <c r="B43" i="21"/>
  <c r="AS42" i="21"/>
  <c r="AP42" i="21"/>
  <c r="AJ42" i="21"/>
  <c r="AH42" i="21"/>
  <c r="AF42" i="21"/>
  <c r="AD42" i="21"/>
  <c r="Z42" i="21"/>
  <c r="V42" i="21"/>
  <c r="R42" i="21"/>
  <c r="P42" i="21"/>
  <c r="N42" i="21"/>
  <c r="L42" i="21"/>
  <c r="H42" i="21"/>
  <c r="F42" i="21"/>
  <c r="B42" i="21"/>
  <c r="I42" i="21" s="1"/>
  <c r="AB41" i="21"/>
  <c r="X41" i="21"/>
  <c r="P41" i="21"/>
  <c r="D41" i="21"/>
  <c r="B41" i="21"/>
  <c r="AS40" i="21"/>
  <c r="AR40" i="21"/>
  <c r="AJ40" i="21"/>
  <c r="AH40" i="21"/>
  <c r="AF40" i="21"/>
  <c r="AD40" i="21"/>
  <c r="AB40" i="21"/>
  <c r="Z40" i="21"/>
  <c r="X40" i="21"/>
  <c r="V40" i="21"/>
  <c r="R40" i="21"/>
  <c r="P40" i="21"/>
  <c r="N40" i="21"/>
  <c r="L40" i="21"/>
  <c r="F40" i="21"/>
  <c r="D40" i="21"/>
  <c r="B40" i="21"/>
  <c r="AS39" i="21"/>
  <c r="AP39" i="21"/>
  <c r="AJ39" i="21"/>
  <c r="AH39" i="21"/>
  <c r="AF39" i="21"/>
  <c r="AD39" i="21"/>
  <c r="AB39" i="21"/>
  <c r="Z39" i="21"/>
  <c r="X39" i="21"/>
  <c r="V39" i="21"/>
  <c r="R39" i="21"/>
  <c r="P39" i="21"/>
  <c r="N39" i="21"/>
  <c r="L39" i="21"/>
  <c r="F39" i="21"/>
  <c r="D39" i="21"/>
  <c r="B39" i="21"/>
  <c r="AS38" i="21"/>
  <c r="AP38" i="21"/>
  <c r="AJ38" i="21"/>
  <c r="AH38" i="21"/>
  <c r="AF38" i="21"/>
  <c r="AD38" i="21"/>
  <c r="AB38" i="21"/>
  <c r="Z38" i="21"/>
  <c r="X38" i="21"/>
  <c r="AL38" i="21" s="1"/>
  <c r="V38" i="21"/>
  <c r="AK38" i="21" s="1"/>
  <c r="R38" i="21"/>
  <c r="P38" i="21"/>
  <c r="N38" i="21"/>
  <c r="L38" i="21"/>
  <c r="S38" i="21" s="1"/>
  <c r="H38" i="21"/>
  <c r="F38" i="21"/>
  <c r="D38" i="21"/>
  <c r="B38" i="21"/>
  <c r="AP37" i="21"/>
  <c r="AJ37" i="21"/>
  <c r="AH37" i="21"/>
  <c r="AF37" i="21"/>
  <c r="AD37" i="21"/>
  <c r="AB37" i="21"/>
  <c r="Z37" i="21"/>
  <c r="X37" i="21"/>
  <c r="V37" i="21"/>
  <c r="R37" i="21"/>
  <c r="P37" i="21"/>
  <c r="N37" i="21"/>
  <c r="L37" i="21"/>
  <c r="H37" i="21"/>
  <c r="F37" i="21"/>
  <c r="D37" i="21"/>
  <c r="B37" i="21"/>
  <c r="AR36" i="21"/>
  <c r="AS36" i="21"/>
  <c r="AJ36" i="21"/>
  <c r="AH36" i="21"/>
  <c r="AF36" i="21"/>
  <c r="AD36" i="21"/>
  <c r="AB36" i="21"/>
  <c r="Z36" i="21"/>
  <c r="X36" i="21"/>
  <c r="V36" i="21"/>
  <c r="R36" i="21"/>
  <c r="P36" i="21"/>
  <c r="N36" i="21"/>
  <c r="L36" i="21"/>
  <c r="H36" i="21"/>
  <c r="F36" i="21"/>
  <c r="D36" i="21"/>
  <c r="B36" i="21"/>
  <c r="AS35" i="21"/>
  <c r="AR35" i="21"/>
  <c r="AP35" i="21"/>
  <c r="AJ35" i="21"/>
  <c r="AH35" i="21"/>
  <c r="AF35" i="21"/>
  <c r="AD35" i="21"/>
  <c r="AB35" i="21"/>
  <c r="Z35" i="21"/>
  <c r="X35" i="21"/>
  <c r="V35" i="21"/>
  <c r="AK35" i="21" s="1"/>
  <c r="R35" i="21"/>
  <c r="P35" i="21"/>
  <c r="N35" i="21"/>
  <c r="T35" i="21" s="1"/>
  <c r="L35" i="21"/>
  <c r="H35" i="21"/>
  <c r="F35" i="21"/>
  <c r="D35" i="21"/>
  <c r="B35" i="21"/>
  <c r="I35" i="21" s="1"/>
  <c r="AS34" i="21"/>
  <c r="AP34" i="21"/>
  <c r="AJ34" i="21"/>
  <c r="AH34" i="21"/>
  <c r="AF34" i="21"/>
  <c r="AD34" i="21"/>
  <c r="Z34" i="21"/>
  <c r="V34" i="21"/>
  <c r="R34" i="21"/>
  <c r="P34" i="21"/>
  <c r="N34" i="21"/>
  <c r="L34" i="21"/>
  <c r="F34" i="21"/>
  <c r="D34" i="21"/>
  <c r="B34" i="21"/>
  <c r="AB33" i="21"/>
  <c r="X33" i="21"/>
  <c r="D33" i="21"/>
  <c r="AR32" i="21"/>
  <c r="AJ32" i="21"/>
  <c r="AH32" i="21"/>
  <c r="AF32" i="21"/>
  <c r="AD32" i="21"/>
  <c r="AB32" i="21"/>
  <c r="Z32" i="21"/>
  <c r="X32" i="21"/>
  <c r="V32" i="21"/>
  <c r="R32" i="21"/>
  <c r="P32" i="21"/>
  <c r="N32" i="21"/>
  <c r="L32" i="21"/>
  <c r="S32" i="21" s="1"/>
  <c r="F32" i="21"/>
  <c r="D32" i="21"/>
  <c r="B32" i="21"/>
  <c r="AS31" i="21"/>
  <c r="AP31" i="21"/>
  <c r="AJ31" i="21"/>
  <c r="AH31" i="21"/>
  <c r="AF31" i="21"/>
  <c r="AD31" i="21"/>
  <c r="AB31" i="21"/>
  <c r="Z31" i="21"/>
  <c r="X31" i="21"/>
  <c r="V31" i="21"/>
  <c r="R31" i="21"/>
  <c r="P31" i="21"/>
  <c r="N31" i="21"/>
  <c r="L31" i="21"/>
  <c r="F31" i="21"/>
  <c r="D31" i="21"/>
  <c r="B31" i="21"/>
  <c r="AS30" i="21"/>
  <c r="AP30" i="21"/>
  <c r="AJ30" i="21"/>
  <c r="AH30" i="21"/>
  <c r="AF30" i="21"/>
  <c r="AD30" i="21"/>
  <c r="AB30" i="21"/>
  <c r="Z30" i="21"/>
  <c r="X30" i="21"/>
  <c r="V30" i="21"/>
  <c r="R30" i="21"/>
  <c r="P30" i="21"/>
  <c r="N30" i="21"/>
  <c r="L30" i="21"/>
  <c r="F30" i="21"/>
  <c r="D30" i="21"/>
  <c r="B30" i="21"/>
  <c r="I30" i="21" s="1"/>
  <c r="AS29" i="21"/>
  <c r="AP29" i="21"/>
  <c r="AJ29" i="21"/>
  <c r="AH29" i="21"/>
  <c r="AF29" i="21"/>
  <c r="AD29" i="21"/>
  <c r="AB29" i="21"/>
  <c r="Z29" i="21"/>
  <c r="X29" i="21"/>
  <c r="V29" i="21"/>
  <c r="AK29" i="21" s="1"/>
  <c r="R29" i="21"/>
  <c r="P29" i="21"/>
  <c r="N29" i="21"/>
  <c r="L29" i="21"/>
  <c r="S29" i="21" s="1"/>
  <c r="H29" i="21"/>
  <c r="F29" i="21"/>
  <c r="D29" i="21"/>
  <c r="B29" i="21"/>
  <c r="AR28" i="21"/>
  <c r="AJ28" i="21"/>
  <c r="AH28" i="21"/>
  <c r="AF28" i="21"/>
  <c r="AD28" i="21"/>
  <c r="AB28" i="21"/>
  <c r="Z28" i="21"/>
  <c r="X28" i="21"/>
  <c r="V28" i="21"/>
  <c r="R28" i="21"/>
  <c r="P28" i="21"/>
  <c r="N28" i="21"/>
  <c r="L28" i="21"/>
  <c r="H28" i="21"/>
  <c r="J28" i="21" s="1"/>
  <c r="F28" i="21"/>
  <c r="D28" i="21"/>
  <c r="B28" i="21"/>
  <c r="AS27" i="21"/>
  <c r="AR27" i="21"/>
  <c r="AP27" i="21"/>
  <c r="AJ27" i="21"/>
  <c r="AH27" i="21"/>
  <c r="AF27" i="21"/>
  <c r="AD27" i="21"/>
  <c r="AB27" i="21"/>
  <c r="Z27" i="21"/>
  <c r="X27" i="21"/>
  <c r="V27" i="21"/>
  <c r="R27" i="21"/>
  <c r="P27" i="21"/>
  <c r="N27" i="21"/>
  <c r="T27" i="21" s="1"/>
  <c r="L27" i="21"/>
  <c r="H27" i="21"/>
  <c r="F27" i="21"/>
  <c r="D27" i="21"/>
  <c r="B27" i="21"/>
  <c r="AP26" i="21"/>
  <c r="AJ26" i="21"/>
  <c r="AH26" i="21"/>
  <c r="AF26" i="21"/>
  <c r="AD26" i="21"/>
  <c r="Z26" i="21"/>
  <c r="V26" i="21"/>
  <c r="R26" i="21"/>
  <c r="P26" i="21"/>
  <c r="N26" i="21"/>
  <c r="L26" i="21"/>
  <c r="S26" i="21" s="1"/>
  <c r="F26" i="21"/>
  <c r="B26" i="21"/>
  <c r="AD25" i="21"/>
  <c r="AB25" i="21"/>
  <c r="X25" i="21"/>
  <c r="D25" i="21"/>
  <c r="AR24" i="21"/>
  <c r="AJ24" i="21"/>
  <c r="AH24" i="21"/>
  <c r="AF24" i="21"/>
  <c r="AD24" i="21"/>
  <c r="AB24" i="21"/>
  <c r="Z24" i="21"/>
  <c r="X24" i="21"/>
  <c r="V24" i="21"/>
  <c r="AK24" i="21" s="1"/>
  <c r="R24" i="21"/>
  <c r="P24" i="21"/>
  <c r="N24" i="21"/>
  <c r="L24" i="21"/>
  <c r="F24" i="21"/>
  <c r="D24" i="21"/>
  <c r="B24" i="21"/>
  <c r="AS23" i="21"/>
  <c r="AP23" i="21"/>
  <c r="AJ23" i="21"/>
  <c r="AH23" i="21"/>
  <c r="AF23" i="21"/>
  <c r="AD23" i="21"/>
  <c r="AB23" i="21"/>
  <c r="Z23" i="21"/>
  <c r="X23" i="21"/>
  <c r="V23" i="21"/>
  <c r="R23" i="21"/>
  <c r="P23" i="21"/>
  <c r="N23" i="21"/>
  <c r="L23" i="21"/>
  <c r="F23" i="21"/>
  <c r="D23" i="21"/>
  <c r="B23" i="21"/>
  <c r="AP22" i="21"/>
  <c r="AJ22" i="21"/>
  <c r="AH22" i="21"/>
  <c r="AF22" i="21"/>
  <c r="AL22" i="21" s="1"/>
  <c r="AD22" i="21"/>
  <c r="AB22" i="21"/>
  <c r="Z22" i="21"/>
  <c r="X22" i="21"/>
  <c r="V22" i="21"/>
  <c r="R22" i="21"/>
  <c r="P22" i="21"/>
  <c r="N22" i="21"/>
  <c r="T22" i="21" s="1"/>
  <c r="L22" i="21"/>
  <c r="S22" i="21" s="1"/>
  <c r="F22" i="21"/>
  <c r="D22" i="21"/>
  <c r="B22" i="21"/>
  <c r="AS21" i="21"/>
  <c r="AP21" i="21"/>
  <c r="AJ21" i="21"/>
  <c r="AH21" i="21"/>
  <c r="AF21" i="21"/>
  <c r="AD21" i="21"/>
  <c r="AB21" i="21"/>
  <c r="Z21" i="21"/>
  <c r="X21" i="21"/>
  <c r="V21" i="21"/>
  <c r="R21" i="21"/>
  <c r="P21" i="21"/>
  <c r="N21" i="21"/>
  <c r="T21" i="21" s="1"/>
  <c r="L21" i="21"/>
  <c r="S21" i="21" s="1"/>
  <c r="H21" i="21"/>
  <c r="F21" i="21"/>
  <c r="D21" i="21"/>
  <c r="B21" i="21"/>
  <c r="AS20" i="21"/>
  <c r="AR20" i="21"/>
  <c r="AP20" i="21"/>
  <c r="AJ20" i="21"/>
  <c r="AH20" i="21"/>
  <c r="AF20" i="21"/>
  <c r="AD20" i="21"/>
  <c r="AB20" i="21"/>
  <c r="Z20" i="21"/>
  <c r="X20" i="21"/>
  <c r="AL20" i="21" s="1"/>
  <c r="V20" i="21"/>
  <c r="AK20" i="21" s="1"/>
  <c r="R20" i="21"/>
  <c r="P20" i="21"/>
  <c r="N20" i="21"/>
  <c r="L20" i="21"/>
  <c r="H20" i="21"/>
  <c r="F20" i="21"/>
  <c r="D20" i="21"/>
  <c r="B20" i="21"/>
  <c r="AS19" i="21"/>
  <c r="AR19" i="21"/>
  <c r="AP19" i="21"/>
  <c r="AJ19" i="21"/>
  <c r="AH19" i="21"/>
  <c r="AF19" i="21"/>
  <c r="AD19" i="21"/>
  <c r="AB19" i="21"/>
  <c r="Z19" i="21"/>
  <c r="X19" i="21"/>
  <c r="V19" i="21"/>
  <c r="R19" i="21"/>
  <c r="P19" i="21"/>
  <c r="N19" i="21"/>
  <c r="T19" i="21" s="1"/>
  <c r="L19" i="21"/>
  <c r="H19" i="21"/>
  <c r="F19" i="21"/>
  <c r="D19" i="21"/>
  <c r="J19" i="21" s="1"/>
  <c r="B19" i="21"/>
  <c r="AS18" i="21"/>
  <c r="AP18" i="21"/>
  <c r="AJ18" i="21"/>
  <c r="AH18" i="21"/>
  <c r="AF18" i="21"/>
  <c r="AD18" i="21"/>
  <c r="AB18" i="21"/>
  <c r="Z18" i="21"/>
  <c r="V18" i="21"/>
  <c r="R18" i="21"/>
  <c r="T18" i="21" s="1"/>
  <c r="P18" i="21"/>
  <c r="N18" i="21"/>
  <c r="L18" i="21"/>
  <c r="F18" i="21"/>
  <c r="B18" i="21"/>
  <c r="AH17" i="21"/>
  <c r="AB17" i="21"/>
  <c r="X17" i="21"/>
  <c r="D17" i="21"/>
  <c r="B17" i="21"/>
  <c r="AR16" i="21"/>
  <c r="AJ16" i="21"/>
  <c r="AH16" i="21"/>
  <c r="AF16" i="21"/>
  <c r="AD16" i="21"/>
  <c r="AB16" i="21"/>
  <c r="Z16" i="21"/>
  <c r="X16" i="21"/>
  <c r="V16" i="21"/>
  <c r="R16" i="21"/>
  <c r="P16" i="21"/>
  <c r="N16" i="21"/>
  <c r="L16" i="21"/>
  <c r="S16" i="21" s="1"/>
  <c r="H16" i="21"/>
  <c r="F16" i="21"/>
  <c r="D16" i="21"/>
  <c r="B16" i="21"/>
  <c r="AP15" i="21"/>
  <c r="AJ15" i="21"/>
  <c r="AH15" i="21"/>
  <c r="AF15" i="21"/>
  <c r="AD15" i="21"/>
  <c r="AB15" i="21"/>
  <c r="Z15" i="21"/>
  <c r="X15" i="21"/>
  <c r="V15" i="21"/>
  <c r="R15" i="21"/>
  <c r="P15" i="21"/>
  <c r="N15" i="21"/>
  <c r="T15" i="21" s="1"/>
  <c r="L15" i="21"/>
  <c r="F15" i="21"/>
  <c r="B15" i="21"/>
  <c r="I15" i="21" s="1"/>
  <c r="AP14" i="21"/>
  <c r="AJ14" i="21"/>
  <c r="AH14" i="21"/>
  <c r="AF14" i="21"/>
  <c r="AD14" i="21"/>
  <c r="AB14" i="21"/>
  <c r="Z14" i="21"/>
  <c r="X14" i="21"/>
  <c r="V14" i="21"/>
  <c r="R14" i="21"/>
  <c r="P14" i="21"/>
  <c r="N14" i="21"/>
  <c r="L14" i="21"/>
  <c r="S14" i="21" s="1"/>
  <c r="F14" i="21"/>
  <c r="D14" i="21"/>
  <c r="B14" i="21"/>
  <c r="AS13" i="21"/>
  <c r="AP13" i="21"/>
  <c r="AJ13" i="21"/>
  <c r="AH13" i="21"/>
  <c r="AF13" i="21"/>
  <c r="AD13" i="21"/>
  <c r="AB13" i="21"/>
  <c r="Z13" i="21"/>
  <c r="X13" i="21"/>
  <c r="AL13" i="21" s="1"/>
  <c r="V13" i="21"/>
  <c r="T13" i="21"/>
  <c r="R13" i="21"/>
  <c r="P13" i="21"/>
  <c r="N13" i="21"/>
  <c r="L13" i="21"/>
  <c r="H13" i="21"/>
  <c r="F13" i="21"/>
  <c r="D13" i="21"/>
  <c r="B13" i="21"/>
  <c r="AS12" i="21"/>
  <c r="AR12" i="21"/>
  <c r="AP12" i="21"/>
  <c r="AJ12" i="21"/>
  <c r="AH12" i="21"/>
  <c r="AF12" i="21"/>
  <c r="AD12" i="21"/>
  <c r="AB12" i="21"/>
  <c r="Z12" i="21"/>
  <c r="X12" i="21"/>
  <c r="V12" i="21"/>
  <c r="R12" i="21"/>
  <c r="P12" i="21"/>
  <c r="N12" i="21"/>
  <c r="T12" i="21" s="1"/>
  <c r="L12" i="21"/>
  <c r="S12" i="21" s="1"/>
  <c r="H12" i="21"/>
  <c r="F12" i="21"/>
  <c r="D12" i="21"/>
  <c r="B12" i="21"/>
  <c r="AS11" i="21"/>
  <c r="AP11" i="21"/>
  <c r="AJ11" i="21"/>
  <c r="AH11" i="21"/>
  <c r="AF11" i="21"/>
  <c r="AD11" i="21"/>
  <c r="AB11" i="21"/>
  <c r="Z11" i="21"/>
  <c r="X11" i="21"/>
  <c r="V11" i="21"/>
  <c r="R11" i="21"/>
  <c r="P11" i="21"/>
  <c r="N11" i="21"/>
  <c r="T11" i="21" s="1"/>
  <c r="L11" i="21"/>
  <c r="H11" i="21"/>
  <c r="F11" i="21"/>
  <c r="D11" i="21"/>
  <c r="B11" i="21"/>
  <c r="I11" i="21" s="1"/>
  <c r="AR10" i="21"/>
  <c r="AS10" i="21"/>
  <c r="AJ10" i="21"/>
  <c r="AH10" i="21"/>
  <c r="AF10" i="21"/>
  <c r="AD10" i="21"/>
  <c r="Z10" i="21"/>
  <c r="V10" i="21"/>
  <c r="R10" i="21"/>
  <c r="P10" i="21"/>
  <c r="N10" i="21"/>
  <c r="T10" i="21" s="1"/>
  <c r="L10" i="21"/>
  <c r="F10" i="21"/>
  <c r="B10" i="21"/>
  <c r="AR9" i="21"/>
  <c r="AH9" i="21"/>
  <c r="AD9" i="21"/>
  <c r="AB9" i="21"/>
  <c r="X9" i="21"/>
  <c r="N9" i="21"/>
  <c r="D9" i="21"/>
  <c r="B9" i="21"/>
  <c r="AP8" i="21"/>
  <c r="AJ8" i="21"/>
  <c r="AH8" i="21"/>
  <c r="AF8" i="21"/>
  <c r="AD8" i="21"/>
  <c r="AB8" i="21"/>
  <c r="Z8" i="21"/>
  <c r="X8" i="21"/>
  <c r="V8" i="21"/>
  <c r="AK8" i="21" s="1"/>
  <c r="R8" i="21"/>
  <c r="P8" i="21"/>
  <c r="N8" i="21"/>
  <c r="L8" i="21"/>
  <c r="S8" i="21" s="1"/>
  <c r="H8" i="21"/>
  <c r="F8" i="21"/>
  <c r="D8" i="21"/>
  <c r="B8" i="21"/>
  <c r="AR7" i="21"/>
  <c r="AS7" i="21"/>
  <c r="AJ7" i="21"/>
  <c r="AH7" i="21"/>
  <c r="AF7" i="21"/>
  <c r="AD7" i="21"/>
  <c r="AB7" i="21"/>
  <c r="Z7" i="21"/>
  <c r="X7" i="21"/>
  <c r="AL7" i="21" s="1"/>
  <c r="V7" i="21"/>
  <c r="R7" i="21"/>
  <c r="P7" i="21"/>
  <c r="N7" i="21"/>
  <c r="L7" i="21"/>
  <c r="S7" i="21" s="1"/>
  <c r="F7" i="21"/>
  <c r="D7" i="21"/>
  <c r="B7" i="21"/>
  <c r="AS6" i="21"/>
  <c r="AR6" i="21"/>
  <c r="AP6" i="21"/>
  <c r="AJ6" i="21"/>
  <c r="AH6" i="21"/>
  <c r="AF6" i="21"/>
  <c r="AD6" i="21"/>
  <c r="AB6" i="21"/>
  <c r="AL6" i="21" s="1"/>
  <c r="Z6" i="21"/>
  <c r="X6" i="21"/>
  <c r="V6" i="21"/>
  <c r="R6" i="21"/>
  <c r="P6" i="21"/>
  <c r="N6" i="21"/>
  <c r="L6" i="21"/>
  <c r="S6" i="21" s="1"/>
  <c r="H6" i="21"/>
  <c r="F6" i="21"/>
  <c r="D6" i="21"/>
  <c r="B6" i="21"/>
  <c r="AS5" i="21"/>
  <c r="AP5" i="21"/>
  <c r="AJ5" i="21"/>
  <c r="AH5" i="21"/>
  <c r="AF5" i="21"/>
  <c r="AD5" i="21"/>
  <c r="AB5" i="21"/>
  <c r="Z5" i="21"/>
  <c r="X5" i="21"/>
  <c r="V5" i="21"/>
  <c r="R5" i="21"/>
  <c r="P5" i="21"/>
  <c r="N5" i="21"/>
  <c r="T5" i="21" s="1"/>
  <c r="L5" i="21"/>
  <c r="S5" i="21" s="1"/>
  <c r="H5" i="21"/>
  <c r="F5" i="21"/>
  <c r="D5" i="21"/>
  <c r="B5" i="21"/>
  <c r="I5" i="21" s="1"/>
  <c r="AR4" i="21"/>
  <c r="AP4" i="21"/>
  <c r="AJ4" i="21"/>
  <c r="AH4" i="21"/>
  <c r="AF4" i="21"/>
  <c r="AD4" i="21"/>
  <c r="AB4" i="21"/>
  <c r="Z4" i="21"/>
  <c r="X4" i="21"/>
  <c r="V4" i="21"/>
  <c r="R4" i="21"/>
  <c r="P4" i="21"/>
  <c r="N4" i="21"/>
  <c r="L4" i="21"/>
  <c r="S4" i="21" s="1"/>
  <c r="H4" i="21"/>
  <c r="F4" i="21"/>
  <c r="D4" i="21"/>
  <c r="J4" i="21" s="1"/>
  <c r="B4" i="21"/>
  <c r="I4" i="21" s="1"/>
  <c r="AR3" i="21"/>
  <c r="AP3" i="21"/>
  <c r="AJ3" i="21"/>
  <c r="AH3" i="21"/>
  <c r="AF3" i="21"/>
  <c r="AD3" i="21"/>
  <c r="AB3" i="21"/>
  <c r="Z3" i="21"/>
  <c r="X3" i="21"/>
  <c r="V3" i="21"/>
  <c r="R3" i="21"/>
  <c r="P3" i="21"/>
  <c r="N3" i="21"/>
  <c r="T3" i="21" s="1"/>
  <c r="L3" i="21"/>
  <c r="S3" i="21" s="1"/>
  <c r="H3" i="21"/>
  <c r="F3" i="21"/>
  <c r="D3" i="21"/>
  <c r="J3" i="21" s="1"/>
  <c r="B3" i="21"/>
  <c r="AR2" i="21"/>
  <c r="AS2" i="21"/>
  <c r="AJ2" i="21"/>
  <c r="AH2" i="21"/>
  <c r="AF2" i="21"/>
  <c r="AD2" i="21"/>
  <c r="AB2" i="21"/>
  <c r="Z2" i="21"/>
  <c r="X2" i="21"/>
  <c r="V2" i="21"/>
  <c r="R2" i="21"/>
  <c r="P2" i="21"/>
  <c r="N2" i="21"/>
  <c r="T2" i="21" s="1"/>
  <c r="L2" i="21"/>
  <c r="H2" i="21"/>
  <c r="F2" i="21"/>
  <c r="D2" i="21"/>
  <c r="J2" i="21" s="1"/>
  <c r="B2" i="21"/>
  <c r="I2" i="21" s="1"/>
  <c r="AS41" i="21" l="1"/>
  <c r="AR297" i="21"/>
  <c r="AS385" i="21"/>
  <c r="AS337" i="21"/>
  <c r="AS313" i="21"/>
  <c r="AS281" i="21"/>
  <c r="AS273" i="21"/>
  <c r="AS265" i="21"/>
  <c r="AS225" i="21"/>
  <c r="AS129" i="21"/>
  <c r="AS113" i="21"/>
  <c r="AS81" i="21"/>
  <c r="AS65" i="21"/>
  <c r="AS57" i="21"/>
  <c r="AS9" i="21"/>
  <c r="AP129" i="21"/>
  <c r="AP57" i="21"/>
  <c r="AS73" i="21"/>
  <c r="AS89" i="21"/>
  <c r="AS168" i="21"/>
  <c r="AS200" i="21"/>
  <c r="AS248" i="21"/>
  <c r="AS289" i="21"/>
  <c r="AP312" i="21"/>
  <c r="AP313" i="21"/>
  <c r="AS321" i="21"/>
  <c r="AS8" i="21"/>
  <c r="AP9" i="21"/>
  <c r="AP24" i="21"/>
  <c r="AP65" i="21"/>
  <c r="AS153" i="21"/>
  <c r="AS193" i="21"/>
  <c r="AS208" i="21"/>
  <c r="AP232" i="21"/>
  <c r="AS264" i="21"/>
  <c r="AP281" i="21"/>
  <c r="AS360" i="21"/>
  <c r="AS25" i="21"/>
  <c r="AP32" i="21"/>
  <c r="AS33" i="21"/>
  <c r="AS49" i="21"/>
  <c r="AP113" i="21"/>
  <c r="AS137" i="21"/>
  <c r="AS192" i="21"/>
  <c r="AS209" i="21"/>
  <c r="AP224" i="21"/>
  <c r="AP240" i="21"/>
  <c r="AP265" i="21"/>
  <c r="AS97" i="21"/>
  <c r="AS80" i="21"/>
  <c r="AS105" i="21"/>
  <c r="AS176" i="21"/>
  <c r="AS216" i="21"/>
  <c r="AS217" i="21"/>
  <c r="AP225" i="21"/>
  <c r="AP337" i="21"/>
  <c r="AS320" i="21"/>
  <c r="AS145" i="21"/>
  <c r="AS185" i="21"/>
  <c r="AS201" i="21"/>
  <c r="AS352" i="21"/>
  <c r="AL12" i="21"/>
  <c r="AL15" i="21"/>
  <c r="AL55" i="21"/>
  <c r="AL71" i="21"/>
  <c r="AL87" i="21"/>
  <c r="AL101" i="21"/>
  <c r="AL276" i="21"/>
  <c r="AL365" i="21"/>
  <c r="AL381" i="21"/>
  <c r="AL209" i="21"/>
  <c r="AL52" i="21"/>
  <c r="AL59" i="21"/>
  <c r="AL206" i="21"/>
  <c r="AL342" i="21"/>
  <c r="AL363" i="21"/>
  <c r="AL141" i="21"/>
  <c r="AL144" i="21"/>
  <c r="AL46" i="21"/>
  <c r="AL207" i="21"/>
  <c r="AL284" i="21"/>
  <c r="AL293" i="21"/>
  <c r="AL321" i="21"/>
  <c r="AL33" i="21"/>
  <c r="AL81" i="21"/>
  <c r="AL65" i="21"/>
  <c r="AL201" i="21"/>
  <c r="AL254" i="21"/>
  <c r="AL269" i="21"/>
  <c r="AL287" i="21"/>
  <c r="AL299" i="21"/>
  <c r="AL313" i="21"/>
  <c r="AL353" i="21"/>
  <c r="AL361" i="21"/>
  <c r="AL366" i="21"/>
  <c r="AL371" i="21"/>
  <c r="AL388" i="21"/>
  <c r="AL399" i="21"/>
  <c r="AL177" i="21"/>
  <c r="AL259" i="21"/>
  <c r="AL294" i="21"/>
  <c r="AL311" i="21"/>
  <c r="AL308" i="21"/>
  <c r="AL5" i="21"/>
  <c r="AL94" i="21"/>
  <c r="AL104" i="21"/>
  <c r="AL126" i="21"/>
  <c r="AL147" i="21"/>
  <c r="AL151" i="21"/>
  <c r="AL164" i="21"/>
  <c r="AL183" i="21"/>
  <c r="AL222" i="21"/>
  <c r="AL252" i="21"/>
  <c r="AL272" i="21"/>
  <c r="AL285" i="21"/>
  <c r="AL304" i="21"/>
  <c r="AL317" i="21"/>
  <c r="AL323" i="21"/>
  <c r="AL340" i="21"/>
  <c r="AL355" i="21"/>
  <c r="AL367" i="21"/>
  <c r="AL385" i="21"/>
  <c r="AL389" i="21"/>
  <c r="AL41" i="21"/>
  <c r="AL129" i="21"/>
  <c r="AL273" i="21"/>
  <c r="AL169" i="21"/>
  <c r="AK115" i="21"/>
  <c r="AK179" i="21"/>
  <c r="AK189" i="21"/>
  <c r="AK218" i="21"/>
  <c r="AK221" i="21"/>
  <c r="AK245" i="21"/>
  <c r="AK395" i="21"/>
  <c r="AK7" i="21"/>
  <c r="AK102" i="21"/>
  <c r="AK267" i="21"/>
  <c r="AK378" i="21"/>
  <c r="AK226" i="21"/>
  <c r="AK34" i="21"/>
  <c r="AK42" i="21"/>
  <c r="AK75" i="21"/>
  <c r="AK342" i="21"/>
  <c r="AK389" i="21"/>
  <c r="AK108" i="21"/>
  <c r="AK141" i="21"/>
  <c r="AK173" i="21"/>
  <c r="AK16" i="21"/>
  <c r="AK50" i="21"/>
  <c r="AK131" i="21"/>
  <c r="AK310" i="21"/>
  <c r="AK331" i="21"/>
  <c r="AK350" i="21"/>
  <c r="AK376" i="21"/>
  <c r="AK403" i="21"/>
  <c r="AK379" i="21"/>
  <c r="AK56" i="21"/>
  <c r="AK134" i="21"/>
  <c r="AK188" i="21"/>
  <c r="AK203" i="21"/>
  <c r="AK215" i="21"/>
  <c r="AK295" i="21"/>
  <c r="AK303" i="21"/>
  <c r="AK328" i="21"/>
  <c r="AK351" i="21"/>
  <c r="AK386" i="21"/>
  <c r="AK391" i="21"/>
  <c r="AK26" i="21"/>
  <c r="AK146" i="21"/>
  <c r="AL49" i="21"/>
  <c r="AL149" i="21"/>
  <c r="AL218" i="21"/>
  <c r="AL325" i="21"/>
  <c r="AL332" i="21"/>
  <c r="AL345" i="21"/>
  <c r="AL349" i="21"/>
  <c r="AL393" i="21"/>
  <c r="AL397" i="21"/>
  <c r="AL403" i="21"/>
  <c r="AL171" i="21"/>
  <c r="AL184" i="21"/>
  <c r="AL279" i="21"/>
  <c r="AL292" i="21"/>
  <c r="AL398" i="21"/>
  <c r="AL362" i="21"/>
  <c r="AL346" i="21"/>
  <c r="AL338" i="21"/>
  <c r="AL330" i="21"/>
  <c r="AL274" i="21"/>
  <c r="AL258" i="21"/>
  <c r="AL194" i="21"/>
  <c r="AL186" i="21"/>
  <c r="AL170" i="21"/>
  <c r="AL162" i="21"/>
  <c r="AL154" i="21"/>
  <c r="AL146" i="21"/>
  <c r="AL138" i="21"/>
  <c r="AL114" i="21"/>
  <c r="AL10" i="21"/>
  <c r="AL116" i="21"/>
  <c r="AL210" i="21"/>
  <c r="AL329" i="21"/>
  <c r="AL378" i="21"/>
  <c r="AL380" i="21"/>
  <c r="AL387" i="21"/>
  <c r="AL118" i="21"/>
  <c r="AL167" i="21"/>
  <c r="AL230" i="21"/>
  <c r="AL348" i="21"/>
  <c r="AL36" i="21"/>
  <c r="AL190" i="21"/>
  <c r="AL193" i="21"/>
  <c r="AL203" i="21"/>
  <c r="AL227" i="21"/>
  <c r="AL237" i="21"/>
  <c r="AL271" i="21"/>
  <c r="AL286" i="21"/>
  <c r="AL291" i="21"/>
  <c r="AL301" i="21"/>
  <c r="AL359" i="21"/>
  <c r="AL376" i="21"/>
  <c r="AL382" i="21"/>
  <c r="AL396" i="21"/>
  <c r="AL30" i="21"/>
  <c r="AL44" i="21"/>
  <c r="AL54" i="21"/>
  <c r="AL72" i="21"/>
  <c r="AL76" i="21"/>
  <c r="AL92" i="21"/>
  <c r="AL95" i="21"/>
  <c r="AL119" i="21"/>
  <c r="AL127" i="21"/>
  <c r="AL172" i="21"/>
  <c r="AL185" i="21"/>
  <c r="AL220" i="21"/>
  <c r="AL283" i="21"/>
  <c r="AL295" i="21"/>
  <c r="AL343" i="21"/>
  <c r="AL379" i="21"/>
  <c r="AL111" i="21"/>
  <c r="AL241" i="21"/>
  <c r="AL392" i="21"/>
  <c r="AL395" i="21"/>
  <c r="AL401" i="21"/>
  <c r="AL2" i="21"/>
  <c r="AK13" i="21"/>
  <c r="AK4" i="21"/>
  <c r="AK43" i="21"/>
  <c r="AK82" i="21"/>
  <c r="AK106" i="21"/>
  <c r="AK111" i="21"/>
  <c r="AK124" i="21"/>
  <c r="AK148" i="21"/>
  <c r="AK151" i="21"/>
  <c r="AK165" i="21"/>
  <c r="AK167" i="21"/>
  <c r="AK211" i="21"/>
  <c r="AK222" i="21"/>
  <c r="AK254" i="21"/>
  <c r="AK256" i="21"/>
  <c r="AK262" i="21"/>
  <c r="AK287" i="21"/>
  <c r="AK291" i="21"/>
  <c r="AK356" i="21"/>
  <c r="AK364" i="21"/>
  <c r="AK369" i="21"/>
  <c r="AK387" i="21"/>
  <c r="AK390" i="21"/>
  <c r="AK399" i="21"/>
  <c r="AK388" i="21"/>
  <c r="AK282" i="21"/>
  <c r="AK345" i="21"/>
  <c r="AK337" i="21"/>
  <c r="AK329" i="21"/>
  <c r="AK265" i="21"/>
  <c r="AK249" i="21"/>
  <c r="AK233" i="21"/>
  <c r="AK185" i="21"/>
  <c r="AK161" i="21"/>
  <c r="AK153" i="21"/>
  <c r="AK105" i="21"/>
  <c r="AK97" i="21"/>
  <c r="AK89" i="21"/>
  <c r="AK81" i="21"/>
  <c r="AK73" i="21"/>
  <c r="AK65" i="21"/>
  <c r="AK57" i="21"/>
  <c r="AK49" i="21"/>
  <c r="AK41" i="21"/>
  <c r="AK33" i="21"/>
  <c r="AK25" i="21"/>
  <c r="AK27" i="21"/>
  <c r="AK107" i="21"/>
  <c r="AK126" i="21"/>
  <c r="AK157" i="21"/>
  <c r="AK160" i="21"/>
  <c r="AK208" i="21"/>
  <c r="AK219" i="21"/>
  <c r="AK225" i="21"/>
  <c r="AK237" i="21"/>
  <c r="AK248" i="21"/>
  <c r="AK260" i="21"/>
  <c r="AK367" i="21"/>
  <c r="AK368" i="21"/>
  <c r="AK12" i="21"/>
  <c r="AK46" i="21"/>
  <c r="AK53" i="21"/>
  <c r="AK96" i="21"/>
  <c r="AK101" i="21"/>
  <c r="AK149" i="21"/>
  <c r="AK150" i="21"/>
  <c r="AK181" i="21"/>
  <c r="AK255" i="21"/>
  <c r="AK292" i="21"/>
  <c r="AK315" i="21"/>
  <c r="AK332" i="21"/>
  <c r="AK340" i="21"/>
  <c r="AK341" i="21"/>
  <c r="AK344" i="21"/>
  <c r="AK358" i="21"/>
  <c r="AK397" i="21"/>
  <c r="AK59" i="21"/>
  <c r="AK79" i="21"/>
  <c r="AK168" i="21"/>
  <c r="AK190" i="21"/>
  <c r="AK200" i="21"/>
  <c r="AK206" i="21"/>
  <c r="AK223" i="21"/>
  <c r="AK230" i="21"/>
  <c r="AK243" i="21"/>
  <c r="AK259" i="21"/>
  <c r="AK279" i="21"/>
  <c r="AK324" i="21"/>
  <c r="AK335" i="21"/>
  <c r="AL40" i="21"/>
  <c r="AL100" i="21"/>
  <c r="AL143" i="21"/>
  <c r="AL260" i="21"/>
  <c r="AL300" i="21"/>
  <c r="AL358" i="21"/>
  <c r="AL32" i="21"/>
  <c r="AL62" i="21"/>
  <c r="AL214" i="21"/>
  <c r="AL16" i="21"/>
  <c r="AL57" i="21"/>
  <c r="AL75" i="21"/>
  <c r="AL303" i="21"/>
  <c r="AL19" i="21"/>
  <c r="AL24" i="21"/>
  <c r="AL27" i="21"/>
  <c r="AL216" i="21"/>
  <c r="AL145" i="21"/>
  <c r="AL198" i="21"/>
  <c r="AL268" i="21"/>
  <c r="AK187" i="21"/>
  <c r="AK229" i="21"/>
  <c r="AK313" i="21"/>
  <c r="AK314" i="21"/>
  <c r="AK159" i="21"/>
  <c r="AK349" i="21"/>
  <c r="AK372" i="21"/>
  <c r="AK394" i="21"/>
  <c r="AK224" i="21"/>
  <c r="AK305" i="21"/>
  <c r="AK316" i="21"/>
  <c r="AK357" i="21"/>
  <c r="AK19" i="21"/>
  <c r="AK281" i="21"/>
  <c r="AK380" i="21"/>
  <c r="AK178" i="21"/>
  <c r="T20" i="21"/>
  <c r="T118" i="21"/>
  <c r="T211" i="21"/>
  <c r="T216" i="21"/>
  <c r="T244" i="21"/>
  <c r="T285" i="21"/>
  <c r="T317" i="21"/>
  <c r="T320" i="21"/>
  <c r="T331" i="21"/>
  <c r="T335" i="21"/>
  <c r="T358" i="21"/>
  <c r="T363" i="21"/>
  <c r="T386" i="21"/>
  <c r="T29" i="21"/>
  <c r="T36" i="21"/>
  <c r="T56" i="21"/>
  <c r="T133" i="21"/>
  <c r="T143" i="21"/>
  <c r="T190" i="21"/>
  <c r="T209" i="21"/>
  <c r="T212" i="21"/>
  <c r="T270" i="21"/>
  <c r="T16" i="21"/>
  <c r="T44" i="21"/>
  <c r="T146" i="21"/>
  <c r="T178" i="21"/>
  <c r="T189" i="21"/>
  <c r="T283" i="21"/>
  <c r="T361" i="21"/>
  <c r="T353" i="21"/>
  <c r="T345" i="21"/>
  <c r="T337" i="21"/>
  <c r="T321" i="21"/>
  <c r="T313" i="21"/>
  <c r="T305" i="21"/>
  <c r="T273" i="21"/>
  <c r="T265" i="21"/>
  <c r="T241" i="21"/>
  <c r="T233" i="21"/>
  <c r="T201" i="21"/>
  <c r="T177" i="21"/>
  <c r="T169" i="21"/>
  <c r="T161" i="21"/>
  <c r="T153" i="21"/>
  <c r="T129" i="21"/>
  <c r="T121" i="21"/>
  <c r="T89" i="21"/>
  <c r="T81" i="21"/>
  <c r="T73" i="21"/>
  <c r="T65" i="21"/>
  <c r="T57" i="21"/>
  <c r="T49" i="21"/>
  <c r="T41" i="21"/>
  <c r="T33" i="21"/>
  <c r="T4" i="21"/>
  <c r="T63" i="21"/>
  <c r="T111" i="21"/>
  <c r="T262" i="21"/>
  <c r="T349" i="21"/>
  <c r="T398" i="21"/>
  <c r="T400" i="21"/>
  <c r="T392" i="21"/>
  <c r="T376" i="21"/>
  <c r="T38" i="21"/>
  <c r="T46" i="21"/>
  <c r="T67" i="21"/>
  <c r="T97" i="21"/>
  <c r="T195" i="21"/>
  <c r="T224" i="21"/>
  <c r="T301" i="21"/>
  <c r="T388" i="21"/>
  <c r="T30" i="21"/>
  <c r="T141" i="21"/>
  <c r="T206" i="21"/>
  <c r="T293" i="21"/>
  <c r="T348" i="21"/>
  <c r="T365" i="21"/>
  <c r="T383" i="21"/>
  <c r="T6" i="21"/>
  <c r="T9" i="21"/>
  <c r="T24" i="21"/>
  <c r="T62" i="21"/>
  <c r="T74" i="21"/>
  <c r="T78" i="21"/>
  <c r="T83" i="21"/>
  <c r="T84" i="21"/>
  <c r="T122" i="21"/>
  <c r="T126" i="21"/>
  <c r="T138" i="21"/>
  <c r="T147" i="21"/>
  <c r="T149" i="21"/>
  <c r="T157" i="21"/>
  <c r="T175" i="21"/>
  <c r="T186" i="21"/>
  <c r="T196" i="21"/>
  <c r="T199" i="21"/>
  <c r="T208" i="21"/>
  <c r="T219" i="21"/>
  <c r="T234" i="21"/>
  <c r="T245" i="21"/>
  <c r="T248" i="21"/>
  <c r="T259" i="21"/>
  <c r="T286" i="21"/>
  <c r="T299" i="21"/>
  <c r="T339" i="21"/>
  <c r="T355" i="21"/>
  <c r="T359" i="21"/>
  <c r="T403" i="21"/>
  <c r="S10" i="21"/>
  <c r="S15" i="21"/>
  <c r="S82" i="21"/>
  <c r="S110" i="21"/>
  <c r="S126" i="21"/>
  <c r="S137" i="21"/>
  <c r="S164" i="21"/>
  <c r="S287" i="21"/>
  <c r="S315" i="21"/>
  <c r="S377" i="21"/>
  <c r="S384" i="21"/>
  <c r="S389" i="21"/>
  <c r="S67" i="21"/>
  <c r="S88" i="21"/>
  <c r="S109" i="21"/>
  <c r="S192" i="21"/>
  <c r="S236" i="21"/>
  <c r="S244" i="21"/>
  <c r="S248" i="21"/>
  <c r="S255" i="21"/>
  <c r="S295" i="21"/>
  <c r="S40" i="21"/>
  <c r="S68" i="21"/>
  <c r="S90" i="21"/>
  <c r="S108" i="21"/>
  <c r="S139" i="21"/>
  <c r="S168" i="21"/>
  <c r="S175" i="21"/>
  <c r="S181" i="21"/>
  <c r="S250" i="21"/>
  <c r="S401" i="21"/>
  <c r="S385" i="21"/>
  <c r="S369" i="21"/>
  <c r="S345" i="21"/>
  <c r="S337" i="21"/>
  <c r="S329" i="21"/>
  <c r="S321" i="21"/>
  <c r="S305" i="21"/>
  <c r="S297" i="21"/>
  <c r="S289" i="21"/>
  <c r="S281" i="21"/>
  <c r="S273" i="21"/>
  <c r="S265" i="21"/>
  <c r="S249" i="21"/>
  <c r="S241" i="21"/>
  <c r="S209" i="21"/>
  <c r="S185" i="21"/>
  <c r="S169" i="21"/>
  <c r="S161" i="21"/>
  <c r="S153" i="21"/>
  <c r="S129" i="21"/>
  <c r="S121" i="21"/>
  <c r="S113" i="21"/>
  <c r="S105" i="21"/>
  <c r="S97" i="21"/>
  <c r="S89" i="21"/>
  <c r="S49" i="21"/>
  <c r="S41" i="21"/>
  <c r="S33" i="21"/>
  <c r="S18" i="21"/>
  <c r="S24" i="21"/>
  <c r="S53" i="21"/>
  <c r="S75" i="21"/>
  <c r="S100" i="21"/>
  <c r="S156" i="21"/>
  <c r="S223" i="21"/>
  <c r="S272" i="21"/>
  <c r="S286" i="21"/>
  <c r="S308" i="21"/>
  <c r="S318" i="21"/>
  <c r="S326" i="21"/>
  <c r="S368" i="21"/>
  <c r="S375" i="21"/>
  <c r="S382" i="21"/>
  <c r="S393" i="21"/>
  <c r="S37" i="21"/>
  <c r="S48" i="21"/>
  <c r="S114" i="21"/>
  <c r="S130" i="21"/>
  <c r="S228" i="21"/>
  <c r="S242" i="21"/>
  <c r="S264" i="21"/>
  <c r="S290" i="21"/>
  <c r="S334" i="21"/>
  <c r="S349" i="21"/>
  <c r="S94" i="21"/>
  <c r="S145" i="21"/>
  <c r="S216" i="21"/>
  <c r="S11" i="21"/>
  <c r="S13" i="21"/>
  <c r="S56" i="21"/>
  <c r="S61" i="21"/>
  <c r="S69" i="21"/>
  <c r="S91" i="21"/>
  <c r="S92" i="21"/>
  <c r="S112" i="21"/>
  <c r="S122" i="21"/>
  <c r="S133" i="21"/>
  <c r="S148" i="21"/>
  <c r="S160" i="21"/>
  <c r="S194" i="21"/>
  <c r="S205" i="21"/>
  <c r="S208" i="21"/>
  <c r="S219" i="21"/>
  <c r="S260" i="21"/>
  <c r="S270" i="21"/>
  <c r="S278" i="21"/>
  <c r="S283" i="21"/>
  <c r="S288" i="21"/>
  <c r="S310" i="21"/>
  <c r="S311" i="21"/>
  <c r="S314" i="21"/>
  <c r="S332" i="21"/>
  <c r="S342" i="21"/>
  <c r="S364" i="21"/>
  <c r="S2" i="21"/>
  <c r="T55" i="21"/>
  <c r="T85" i="21"/>
  <c r="T163" i="21"/>
  <c r="T401" i="21"/>
  <c r="T113" i="21"/>
  <c r="T145" i="21"/>
  <c r="T297" i="21"/>
  <c r="T377" i="21"/>
  <c r="T87" i="21"/>
  <c r="T40" i="21"/>
  <c r="T218" i="21"/>
  <c r="T369" i="21"/>
  <c r="T32" i="21"/>
  <c r="T70" i="21"/>
  <c r="T77" i="21"/>
  <c r="T254" i="21"/>
  <c r="T274" i="21"/>
  <c r="T290" i="21"/>
  <c r="T362" i="21"/>
  <c r="T17" i="21"/>
  <c r="T26" i="21"/>
  <c r="T34" i="21"/>
  <c r="T42" i="21"/>
  <c r="T69" i="21"/>
  <c r="T93" i="21"/>
  <c r="T98" i="21"/>
  <c r="T102" i="21"/>
  <c r="T289" i="21"/>
  <c r="T281" i="21"/>
  <c r="T105" i="21"/>
  <c r="T8" i="21"/>
  <c r="T137" i="21"/>
  <c r="T171" i="21"/>
  <c r="T238" i="21"/>
  <c r="T282" i="21"/>
  <c r="S374" i="21"/>
  <c r="S52" i="21"/>
  <c r="S142" i="21"/>
  <c r="S383" i="21"/>
  <c r="S227" i="21"/>
  <c r="J13" i="21"/>
  <c r="J51" i="21"/>
  <c r="J69" i="21"/>
  <c r="J108" i="21"/>
  <c r="J109" i="21"/>
  <c r="J339" i="21"/>
  <c r="J40" i="21"/>
  <c r="J49" i="21"/>
  <c r="J121" i="21"/>
  <c r="J200" i="21"/>
  <c r="J312" i="21"/>
  <c r="J329" i="21"/>
  <c r="J176" i="21"/>
  <c r="J33" i="21"/>
  <c r="J105" i="21"/>
  <c r="J360" i="21"/>
  <c r="J401" i="21"/>
  <c r="J393" i="21"/>
  <c r="J385" i="21"/>
  <c r="J377" i="21"/>
  <c r="J353" i="21"/>
  <c r="J313" i="21"/>
  <c r="J297" i="21"/>
  <c r="J289" i="21"/>
  <c r="J233" i="21"/>
  <c r="J225" i="21"/>
  <c r="J217" i="21"/>
  <c r="J305" i="21"/>
  <c r="J328" i="21"/>
  <c r="J21" i="21"/>
  <c r="J96" i="21"/>
  <c r="J211" i="21"/>
  <c r="J288" i="21"/>
  <c r="J352" i="21"/>
  <c r="J201" i="21"/>
  <c r="J145" i="21"/>
  <c r="J169" i="21"/>
  <c r="J177" i="21"/>
  <c r="J184" i="21"/>
  <c r="J213" i="21"/>
  <c r="J272" i="21"/>
  <c r="J309" i="21"/>
  <c r="J369" i="21"/>
  <c r="J400" i="21"/>
  <c r="J137" i="21"/>
  <c r="J67" i="21"/>
  <c r="J72" i="21"/>
  <c r="J120" i="21"/>
  <c r="J125" i="21"/>
  <c r="J236" i="21"/>
  <c r="J245" i="21"/>
  <c r="J268" i="21"/>
  <c r="J285" i="21"/>
  <c r="J372" i="21"/>
  <c r="J78" i="21"/>
  <c r="J326" i="21"/>
  <c r="J382" i="21"/>
  <c r="J7" i="21"/>
  <c r="J198" i="21"/>
  <c r="J206" i="21"/>
  <c r="J278" i="21"/>
  <c r="J343" i="21"/>
  <c r="J16" i="21"/>
  <c r="J35" i="21"/>
  <c r="J37" i="21"/>
  <c r="J61" i="21"/>
  <c r="J70" i="21"/>
  <c r="J75" i="21"/>
  <c r="J124" i="21"/>
  <c r="J128" i="21"/>
  <c r="J136" i="21"/>
  <c r="J161" i="21"/>
  <c r="J168" i="21"/>
  <c r="J195" i="21"/>
  <c r="J221" i="21"/>
  <c r="J227" i="21"/>
  <c r="J257" i="21"/>
  <c r="J315" i="21"/>
  <c r="J325" i="21"/>
  <c r="J342" i="21"/>
  <c r="J363" i="21"/>
  <c r="J364" i="21"/>
  <c r="J397" i="21"/>
  <c r="J142" i="21"/>
  <c r="J12" i="21"/>
  <c r="J32" i="21"/>
  <c r="J91" i="21"/>
  <c r="J99" i="21"/>
  <c r="J113" i="21"/>
  <c r="J153" i="21"/>
  <c r="J159" i="21"/>
  <c r="J219" i="21"/>
  <c r="J251" i="21"/>
  <c r="J263" i="21"/>
  <c r="J310" i="21"/>
  <c r="J317" i="21"/>
  <c r="J320" i="21"/>
  <c r="J349" i="21"/>
  <c r="J376" i="21"/>
  <c r="J390" i="21"/>
  <c r="J392" i="21"/>
  <c r="J398" i="21"/>
  <c r="J402" i="21"/>
  <c r="J394" i="21"/>
  <c r="J386" i="21"/>
  <c r="J362" i="21"/>
  <c r="J338" i="21"/>
  <c r="J314" i="21"/>
  <c r="J250" i="21"/>
  <c r="J242" i="21"/>
  <c r="J234" i="21"/>
  <c r="J218" i="21"/>
  <c r="J194" i="21"/>
  <c r="J178" i="21"/>
  <c r="J170" i="21"/>
  <c r="J162" i="21"/>
  <c r="J154" i="21"/>
  <c r="J146" i="21"/>
  <c r="J138" i="21"/>
  <c r="J90" i="21"/>
  <c r="J66" i="21"/>
  <c r="J58" i="21"/>
  <c r="J26" i="21"/>
  <c r="J18" i="21"/>
  <c r="J11" i="21"/>
  <c r="J27" i="21"/>
  <c r="J31" i="21"/>
  <c r="J48" i="21"/>
  <c r="J55" i="21"/>
  <c r="J100" i="21"/>
  <c r="J110" i="21"/>
  <c r="J129" i="21"/>
  <c r="J181" i="21"/>
  <c r="J189" i="21"/>
  <c r="J192" i="21"/>
  <c r="J258" i="21"/>
  <c r="J350" i="21"/>
  <c r="J391" i="21"/>
  <c r="J383" i="21"/>
  <c r="J367" i="21"/>
  <c r="J359" i="21"/>
  <c r="J311" i="21"/>
  <c r="J255" i="21"/>
  <c r="J247" i="21"/>
  <c r="J239" i="21"/>
  <c r="J223" i="21"/>
  <c r="J215" i="21"/>
  <c r="J207" i="21"/>
  <c r="J199" i="21"/>
  <c r="J183" i="21"/>
  <c r="J175" i="21"/>
  <c r="J151" i="21"/>
  <c r="J143" i="21"/>
  <c r="J47" i="21"/>
  <c r="J15" i="21"/>
  <c r="J186" i="21"/>
  <c r="J375" i="21"/>
  <c r="J14" i="21"/>
  <c r="J134" i="21"/>
  <c r="J150" i="21"/>
  <c r="J158" i="21"/>
  <c r="J6" i="21"/>
  <c r="J8" i="21"/>
  <c r="J24" i="21"/>
  <c r="J29" i="21"/>
  <c r="J41" i="21"/>
  <c r="J64" i="21"/>
  <c r="J112" i="21"/>
  <c r="J148" i="21"/>
  <c r="J152" i="21"/>
  <c r="J190" i="21"/>
  <c r="J205" i="21"/>
  <c r="J208" i="21"/>
  <c r="J214" i="21"/>
  <c r="J270" i="21"/>
  <c r="J275" i="21"/>
  <c r="J286" i="21"/>
  <c r="J293" i="21"/>
  <c r="J296" i="21"/>
  <c r="J299" i="21"/>
  <c r="J307" i="21"/>
  <c r="J323" i="21"/>
  <c r="J336" i="21"/>
  <c r="J344" i="21"/>
  <c r="J358" i="21"/>
  <c r="J381" i="21"/>
  <c r="J384" i="21"/>
  <c r="J404" i="21"/>
  <c r="J174" i="21"/>
  <c r="J366" i="21"/>
  <c r="J361" i="21"/>
  <c r="J30" i="21"/>
  <c r="J9" i="21"/>
  <c r="J23" i="21"/>
  <c r="J39" i="21"/>
  <c r="J86" i="21"/>
  <c r="J88" i="21"/>
  <c r="J97" i="21"/>
  <c r="J163" i="21"/>
  <c r="J166" i="21"/>
  <c r="J182" i="21"/>
  <c r="J209" i="21"/>
  <c r="J216" i="21"/>
  <c r="J231" i="21"/>
  <c r="J271" i="21"/>
  <c r="J281" i="21"/>
  <c r="J294" i="21"/>
  <c r="J321" i="21"/>
  <c r="J399" i="21"/>
  <c r="I17" i="21"/>
  <c r="I395" i="21"/>
  <c r="I8" i="21"/>
  <c r="I10" i="21"/>
  <c r="I18" i="21"/>
  <c r="I23" i="21"/>
  <c r="I26" i="21"/>
  <c r="I28" i="21"/>
  <c r="I39" i="21"/>
  <c r="I59" i="21"/>
  <c r="I72" i="21"/>
  <c r="I211" i="21"/>
  <c r="I216" i="21"/>
  <c r="I226" i="21"/>
  <c r="I234" i="21"/>
  <c r="I325" i="21"/>
  <c r="I330" i="21"/>
  <c r="I335" i="21"/>
  <c r="I342" i="21"/>
  <c r="I344" i="21"/>
  <c r="I386" i="21"/>
  <c r="I396" i="21"/>
  <c r="I380" i="21"/>
  <c r="I372" i="21"/>
  <c r="I332" i="21"/>
  <c r="I31" i="21"/>
  <c r="I96" i="21"/>
  <c r="I128" i="21"/>
  <c r="I155" i="21"/>
  <c r="I196" i="21"/>
  <c r="I217" i="21"/>
  <c r="I224" i="21"/>
  <c r="I236" i="21"/>
  <c r="I246" i="21"/>
  <c r="I277" i="21"/>
  <c r="I296" i="21"/>
  <c r="I309" i="21"/>
  <c r="I327" i="21"/>
  <c r="I394" i="21"/>
  <c r="I400" i="21"/>
  <c r="I403" i="21"/>
  <c r="I3" i="21"/>
  <c r="I20" i="21"/>
  <c r="I77" i="21"/>
  <c r="I102" i="21"/>
  <c r="I117" i="21"/>
  <c r="I147" i="21"/>
  <c r="I159" i="21"/>
  <c r="I187" i="21"/>
  <c r="I241" i="21"/>
  <c r="I399" i="21"/>
  <c r="I401" i="21"/>
  <c r="I393" i="21"/>
  <c r="I385" i="21"/>
  <c r="I377" i="21"/>
  <c r="I361" i="21"/>
  <c r="I353" i="21"/>
  <c r="I337" i="21"/>
  <c r="I321" i="21"/>
  <c r="I313" i="21"/>
  <c r="I305" i="21"/>
  <c r="I257" i="21"/>
  <c r="I233" i="21"/>
  <c r="I225" i="21"/>
  <c r="I209" i="21"/>
  <c r="I201" i="21"/>
  <c r="I185" i="21"/>
  <c r="I177" i="21"/>
  <c r="I153" i="21"/>
  <c r="I145" i="21"/>
  <c r="I129" i="21"/>
  <c r="I121" i="21"/>
  <c r="I81" i="21"/>
  <c r="I13" i="21"/>
  <c r="I120" i="21"/>
  <c r="I222" i="21"/>
  <c r="I288" i="21"/>
  <c r="I118" i="21"/>
  <c r="I136" i="21"/>
  <c r="I144" i="21"/>
  <c r="I189" i="21"/>
  <c r="I219" i="21"/>
  <c r="I221" i="21"/>
  <c r="I253" i="21"/>
  <c r="I299" i="21"/>
  <c r="I306" i="21"/>
  <c r="I328" i="21"/>
  <c r="I398" i="21"/>
  <c r="I9" i="21"/>
  <c r="I16" i="21"/>
  <c r="I43" i="21"/>
  <c r="I63" i="21"/>
  <c r="I69" i="21"/>
  <c r="I80" i="21"/>
  <c r="I111" i="21"/>
  <c r="I131" i="21"/>
  <c r="I133" i="21"/>
  <c r="I162" i="21"/>
  <c r="I228" i="21"/>
  <c r="I258" i="21"/>
  <c r="I263" i="21"/>
  <c r="I270" i="21"/>
  <c r="I338" i="21"/>
  <c r="I369" i="21"/>
  <c r="I382" i="21"/>
  <c r="I6" i="21"/>
  <c r="I12" i="21"/>
  <c r="I34" i="21"/>
  <c r="I36" i="21"/>
  <c r="I71" i="21"/>
  <c r="I86" i="21"/>
  <c r="I87" i="21"/>
  <c r="I99" i="21"/>
  <c r="I112" i="21"/>
  <c r="I132" i="21"/>
  <c r="I204" i="21"/>
  <c r="I230" i="21"/>
  <c r="I251" i="21"/>
  <c r="I262" i="21"/>
  <c r="I268" i="21"/>
  <c r="I322" i="21"/>
  <c r="I388" i="21"/>
  <c r="J98" i="21"/>
  <c r="J71" i="21"/>
  <c r="J322" i="21"/>
  <c r="J379" i="21"/>
  <c r="J10" i="21"/>
  <c r="J36" i="21"/>
  <c r="J131" i="21"/>
  <c r="J147" i="21"/>
  <c r="J232" i="21"/>
  <c r="J264" i="21"/>
  <c r="J374" i="21"/>
  <c r="J34" i="21"/>
  <c r="J42" i="21"/>
  <c r="J180" i="21"/>
  <c r="J248" i="21"/>
  <c r="J346" i="21"/>
  <c r="J356" i="21"/>
  <c r="J395" i="21"/>
  <c r="J193" i="21"/>
  <c r="J44" i="21"/>
  <c r="J50" i="21"/>
  <c r="J81" i="21"/>
  <c r="J135" i="21"/>
  <c r="J141" i="21"/>
  <c r="J165" i="21"/>
  <c r="J210" i="21"/>
  <c r="J388" i="21"/>
  <c r="J202" i="21"/>
  <c r="J104" i="21"/>
  <c r="J240" i="21"/>
  <c r="J20" i="21"/>
  <c r="J65" i="21"/>
  <c r="J79" i="21"/>
  <c r="J95" i="21"/>
  <c r="J212" i="21"/>
  <c r="I341" i="21"/>
  <c r="I249" i="21"/>
  <c r="I260" i="21"/>
  <c r="I319" i="21"/>
  <c r="I301" i="21"/>
  <c r="I97" i="21"/>
  <c r="I202" i="21"/>
  <c r="I371" i="21"/>
  <c r="I390" i="21"/>
  <c r="AL3" i="21"/>
  <c r="AL4" i="21"/>
  <c r="AK5" i="21"/>
  <c r="AL11" i="21"/>
  <c r="AK9" i="21"/>
  <c r="AL8" i="21"/>
  <c r="AL9" i="21"/>
  <c r="AK2" i="21"/>
  <c r="AK10" i="21"/>
  <c r="AL14" i="21"/>
  <c r="AK15" i="21"/>
  <c r="J5" i="21"/>
  <c r="T7" i="21"/>
  <c r="S9" i="21"/>
  <c r="AK11" i="21"/>
  <c r="AK3" i="21"/>
  <c r="AK6" i="21"/>
  <c r="I7" i="21"/>
  <c r="AL25" i="21"/>
  <c r="AS4" i="21"/>
  <c r="AS14" i="21"/>
  <c r="AR14" i="21"/>
  <c r="AS15" i="21"/>
  <c r="AR15" i="21"/>
  <c r="S20" i="21"/>
  <c r="I24" i="21"/>
  <c r="J25" i="21"/>
  <c r="AS28" i="21"/>
  <c r="AP28" i="21"/>
  <c r="S36" i="21"/>
  <c r="AK37" i="21"/>
  <c r="T39" i="21"/>
  <c r="S44" i="21"/>
  <c r="AK45" i="21"/>
  <c r="T47" i="21"/>
  <c r="S63" i="21"/>
  <c r="AR11" i="21"/>
  <c r="AS17" i="21"/>
  <c r="AS22" i="21"/>
  <c r="AR22" i="21"/>
  <c r="AK23" i="21"/>
  <c r="AL37" i="21"/>
  <c r="AL45" i="21"/>
  <c r="AS83" i="21"/>
  <c r="AR83" i="21"/>
  <c r="AS3" i="21"/>
  <c r="AR8" i="21"/>
  <c r="AP10" i="21"/>
  <c r="AR13" i="21"/>
  <c r="AK17" i="21"/>
  <c r="AK22" i="21"/>
  <c r="S23" i="21"/>
  <c r="AL23" i="21"/>
  <c r="AL26" i="21"/>
  <c r="AK28" i="21"/>
  <c r="I29" i="21"/>
  <c r="AL29" i="21"/>
  <c r="S34" i="21"/>
  <c r="AL34" i="21"/>
  <c r="AL35" i="21"/>
  <c r="T37" i="21"/>
  <c r="AS37" i="21"/>
  <c r="AR37" i="21"/>
  <c r="S42" i="21"/>
  <c r="AL42" i="21"/>
  <c r="AL43" i="21"/>
  <c r="T45" i="21"/>
  <c r="AS45" i="21"/>
  <c r="AR45" i="21"/>
  <c r="AL50" i="21"/>
  <c r="AL51" i="21"/>
  <c r="AS98" i="21"/>
  <c r="AR98" i="21"/>
  <c r="AP2" i="21"/>
  <c r="AR5" i="21"/>
  <c r="AP7" i="21"/>
  <c r="AS16" i="21"/>
  <c r="AR21" i="21"/>
  <c r="AK31" i="21"/>
  <c r="AK32" i="21"/>
  <c r="I33" i="21"/>
  <c r="AK39" i="21"/>
  <c r="AK40" i="21"/>
  <c r="I41" i="21"/>
  <c r="AK47" i="21"/>
  <c r="AK48" i="21"/>
  <c r="I49" i="21"/>
  <c r="AL53" i="21"/>
  <c r="AK54" i="21"/>
  <c r="AL68" i="21"/>
  <c r="AK69" i="21"/>
  <c r="I19" i="21"/>
  <c r="S17" i="21"/>
  <c r="AL17" i="21"/>
  <c r="AK21" i="21"/>
  <c r="T23" i="21"/>
  <c r="S25" i="21"/>
  <c r="AL28" i="21"/>
  <c r="AK30" i="21"/>
  <c r="S31" i="21"/>
  <c r="AL31" i="21"/>
  <c r="S35" i="21"/>
  <c r="AK36" i="21"/>
  <c r="I37" i="21"/>
  <c r="I38" i="21"/>
  <c r="AL39" i="21"/>
  <c r="S43" i="21"/>
  <c r="AK44" i="21"/>
  <c r="I45" i="21"/>
  <c r="I46" i="21"/>
  <c r="AL47" i="21"/>
  <c r="S51" i="21"/>
  <c r="I53" i="21"/>
  <c r="AK58" i="21"/>
  <c r="AL67" i="21"/>
  <c r="AS64" i="21"/>
  <c r="AR64" i="21"/>
  <c r="I14" i="21"/>
  <c r="AK14" i="21"/>
  <c r="AK18" i="21"/>
  <c r="I22" i="21"/>
  <c r="I25" i="21"/>
  <c r="T25" i="21"/>
  <c r="S27" i="21"/>
  <c r="S28" i="21"/>
  <c r="S30" i="21"/>
  <c r="J38" i="21"/>
  <c r="S39" i="21"/>
  <c r="J46" i="21"/>
  <c r="S47" i="21"/>
  <c r="T61" i="21"/>
  <c r="AK70" i="21"/>
  <c r="AL73" i="21"/>
  <c r="I27" i="21"/>
  <c r="T14" i="21"/>
  <c r="J17" i="21"/>
  <c r="AL18" i="21"/>
  <c r="AR18" i="21"/>
  <c r="S19" i="21"/>
  <c r="I21" i="21"/>
  <c r="AL21" i="21"/>
  <c r="J22" i="21"/>
  <c r="AS26" i="21"/>
  <c r="AR26" i="21"/>
  <c r="T28" i="21"/>
  <c r="AR29" i="21"/>
  <c r="T31" i="21"/>
  <c r="I32" i="21"/>
  <c r="I40" i="21"/>
  <c r="I48" i="21"/>
  <c r="AS74" i="21"/>
  <c r="AK92" i="21"/>
  <c r="AK93" i="21"/>
  <c r="AK100" i="21"/>
  <c r="AR34" i="21"/>
  <c r="AP36" i="21"/>
  <c r="AR42" i="21"/>
  <c r="AP44" i="21"/>
  <c r="AR50" i="21"/>
  <c r="S54" i="21"/>
  <c r="I56" i="21"/>
  <c r="AR56" i="21"/>
  <c r="T58" i="21"/>
  <c r="AL58" i="21"/>
  <c r="AS61" i="21"/>
  <c r="AR61" i="21"/>
  <c r="S62" i="21"/>
  <c r="AS63" i="21"/>
  <c r="AK64" i="21"/>
  <c r="S65" i="21"/>
  <c r="AK68" i="21"/>
  <c r="S71" i="21"/>
  <c r="T72" i="21"/>
  <c r="S73" i="21"/>
  <c r="I75" i="21"/>
  <c r="J76" i="21"/>
  <c r="AK77" i="21"/>
  <c r="I78" i="21"/>
  <c r="AL79" i="21"/>
  <c r="AL82" i="21"/>
  <c r="AK83" i="21"/>
  <c r="J84" i="21"/>
  <c r="AL85" i="21"/>
  <c r="AS85" i="21"/>
  <c r="AL88" i="21"/>
  <c r="AL89" i="21"/>
  <c r="AL93" i="21"/>
  <c r="AL97" i="21"/>
  <c r="AK99" i="21"/>
  <c r="AR23" i="21"/>
  <c r="AR31" i="21"/>
  <c r="AR39" i="21"/>
  <c r="AR47" i="21"/>
  <c r="AK52" i="21"/>
  <c r="J54" i="21"/>
  <c r="AL56" i="21"/>
  <c r="S57" i="21"/>
  <c r="I62" i="21"/>
  <c r="J63" i="21"/>
  <c r="AL64" i="21"/>
  <c r="I65" i="21"/>
  <c r="AS66" i="21"/>
  <c r="AS72" i="21"/>
  <c r="AR72" i="21"/>
  <c r="J74" i="21"/>
  <c r="S79" i="21"/>
  <c r="AK80" i="21"/>
  <c r="I90" i="21"/>
  <c r="I91" i="21"/>
  <c r="AS93" i="21"/>
  <c r="S95" i="21"/>
  <c r="AL99" i="21"/>
  <c r="J102" i="21"/>
  <c r="T52" i="21"/>
  <c r="AK55" i="21"/>
  <c r="AK66" i="21"/>
  <c r="AL70" i="21"/>
  <c r="AK76" i="21"/>
  <c r="AL80" i="21"/>
  <c r="AK84" i="21"/>
  <c r="AL91" i="21"/>
  <c r="T95" i="21"/>
  <c r="AL98" i="21"/>
  <c r="AL106" i="21"/>
  <c r="AS52" i="21"/>
  <c r="AR52" i="21"/>
  <c r="I57" i="21"/>
  <c r="J62" i="21"/>
  <c r="AK63" i="21"/>
  <c r="I67" i="21"/>
  <c r="I73" i="21"/>
  <c r="AK74" i="21"/>
  <c r="J87" i="21"/>
  <c r="T88" i="21"/>
  <c r="AK90" i="21"/>
  <c r="AS91" i="21"/>
  <c r="AR91" i="21"/>
  <c r="I95" i="21"/>
  <c r="I100" i="21"/>
  <c r="AR30" i="21"/>
  <c r="AR38" i="21"/>
  <c r="AR46" i="21"/>
  <c r="AS54" i="21"/>
  <c r="J57" i="21"/>
  <c r="AR59" i="21"/>
  <c r="AK60" i="21"/>
  <c r="AK61" i="21"/>
  <c r="S66" i="21"/>
  <c r="AL66" i="21"/>
  <c r="AR67" i="21"/>
  <c r="T68" i="21"/>
  <c r="S70" i="21"/>
  <c r="J73" i="21"/>
  <c r="S76" i="21"/>
  <c r="AL78" i="21"/>
  <c r="S80" i="21"/>
  <c r="I82" i="21"/>
  <c r="I83" i="21"/>
  <c r="S84" i="21"/>
  <c r="AK85" i="21"/>
  <c r="AK86" i="21"/>
  <c r="I89" i="21"/>
  <c r="I92" i="21"/>
  <c r="J93" i="21"/>
  <c r="J94" i="21"/>
  <c r="AP100" i="21"/>
  <c r="AS100" i="21"/>
  <c r="I104" i="21"/>
  <c r="AK116" i="21"/>
  <c r="AS55" i="21"/>
  <c r="AS58" i="21"/>
  <c r="AR58" i="21"/>
  <c r="S60" i="21"/>
  <c r="AL61" i="21"/>
  <c r="T66" i="21"/>
  <c r="I68" i="21"/>
  <c r="AS69" i="21"/>
  <c r="AK72" i="21"/>
  <c r="AL74" i="21"/>
  <c r="AL77" i="21"/>
  <c r="T80" i="21"/>
  <c r="S81" i="21"/>
  <c r="J82" i="21"/>
  <c r="AL83" i="21"/>
  <c r="AL86" i="21"/>
  <c r="AK87" i="21"/>
  <c r="I88" i="21"/>
  <c r="AL90" i="21"/>
  <c r="AK91" i="21"/>
  <c r="J92" i="21"/>
  <c r="AK94" i="21"/>
  <c r="AK95" i="21"/>
  <c r="T99" i="21"/>
  <c r="AK103" i="21"/>
  <c r="AS107" i="21"/>
  <c r="AR107" i="21"/>
  <c r="AL122" i="21"/>
  <c r="AK130" i="21"/>
  <c r="AR80" i="21"/>
  <c r="AR88" i="21"/>
  <c r="I108" i="21"/>
  <c r="AR110" i="21"/>
  <c r="AL115" i="21"/>
  <c r="AK127" i="21"/>
  <c r="AL130" i="21"/>
  <c r="AL137" i="21"/>
  <c r="AR69" i="21"/>
  <c r="AR77" i="21"/>
  <c r="AR85" i="21"/>
  <c r="AR93" i="21"/>
  <c r="AP104" i="21"/>
  <c r="S106" i="21"/>
  <c r="AS109" i="21"/>
  <c r="AK110" i="21"/>
  <c r="AK112" i="21"/>
  <c r="AS118" i="21"/>
  <c r="AR118" i="21"/>
  <c r="AL123" i="21"/>
  <c r="AL124" i="21"/>
  <c r="AS169" i="21"/>
  <c r="AR169" i="21"/>
  <c r="AR66" i="21"/>
  <c r="AR74" i="21"/>
  <c r="AR82" i="21"/>
  <c r="AR90" i="21"/>
  <c r="AS95" i="21"/>
  <c r="AK98" i="21"/>
  <c r="S101" i="21"/>
  <c r="AR102" i="21"/>
  <c r="AK104" i="21"/>
  <c r="AL110" i="21"/>
  <c r="AK113" i="21"/>
  <c r="AK117" i="21"/>
  <c r="AK120" i="21"/>
  <c r="AS126" i="21"/>
  <c r="AR126" i="21"/>
  <c r="AL131" i="21"/>
  <c r="AL132" i="21"/>
  <c r="AK135" i="21"/>
  <c r="AK140" i="21"/>
  <c r="AR63" i="21"/>
  <c r="T101" i="21"/>
  <c r="AL102" i="21"/>
  <c r="AL105" i="21"/>
  <c r="AL107" i="21"/>
  <c r="AK109" i="21"/>
  <c r="J111" i="21"/>
  <c r="AL112" i="21"/>
  <c r="AS112" i="21"/>
  <c r="AP112" i="21"/>
  <c r="J114" i="21"/>
  <c r="I119" i="21"/>
  <c r="AK121" i="21"/>
  <c r="T123" i="21"/>
  <c r="AK125" i="21"/>
  <c r="AK128" i="21"/>
  <c r="AS134" i="21"/>
  <c r="AR134" i="21"/>
  <c r="AR60" i="21"/>
  <c r="AR68" i="21"/>
  <c r="AR76" i="21"/>
  <c r="AR84" i="21"/>
  <c r="AR92" i="21"/>
  <c r="AR97" i="21"/>
  <c r="J101" i="21"/>
  <c r="I103" i="21"/>
  <c r="S104" i="21"/>
  <c r="I105" i="21"/>
  <c r="J106" i="21"/>
  <c r="T107" i="21"/>
  <c r="I110" i="21"/>
  <c r="AL113" i="21"/>
  <c r="T116" i="21"/>
  <c r="AL117" i="21"/>
  <c r="J118" i="21"/>
  <c r="J119" i="21"/>
  <c r="AL120" i="21"/>
  <c r="AS120" i="21"/>
  <c r="AP120" i="21"/>
  <c r="J122" i="21"/>
  <c r="S124" i="21"/>
  <c r="I126" i="21"/>
  <c r="I127" i="21"/>
  <c r="AK129" i="21"/>
  <c r="T131" i="21"/>
  <c r="AK133" i="21"/>
  <c r="AL135" i="21"/>
  <c r="AS142" i="21"/>
  <c r="AR142" i="21"/>
  <c r="AS99" i="21"/>
  <c r="AR99" i="21"/>
  <c r="J103" i="21"/>
  <c r="T104" i="21"/>
  <c r="AL109" i="21"/>
  <c r="T112" i="21"/>
  <c r="I113" i="21"/>
  <c r="AK114" i="21"/>
  <c r="I116" i="21"/>
  <c r="S117" i="21"/>
  <c r="AK118" i="21"/>
  <c r="AL121" i="21"/>
  <c r="T124" i="21"/>
  <c r="AL125" i="21"/>
  <c r="J126" i="21"/>
  <c r="J127" i="21"/>
  <c r="AL128" i="21"/>
  <c r="AS128" i="21"/>
  <c r="AP128" i="21"/>
  <c r="J130" i="21"/>
  <c r="S132" i="21"/>
  <c r="I134" i="21"/>
  <c r="AK138" i="21"/>
  <c r="AK143" i="21"/>
  <c r="T136" i="21"/>
  <c r="AL136" i="21"/>
  <c r="J140" i="21"/>
  <c r="T142" i="21"/>
  <c r="S144" i="21"/>
  <c r="AL148" i="21"/>
  <c r="AS161" i="21"/>
  <c r="AR161" i="21"/>
  <c r="T162" i="21"/>
  <c r="S167" i="21"/>
  <c r="AK171" i="21"/>
  <c r="AK172" i="21"/>
  <c r="S174" i="21"/>
  <c r="I176" i="21"/>
  <c r="AK194" i="21"/>
  <c r="I137" i="21"/>
  <c r="AK139" i="21"/>
  <c r="S141" i="21"/>
  <c r="AS144" i="21"/>
  <c r="AL153" i="21"/>
  <c r="AS155" i="21"/>
  <c r="AL160" i="21"/>
  <c r="AS197" i="21"/>
  <c r="AR197" i="21"/>
  <c r="AR115" i="21"/>
  <c r="AR123" i="21"/>
  <c r="AP125" i="21"/>
  <c r="AR131" i="21"/>
  <c r="AP133" i="21"/>
  <c r="AL140" i="21"/>
  <c r="I143" i="21"/>
  <c r="J144" i="21"/>
  <c r="AK152" i="21"/>
  <c r="AK158" i="21"/>
  <c r="AS163" i="21"/>
  <c r="AL165" i="21"/>
  <c r="AL168" i="21"/>
  <c r="AK169" i="21"/>
  <c r="AL139" i="21"/>
  <c r="AS139" i="21"/>
  <c r="AS150" i="21"/>
  <c r="AR150" i="21"/>
  <c r="AK155" i="21"/>
  <c r="AL158" i="21"/>
  <c r="AK162" i="21"/>
  <c r="AK166" i="21"/>
  <c r="J167" i="21"/>
  <c r="AS171" i="21"/>
  <c r="AL173" i="21"/>
  <c r="AL176" i="21"/>
  <c r="I135" i="21"/>
  <c r="AK137" i="21"/>
  <c r="AS138" i="21"/>
  <c r="AK142" i="21"/>
  <c r="AK144" i="21"/>
  <c r="S151" i="21"/>
  <c r="AL152" i="21"/>
  <c r="AK154" i="21"/>
  <c r="AL159" i="21"/>
  <c r="AL166" i="21"/>
  <c r="T168" i="21"/>
  <c r="AK170" i="21"/>
  <c r="I172" i="21"/>
  <c r="S173" i="21"/>
  <c r="AK174" i="21"/>
  <c r="S176" i="21"/>
  <c r="AK177" i="21"/>
  <c r="AK182" i="21"/>
  <c r="AS184" i="21"/>
  <c r="AR184" i="21"/>
  <c r="AL188" i="21"/>
  <c r="AK198" i="21"/>
  <c r="AR106" i="21"/>
  <c r="AR114" i="21"/>
  <c r="AR122" i="21"/>
  <c r="AR130" i="21"/>
  <c r="S135" i="21"/>
  <c r="I140" i="21"/>
  <c r="AL142" i="21"/>
  <c r="I151" i="21"/>
  <c r="S152" i="21"/>
  <c r="T155" i="21"/>
  <c r="AL155" i="21"/>
  <c r="AK156" i="21"/>
  <c r="J157" i="21"/>
  <c r="S158" i="21"/>
  <c r="I160" i="21"/>
  <c r="I161" i="21"/>
  <c r="S162" i="21"/>
  <c r="J164" i="21"/>
  <c r="T165" i="21"/>
  <c r="AL174" i="21"/>
  <c r="T176" i="21"/>
  <c r="AL192" i="21"/>
  <c r="AK145" i="21"/>
  <c r="S146" i="21"/>
  <c r="S147" i="21"/>
  <c r="AK147" i="21"/>
  <c r="S149" i="21"/>
  <c r="T152" i="21"/>
  <c r="AS152" i="21"/>
  <c r="S154" i="21"/>
  <c r="AL156" i="21"/>
  <c r="T158" i="21"/>
  <c r="S159" i="21"/>
  <c r="J160" i="21"/>
  <c r="AL161" i="21"/>
  <c r="AK163" i="21"/>
  <c r="AK164" i="21"/>
  <c r="S166" i="21"/>
  <c r="I168" i="21"/>
  <c r="I169" i="21"/>
  <c r="S170" i="21"/>
  <c r="J172" i="21"/>
  <c r="T173" i="21"/>
  <c r="AL175" i="21"/>
  <c r="AL182" i="21"/>
  <c r="S177" i="21"/>
  <c r="AL178" i="21"/>
  <c r="J188" i="21"/>
  <c r="I190" i="21"/>
  <c r="AK192" i="21"/>
  <c r="S195" i="21"/>
  <c r="S204" i="21"/>
  <c r="AL204" i="21"/>
  <c r="I205" i="21"/>
  <c r="AK210" i="21"/>
  <c r="S211" i="21"/>
  <c r="I182" i="21"/>
  <c r="J196" i="21"/>
  <c r="I198" i="21"/>
  <c r="AS199" i="21"/>
  <c r="AL215" i="21"/>
  <c r="AR158" i="21"/>
  <c r="AR166" i="21"/>
  <c r="AR174" i="21"/>
  <c r="AR176" i="21"/>
  <c r="AL179" i="21"/>
  <c r="AK193" i="21"/>
  <c r="AK197" i="21"/>
  <c r="AL200" i="21"/>
  <c r="AK202" i="21"/>
  <c r="AS205" i="21"/>
  <c r="AR205" i="21"/>
  <c r="AS213" i="21"/>
  <c r="AR213" i="21"/>
  <c r="AK214" i="21"/>
  <c r="AS215" i="21"/>
  <c r="AK217" i="21"/>
  <c r="AL251" i="21"/>
  <c r="AK253" i="21"/>
  <c r="AR155" i="21"/>
  <c r="AR163" i="21"/>
  <c r="AR171" i="21"/>
  <c r="S180" i="21"/>
  <c r="AS183" i="21"/>
  <c r="AR183" i="21"/>
  <c r="AK184" i="21"/>
  <c r="S188" i="21"/>
  <c r="S191" i="21"/>
  <c r="AK196" i="21"/>
  <c r="AL202" i="21"/>
  <c r="J204" i="21"/>
  <c r="I206" i="21"/>
  <c r="AS207" i="21"/>
  <c r="AL217" i="21"/>
  <c r="AL246" i="21"/>
  <c r="AR144" i="21"/>
  <c r="AR152" i="21"/>
  <c r="AR160" i="21"/>
  <c r="AR168" i="21"/>
  <c r="AS177" i="21"/>
  <c r="T180" i="21"/>
  <c r="I184" i="21"/>
  <c r="J185" i="21"/>
  <c r="T185" i="21"/>
  <c r="AS186" i="21"/>
  <c r="AL187" i="21"/>
  <c r="AL191" i="21"/>
  <c r="AR192" i="21"/>
  <c r="S193" i="21"/>
  <c r="T194" i="21"/>
  <c r="T197" i="21"/>
  <c r="AL197" i="21"/>
  <c r="AK199" i="21"/>
  <c r="AK201" i="21"/>
  <c r="AK205" i="21"/>
  <c r="AL208" i="21"/>
  <c r="AK212" i="21"/>
  <c r="AK213" i="21"/>
  <c r="I214" i="21"/>
  <c r="S217" i="21"/>
  <c r="S220" i="21"/>
  <c r="AL221" i="21"/>
  <c r="AR227" i="21"/>
  <c r="AS227" i="21"/>
  <c r="J238" i="21"/>
  <c r="S246" i="21"/>
  <c r="I180" i="21"/>
  <c r="S187" i="21"/>
  <c r="J191" i="21"/>
  <c r="T191" i="21"/>
  <c r="I193" i="21"/>
  <c r="S196" i="21"/>
  <c r="AL196" i="21"/>
  <c r="I197" i="21"/>
  <c r="S199" i="21"/>
  <c r="S202" i="21"/>
  <c r="J203" i="21"/>
  <c r="AK204" i="21"/>
  <c r="AL211" i="21"/>
  <c r="AL219" i="21"/>
  <c r="AK232" i="21"/>
  <c r="AK240" i="21"/>
  <c r="AK183" i="21"/>
  <c r="AK186" i="21"/>
  <c r="I188" i="21"/>
  <c r="AS189" i="21"/>
  <c r="AR189" i="21"/>
  <c r="T193" i="21"/>
  <c r="AS194" i="21"/>
  <c r="AL195" i="21"/>
  <c r="AL199" i="21"/>
  <c r="AR200" i="21"/>
  <c r="S201" i="21"/>
  <c r="T202" i="21"/>
  <c r="T205" i="21"/>
  <c r="AL205" i="21"/>
  <c r="AK207" i="21"/>
  <c r="AK209" i="21"/>
  <c r="S212" i="21"/>
  <c r="AL212" i="21"/>
  <c r="AL213" i="21"/>
  <c r="T217" i="21"/>
  <c r="S222" i="21"/>
  <c r="AS233" i="21"/>
  <c r="AP233" i="21"/>
  <c r="AL238" i="21"/>
  <c r="AS239" i="21"/>
  <c r="AR239" i="21"/>
  <c r="AL250" i="21"/>
  <c r="AS266" i="21"/>
  <c r="AR266" i="21"/>
  <c r="AK273" i="21"/>
  <c r="J222" i="21"/>
  <c r="AK234" i="21"/>
  <c r="AL236" i="21"/>
  <c r="AS241" i="21"/>
  <c r="AP241" i="21"/>
  <c r="AS247" i="21"/>
  <c r="AR247" i="21"/>
  <c r="AL223" i="21"/>
  <c r="AS229" i="21"/>
  <c r="AL245" i="21"/>
  <c r="J246" i="21"/>
  <c r="AL249" i="21"/>
  <c r="AK251" i="21"/>
  <c r="T252" i="21"/>
  <c r="S254" i="21"/>
  <c r="AK257" i="21"/>
  <c r="AL282" i="21"/>
  <c r="AR191" i="21"/>
  <c r="AR199" i="21"/>
  <c r="AR207" i="21"/>
  <c r="AR215" i="21"/>
  <c r="AS231" i="21"/>
  <c r="AR231" i="21"/>
  <c r="AL234" i="21"/>
  <c r="AS236" i="21"/>
  <c r="AK239" i="21"/>
  <c r="AK242" i="21"/>
  <c r="AL244" i="21"/>
  <c r="I248" i="21"/>
  <c r="AS249" i="21"/>
  <c r="AP249" i="21"/>
  <c r="AS255" i="21"/>
  <c r="AR255" i="21"/>
  <c r="AK264" i="21"/>
  <c r="AL266" i="21"/>
  <c r="AR180" i="21"/>
  <c r="AR188" i="21"/>
  <c r="AR196" i="21"/>
  <c r="T223" i="21"/>
  <c r="AL225" i="21"/>
  <c r="J226" i="21"/>
  <c r="AK227" i="21"/>
  <c r="AK228" i="21"/>
  <c r="S230" i="21"/>
  <c r="J235" i="21"/>
  <c r="AK236" i="21"/>
  <c r="I237" i="21"/>
  <c r="AL239" i="21"/>
  <c r="J241" i="21"/>
  <c r="I242" i="21"/>
  <c r="AR242" i="21"/>
  <c r="T243" i="21"/>
  <c r="S245" i="21"/>
  <c r="T249" i="21"/>
  <c r="S251" i="21"/>
  <c r="AL253" i="21"/>
  <c r="J254" i="21"/>
  <c r="S256" i="21"/>
  <c r="AL257" i="21"/>
  <c r="AS258" i="21"/>
  <c r="AR258" i="21"/>
  <c r="AK272" i="21"/>
  <c r="S275" i="21"/>
  <c r="AR217" i="21"/>
  <c r="AS221" i="21"/>
  <c r="S225" i="21"/>
  <c r="AL229" i="21"/>
  <c r="I232" i="21"/>
  <c r="S232" i="21"/>
  <c r="AL233" i="21"/>
  <c r="AK238" i="21"/>
  <c r="AL242" i="21"/>
  <c r="I243" i="21"/>
  <c r="AS244" i="21"/>
  <c r="AK247" i="21"/>
  <c r="I256" i="21"/>
  <c r="S257" i="21"/>
  <c r="AS257" i="21"/>
  <c r="AP257" i="21"/>
  <c r="I259" i="21"/>
  <c r="S266" i="21"/>
  <c r="AK268" i="21"/>
  <c r="AK276" i="21"/>
  <c r="I223" i="21"/>
  <c r="AS223" i="21"/>
  <c r="AR223" i="21"/>
  <c r="T225" i="21"/>
  <c r="AL226" i="21"/>
  <c r="T228" i="21"/>
  <c r="J230" i="21"/>
  <c r="AK231" i="21"/>
  <c r="S233" i="21"/>
  <c r="AK235" i="21"/>
  <c r="T236" i="21"/>
  <c r="J237" i="21"/>
  <c r="S238" i="21"/>
  <c r="T239" i="21"/>
  <c r="AK241" i="21"/>
  <c r="J243" i="21"/>
  <c r="AK244" i="21"/>
  <c r="I245" i="21"/>
  <c r="AL247" i="21"/>
  <c r="J249" i="21"/>
  <c r="I250" i="21"/>
  <c r="AR250" i="21"/>
  <c r="T251" i="21"/>
  <c r="S253" i="21"/>
  <c r="T257" i="21"/>
  <c r="AK258" i="21"/>
  <c r="J259" i="21"/>
  <c r="AS235" i="21"/>
  <c r="AS243" i="21"/>
  <c r="AS251" i="21"/>
  <c r="T268" i="21"/>
  <c r="AK269" i="21"/>
  <c r="AK274" i="21"/>
  <c r="AK280" i="21"/>
  <c r="AK283" i="21"/>
  <c r="AL290" i="21"/>
  <c r="AL298" i="21"/>
  <c r="AL305" i="21"/>
  <c r="AS261" i="21"/>
  <c r="AK263" i="21"/>
  <c r="AK306" i="21"/>
  <c r="AS259" i="21"/>
  <c r="AK261" i="21"/>
  <c r="S263" i="21"/>
  <c r="I267" i="21"/>
  <c r="T267" i="21"/>
  <c r="I273" i="21"/>
  <c r="J274" i="21"/>
  <c r="AS275" i="21"/>
  <c r="AR275" i="21"/>
  <c r="S276" i="21"/>
  <c r="T277" i="21"/>
  <c r="S279" i="21"/>
  <c r="T280" i="21"/>
  <c r="S282" i="21"/>
  <c r="AS286" i="21"/>
  <c r="AR286" i="21"/>
  <c r="AK288" i="21"/>
  <c r="AS294" i="21"/>
  <c r="AR294" i="21"/>
  <c r="AK296" i="21"/>
  <c r="AS300" i="21"/>
  <c r="AR300" i="21"/>
  <c r="AL306" i="21"/>
  <c r="AK309" i="21"/>
  <c r="AR236" i="21"/>
  <c r="AP238" i="21"/>
  <c r="AR244" i="21"/>
  <c r="AP246" i="21"/>
  <c r="AR252" i="21"/>
  <c r="AP254" i="21"/>
  <c r="J261" i="21"/>
  <c r="AL262" i="21"/>
  <c r="AL264" i="21"/>
  <c r="AL265" i="21"/>
  <c r="AK271" i="21"/>
  <c r="I276" i="21"/>
  <c r="AS277" i="21"/>
  <c r="AP277" i="21"/>
  <c r="AR278" i="21"/>
  <c r="AK285" i="21"/>
  <c r="AK289" i="21"/>
  <c r="AK293" i="21"/>
  <c r="AK297" i="21"/>
  <c r="AK299" i="21"/>
  <c r="AK300" i="21"/>
  <c r="AK308" i="21"/>
  <c r="J260" i="21"/>
  <c r="AL261" i="21"/>
  <c r="T263" i="21"/>
  <c r="I265" i="21"/>
  <c r="I266" i="21"/>
  <c r="AK270" i="21"/>
  <c r="AR270" i="21"/>
  <c r="S271" i="21"/>
  <c r="T272" i="21"/>
  <c r="J273" i="21"/>
  <c r="AK278" i="21"/>
  <c r="AL280" i="21"/>
  <c r="AP280" i="21"/>
  <c r="AS283" i="21"/>
  <c r="AR283" i="21"/>
  <c r="S284" i="21"/>
  <c r="I287" i="21"/>
  <c r="AS288" i="21"/>
  <c r="AP288" i="21"/>
  <c r="J290" i="21"/>
  <c r="I295" i="21"/>
  <c r="AS296" i="21"/>
  <c r="AP296" i="21"/>
  <c r="J298" i="21"/>
  <c r="AK302" i="21"/>
  <c r="J262" i="21"/>
  <c r="J266" i="21"/>
  <c r="S268" i="21"/>
  <c r="AL270" i="21"/>
  <c r="AS274" i="21"/>
  <c r="AR274" i="21"/>
  <c r="AK275" i="21"/>
  <c r="AL278" i="21"/>
  <c r="I279" i="21"/>
  <c r="AL281" i="21"/>
  <c r="J282" i="21"/>
  <c r="I284" i="21"/>
  <c r="J287" i="21"/>
  <c r="AL289" i="21"/>
  <c r="J295" i="21"/>
  <c r="AL297" i="21"/>
  <c r="T300" i="21"/>
  <c r="AL324" i="21"/>
  <c r="T264" i="21"/>
  <c r="J265" i="21"/>
  <c r="AS267" i="21"/>
  <c r="AR267" i="21"/>
  <c r="I271" i="21"/>
  <c r="T271" i="21"/>
  <c r="AL275" i="21"/>
  <c r="AK277" i="21"/>
  <c r="J279" i="21"/>
  <c r="I281" i="21"/>
  <c r="S285" i="21"/>
  <c r="AK286" i="21"/>
  <c r="T288" i="21"/>
  <c r="AL288" i="21"/>
  <c r="I289" i="21"/>
  <c r="AK290" i="21"/>
  <c r="I292" i="21"/>
  <c r="S293" i="21"/>
  <c r="AK294" i="21"/>
  <c r="T296" i="21"/>
  <c r="AL296" i="21"/>
  <c r="I297" i="21"/>
  <c r="AK298" i="21"/>
  <c r="AK301" i="21"/>
  <c r="AL302" i="21"/>
  <c r="I303" i="21"/>
  <c r="J304" i="21"/>
  <c r="I300" i="21"/>
  <c r="J306" i="21"/>
  <c r="AS307" i="21"/>
  <c r="AR307" i="21"/>
  <c r="AL310" i="21"/>
  <c r="T312" i="21"/>
  <c r="AL315" i="21"/>
  <c r="J316" i="21"/>
  <c r="AR324" i="21"/>
  <c r="AS324" i="21"/>
  <c r="AP285" i="21"/>
  <c r="AR291" i="21"/>
  <c r="AP293" i="21"/>
  <c r="AR310" i="21"/>
  <c r="T311" i="21"/>
  <c r="S313" i="21"/>
  <c r="AL318" i="21"/>
  <c r="AR326" i="21"/>
  <c r="AS326" i="21"/>
  <c r="AK327" i="21"/>
  <c r="AS301" i="21"/>
  <c r="I308" i="21"/>
  <c r="AS309" i="21"/>
  <c r="AR311" i="21"/>
  <c r="AS311" i="21"/>
  <c r="S320" i="21"/>
  <c r="J301" i="21"/>
  <c r="S304" i="21"/>
  <c r="AK307" i="21"/>
  <c r="AL316" i="21"/>
  <c r="AS318" i="21"/>
  <c r="AL327" i="21"/>
  <c r="AR282" i="21"/>
  <c r="AR290" i="21"/>
  <c r="AR298" i="21"/>
  <c r="AP299" i="21"/>
  <c r="I302" i="21"/>
  <c r="AK304" i="21"/>
  <c r="AS305" i="21"/>
  <c r="AL307" i="21"/>
  <c r="S324" i="21"/>
  <c r="AS339" i="21"/>
  <c r="AR339" i="21"/>
  <c r="AR271" i="21"/>
  <c r="AR279" i="21"/>
  <c r="AR287" i="21"/>
  <c r="AR295" i="21"/>
  <c r="J303" i="21"/>
  <c r="I318" i="21"/>
  <c r="I320" i="21"/>
  <c r="AL322" i="21"/>
  <c r="AS322" i="21"/>
  <c r="AP322" i="21"/>
  <c r="AK323" i="21"/>
  <c r="AK326" i="21"/>
  <c r="J330" i="21"/>
  <c r="S306" i="21"/>
  <c r="T307" i="21"/>
  <c r="AL309" i="21"/>
  <c r="AK311" i="21"/>
  <c r="AK312" i="21"/>
  <c r="AL314" i="21"/>
  <c r="AS315" i="21"/>
  <c r="AR315" i="21"/>
  <c r="J318" i="21"/>
  <c r="AK320" i="21"/>
  <c r="AK321" i="21"/>
  <c r="AK322" i="21"/>
  <c r="S323" i="21"/>
  <c r="AK325" i="21"/>
  <c r="AL326" i="21"/>
  <c r="AS327" i="21"/>
  <c r="AP327" i="21"/>
  <c r="AS317" i="21"/>
  <c r="AR317" i="21"/>
  <c r="S319" i="21"/>
  <c r="AK319" i="21"/>
  <c r="AS319" i="21"/>
  <c r="AP319" i="21"/>
  <c r="J327" i="21"/>
  <c r="J332" i="21"/>
  <c r="AL334" i="21"/>
  <c r="AL335" i="21"/>
  <c r="J319" i="21"/>
  <c r="I324" i="21"/>
  <c r="AR329" i="21"/>
  <c r="AS329" i="21"/>
  <c r="AP335" i="21"/>
  <c r="AS335" i="21"/>
  <c r="T338" i="21"/>
  <c r="I340" i="21"/>
  <c r="S344" i="21"/>
  <c r="I346" i="21"/>
  <c r="I316" i="21"/>
  <c r="S322" i="21"/>
  <c r="J324" i="21"/>
  <c r="AR328" i="21"/>
  <c r="T329" i="21"/>
  <c r="I334" i="21"/>
  <c r="AK334" i="21"/>
  <c r="AL337" i="21"/>
  <c r="AL328" i="21"/>
  <c r="T330" i="21"/>
  <c r="J340" i="21"/>
  <c r="AS344" i="21"/>
  <c r="AR344" i="21"/>
  <c r="AK317" i="21"/>
  <c r="AL320" i="21"/>
  <c r="I323" i="21"/>
  <c r="T325" i="21"/>
  <c r="AS325" i="21"/>
  <c r="AR325" i="21"/>
  <c r="J333" i="21"/>
  <c r="AL344" i="21"/>
  <c r="AK330" i="21"/>
  <c r="AL331" i="21"/>
  <c r="AS333" i="21"/>
  <c r="AR333" i="21"/>
  <c r="S335" i="21"/>
  <c r="AL341" i="21"/>
  <c r="AK333" i="21"/>
  <c r="J335" i="21"/>
  <c r="AL336" i="21"/>
  <c r="S338" i="21"/>
  <c r="AK338" i="21"/>
  <c r="I345" i="21"/>
  <c r="J348" i="21"/>
  <c r="T354" i="21"/>
  <c r="AL356" i="21"/>
  <c r="I329" i="21"/>
  <c r="AL333" i="21"/>
  <c r="AR336" i="21"/>
  <c r="T341" i="21"/>
  <c r="J345" i="21"/>
  <c r="AS345" i="21"/>
  <c r="AK346" i="21"/>
  <c r="AL352" i="21"/>
  <c r="I354" i="21"/>
  <c r="T360" i="21"/>
  <c r="T333" i="21"/>
  <c r="J337" i="21"/>
  <c r="AS338" i="21"/>
  <c r="AL339" i="21"/>
  <c r="AS341" i="21"/>
  <c r="AR341" i="21"/>
  <c r="S343" i="21"/>
  <c r="AK347" i="21"/>
  <c r="S353" i="21"/>
  <c r="J354" i="21"/>
  <c r="AL360" i="21"/>
  <c r="AK348" i="21"/>
  <c r="AS353" i="21"/>
  <c r="AS361" i="21"/>
  <c r="AR361" i="21"/>
  <c r="AK362" i="21"/>
  <c r="AL368" i="21"/>
  <c r="AK370" i="21"/>
  <c r="I347" i="21"/>
  <c r="S347" i="21"/>
  <c r="S350" i="21"/>
  <c r="AK354" i="21"/>
  <c r="T356" i="21"/>
  <c r="AS357" i="21"/>
  <c r="S358" i="21"/>
  <c r="AS359" i="21"/>
  <c r="AR359" i="21"/>
  <c r="I362" i="21"/>
  <c r="AL370" i="21"/>
  <c r="AL372" i="21"/>
  <c r="AL375" i="21"/>
  <c r="AR330" i="21"/>
  <c r="S346" i="21"/>
  <c r="AL347" i="21"/>
  <c r="J351" i="21"/>
  <c r="T351" i="21"/>
  <c r="AL351" i="21"/>
  <c r="AK353" i="21"/>
  <c r="AL354" i="21"/>
  <c r="I355" i="21"/>
  <c r="I356" i="21"/>
  <c r="I360" i="21"/>
  <c r="AK361" i="21"/>
  <c r="AK365" i="21"/>
  <c r="AK373" i="21"/>
  <c r="I374" i="21"/>
  <c r="S348" i="21"/>
  <c r="I350" i="21"/>
  <c r="AR352" i="21"/>
  <c r="S354" i="21"/>
  <c r="T357" i="21"/>
  <c r="AL357" i="21"/>
  <c r="I358" i="21"/>
  <c r="AK360" i="21"/>
  <c r="AR360" i="21"/>
  <c r="T366" i="21"/>
  <c r="AL373" i="21"/>
  <c r="J355" i="21"/>
  <c r="I357" i="21"/>
  <c r="AK359" i="21"/>
  <c r="S361" i="21"/>
  <c r="AP362" i="21"/>
  <c r="AS362" i="21"/>
  <c r="S373" i="21"/>
  <c r="I348" i="21"/>
  <c r="I349" i="21"/>
  <c r="AS351" i="21"/>
  <c r="AR351" i="21"/>
  <c r="AK352" i="21"/>
  <c r="AR364" i="21"/>
  <c r="AK375" i="21"/>
  <c r="AL364" i="21"/>
  <c r="S365" i="21"/>
  <c r="AS369" i="21"/>
  <c r="I373" i="21"/>
  <c r="J368" i="21"/>
  <c r="J373" i="21"/>
  <c r="AS374" i="21"/>
  <c r="AR374" i="21"/>
  <c r="AS377" i="21"/>
  <c r="AL384" i="21"/>
  <c r="I365" i="21"/>
  <c r="AL369" i="21"/>
  <c r="I370" i="21"/>
  <c r="AK371" i="21"/>
  <c r="AK374" i="21"/>
  <c r="I375" i="21"/>
  <c r="AK377" i="21"/>
  <c r="AK381" i="21"/>
  <c r="J365" i="21"/>
  <c r="AS366" i="21"/>
  <c r="AR366" i="21"/>
  <c r="AL377" i="21"/>
  <c r="I378" i="21"/>
  <c r="AK363" i="21"/>
  <c r="AK366" i="21"/>
  <c r="I367" i="21"/>
  <c r="J370" i="21"/>
  <c r="S371" i="21"/>
  <c r="T374" i="21"/>
  <c r="AL374" i="21"/>
  <c r="AR375" i="21"/>
  <c r="S363" i="21"/>
  <c r="AS368" i="21"/>
  <c r="T371" i="21"/>
  <c r="S376" i="21"/>
  <c r="J378" i="21"/>
  <c r="S379" i="21"/>
  <c r="AL391" i="21"/>
  <c r="AK393" i="21"/>
  <c r="AK384" i="21"/>
  <c r="T385" i="21"/>
  <c r="S387" i="21"/>
  <c r="AS398" i="21"/>
  <c r="S403" i="21"/>
  <c r="AS396" i="21"/>
  <c r="AR396" i="21"/>
  <c r="AL402" i="21"/>
  <c r="AK404" i="21"/>
  <c r="AS382" i="21"/>
  <c r="AS388" i="21"/>
  <c r="AR388" i="21"/>
  <c r="AL390" i="21"/>
  <c r="AK392" i="21"/>
  <c r="T393" i="21"/>
  <c r="AK400" i="21"/>
  <c r="AK401" i="21"/>
  <c r="AL404" i="21"/>
  <c r="AL386" i="21"/>
  <c r="J387" i="21"/>
  <c r="I389" i="21"/>
  <c r="S390" i="21"/>
  <c r="I397" i="21"/>
  <c r="AS401" i="21"/>
  <c r="AR368" i="21"/>
  <c r="AR376" i="21"/>
  <c r="AR383" i="21"/>
  <c r="T384" i="21"/>
  <c r="AP385" i="21"/>
  <c r="T390" i="21"/>
  <c r="AS390" i="21"/>
  <c r="S392" i="21"/>
  <c r="S395" i="21"/>
  <c r="AK398" i="21"/>
  <c r="S400" i="21"/>
  <c r="T404" i="21"/>
  <c r="S381" i="21"/>
  <c r="AK382" i="21"/>
  <c r="AL383" i="21"/>
  <c r="I384" i="21"/>
  <c r="AK385" i="21"/>
  <c r="S386" i="21"/>
  <c r="AL394" i="21"/>
  <c r="AK396" i="21"/>
  <c r="I402" i="21"/>
  <c r="AS404" i="21"/>
  <c r="AR404" i="21"/>
  <c r="AR382" i="21"/>
  <c r="AP384" i="21"/>
  <c r="AR390" i="21"/>
  <c r="AP392" i="21"/>
  <c r="AR398" i="21"/>
  <c r="AP400" i="21"/>
  <c r="AR387" i="21"/>
  <c r="AR405" i="21" l="1"/>
  <c r="AP405" i="21"/>
  <c r="AN405" i="21" l="1"/>
  <c r="AM405" i="21"/>
  <c r="AA404" i="19" l="1"/>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BH196" i="12"/>
  <c r="BH228" i="12"/>
  <c r="BH243" i="12"/>
  <c r="BH260" i="12"/>
  <c r="BH275" i="12"/>
  <c r="BH292" i="12"/>
  <c r="BH324" i="12"/>
  <c r="BH356" i="12"/>
  <c r="BH371" i="12"/>
  <c r="BH388" i="12"/>
  <c r="BG192" i="12"/>
  <c r="BH192" i="12" s="1"/>
  <c r="BG193" i="12"/>
  <c r="BH193" i="12" s="1"/>
  <c r="BG194" i="12"/>
  <c r="BH194" i="12" s="1"/>
  <c r="BG195" i="12"/>
  <c r="BH195" i="12" s="1"/>
  <c r="BG196" i="12"/>
  <c r="BG197" i="12"/>
  <c r="BH197" i="12" s="1"/>
  <c r="BG198" i="12"/>
  <c r="BH198" i="12" s="1"/>
  <c r="BG199" i="12"/>
  <c r="BH199" i="12" s="1"/>
  <c r="BG200" i="12"/>
  <c r="BH200" i="12" s="1"/>
  <c r="BG201" i="12"/>
  <c r="BH201" i="12" s="1"/>
  <c r="BG202" i="12"/>
  <c r="BH202" i="12" s="1"/>
  <c r="BG203" i="12"/>
  <c r="BH203" i="12" s="1"/>
  <c r="BG204" i="12"/>
  <c r="BH204" i="12" s="1"/>
  <c r="BG205" i="12"/>
  <c r="BH205" i="12" s="1"/>
  <c r="BG206" i="12"/>
  <c r="BH206" i="12" s="1"/>
  <c r="BG207" i="12"/>
  <c r="BH207" i="12" s="1"/>
  <c r="BG208" i="12"/>
  <c r="BH208" i="12" s="1"/>
  <c r="BG209" i="12"/>
  <c r="BH209" i="12" s="1"/>
  <c r="BG210" i="12"/>
  <c r="BH210" i="12" s="1"/>
  <c r="BG211" i="12"/>
  <c r="BH211" i="12" s="1"/>
  <c r="BG212" i="12"/>
  <c r="BH212" i="12" s="1"/>
  <c r="BG213" i="12"/>
  <c r="BH213" i="12" s="1"/>
  <c r="BG214" i="12"/>
  <c r="BH214" i="12" s="1"/>
  <c r="BG215" i="12"/>
  <c r="BH215" i="12" s="1"/>
  <c r="BG216" i="12"/>
  <c r="BH216" i="12" s="1"/>
  <c r="BG217" i="12"/>
  <c r="BH217" i="12" s="1"/>
  <c r="BG218" i="12"/>
  <c r="BH218" i="12" s="1"/>
  <c r="BG219" i="12"/>
  <c r="BH219" i="12" s="1"/>
  <c r="BG220" i="12"/>
  <c r="BH220" i="12" s="1"/>
  <c r="BG221" i="12"/>
  <c r="BH221" i="12" s="1"/>
  <c r="BG222" i="12"/>
  <c r="BH222" i="12" s="1"/>
  <c r="BG223" i="12"/>
  <c r="BH223" i="12" s="1"/>
  <c r="BG224" i="12"/>
  <c r="BH224" i="12" s="1"/>
  <c r="BG225" i="12"/>
  <c r="BH225" i="12" s="1"/>
  <c r="BG226" i="12"/>
  <c r="BH226" i="12" s="1"/>
  <c r="BG227" i="12"/>
  <c r="BH227" i="12" s="1"/>
  <c r="BG228" i="12"/>
  <c r="BG229" i="12"/>
  <c r="BH229" i="12" s="1"/>
  <c r="BG230" i="12"/>
  <c r="BH230" i="12" s="1"/>
  <c r="BG231" i="12"/>
  <c r="BH231" i="12" s="1"/>
  <c r="BG232" i="12"/>
  <c r="BH232" i="12" s="1"/>
  <c r="BG233" i="12"/>
  <c r="BH233" i="12" s="1"/>
  <c r="BG234" i="12"/>
  <c r="BH234" i="12" s="1"/>
  <c r="BG235" i="12"/>
  <c r="BH235" i="12" s="1"/>
  <c r="BG236" i="12"/>
  <c r="BH236" i="12" s="1"/>
  <c r="BG237" i="12"/>
  <c r="BH237" i="12" s="1"/>
  <c r="BG238" i="12"/>
  <c r="BH238" i="12" s="1"/>
  <c r="BG239" i="12"/>
  <c r="BH239" i="12" s="1"/>
  <c r="BG240" i="12"/>
  <c r="BH240" i="12" s="1"/>
  <c r="BG241" i="12"/>
  <c r="BH241" i="12" s="1"/>
  <c r="BG242" i="12"/>
  <c r="BH242" i="12" s="1"/>
  <c r="BG243" i="12"/>
  <c r="BG244" i="12"/>
  <c r="BH244" i="12" s="1"/>
  <c r="BG245" i="12"/>
  <c r="BH245" i="12" s="1"/>
  <c r="BG246" i="12"/>
  <c r="BH246" i="12" s="1"/>
  <c r="BG247" i="12"/>
  <c r="BH247" i="12" s="1"/>
  <c r="BG248" i="12"/>
  <c r="BH248" i="12" s="1"/>
  <c r="BG249" i="12"/>
  <c r="BH249" i="12" s="1"/>
  <c r="BG250" i="12"/>
  <c r="BH250" i="12" s="1"/>
  <c r="BG251" i="12"/>
  <c r="BH251" i="12" s="1"/>
  <c r="BG252" i="12"/>
  <c r="BH252" i="12" s="1"/>
  <c r="BG253" i="12"/>
  <c r="BH253" i="12" s="1"/>
  <c r="BG254" i="12"/>
  <c r="BH254" i="12" s="1"/>
  <c r="BG255" i="12"/>
  <c r="BH255" i="12" s="1"/>
  <c r="BG256" i="12"/>
  <c r="BH256" i="12" s="1"/>
  <c r="BG257" i="12"/>
  <c r="BH257" i="12" s="1"/>
  <c r="BG258" i="12"/>
  <c r="BH258" i="12" s="1"/>
  <c r="BG259" i="12"/>
  <c r="BH259" i="12" s="1"/>
  <c r="BG260" i="12"/>
  <c r="BG261" i="12"/>
  <c r="BH261" i="12" s="1"/>
  <c r="BG262" i="12"/>
  <c r="BH262" i="12" s="1"/>
  <c r="BG263" i="12"/>
  <c r="BH263" i="12" s="1"/>
  <c r="BG264" i="12"/>
  <c r="BH264" i="12" s="1"/>
  <c r="BG265" i="12"/>
  <c r="BH265" i="12" s="1"/>
  <c r="BG266" i="12"/>
  <c r="BH266" i="12" s="1"/>
  <c r="BG267" i="12"/>
  <c r="BH267" i="12" s="1"/>
  <c r="BG268" i="12"/>
  <c r="BH268" i="12" s="1"/>
  <c r="BG269" i="12"/>
  <c r="BH269" i="12" s="1"/>
  <c r="BG270" i="12"/>
  <c r="BH270" i="12" s="1"/>
  <c r="BG271" i="12"/>
  <c r="BH271" i="12" s="1"/>
  <c r="BG272" i="12"/>
  <c r="BH272" i="12" s="1"/>
  <c r="BG273" i="12"/>
  <c r="BH273" i="12" s="1"/>
  <c r="BG274" i="12"/>
  <c r="BH274" i="12" s="1"/>
  <c r="BG275" i="12"/>
  <c r="BG276" i="12"/>
  <c r="BH276" i="12" s="1"/>
  <c r="BG277" i="12"/>
  <c r="BH277" i="12" s="1"/>
  <c r="BG278" i="12"/>
  <c r="BH278" i="12" s="1"/>
  <c r="BG279" i="12"/>
  <c r="BH279" i="12" s="1"/>
  <c r="BG280" i="12"/>
  <c r="BH280" i="12" s="1"/>
  <c r="BG281" i="12"/>
  <c r="BH281" i="12" s="1"/>
  <c r="BG282" i="12"/>
  <c r="BH282" i="12" s="1"/>
  <c r="BG283" i="12"/>
  <c r="BH283" i="12" s="1"/>
  <c r="BG284" i="12"/>
  <c r="BH284" i="12" s="1"/>
  <c r="BG285" i="12"/>
  <c r="BH285" i="12" s="1"/>
  <c r="BG286" i="12"/>
  <c r="BH286" i="12" s="1"/>
  <c r="BG287" i="12"/>
  <c r="BH287" i="12" s="1"/>
  <c r="BG288" i="12"/>
  <c r="BH288" i="12" s="1"/>
  <c r="BG289" i="12"/>
  <c r="BH289" i="12" s="1"/>
  <c r="BG290" i="12"/>
  <c r="BH290" i="12" s="1"/>
  <c r="BG291" i="12"/>
  <c r="BH291" i="12" s="1"/>
  <c r="BG292" i="12"/>
  <c r="BG293" i="12"/>
  <c r="BH293" i="12" s="1"/>
  <c r="BG294" i="12"/>
  <c r="BH294" i="12" s="1"/>
  <c r="BG295" i="12"/>
  <c r="BH295" i="12" s="1"/>
  <c r="BG296" i="12"/>
  <c r="BH296" i="12" s="1"/>
  <c r="BG297" i="12"/>
  <c r="BH297" i="12" s="1"/>
  <c r="BG298" i="12"/>
  <c r="BH298" i="12" s="1"/>
  <c r="BG299" i="12"/>
  <c r="BH299" i="12" s="1"/>
  <c r="BG300" i="12"/>
  <c r="BH300" i="12" s="1"/>
  <c r="BG301" i="12"/>
  <c r="BH301" i="12" s="1"/>
  <c r="BG302" i="12"/>
  <c r="BH302" i="12" s="1"/>
  <c r="BG303" i="12"/>
  <c r="BH303" i="12" s="1"/>
  <c r="BG304" i="12"/>
  <c r="BH304" i="12" s="1"/>
  <c r="BG305" i="12"/>
  <c r="BH305" i="12" s="1"/>
  <c r="BG306" i="12"/>
  <c r="BH306" i="12" s="1"/>
  <c r="BG307" i="12"/>
  <c r="BH307" i="12" s="1"/>
  <c r="BG308" i="12"/>
  <c r="BH308" i="12" s="1"/>
  <c r="BG309" i="12"/>
  <c r="BH309" i="12" s="1"/>
  <c r="BG310" i="12"/>
  <c r="BH310" i="12" s="1"/>
  <c r="BG311" i="12"/>
  <c r="BH311" i="12" s="1"/>
  <c r="BG312" i="12"/>
  <c r="BH312" i="12" s="1"/>
  <c r="BG313" i="12"/>
  <c r="BH313" i="12" s="1"/>
  <c r="BG314" i="12"/>
  <c r="BH314" i="12" s="1"/>
  <c r="BG315" i="12"/>
  <c r="BH315" i="12" s="1"/>
  <c r="BG316" i="12"/>
  <c r="BH316" i="12" s="1"/>
  <c r="BG317" i="12"/>
  <c r="BH317" i="12" s="1"/>
  <c r="BG318" i="12"/>
  <c r="BH318" i="12" s="1"/>
  <c r="BG319" i="12"/>
  <c r="BH319" i="12" s="1"/>
  <c r="BG320" i="12"/>
  <c r="BH320" i="12" s="1"/>
  <c r="BG321" i="12"/>
  <c r="BH321" i="12" s="1"/>
  <c r="BG322" i="12"/>
  <c r="BH322" i="12" s="1"/>
  <c r="BG323" i="12"/>
  <c r="BH323" i="12" s="1"/>
  <c r="BG324" i="12"/>
  <c r="BG325" i="12"/>
  <c r="BH325" i="12" s="1"/>
  <c r="BG326" i="12"/>
  <c r="BH326" i="12" s="1"/>
  <c r="BG327" i="12"/>
  <c r="BH327" i="12" s="1"/>
  <c r="BG328" i="12"/>
  <c r="BH328" i="12" s="1"/>
  <c r="BG329" i="12"/>
  <c r="BH329" i="12" s="1"/>
  <c r="BG330" i="12"/>
  <c r="BH330" i="12" s="1"/>
  <c r="BG331" i="12"/>
  <c r="BH331" i="12" s="1"/>
  <c r="BG332" i="12"/>
  <c r="BH332" i="12" s="1"/>
  <c r="BG333" i="12"/>
  <c r="BH333" i="12" s="1"/>
  <c r="BG334" i="12"/>
  <c r="BH334" i="12" s="1"/>
  <c r="BG335" i="12"/>
  <c r="BH335" i="12" s="1"/>
  <c r="BG336" i="12"/>
  <c r="BH336" i="12" s="1"/>
  <c r="BG337" i="12"/>
  <c r="BH337" i="12" s="1"/>
  <c r="BG338" i="12"/>
  <c r="BH338" i="12" s="1"/>
  <c r="BG339" i="12"/>
  <c r="BH339" i="12" s="1"/>
  <c r="BG340" i="12"/>
  <c r="BH340" i="12" s="1"/>
  <c r="BG341" i="12"/>
  <c r="BH341" i="12" s="1"/>
  <c r="BG342" i="12"/>
  <c r="BH342" i="12" s="1"/>
  <c r="BG343" i="12"/>
  <c r="BH343" i="12" s="1"/>
  <c r="BG344" i="12"/>
  <c r="BH344" i="12" s="1"/>
  <c r="BG345" i="12"/>
  <c r="BH345" i="12" s="1"/>
  <c r="BG346" i="12"/>
  <c r="BH346" i="12" s="1"/>
  <c r="BG347" i="12"/>
  <c r="BH347" i="12" s="1"/>
  <c r="BG348" i="12"/>
  <c r="BH348" i="12" s="1"/>
  <c r="BG349" i="12"/>
  <c r="BH349" i="12" s="1"/>
  <c r="BG350" i="12"/>
  <c r="BH350" i="12" s="1"/>
  <c r="BG351" i="12"/>
  <c r="BH351" i="12" s="1"/>
  <c r="BG352" i="12"/>
  <c r="BH352" i="12" s="1"/>
  <c r="BG353" i="12"/>
  <c r="BH353" i="12" s="1"/>
  <c r="BG354" i="12"/>
  <c r="BH354" i="12" s="1"/>
  <c r="BG355" i="12"/>
  <c r="BH355" i="12" s="1"/>
  <c r="BG356" i="12"/>
  <c r="BG357" i="12"/>
  <c r="BH357" i="12" s="1"/>
  <c r="BG358" i="12"/>
  <c r="BH358" i="12" s="1"/>
  <c r="BG359" i="12"/>
  <c r="BH359" i="12" s="1"/>
  <c r="BG360" i="12"/>
  <c r="BH360" i="12" s="1"/>
  <c r="BG361" i="12"/>
  <c r="BH361" i="12" s="1"/>
  <c r="BG362" i="12"/>
  <c r="BH362" i="12" s="1"/>
  <c r="BG363" i="12"/>
  <c r="BH363" i="12" s="1"/>
  <c r="BG364" i="12"/>
  <c r="BH364" i="12" s="1"/>
  <c r="BG365" i="12"/>
  <c r="BH365" i="12" s="1"/>
  <c r="BG366" i="12"/>
  <c r="BH366" i="12" s="1"/>
  <c r="BG367" i="12"/>
  <c r="BH367" i="12" s="1"/>
  <c r="BG368" i="12"/>
  <c r="BH368" i="12" s="1"/>
  <c r="BG369" i="12"/>
  <c r="BH369" i="12" s="1"/>
  <c r="BG370" i="12"/>
  <c r="BH370" i="12" s="1"/>
  <c r="BG371" i="12"/>
  <c r="BG372" i="12"/>
  <c r="BH372" i="12" s="1"/>
  <c r="BG373" i="12"/>
  <c r="BH373" i="12" s="1"/>
  <c r="BG374" i="12"/>
  <c r="BH374" i="12" s="1"/>
  <c r="BG375" i="12"/>
  <c r="BH375" i="12" s="1"/>
  <c r="BG376" i="12"/>
  <c r="BH376" i="12" s="1"/>
  <c r="BG377" i="12"/>
  <c r="BH377" i="12" s="1"/>
  <c r="BG378" i="12"/>
  <c r="BH378" i="12" s="1"/>
  <c r="BG379" i="12"/>
  <c r="BH379" i="12" s="1"/>
  <c r="BG380" i="12"/>
  <c r="BH380" i="12" s="1"/>
  <c r="BG381" i="12"/>
  <c r="BH381" i="12" s="1"/>
  <c r="BG382" i="12"/>
  <c r="BH382" i="12" s="1"/>
  <c r="BG383" i="12"/>
  <c r="BH383" i="12" s="1"/>
  <c r="BG384" i="12"/>
  <c r="BH384" i="12" s="1"/>
  <c r="BG385" i="12"/>
  <c r="BH385" i="12" s="1"/>
  <c r="BG386" i="12"/>
  <c r="BH386" i="12" s="1"/>
  <c r="BG387" i="12"/>
  <c r="BH387" i="12" s="1"/>
  <c r="BG388" i="12"/>
  <c r="BG389" i="12"/>
  <c r="BH389" i="12" s="1"/>
  <c r="BG390" i="12"/>
  <c r="BH390" i="12" s="1"/>
  <c r="BG391" i="12"/>
  <c r="BH391" i="12" s="1"/>
  <c r="BG392" i="12"/>
  <c r="BH392" i="12" s="1"/>
  <c r="BG393" i="12"/>
  <c r="BH393" i="12" s="1"/>
  <c r="BG394" i="12"/>
  <c r="BH394" i="12" s="1"/>
  <c r="BG395" i="12"/>
  <c r="BH395" i="12" s="1"/>
  <c r="BG396" i="12"/>
  <c r="BH396" i="12" s="1"/>
  <c r="BG397" i="12"/>
  <c r="BH397" i="12" s="1"/>
  <c r="BG398" i="12"/>
  <c r="BH398" i="12" s="1"/>
  <c r="BG399" i="12"/>
  <c r="BH399" i="12" s="1"/>
  <c r="BG400" i="12"/>
  <c r="BH400" i="12" s="1"/>
  <c r="BG401" i="12"/>
  <c r="BH401" i="12" s="1"/>
  <c r="BG402" i="12"/>
  <c r="BH402" i="12" s="1"/>
  <c r="BG403" i="12"/>
  <c r="BH403" i="12" s="1"/>
  <c r="BG404" i="12"/>
  <c r="BH404" i="12" s="1"/>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204" i="12"/>
  <c r="BC214" i="12"/>
  <c r="BC230" i="12"/>
  <c r="BC244" i="12"/>
  <c r="BC246" i="12"/>
  <c r="BC260" i="12"/>
  <c r="BC270" i="12"/>
  <c r="BC276" i="12"/>
  <c r="BC286" i="12"/>
  <c r="BC300" i="12"/>
  <c r="BC302" i="12"/>
  <c r="BC318" i="12"/>
  <c r="BC326" i="12"/>
  <c r="BC332" i="12"/>
  <c r="BC343" i="12"/>
  <c r="BC356" i="12"/>
  <c r="BC358" i="12"/>
  <c r="BC374" i="12"/>
  <c r="BC388" i="12"/>
  <c r="BC404" i="12"/>
  <c r="BB192" i="12"/>
  <c r="BC192" i="12" s="1"/>
  <c r="BB193" i="12"/>
  <c r="BC193" i="12" s="1"/>
  <c r="BB194" i="12"/>
  <c r="BC194" i="12" s="1"/>
  <c r="BB195" i="12"/>
  <c r="BC195" i="12" s="1"/>
  <c r="BB196" i="12"/>
  <c r="BC196" i="12" s="1"/>
  <c r="BB197" i="12"/>
  <c r="BC197" i="12" s="1"/>
  <c r="BB198" i="12"/>
  <c r="BC198" i="12" s="1"/>
  <c r="BB199" i="12"/>
  <c r="BC199" i="12" s="1"/>
  <c r="BB200" i="12"/>
  <c r="BC200" i="12" s="1"/>
  <c r="BB201" i="12"/>
  <c r="BC201" i="12" s="1"/>
  <c r="BB202" i="12"/>
  <c r="BC202" i="12" s="1"/>
  <c r="BB203" i="12"/>
  <c r="BC203" i="12" s="1"/>
  <c r="BB204" i="12"/>
  <c r="BB205" i="12"/>
  <c r="BC205" i="12" s="1"/>
  <c r="BB206" i="12"/>
  <c r="BC206" i="12" s="1"/>
  <c r="BB207" i="12"/>
  <c r="BC207" i="12" s="1"/>
  <c r="BB208" i="12"/>
  <c r="BC208" i="12" s="1"/>
  <c r="BB209" i="12"/>
  <c r="BC209" i="12" s="1"/>
  <c r="BB210" i="12"/>
  <c r="BC210" i="12" s="1"/>
  <c r="BB211" i="12"/>
  <c r="BC211" i="12" s="1"/>
  <c r="BB212" i="12"/>
  <c r="BC212" i="12" s="1"/>
  <c r="BB213" i="12"/>
  <c r="BC213" i="12" s="1"/>
  <c r="BB214" i="12"/>
  <c r="BB215" i="12"/>
  <c r="BC215" i="12" s="1"/>
  <c r="BB216" i="12"/>
  <c r="BC216" i="12" s="1"/>
  <c r="BB217" i="12"/>
  <c r="BC217" i="12" s="1"/>
  <c r="BB218" i="12"/>
  <c r="BC218" i="12" s="1"/>
  <c r="BB219" i="12"/>
  <c r="BC219" i="12" s="1"/>
  <c r="BB220" i="12"/>
  <c r="BC220" i="12" s="1"/>
  <c r="BB221" i="12"/>
  <c r="BC221" i="12" s="1"/>
  <c r="BB222" i="12"/>
  <c r="BC222" i="12" s="1"/>
  <c r="BB223" i="12"/>
  <c r="BC223" i="12" s="1"/>
  <c r="BB224" i="12"/>
  <c r="BC224" i="12" s="1"/>
  <c r="BB225" i="12"/>
  <c r="BC225" i="12" s="1"/>
  <c r="BB226" i="12"/>
  <c r="BC226" i="12" s="1"/>
  <c r="BB227" i="12"/>
  <c r="BC227" i="12" s="1"/>
  <c r="BB228" i="12"/>
  <c r="BC228" i="12" s="1"/>
  <c r="BB229" i="12"/>
  <c r="BC229" i="12" s="1"/>
  <c r="BB230" i="12"/>
  <c r="BB231" i="12"/>
  <c r="BC231" i="12" s="1"/>
  <c r="BB232" i="12"/>
  <c r="BC232" i="12" s="1"/>
  <c r="BB233" i="12"/>
  <c r="BC233" i="12" s="1"/>
  <c r="BB234" i="12"/>
  <c r="BC234" i="12" s="1"/>
  <c r="BB235" i="12"/>
  <c r="BC235" i="12" s="1"/>
  <c r="BB236" i="12"/>
  <c r="BC236" i="12" s="1"/>
  <c r="BB237" i="12"/>
  <c r="BC237" i="12" s="1"/>
  <c r="BB238" i="12"/>
  <c r="BC238" i="12" s="1"/>
  <c r="BB239" i="12"/>
  <c r="BC239" i="12" s="1"/>
  <c r="BB240" i="12"/>
  <c r="BC240" i="12" s="1"/>
  <c r="BB241" i="12"/>
  <c r="BC241" i="12" s="1"/>
  <c r="BB242" i="12"/>
  <c r="BC242" i="12" s="1"/>
  <c r="BB243" i="12"/>
  <c r="BC243" i="12" s="1"/>
  <c r="BB244" i="12"/>
  <c r="BB245" i="12"/>
  <c r="BC245" i="12" s="1"/>
  <c r="BB246" i="12"/>
  <c r="BB247" i="12"/>
  <c r="BC247" i="12" s="1"/>
  <c r="BB248" i="12"/>
  <c r="BC248" i="12" s="1"/>
  <c r="BB249" i="12"/>
  <c r="BC249" i="12" s="1"/>
  <c r="BB250" i="12"/>
  <c r="BC250" i="12" s="1"/>
  <c r="BB251" i="12"/>
  <c r="BC251" i="12" s="1"/>
  <c r="BB252" i="12"/>
  <c r="BC252" i="12" s="1"/>
  <c r="BB253" i="12"/>
  <c r="BC253" i="12" s="1"/>
  <c r="BB254" i="12"/>
  <c r="BC254" i="12" s="1"/>
  <c r="BB255" i="12"/>
  <c r="BC255" i="12" s="1"/>
  <c r="BB256" i="12"/>
  <c r="BC256" i="12" s="1"/>
  <c r="BB257" i="12"/>
  <c r="BC257" i="12" s="1"/>
  <c r="BB258" i="12"/>
  <c r="BC258" i="12" s="1"/>
  <c r="BB259" i="12"/>
  <c r="BC259" i="12" s="1"/>
  <c r="BB260" i="12"/>
  <c r="BB261" i="12"/>
  <c r="BC261" i="12" s="1"/>
  <c r="BB262" i="12"/>
  <c r="BC262" i="12" s="1"/>
  <c r="BB263" i="12"/>
  <c r="BC263" i="12" s="1"/>
  <c r="BB264" i="12"/>
  <c r="BC264" i="12" s="1"/>
  <c r="BB265" i="12"/>
  <c r="BC265" i="12" s="1"/>
  <c r="BB266" i="12"/>
  <c r="BC266" i="12" s="1"/>
  <c r="BB267" i="12"/>
  <c r="BC267" i="12" s="1"/>
  <c r="BB268" i="12"/>
  <c r="BC268" i="12" s="1"/>
  <c r="BB269" i="12"/>
  <c r="BC269" i="12" s="1"/>
  <c r="BB270" i="12"/>
  <c r="BB271" i="12"/>
  <c r="BC271" i="12" s="1"/>
  <c r="BB272" i="12"/>
  <c r="BC272" i="12" s="1"/>
  <c r="BB273" i="12"/>
  <c r="BC273" i="12" s="1"/>
  <c r="BB274" i="12"/>
  <c r="BC274" i="12" s="1"/>
  <c r="BB275" i="12"/>
  <c r="BC275" i="12" s="1"/>
  <c r="BB276" i="12"/>
  <c r="BB277" i="12"/>
  <c r="BC277" i="12" s="1"/>
  <c r="BB278" i="12"/>
  <c r="BC278" i="12" s="1"/>
  <c r="BB279" i="12"/>
  <c r="BC279" i="12" s="1"/>
  <c r="BB280" i="12"/>
  <c r="BC280" i="12" s="1"/>
  <c r="BB281" i="12"/>
  <c r="BC281" i="12" s="1"/>
  <c r="BB282" i="12"/>
  <c r="BC282" i="12" s="1"/>
  <c r="BB283" i="12"/>
  <c r="BC283" i="12" s="1"/>
  <c r="BB284" i="12"/>
  <c r="BC284" i="12" s="1"/>
  <c r="BB285" i="12"/>
  <c r="BC285" i="12" s="1"/>
  <c r="BB286" i="12"/>
  <c r="BB287" i="12"/>
  <c r="BC287" i="12" s="1"/>
  <c r="BB288" i="12"/>
  <c r="BC288" i="12" s="1"/>
  <c r="BB289" i="12"/>
  <c r="BC289" i="12" s="1"/>
  <c r="BB290" i="12"/>
  <c r="BC290" i="12" s="1"/>
  <c r="BB291" i="12"/>
  <c r="BC291" i="12" s="1"/>
  <c r="BB292" i="12"/>
  <c r="BC292" i="12" s="1"/>
  <c r="BB293" i="12"/>
  <c r="BC293" i="12" s="1"/>
  <c r="BB294" i="12"/>
  <c r="BC294" i="12" s="1"/>
  <c r="BB295" i="12"/>
  <c r="BC295" i="12" s="1"/>
  <c r="BB296" i="12"/>
  <c r="BC296" i="12" s="1"/>
  <c r="BB297" i="12"/>
  <c r="BC297" i="12" s="1"/>
  <c r="BB298" i="12"/>
  <c r="BC298" i="12" s="1"/>
  <c r="BB299" i="12"/>
  <c r="BC299" i="12" s="1"/>
  <c r="BB300" i="12"/>
  <c r="BB301" i="12"/>
  <c r="BC301" i="12" s="1"/>
  <c r="BB302" i="12"/>
  <c r="BB303" i="12"/>
  <c r="BC303" i="12" s="1"/>
  <c r="BB304" i="12"/>
  <c r="BC304" i="12" s="1"/>
  <c r="BB305" i="12"/>
  <c r="BC305" i="12" s="1"/>
  <c r="BB306" i="12"/>
  <c r="BC306" i="12" s="1"/>
  <c r="BB307" i="12"/>
  <c r="BC307" i="12" s="1"/>
  <c r="BB308" i="12"/>
  <c r="BC308" i="12" s="1"/>
  <c r="BB309" i="12"/>
  <c r="BC309" i="12" s="1"/>
  <c r="BB310" i="12"/>
  <c r="BC310" i="12" s="1"/>
  <c r="BB311" i="12"/>
  <c r="BC311" i="12" s="1"/>
  <c r="BB312" i="12"/>
  <c r="BC312" i="12" s="1"/>
  <c r="BB313" i="12"/>
  <c r="BC313" i="12" s="1"/>
  <c r="BB314" i="12"/>
  <c r="BC314" i="12" s="1"/>
  <c r="BB315" i="12"/>
  <c r="BC315" i="12" s="1"/>
  <c r="BB316" i="12"/>
  <c r="BC316" i="12" s="1"/>
  <c r="BB317" i="12"/>
  <c r="BC317" i="12" s="1"/>
  <c r="BB318" i="12"/>
  <c r="BB319" i="12"/>
  <c r="BC319" i="12" s="1"/>
  <c r="BB320" i="12"/>
  <c r="BC320" i="12" s="1"/>
  <c r="BB321" i="12"/>
  <c r="BC321" i="12" s="1"/>
  <c r="BB322" i="12"/>
  <c r="BC322" i="12" s="1"/>
  <c r="BB323" i="12"/>
  <c r="BC323" i="12" s="1"/>
  <c r="BB324" i="12"/>
  <c r="BC324" i="12" s="1"/>
  <c r="BB325" i="12"/>
  <c r="BC325" i="12" s="1"/>
  <c r="BB326" i="12"/>
  <c r="BB327" i="12"/>
  <c r="BC327" i="12" s="1"/>
  <c r="BB328" i="12"/>
  <c r="BC328" i="12" s="1"/>
  <c r="BB329" i="12"/>
  <c r="BC329" i="12" s="1"/>
  <c r="BB330" i="12"/>
  <c r="BC330" i="12" s="1"/>
  <c r="BB331" i="12"/>
  <c r="BC331" i="12" s="1"/>
  <c r="BB332" i="12"/>
  <c r="BB333" i="12"/>
  <c r="BC333" i="12" s="1"/>
  <c r="BB334" i="12"/>
  <c r="BC334" i="12" s="1"/>
  <c r="BB335" i="12"/>
  <c r="BC335" i="12" s="1"/>
  <c r="BB336" i="12"/>
  <c r="BC336" i="12" s="1"/>
  <c r="BB337" i="12"/>
  <c r="BC337" i="12" s="1"/>
  <c r="BB338" i="12"/>
  <c r="BC338" i="12" s="1"/>
  <c r="BB339" i="12"/>
  <c r="BC339" i="12" s="1"/>
  <c r="BB340" i="12"/>
  <c r="BC340" i="12" s="1"/>
  <c r="BB341" i="12"/>
  <c r="BC341" i="12" s="1"/>
  <c r="BB342" i="12"/>
  <c r="BC342" i="12" s="1"/>
  <c r="BB343" i="12"/>
  <c r="BB344" i="12"/>
  <c r="BC344" i="12" s="1"/>
  <c r="BB345" i="12"/>
  <c r="BC345" i="12" s="1"/>
  <c r="BB346" i="12"/>
  <c r="BC346" i="12" s="1"/>
  <c r="BB347" i="12"/>
  <c r="BC347" i="12" s="1"/>
  <c r="BB348" i="12"/>
  <c r="BC348" i="12" s="1"/>
  <c r="BB349" i="12"/>
  <c r="BC349" i="12" s="1"/>
  <c r="BB350" i="12"/>
  <c r="BC350" i="12" s="1"/>
  <c r="BB351" i="12"/>
  <c r="BC351" i="12" s="1"/>
  <c r="BB352" i="12"/>
  <c r="BC352" i="12" s="1"/>
  <c r="BB353" i="12"/>
  <c r="BC353" i="12" s="1"/>
  <c r="BB354" i="12"/>
  <c r="BC354" i="12" s="1"/>
  <c r="BB355" i="12"/>
  <c r="BC355" i="12" s="1"/>
  <c r="BB356" i="12"/>
  <c r="BB357" i="12"/>
  <c r="BC357" i="12" s="1"/>
  <c r="BB358" i="12"/>
  <c r="BB359" i="12"/>
  <c r="BC359" i="12" s="1"/>
  <c r="BB360" i="12"/>
  <c r="BC360" i="12" s="1"/>
  <c r="BB361" i="12"/>
  <c r="BC361" i="12" s="1"/>
  <c r="BB362" i="12"/>
  <c r="BC362" i="12" s="1"/>
  <c r="BB363" i="12"/>
  <c r="BC363" i="12" s="1"/>
  <c r="BB364" i="12"/>
  <c r="BC364" i="12" s="1"/>
  <c r="BB365" i="12"/>
  <c r="BC365" i="12" s="1"/>
  <c r="BB366" i="12"/>
  <c r="BC366" i="12" s="1"/>
  <c r="BB367" i="12"/>
  <c r="BC367" i="12" s="1"/>
  <c r="BB368" i="12"/>
  <c r="BC368" i="12" s="1"/>
  <c r="BB369" i="12"/>
  <c r="BC369" i="12" s="1"/>
  <c r="BB370" i="12"/>
  <c r="BC370" i="12" s="1"/>
  <c r="BB371" i="12"/>
  <c r="BC371" i="12" s="1"/>
  <c r="BB372" i="12"/>
  <c r="BC372" i="12" s="1"/>
  <c r="BB373" i="12"/>
  <c r="BC373" i="12" s="1"/>
  <c r="BB374" i="12"/>
  <c r="BB375" i="12"/>
  <c r="BC375" i="12" s="1"/>
  <c r="BB376" i="12"/>
  <c r="BC376" i="12" s="1"/>
  <c r="BB377" i="12"/>
  <c r="BC377" i="12" s="1"/>
  <c r="BB378" i="12"/>
  <c r="BC378" i="12" s="1"/>
  <c r="BB379" i="12"/>
  <c r="BC379" i="12" s="1"/>
  <c r="BB380" i="12"/>
  <c r="BC380" i="12" s="1"/>
  <c r="BB381" i="12"/>
  <c r="BC381" i="12" s="1"/>
  <c r="BB382" i="12"/>
  <c r="BC382" i="12" s="1"/>
  <c r="BB383" i="12"/>
  <c r="BC383" i="12" s="1"/>
  <c r="BB384" i="12"/>
  <c r="BC384" i="12" s="1"/>
  <c r="BB385" i="12"/>
  <c r="BC385" i="12" s="1"/>
  <c r="BB386" i="12"/>
  <c r="BC386" i="12" s="1"/>
  <c r="BB387" i="12"/>
  <c r="BC387" i="12" s="1"/>
  <c r="BB388" i="12"/>
  <c r="BB389" i="12"/>
  <c r="BC389" i="12" s="1"/>
  <c r="BB390" i="12"/>
  <c r="BC390" i="12" s="1"/>
  <c r="BB391" i="12"/>
  <c r="BC391" i="12" s="1"/>
  <c r="BB392" i="12"/>
  <c r="BC392" i="12" s="1"/>
  <c r="BB393" i="12"/>
  <c r="BC393" i="12" s="1"/>
  <c r="BB394" i="12"/>
  <c r="BC394" i="12" s="1"/>
  <c r="BB395" i="12"/>
  <c r="BC395" i="12" s="1"/>
  <c r="BB396" i="12"/>
  <c r="BC396" i="12" s="1"/>
  <c r="BB397" i="12"/>
  <c r="BC397" i="12" s="1"/>
  <c r="BB398" i="12"/>
  <c r="BC398" i="12" s="1"/>
  <c r="BB399" i="12"/>
  <c r="BC399" i="12" s="1"/>
  <c r="BB400" i="12"/>
  <c r="BC400" i="12" s="1"/>
  <c r="BB401" i="12"/>
  <c r="BC401" i="12" s="1"/>
  <c r="BB402" i="12"/>
  <c r="BC402" i="12" s="1"/>
  <c r="BB403" i="12"/>
  <c r="BC403" i="12" s="1"/>
  <c r="BB404" i="12"/>
  <c r="AZ192" i="12"/>
  <c r="BD192" i="12" s="1"/>
  <c r="AZ193" i="12"/>
  <c r="AZ194" i="12"/>
  <c r="AZ195" i="12"/>
  <c r="BD195" i="12" s="1"/>
  <c r="AZ196" i="12"/>
  <c r="BD196" i="12" s="1"/>
  <c r="AZ197" i="12"/>
  <c r="BD197" i="12" s="1"/>
  <c r="AZ198" i="12"/>
  <c r="BD198" i="12" s="1"/>
  <c r="AZ199" i="12"/>
  <c r="AZ200" i="12"/>
  <c r="BD200" i="12" s="1"/>
  <c r="AZ201" i="12"/>
  <c r="AZ202" i="12"/>
  <c r="AZ203" i="12"/>
  <c r="BD203" i="12" s="1"/>
  <c r="AZ204" i="12"/>
  <c r="BD204" i="12" s="1"/>
  <c r="AZ205" i="12"/>
  <c r="BD205" i="12" s="1"/>
  <c r="AZ206" i="12"/>
  <c r="BD206" i="12" s="1"/>
  <c r="AZ207" i="12"/>
  <c r="AZ208" i="12"/>
  <c r="BD208" i="12" s="1"/>
  <c r="AZ209" i="12"/>
  <c r="AZ210" i="12"/>
  <c r="AZ211" i="12"/>
  <c r="BD211" i="12" s="1"/>
  <c r="AZ212" i="12"/>
  <c r="BD212" i="12" s="1"/>
  <c r="AZ213" i="12"/>
  <c r="BD213" i="12" s="1"/>
  <c r="AZ214" i="12"/>
  <c r="BD214" i="12" s="1"/>
  <c r="AZ215" i="12"/>
  <c r="AZ216" i="12"/>
  <c r="BD216" i="12" s="1"/>
  <c r="AZ217" i="12"/>
  <c r="AZ218" i="12"/>
  <c r="AZ219" i="12"/>
  <c r="BD219" i="12" s="1"/>
  <c r="AZ220" i="12"/>
  <c r="BD220" i="12" s="1"/>
  <c r="AZ221" i="12"/>
  <c r="BD221" i="12" s="1"/>
  <c r="AZ222" i="12"/>
  <c r="BD222" i="12" s="1"/>
  <c r="AZ223" i="12"/>
  <c r="AZ224" i="12"/>
  <c r="BD224" i="12" s="1"/>
  <c r="AZ225" i="12"/>
  <c r="AZ226" i="12"/>
  <c r="AZ227" i="12"/>
  <c r="BD227" i="12" s="1"/>
  <c r="AZ228" i="12"/>
  <c r="BD228" i="12" s="1"/>
  <c r="AZ229" i="12"/>
  <c r="BD229" i="12" s="1"/>
  <c r="AZ230" i="12"/>
  <c r="BD230" i="12" s="1"/>
  <c r="AZ231" i="12"/>
  <c r="AZ232" i="12"/>
  <c r="BD232" i="12" s="1"/>
  <c r="AZ233" i="12"/>
  <c r="BA233" i="12" s="1"/>
  <c r="AZ234" i="12"/>
  <c r="AZ235" i="12"/>
  <c r="BD235" i="12" s="1"/>
  <c r="AZ236" i="12"/>
  <c r="BD236" i="12" s="1"/>
  <c r="AZ237" i="12"/>
  <c r="BD237" i="12" s="1"/>
  <c r="AZ238" i="12"/>
  <c r="BD238" i="12" s="1"/>
  <c r="AZ239" i="12"/>
  <c r="AZ240" i="12"/>
  <c r="BD240" i="12" s="1"/>
  <c r="AZ241" i="12"/>
  <c r="AZ242" i="12"/>
  <c r="AZ243" i="12"/>
  <c r="BD243" i="12" s="1"/>
  <c r="AZ244" i="12"/>
  <c r="BD244" i="12" s="1"/>
  <c r="AZ245" i="12"/>
  <c r="BD245" i="12" s="1"/>
  <c r="AZ246" i="12"/>
  <c r="BD246" i="12" s="1"/>
  <c r="AZ247" i="12"/>
  <c r="AZ248" i="12"/>
  <c r="BD248" i="12" s="1"/>
  <c r="AZ249" i="12"/>
  <c r="AZ250" i="12"/>
  <c r="AZ251" i="12"/>
  <c r="BD251" i="12" s="1"/>
  <c r="AZ252" i="12"/>
  <c r="BD252" i="12" s="1"/>
  <c r="AZ253" i="12"/>
  <c r="BD253" i="12" s="1"/>
  <c r="AZ254" i="12"/>
  <c r="BD254" i="12" s="1"/>
  <c r="AZ255" i="12"/>
  <c r="AZ256" i="12"/>
  <c r="BD256" i="12" s="1"/>
  <c r="AZ257" i="12"/>
  <c r="AZ258" i="12"/>
  <c r="AZ259" i="12"/>
  <c r="BD259" i="12" s="1"/>
  <c r="AZ260" i="12"/>
  <c r="BD260" i="12" s="1"/>
  <c r="AZ261" i="12"/>
  <c r="BD261" i="12" s="1"/>
  <c r="AZ262" i="12"/>
  <c r="BD262" i="12" s="1"/>
  <c r="AZ263" i="12"/>
  <c r="AZ264" i="12"/>
  <c r="BD264" i="12" s="1"/>
  <c r="AZ265" i="12"/>
  <c r="AZ266" i="12"/>
  <c r="AZ267" i="12"/>
  <c r="BD267" i="12" s="1"/>
  <c r="AZ268" i="12"/>
  <c r="BD268" i="12" s="1"/>
  <c r="AZ269" i="12"/>
  <c r="BD269" i="12" s="1"/>
  <c r="AZ270" i="12"/>
  <c r="BD270" i="12" s="1"/>
  <c r="AZ271" i="12"/>
  <c r="AZ272" i="12"/>
  <c r="BD272" i="12" s="1"/>
  <c r="AZ273" i="12"/>
  <c r="AZ274" i="12"/>
  <c r="AZ275" i="12"/>
  <c r="BD275" i="12" s="1"/>
  <c r="AZ276" i="12"/>
  <c r="BA276" i="12" s="1"/>
  <c r="AZ277" i="12"/>
  <c r="BA277" i="12" s="1"/>
  <c r="AZ278" i="12"/>
  <c r="BA278" i="12" s="1"/>
  <c r="AZ279" i="12"/>
  <c r="AZ280" i="12"/>
  <c r="BA280" i="12" s="1"/>
  <c r="AZ281" i="12"/>
  <c r="AZ282" i="12"/>
  <c r="AZ283" i="12"/>
  <c r="BD283" i="12" s="1"/>
  <c r="AZ284" i="12"/>
  <c r="BA284" i="12" s="1"/>
  <c r="AZ285" i="12"/>
  <c r="BA285" i="12" s="1"/>
  <c r="AZ286" i="12"/>
  <c r="BA286" i="12" s="1"/>
  <c r="AZ287" i="12"/>
  <c r="AZ288" i="12"/>
  <c r="BA288" i="12" s="1"/>
  <c r="AZ289" i="12"/>
  <c r="AZ290" i="12"/>
  <c r="AZ291" i="12"/>
  <c r="BD291" i="12" s="1"/>
  <c r="AZ292" i="12"/>
  <c r="BA292" i="12" s="1"/>
  <c r="AZ293" i="12"/>
  <c r="BA293" i="12" s="1"/>
  <c r="AZ294" i="12"/>
  <c r="BA294" i="12" s="1"/>
  <c r="AZ295" i="12"/>
  <c r="AZ296" i="12"/>
  <c r="BA296" i="12" s="1"/>
  <c r="AZ297" i="12"/>
  <c r="AZ298" i="12"/>
  <c r="AZ299" i="12"/>
  <c r="BD299" i="12" s="1"/>
  <c r="AZ300" i="12"/>
  <c r="BA300" i="12" s="1"/>
  <c r="AZ301" i="12"/>
  <c r="BA301" i="12" s="1"/>
  <c r="AZ302" i="12"/>
  <c r="BA302" i="12" s="1"/>
  <c r="AZ303" i="12"/>
  <c r="AZ304" i="12"/>
  <c r="BA304" i="12" s="1"/>
  <c r="AZ305" i="12"/>
  <c r="AZ306" i="12"/>
  <c r="AZ307" i="12"/>
  <c r="BD307" i="12" s="1"/>
  <c r="AZ308" i="12"/>
  <c r="BA308" i="12" s="1"/>
  <c r="AZ309" i="12"/>
  <c r="BA309" i="12" s="1"/>
  <c r="AZ310" i="12"/>
  <c r="BA310" i="12" s="1"/>
  <c r="AZ311" i="12"/>
  <c r="AZ312" i="12"/>
  <c r="BA312" i="12" s="1"/>
  <c r="AZ313" i="12"/>
  <c r="AZ314" i="12"/>
  <c r="AZ315" i="12"/>
  <c r="BD315" i="12" s="1"/>
  <c r="AZ316" i="12"/>
  <c r="BA316" i="12" s="1"/>
  <c r="AZ317" i="12"/>
  <c r="BA317" i="12" s="1"/>
  <c r="AZ318" i="12"/>
  <c r="BA318" i="12" s="1"/>
  <c r="AZ319" i="12"/>
  <c r="AZ320" i="12"/>
  <c r="BA320" i="12" s="1"/>
  <c r="AZ321" i="12"/>
  <c r="AZ322" i="12"/>
  <c r="AZ323" i="12"/>
  <c r="BD323" i="12" s="1"/>
  <c r="AZ324" i="12"/>
  <c r="BA324" i="12" s="1"/>
  <c r="AZ325" i="12"/>
  <c r="BA325" i="12" s="1"/>
  <c r="AZ326" i="12"/>
  <c r="BA326" i="12" s="1"/>
  <c r="AZ327" i="12"/>
  <c r="AZ328" i="12"/>
  <c r="BA328" i="12" s="1"/>
  <c r="AZ329" i="12"/>
  <c r="AZ330" i="12"/>
  <c r="AZ331" i="12"/>
  <c r="BD331" i="12" s="1"/>
  <c r="AZ332" i="12"/>
  <c r="BA332" i="12" s="1"/>
  <c r="AZ333" i="12"/>
  <c r="BA333" i="12" s="1"/>
  <c r="AZ334" i="12"/>
  <c r="BA334" i="12" s="1"/>
  <c r="AZ335" i="12"/>
  <c r="AZ336" i="12"/>
  <c r="BA336" i="12" s="1"/>
  <c r="AZ337" i="12"/>
  <c r="AZ338" i="12"/>
  <c r="AZ339" i="12"/>
  <c r="BD339" i="12" s="1"/>
  <c r="AZ340" i="12"/>
  <c r="BA340" i="12" s="1"/>
  <c r="AZ341" i="12"/>
  <c r="BA341" i="12" s="1"/>
  <c r="AZ342" i="12"/>
  <c r="BA342" i="12" s="1"/>
  <c r="AZ343" i="12"/>
  <c r="AZ344" i="12"/>
  <c r="BA344" i="12" s="1"/>
  <c r="AZ345" i="12"/>
  <c r="AZ346" i="12"/>
  <c r="AZ347" i="12"/>
  <c r="BD347" i="12" s="1"/>
  <c r="AZ348" i="12"/>
  <c r="BA348" i="12" s="1"/>
  <c r="AZ349" i="12"/>
  <c r="BA349" i="12" s="1"/>
  <c r="AZ350" i="12"/>
  <c r="BA350" i="12" s="1"/>
  <c r="AZ351" i="12"/>
  <c r="AZ352" i="12"/>
  <c r="BA352" i="12" s="1"/>
  <c r="AZ353" i="12"/>
  <c r="AZ354" i="12"/>
  <c r="AZ355" i="12"/>
  <c r="BD355" i="12" s="1"/>
  <c r="AZ356" i="12"/>
  <c r="BA356" i="12" s="1"/>
  <c r="AZ357" i="12"/>
  <c r="BA357" i="12" s="1"/>
  <c r="AZ358" i="12"/>
  <c r="BA358" i="12" s="1"/>
  <c r="AZ359" i="12"/>
  <c r="AZ360" i="12"/>
  <c r="BA360" i="12" s="1"/>
  <c r="AZ361" i="12"/>
  <c r="AZ362" i="12"/>
  <c r="AZ363" i="12"/>
  <c r="AZ364" i="12"/>
  <c r="BA364" i="12" s="1"/>
  <c r="AZ365" i="12"/>
  <c r="BA365" i="12" s="1"/>
  <c r="AZ366" i="12"/>
  <c r="BA366" i="12" s="1"/>
  <c r="AZ367" i="12"/>
  <c r="AZ368" i="12"/>
  <c r="BA368" i="12" s="1"/>
  <c r="AZ369" i="12"/>
  <c r="AZ370" i="12"/>
  <c r="AZ371" i="12"/>
  <c r="AZ372" i="12"/>
  <c r="BA372" i="12" s="1"/>
  <c r="AZ373" i="12"/>
  <c r="BA373" i="12" s="1"/>
  <c r="AZ374" i="12"/>
  <c r="BA374" i="12" s="1"/>
  <c r="AZ375" i="12"/>
  <c r="AZ376" i="12"/>
  <c r="BA376" i="12" s="1"/>
  <c r="AZ377" i="12"/>
  <c r="AZ378" i="12"/>
  <c r="AZ379" i="12"/>
  <c r="AZ380" i="12"/>
  <c r="BA380" i="12" s="1"/>
  <c r="AZ381" i="12"/>
  <c r="BA381" i="12" s="1"/>
  <c r="AZ382" i="12"/>
  <c r="BA382" i="12" s="1"/>
  <c r="AZ383" i="12"/>
  <c r="AZ384" i="12"/>
  <c r="BA384" i="12" s="1"/>
  <c r="AZ385" i="12"/>
  <c r="AZ386" i="12"/>
  <c r="AZ387" i="12"/>
  <c r="AZ388" i="12"/>
  <c r="BA388" i="12" s="1"/>
  <c r="AZ389" i="12"/>
  <c r="BA389" i="12" s="1"/>
  <c r="AZ390" i="12"/>
  <c r="BA390" i="12" s="1"/>
  <c r="AZ391" i="12"/>
  <c r="AZ392" i="12"/>
  <c r="BA392" i="12" s="1"/>
  <c r="AZ393" i="12"/>
  <c r="AZ394" i="12"/>
  <c r="AZ395" i="12"/>
  <c r="AZ396" i="12"/>
  <c r="BA396" i="12" s="1"/>
  <c r="AZ397" i="12"/>
  <c r="BA397" i="12" s="1"/>
  <c r="AZ398" i="12"/>
  <c r="BA398" i="12" s="1"/>
  <c r="AZ399" i="12"/>
  <c r="AZ400" i="12"/>
  <c r="BA400" i="12" s="1"/>
  <c r="AZ401" i="12"/>
  <c r="AZ402" i="12"/>
  <c r="AZ403" i="12"/>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4" i="12"/>
  <c r="AX210" i="12"/>
  <c r="AX226" i="12"/>
  <c r="AX242" i="12"/>
  <c r="AX258" i="12"/>
  <c r="AX274" i="12"/>
  <c r="AX290" i="12"/>
  <c r="AX306" i="12"/>
  <c r="AX322" i="12"/>
  <c r="AX338" i="12"/>
  <c r="AX354" i="12"/>
  <c r="AX370" i="12"/>
  <c r="AX386" i="12"/>
  <c r="AX402" i="12"/>
  <c r="AW192" i="12"/>
  <c r="AX192" i="12" s="1"/>
  <c r="AW193" i="12"/>
  <c r="AX193" i="12" s="1"/>
  <c r="AW194" i="12"/>
  <c r="AW195" i="12"/>
  <c r="AX195" i="12" s="1"/>
  <c r="AW196" i="12"/>
  <c r="AX196" i="12" s="1"/>
  <c r="AW197" i="12"/>
  <c r="AX197" i="12" s="1"/>
  <c r="AW198" i="12"/>
  <c r="AX198" i="12" s="1"/>
  <c r="AW199" i="12"/>
  <c r="AX199" i="12" s="1"/>
  <c r="AW200" i="12"/>
  <c r="AX200" i="12" s="1"/>
  <c r="AW201" i="12"/>
  <c r="AX201" i="12" s="1"/>
  <c r="AW202" i="12"/>
  <c r="AX202" i="12" s="1"/>
  <c r="AW203" i="12"/>
  <c r="AX203" i="12" s="1"/>
  <c r="AW204" i="12"/>
  <c r="AX204" i="12" s="1"/>
  <c r="AW205" i="12"/>
  <c r="AX205" i="12" s="1"/>
  <c r="AW206" i="12"/>
  <c r="AX206" i="12" s="1"/>
  <c r="AW207" i="12"/>
  <c r="AX207" i="12" s="1"/>
  <c r="AW208" i="12"/>
  <c r="AX208" i="12" s="1"/>
  <c r="AW209" i="12"/>
  <c r="AX209" i="12" s="1"/>
  <c r="AW210" i="12"/>
  <c r="AW211" i="12"/>
  <c r="AX211" i="12" s="1"/>
  <c r="AW212" i="12"/>
  <c r="AX212" i="12" s="1"/>
  <c r="AW213" i="12"/>
  <c r="AX213" i="12" s="1"/>
  <c r="AW214" i="12"/>
  <c r="AX214" i="12" s="1"/>
  <c r="AW215" i="12"/>
  <c r="AX215" i="12" s="1"/>
  <c r="AW216" i="12"/>
  <c r="AX216" i="12" s="1"/>
  <c r="AW217" i="12"/>
  <c r="AX217" i="12" s="1"/>
  <c r="AW218" i="12"/>
  <c r="AX218" i="12" s="1"/>
  <c r="AW219" i="12"/>
  <c r="AX219" i="12" s="1"/>
  <c r="AW220" i="12"/>
  <c r="AX220" i="12" s="1"/>
  <c r="AW221" i="12"/>
  <c r="AX221" i="12" s="1"/>
  <c r="AW222" i="12"/>
  <c r="AX222" i="12" s="1"/>
  <c r="AW223" i="12"/>
  <c r="AX223" i="12" s="1"/>
  <c r="AW224" i="12"/>
  <c r="AX224" i="12" s="1"/>
  <c r="AW225" i="12"/>
  <c r="AX225" i="12" s="1"/>
  <c r="AW226" i="12"/>
  <c r="AW227" i="12"/>
  <c r="AX227" i="12" s="1"/>
  <c r="AW228" i="12"/>
  <c r="AX228" i="12" s="1"/>
  <c r="AW229" i="12"/>
  <c r="AX229" i="12" s="1"/>
  <c r="AW230" i="12"/>
  <c r="AX230" i="12" s="1"/>
  <c r="AW231" i="12"/>
  <c r="AX231" i="12" s="1"/>
  <c r="AW232" i="12"/>
  <c r="AX232" i="12" s="1"/>
  <c r="AW233" i="12"/>
  <c r="AX233" i="12" s="1"/>
  <c r="AW234" i="12"/>
  <c r="AX234" i="12" s="1"/>
  <c r="AW235" i="12"/>
  <c r="AX235" i="12" s="1"/>
  <c r="AW236" i="12"/>
  <c r="AX236" i="12" s="1"/>
  <c r="AW237" i="12"/>
  <c r="AX237" i="12" s="1"/>
  <c r="AW238" i="12"/>
  <c r="AX238" i="12" s="1"/>
  <c r="AW239" i="12"/>
  <c r="AX239" i="12" s="1"/>
  <c r="AW240" i="12"/>
  <c r="AX240" i="12" s="1"/>
  <c r="AW241" i="12"/>
  <c r="AX241" i="12" s="1"/>
  <c r="AW242" i="12"/>
  <c r="AW243" i="12"/>
  <c r="AX243" i="12" s="1"/>
  <c r="AW244" i="12"/>
  <c r="AX244" i="12" s="1"/>
  <c r="AW245" i="12"/>
  <c r="AX245" i="12" s="1"/>
  <c r="AW246" i="12"/>
  <c r="AX246" i="12" s="1"/>
  <c r="AW247" i="12"/>
  <c r="AX247" i="12" s="1"/>
  <c r="AW248" i="12"/>
  <c r="AX248" i="12" s="1"/>
  <c r="AW249" i="12"/>
  <c r="AX249" i="12" s="1"/>
  <c r="AW250" i="12"/>
  <c r="AX250" i="12" s="1"/>
  <c r="AW251" i="12"/>
  <c r="AX251" i="12" s="1"/>
  <c r="AW252" i="12"/>
  <c r="AX252" i="12" s="1"/>
  <c r="AW253" i="12"/>
  <c r="AX253" i="12" s="1"/>
  <c r="AW254" i="12"/>
  <c r="AX254" i="12" s="1"/>
  <c r="AW255" i="12"/>
  <c r="AX255" i="12" s="1"/>
  <c r="AW256" i="12"/>
  <c r="AX256" i="12" s="1"/>
  <c r="AW257" i="12"/>
  <c r="AX257" i="12" s="1"/>
  <c r="AW258" i="12"/>
  <c r="AW259" i="12"/>
  <c r="AX259" i="12" s="1"/>
  <c r="AW260" i="12"/>
  <c r="AX260" i="12" s="1"/>
  <c r="AW261" i="12"/>
  <c r="AX261" i="12" s="1"/>
  <c r="AW262" i="12"/>
  <c r="AX262" i="12" s="1"/>
  <c r="AW263" i="12"/>
  <c r="AX263" i="12" s="1"/>
  <c r="AW264" i="12"/>
  <c r="AX264" i="12" s="1"/>
  <c r="AW265" i="12"/>
  <c r="AX265" i="12" s="1"/>
  <c r="AW266" i="12"/>
  <c r="AX266" i="12" s="1"/>
  <c r="AW267" i="12"/>
  <c r="AX267" i="12" s="1"/>
  <c r="AW268" i="12"/>
  <c r="AX268" i="12" s="1"/>
  <c r="AW269" i="12"/>
  <c r="AX269" i="12" s="1"/>
  <c r="AW270" i="12"/>
  <c r="AX270" i="12" s="1"/>
  <c r="AW271" i="12"/>
  <c r="AX271" i="12" s="1"/>
  <c r="AW272" i="12"/>
  <c r="AX272" i="12" s="1"/>
  <c r="AW273" i="12"/>
  <c r="AX273" i="12" s="1"/>
  <c r="AW274" i="12"/>
  <c r="AW275" i="12"/>
  <c r="AX275" i="12" s="1"/>
  <c r="AW276" i="12"/>
  <c r="AX276" i="12" s="1"/>
  <c r="AW277" i="12"/>
  <c r="AX277" i="12" s="1"/>
  <c r="AW278" i="12"/>
  <c r="AX278" i="12" s="1"/>
  <c r="AW279" i="12"/>
  <c r="AX279" i="12" s="1"/>
  <c r="AW280" i="12"/>
  <c r="AX280" i="12" s="1"/>
  <c r="AW281" i="12"/>
  <c r="AX281" i="12" s="1"/>
  <c r="AW282" i="12"/>
  <c r="AX282" i="12" s="1"/>
  <c r="AW283" i="12"/>
  <c r="AX283" i="12" s="1"/>
  <c r="AW284" i="12"/>
  <c r="AX284" i="12" s="1"/>
  <c r="AW285" i="12"/>
  <c r="AX285" i="12" s="1"/>
  <c r="AW286" i="12"/>
  <c r="AX286" i="12" s="1"/>
  <c r="AW287" i="12"/>
  <c r="AX287" i="12" s="1"/>
  <c r="AW288" i="12"/>
  <c r="AX288" i="12" s="1"/>
  <c r="AW289" i="12"/>
  <c r="AX289" i="12" s="1"/>
  <c r="AW290" i="12"/>
  <c r="AW291" i="12"/>
  <c r="AX291" i="12" s="1"/>
  <c r="AW292" i="12"/>
  <c r="AX292" i="12" s="1"/>
  <c r="AW293" i="12"/>
  <c r="AX293" i="12" s="1"/>
  <c r="AW294" i="12"/>
  <c r="AX294" i="12" s="1"/>
  <c r="AW295" i="12"/>
  <c r="AX295" i="12" s="1"/>
  <c r="AW296" i="12"/>
  <c r="AX296" i="12" s="1"/>
  <c r="AW297" i="12"/>
  <c r="AX297" i="12" s="1"/>
  <c r="AW298" i="12"/>
  <c r="AX298" i="12" s="1"/>
  <c r="AW299" i="12"/>
  <c r="AX299" i="12" s="1"/>
  <c r="AW300" i="12"/>
  <c r="AX300" i="12" s="1"/>
  <c r="AW301" i="12"/>
  <c r="AX301" i="12" s="1"/>
  <c r="AW302" i="12"/>
  <c r="AX302" i="12" s="1"/>
  <c r="AW303" i="12"/>
  <c r="AX303" i="12" s="1"/>
  <c r="AW304" i="12"/>
  <c r="AX304" i="12" s="1"/>
  <c r="AW305" i="12"/>
  <c r="AX305" i="12" s="1"/>
  <c r="AW306" i="12"/>
  <c r="AW307" i="12"/>
  <c r="AX307" i="12" s="1"/>
  <c r="AW308" i="12"/>
  <c r="AX308" i="12" s="1"/>
  <c r="AW309" i="12"/>
  <c r="AX309" i="12" s="1"/>
  <c r="AW310" i="12"/>
  <c r="AX310" i="12" s="1"/>
  <c r="AW311" i="12"/>
  <c r="AX311" i="12" s="1"/>
  <c r="AW312" i="12"/>
  <c r="AX312" i="12" s="1"/>
  <c r="AW313" i="12"/>
  <c r="AX313" i="12" s="1"/>
  <c r="AW314" i="12"/>
  <c r="AX314" i="12" s="1"/>
  <c r="AW315" i="12"/>
  <c r="AX315" i="12" s="1"/>
  <c r="AW316" i="12"/>
  <c r="AX316" i="12" s="1"/>
  <c r="AW317" i="12"/>
  <c r="AX317" i="12" s="1"/>
  <c r="AW318" i="12"/>
  <c r="AX318" i="12" s="1"/>
  <c r="AW319" i="12"/>
  <c r="AX319" i="12" s="1"/>
  <c r="AW320" i="12"/>
  <c r="AX320" i="12" s="1"/>
  <c r="AW321" i="12"/>
  <c r="AX321" i="12" s="1"/>
  <c r="AW322" i="12"/>
  <c r="AW323" i="12"/>
  <c r="AX323" i="12" s="1"/>
  <c r="AW324" i="12"/>
  <c r="AX324" i="12" s="1"/>
  <c r="AW325" i="12"/>
  <c r="AX325" i="12" s="1"/>
  <c r="AW326" i="12"/>
  <c r="AX326" i="12" s="1"/>
  <c r="AW327" i="12"/>
  <c r="AX327" i="12" s="1"/>
  <c r="AW328" i="12"/>
  <c r="AX328" i="12" s="1"/>
  <c r="AW329" i="12"/>
  <c r="AX329" i="12" s="1"/>
  <c r="AW330" i="12"/>
  <c r="AX330" i="12" s="1"/>
  <c r="AW331" i="12"/>
  <c r="AX331" i="12" s="1"/>
  <c r="AW332" i="12"/>
  <c r="AX332" i="12" s="1"/>
  <c r="AW333" i="12"/>
  <c r="AX333" i="12" s="1"/>
  <c r="AW334" i="12"/>
  <c r="AX334" i="12" s="1"/>
  <c r="AW335" i="12"/>
  <c r="AX335" i="12" s="1"/>
  <c r="AW336" i="12"/>
  <c r="AX336" i="12" s="1"/>
  <c r="AW337" i="12"/>
  <c r="AX337" i="12" s="1"/>
  <c r="AW338" i="12"/>
  <c r="AW339" i="12"/>
  <c r="AX339" i="12" s="1"/>
  <c r="AW340" i="12"/>
  <c r="AX340" i="12" s="1"/>
  <c r="AW341" i="12"/>
  <c r="AX341" i="12" s="1"/>
  <c r="AW342" i="12"/>
  <c r="AX342" i="12" s="1"/>
  <c r="AW343" i="12"/>
  <c r="AX343" i="12" s="1"/>
  <c r="AW344" i="12"/>
  <c r="AX344" i="12" s="1"/>
  <c r="AW345" i="12"/>
  <c r="AX345" i="12" s="1"/>
  <c r="AW346" i="12"/>
  <c r="AX346" i="12" s="1"/>
  <c r="AW347" i="12"/>
  <c r="AX347" i="12" s="1"/>
  <c r="AW348" i="12"/>
  <c r="AX348" i="12" s="1"/>
  <c r="AW349" i="12"/>
  <c r="AX349" i="12" s="1"/>
  <c r="AW350" i="12"/>
  <c r="AX350" i="12" s="1"/>
  <c r="AW351" i="12"/>
  <c r="AX351" i="12" s="1"/>
  <c r="AW352" i="12"/>
  <c r="AX352" i="12" s="1"/>
  <c r="AW353" i="12"/>
  <c r="AX353" i="12" s="1"/>
  <c r="AW354" i="12"/>
  <c r="AW355" i="12"/>
  <c r="AX355" i="12" s="1"/>
  <c r="AW356" i="12"/>
  <c r="AX356" i="12" s="1"/>
  <c r="AW357" i="12"/>
  <c r="AX357" i="12" s="1"/>
  <c r="AW358" i="12"/>
  <c r="AX358" i="12" s="1"/>
  <c r="AW359" i="12"/>
  <c r="AX359" i="12" s="1"/>
  <c r="AW360" i="12"/>
  <c r="AX360" i="12" s="1"/>
  <c r="AW361" i="12"/>
  <c r="AX361" i="12" s="1"/>
  <c r="AW362" i="12"/>
  <c r="AX362" i="12" s="1"/>
  <c r="AW363" i="12"/>
  <c r="AX363" i="12" s="1"/>
  <c r="AW364" i="12"/>
  <c r="AX364" i="12" s="1"/>
  <c r="AW365" i="12"/>
  <c r="AX365" i="12" s="1"/>
  <c r="AW366" i="12"/>
  <c r="AX366" i="12" s="1"/>
  <c r="AW367" i="12"/>
  <c r="AX367" i="12" s="1"/>
  <c r="AW368" i="12"/>
  <c r="AX368" i="12" s="1"/>
  <c r="AW369" i="12"/>
  <c r="AX369" i="12" s="1"/>
  <c r="AW370" i="12"/>
  <c r="AW371" i="12"/>
  <c r="AX371" i="12" s="1"/>
  <c r="AW372" i="12"/>
  <c r="AX372" i="12" s="1"/>
  <c r="AW373" i="12"/>
  <c r="AX373" i="12" s="1"/>
  <c r="AW374" i="12"/>
  <c r="AX374" i="12" s="1"/>
  <c r="AW375" i="12"/>
  <c r="AX375" i="12" s="1"/>
  <c r="AW376" i="12"/>
  <c r="AX376" i="12" s="1"/>
  <c r="AW377" i="12"/>
  <c r="AX377" i="12" s="1"/>
  <c r="AW378" i="12"/>
  <c r="AX378" i="12" s="1"/>
  <c r="AW379" i="12"/>
  <c r="AX379" i="12" s="1"/>
  <c r="AW380" i="12"/>
  <c r="AX380" i="12" s="1"/>
  <c r="AW381" i="12"/>
  <c r="AX381" i="12" s="1"/>
  <c r="AW382" i="12"/>
  <c r="AX382" i="12" s="1"/>
  <c r="AW383" i="12"/>
  <c r="AX383" i="12" s="1"/>
  <c r="AW384" i="12"/>
  <c r="AX384" i="12" s="1"/>
  <c r="AW385" i="12"/>
  <c r="AX385" i="12" s="1"/>
  <c r="AW386" i="12"/>
  <c r="AW387" i="12"/>
  <c r="AX387" i="12" s="1"/>
  <c r="AW388" i="12"/>
  <c r="AX388" i="12" s="1"/>
  <c r="AW389" i="12"/>
  <c r="AX389" i="12" s="1"/>
  <c r="AW390" i="12"/>
  <c r="AX390" i="12" s="1"/>
  <c r="AW391" i="12"/>
  <c r="AX391" i="12" s="1"/>
  <c r="AW392" i="12"/>
  <c r="AX392" i="12" s="1"/>
  <c r="AW393" i="12"/>
  <c r="AX393" i="12" s="1"/>
  <c r="AW394" i="12"/>
  <c r="AX394" i="12" s="1"/>
  <c r="AW395" i="12"/>
  <c r="AX395" i="12" s="1"/>
  <c r="AW396" i="12"/>
  <c r="AX396" i="12" s="1"/>
  <c r="AW397" i="12"/>
  <c r="AX397" i="12" s="1"/>
  <c r="AW398" i="12"/>
  <c r="AX398" i="12" s="1"/>
  <c r="AW399" i="12"/>
  <c r="AX399" i="12" s="1"/>
  <c r="AW400" i="12"/>
  <c r="AX400" i="12" s="1"/>
  <c r="AW401" i="12"/>
  <c r="AX401" i="12" s="1"/>
  <c r="AW402" i="12"/>
  <c r="AW403" i="12"/>
  <c r="AX403" i="12" s="1"/>
  <c r="AW404" i="12"/>
  <c r="AX404" i="12" s="1"/>
  <c r="AU192" i="12"/>
  <c r="AY192" i="12" s="1"/>
  <c r="AU193" i="12"/>
  <c r="AV193" i="12" s="1"/>
  <c r="AU194" i="12"/>
  <c r="AU195" i="12"/>
  <c r="AU196" i="12"/>
  <c r="AU197" i="12"/>
  <c r="AU198" i="12"/>
  <c r="AU199" i="12"/>
  <c r="AU200" i="12"/>
  <c r="AY200" i="12" s="1"/>
  <c r="AU201" i="12"/>
  <c r="AV201" i="12" s="1"/>
  <c r="AU202" i="12"/>
  <c r="AU203" i="12"/>
  <c r="AU204" i="12"/>
  <c r="AU205" i="12"/>
  <c r="AU206" i="12"/>
  <c r="AU207" i="12"/>
  <c r="AV207" i="12" s="1"/>
  <c r="AU208" i="12"/>
  <c r="AY208" i="12" s="1"/>
  <c r="AU209" i="12"/>
  <c r="AV209" i="12" s="1"/>
  <c r="AU210" i="12"/>
  <c r="AU211" i="12"/>
  <c r="AU212" i="12"/>
  <c r="AU213" i="12"/>
  <c r="AU214" i="12"/>
  <c r="AU215" i="12"/>
  <c r="AU216" i="12"/>
  <c r="AY216" i="12" s="1"/>
  <c r="AU217" i="12"/>
  <c r="AV217" i="12" s="1"/>
  <c r="AU218" i="12"/>
  <c r="AU219" i="12"/>
  <c r="AU220" i="12"/>
  <c r="AU221" i="12"/>
  <c r="AU222" i="12"/>
  <c r="AU223" i="12"/>
  <c r="AU224" i="12"/>
  <c r="AY224" i="12" s="1"/>
  <c r="AU225" i="12"/>
  <c r="AV225" i="12" s="1"/>
  <c r="AU226" i="12"/>
  <c r="AU227" i="12"/>
  <c r="AU228" i="12"/>
  <c r="AU229" i="12"/>
  <c r="AU230" i="12"/>
  <c r="AU231" i="12"/>
  <c r="AU232" i="12"/>
  <c r="AY232" i="12" s="1"/>
  <c r="AU233" i="12"/>
  <c r="AV233" i="12" s="1"/>
  <c r="AU234" i="12"/>
  <c r="AU235" i="12"/>
  <c r="AU236" i="12"/>
  <c r="AU237" i="12"/>
  <c r="AU238" i="12"/>
  <c r="AU239" i="12"/>
  <c r="AV239" i="12" s="1"/>
  <c r="AU240" i="12"/>
  <c r="AY240" i="12" s="1"/>
  <c r="AU241" i="12"/>
  <c r="AV241" i="12" s="1"/>
  <c r="AU242" i="12"/>
  <c r="AU243" i="12"/>
  <c r="AU244" i="12"/>
  <c r="AU245" i="12"/>
  <c r="AU246" i="12"/>
  <c r="AU247" i="12"/>
  <c r="AU248" i="12"/>
  <c r="AY248" i="12" s="1"/>
  <c r="AU249" i="12"/>
  <c r="AV249" i="12" s="1"/>
  <c r="AU250" i="12"/>
  <c r="AU251" i="12"/>
  <c r="AU252" i="12"/>
  <c r="AU253" i="12"/>
  <c r="AU254" i="12"/>
  <c r="AU255" i="12"/>
  <c r="AU256" i="12"/>
  <c r="AY256" i="12" s="1"/>
  <c r="AU257" i="12"/>
  <c r="AV257" i="12" s="1"/>
  <c r="AU258" i="12"/>
  <c r="AU259" i="12"/>
  <c r="AU260" i="12"/>
  <c r="AU261" i="12"/>
  <c r="AU262" i="12"/>
  <c r="AU263" i="12"/>
  <c r="AU264" i="12"/>
  <c r="AY264" i="12" s="1"/>
  <c r="AU265" i="12"/>
  <c r="AV265" i="12" s="1"/>
  <c r="AU266" i="12"/>
  <c r="AU267" i="12"/>
  <c r="AU268" i="12"/>
  <c r="AU269" i="12"/>
  <c r="AU270" i="12"/>
  <c r="AU271" i="12"/>
  <c r="AV271" i="12" s="1"/>
  <c r="AU272" i="12"/>
  <c r="AY272" i="12" s="1"/>
  <c r="AU273" i="12"/>
  <c r="AV273" i="12" s="1"/>
  <c r="AU274" i="12"/>
  <c r="AU275" i="12"/>
  <c r="AU276" i="12"/>
  <c r="AU277" i="12"/>
  <c r="AU278" i="12"/>
  <c r="AU279" i="12"/>
  <c r="AU280" i="12"/>
  <c r="AY280" i="12" s="1"/>
  <c r="AU281" i="12"/>
  <c r="AV281" i="12" s="1"/>
  <c r="AU282" i="12"/>
  <c r="AU283" i="12"/>
  <c r="AU284" i="12"/>
  <c r="AU285" i="12"/>
  <c r="AU286" i="12"/>
  <c r="AU287" i="12"/>
  <c r="AU288" i="12"/>
  <c r="AY288" i="12" s="1"/>
  <c r="AU289" i="12"/>
  <c r="AY289" i="12" s="1"/>
  <c r="AU290" i="12"/>
  <c r="AU291" i="12"/>
  <c r="AU292" i="12"/>
  <c r="AU293" i="12"/>
  <c r="AU294" i="12"/>
  <c r="AU295" i="12"/>
  <c r="AU296" i="12"/>
  <c r="AY296" i="12" s="1"/>
  <c r="AU297" i="12"/>
  <c r="AV297" i="12" s="1"/>
  <c r="AU298" i="12"/>
  <c r="AU299" i="12"/>
  <c r="AU300" i="12"/>
  <c r="AU301" i="12"/>
  <c r="AU302" i="12"/>
  <c r="AU303" i="12"/>
  <c r="AV303" i="12" s="1"/>
  <c r="AU304" i="12"/>
  <c r="AY304" i="12" s="1"/>
  <c r="AU305" i="12"/>
  <c r="AV305" i="12" s="1"/>
  <c r="AU306" i="12"/>
  <c r="AU307" i="12"/>
  <c r="AU308" i="12"/>
  <c r="AU309" i="12"/>
  <c r="AU310" i="12"/>
  <c r="AU311" i="12"/>
  <c r="AU312" i="12"/>
  <c r="AY312" i="12" s="1"/>
  <c r="AU313" i="12"/>
  <c r="AY313" i="12" s="1"/>
  <c r="AU314" i="12"/>
  <c r="AU315" i="12"/>
  <c r="AU316" i="12"/>
  <c r="AU317" i="12"/>
  <c r="AU318" i="12"/>
  <c r="AU319" i="12"/>
  <c r="AU320" i="12"/>
  <c r="AY320" i="12" s="1"/>
  <c r="AU321" i="12"/>
  <c r="AY321" i="12" s="1"/>
  <c r="AU322" i="12"/>
  <c r="AU323" i="12"/>
  <c r="AU324" i="12"/>
  <c r="AU325" i="12"/>
  <c r="AU326" i="12"/>
  <c r="AU327" i="12"/>
  <c r="AU328" i="12"/>
  <c r="AY328" i="12" s="1"/>
  <c r="AU329" i="12"/>
  <c r="AV329" i="12" s="1"/>
  <c r="AU330" i="12"/>
  <c r="AU331" i="12"/>
  <c r="AU332" i="12"/>
  <c r="AU333" i="12"/>
  <c r="AU334" i="12"/>
  <c r="AU335" i="12"/>
  <c r="AV335" i="12" s="1"/>
  <c r="AU336" i="12"/>
  <c r="AY336" i="12" s="1"/>
  <c r="AU337" i="12"/>
  <c r="AV337" i="12" s="1"/>
  <c r="AU338" i="12"/>
  <c r="AU339" i="12"/>
  <c r="AU340" i="12"/>
  <c r="AU341" i="12"/>
  <c r="AU342" i="12"/>
  <c r="AU343" i="12"/>
  <c r="AU344" i="12"/>
  <c r="AY344" i="12" s="1"/>
  <c r="AU345" i="12"/>
  <c r="AY345" i="12" s="1"/>
  <c r="AU346" i="12"/>
  <c r="AU347" i="12"/>
  <c r="AU348" i="12"/>
  <c r="AU349" i="12"/>
  <c r="AU350" i="12"/>
  <c r="AU351" i="12"/>
  <c r="AU352" i="12"/>
  <c r="AY352" i="12" s="1"/>
  <c r="AU353" i="12"/>
  <c r="AV353" i="12" s="1"/>
  <c r="AU354" i="12"/>
  <c r="AU355" i="12"/>
  <c r="AV355" i="12" s="1"/>
  <c r="AU356" i="12"/>
  <c r="AU357" i="12"/>
  <c r="AU358" i="12"/>
  <c r="AU359" i="12"/>
  <c r="AU360" i="12"/>
  <c r="AY360" i="12" s="1"/>
  <c r="AU361" i="12"/>
  <c r="AY361" i="12" s="1"/>
  <c r="AU362" i="12"/>
  <c r="AU363" i="12"/>
  <c r="AU364" i="12"/>
  <c r="AU365" i="12"/>
  <c r="AU366" i="12"/>
  <c r="AU367" i="12"/>
  <c r="AU368" i="12"/>
  <c r="AY368" i="12" s="1"/>
  <c r="AU369" i="12"/>
  <c r="AY369" i="12" s="1"/>
  <c r="AU370" i="12"/>
  <c r="AU371" i="12"/>
  <c r="AU372" i="12"/>
  <c r="AU373" i="12"/>
  <c r="AU374" i="12"/>
  <c r="AU375" i="12"/>
  <c r="AU376" i="12"/>
  <c r="AY376" i="12" s="1"/>
  <c r="AU377" i="12"/>
  <c r="AV377" i="12" s="1"/>
  <c r="AU378" i="12"/>
  <c r="AU379" i="12"/>
  <c r="AV379" i="12" s="1"/>
  <c r="AU380" i="12"/>
  <c r="AU381" i="12"/>
  <c r="AU382" i="12"/>
  <c r="AU383" i="12"/>
  <c r="AU384" i="12"/>
  <c r="AY384" i="12" s="1"/>
  <c r="AU385" i="12"/>
  <c r="AY385" i="12" s="1"/>
  <c r="AU386" i="12"/>
  <c r="AU387" i="12"/>
  <c r="AU388" i="12"/>
  <c r="AU389" i="12"/>
  <c r="AU390" i="12"/>
  <c r="AU391" i="12"/>
  <c r="AU392" i="12"/>
  <c r="AY392" i="12" s="1"/>
  <c r="AU393" i="12"/>
  <c r="AV393" i="12" s="1"/>
  <c r="AU394" i="12"/>
  <c r="AU395" i="12"/>
  <c r="AU396" i="12"/>
  <c r="AU397" i="12"/>
  <c r="AU398" i="12"/>
  <c r="AU399" i="12"/>
  <c r="AV399" i="12" s="1"/>
  <c r="AU400" i="12"/>
  <c r="AY400" i="12" s="1"/>
  <c r="AU401" i="12"/>
  <c r="AV401" i="12" s="1"/>
  <c r="AU402" i="12"/>
  <c r="AU403" i="12"/>
  <c r="AU404" i="12"/>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211" i="12"/>
  <c r="AS243" i="12"/>
  <c r="AS269" i="12"/>
  <c r="AS283" i="12"/>
  <c r="AS315" i="12"/>
  <c r="AS347" i="12"/>
  <c r="AS379" i="12"/>
  <c r="AS393" i="12"/>
  <c r="AS401" i="12"/>
  <c r="AR192" i="12"/>
  <c r="AS192" i="12" s="1"/>
  <c r="AR193" i="12"/>
  <c r="AS193" i="12" s="1"/>
  <c r="AR194" i="12"/>
  <c r="AS194" i="12" s="1"/>
  <c r="AR195" i="12"/>
  <c r="AS195" i="12" s="1"/>
  <c r="AR196" i="12"/>
  <c r="AS196" i="12" s="1"/>
  <c r="AR197" i="12"/>
  <c r="AS197" i="12" s="1"/>
  <c r="AR198" i="12"/>
  <c r="AS198" i="12" s="1"/>
  <c r="AR199" i="12"/>
  <c r="AS199" i="12" s="1"/>
  <c r="AR200" i="12"/>
  <c r="AS200" i="12" s="1"/>
  <c r="AR201" i="12"/>
  <c r="AS201" i="12" s="1"/>
  <c r="AR202" i="12"/>
  <c r="AS202" i="12" s="1"/>
  <c r="AR203" i="12"/>
  <c r="AS203" i="12" s="1"/>
  <c r="AR204" i="12"/>
  <c r="AS204" i="12" s="1"/>
  <c r="AR205" i="12"/>
  <c r="AS205" i="12" s="1"/>
  <c r="AR206" i="12"/>
  <c r="AS206" i="12" s="1"/>
  <c r="AR207" i="12"/>
  <c r="AS207" i="12" s="1"/>
  <c r="AR208" i="12"/>
  <c r="AS208" i="12" s="1"/>
  <c r="AR209" i="12"/>
  <c r="AS209" i="12" s="1"/>
  <c r="AR210" i="12"/>
  <c r="AS210" i="12" s="1"/>
  <c r="AR211" i="12"/>
  <c r="AR212" i="12"/>
  <c r="AS212" i="12" s="1"/>
  <c r="AR213" i="12"/>
  <c r="AS213" i="12" s="1"/>
  <c r="AR214" i="12"/>
  <c r="AS214" i="12" s="1"/>
  <c r="AR215" i="12"/>
  <c r="AS215" i="12" s="1"/>
  <c r="AR216" i="12"/>
  <c r="AS216" i="12" s="1"/>
  <c r="AR217" i="12"/>
  <c r="AS217" i="12" s="1"/>
  <c r="AR218" i="12"/>
  <c r="AS218" i="12" s="1"/>
  <c r="AR219" i="12"/>
  <c r="AS219" i="12" s="1"/>
  <c r="AR220" i="12"/>
  <c r="AS220" i="12" s="1"/>
  <c r="AR221" i="12"/>
  <c r="AS221" i="12" s="1"/>
  <c r="AR222" i="12"/>
  <c r="AS222" i="12" s="1"/>
  <c r="AR223" i="12"/>
  <c r="AS223" i="12" s="1"/>
  <c r="AR224" i="12"/>
  <c r="AS224" i="12" s="1"/>
  <c r="AR225" i="12"/>
  <c r="AS225" i="12" s="1"/>
  <c r="AR226" i="12"/>
  <c r="AS226" i="12" s="1"/>
  <c r="AR227" i="12"/>
  <c r="AS227" i="12" s="1"/>
  <c r="AR228" i="12"/>
  <c r="AS228" i="12" s="1"/>
  <c r="AR229" i="12"/>
  <c r="AS229" i="12" s="1"/>
  <c r="AR230" i="12"/>
  <c r="AS230" i="12" s="1"/>
  <c r="AR231" i="12"/>
  <c r="AS231" i="12" s="1"/>
  <c r="AR232" i="12"/>
  <c r="AS232" i="12" s="1"/>
  <c r="AR233" i="12"/>
  <c r="AS233" i="12" s="1"/>
  <c r="AR234" i="12"/>
  <c r="AS234" i="12" s="1"/>
  <c r="AR235" i="12"/>
  <c r="AS235" i="12" s="1"/>
  <c r="AR236" i="12"/>
  <c r="AS236" i="12" s="1"/>
  <c r="AR237" i="12"/>
  <c r="AS237" i="12" s="1"/>
  <c r="AR238" i="12"/>
  <c r="AS238" i="12" s="1"/>
  <c r="AR239" i="12"/>
  <c r="AS239" i="12" s="1"/>
  <c r="AR240" i="12"/>
  <c r="AS240" i="12" s="1"/>
  <c r="AR241" i="12"/>
  <c r="AS241" i="12" s="1"/>
  <c r="AR242" i="12"/>
  <c r="AS242" i="12" s="1"/>
  <c r="AR243" i="12"/>
  <c r="AR244" i="12"/>
  <c r="AS244" i="12" s="1"/>
  <c r="AR245" i="12"/>
  <c r="AS245" i="12" s="1"/>
  <c r="AR246" i="12"/>
  <c r="AS246" i="12" s="1"/>
  <c r="AR247" i="12"/>
  <c r="AS247" i="12" s="1"/>
  <c r="AR248" i="12"/>
  <c r="AS248" i="12" s="1"/>
  <c r="AR249" i="12"/>
  <c r="AS249" i="12" s="1"/>
  <c r="AR250" i="12"/>
  <c r="AS250" i="12" s="1"/>
  <c r="AR251" i="12"/>
  <c r="AS251" i="12" s="1"/>
  <c r="AR252" i="12"/>
  <c r="AS252" i="12" s="1"/>
  <c r="AR253" i="12"/>
  <c r="AS253" i="12" s="1"/>
  <c r="AR254" i="12"/>
  <c r="AS254" i="12" s="1"/>
  <c r="AR255" i="12"/>
  <c r="AS255" i="12" s="1"/>
  <c r="AR256" i="12"/>
  <c r="AS256" i="12" s="1"/>
  <c r="AR257" i="12"/>
  <c r="AS257" i="12" s="1"/>
  <c r="AR258" i="12"/>
  <c r="AS258" i="12" s="1"/>
  <c r="AR259" i="12"/>
  <c r="AS259" i="12" s="1"/>
  <c r="AR260" i="12"/>
  <c r="AS260" i="12" s="1"/>
  <c r="AR261" i="12"/>
  <c r="AS261" i="12" s="1"/>
  <c r="AR262" i="12"/>
  <c r="AS262" i="12" s="1"/>
  <c r="AR263" i="12"/>
  <c r="AS263" i="12" s="1"/>
  <c r="AR264" i="12"/>
  <c r="AS264" i="12" s="1"/>
  <c r="AR265" i="12"/>
  <c r="AS265" i="12" s="1"/>
  <c r="AR266" i="12"/>
  <c r="AS266" i="12" s="1"/>
  <c r="AR267" i="12"/>
  <c r="AS267" i="12" s="1"/>
  <c r="AR268" i="12"/>
  <c r="AS268" i="12" s="1"/>
  <c r="AR269" i="12"/>
  <c r="AR270" i="12"/>
  <c r="AS270" i="12" s="1"/>
  <c r="AR271" i="12"/>
  <c r="AS271" i="12" s="1"/>
  <c r="AR272" i="12"/>
  <c r="AS272" i="12" s="1"/>
  <c r="AR273" i="12"/>
  <c r="AS273" i="12" s="1"/>
  <c r="AR274" i="12"/>
  <c r="AS274" i="12" s="1"/>
  <c r="AR275" i="12"/>
  <c r="AS275" i="12" s="1"/>
  <c r="AR276" i="12"/>
  <c r="AS276" i="12" s="1"/>
  <c r="AR277" i="12"/>
  <c r="AS277" i="12" s="1"/>
  <c r="AR278" i="12"/>
  <c r="AS278" i="12" s="1"/>
  <c r="AR279" i="12"/>
  <c r="AS279" i="12" s="1"/>
  <c r="AR280" i="12"/>
  <c r="AS280" i="12" s="1"/>
  <c r="AR281" i="12"/>
  <c r="AS281" i="12" s="1"/>
  <c r="AR282" i="12"/>
  <c r="AS282" i="12" s="1"/>
  <c r="AR283" i="12"/>
  <c r="AR284" i="12"/>
  <c r="AS284" i="12" s="1"/>
  <c r="AR285" i="12"/>
  <c r="AS285" i="12" s="1"/>
  <c r="AR286" i="12"/>
  <c r="AS286" i="12" s="1"/>
  <c r="AR287" i="12"/>
  <c r="AS287" i="12" s="1"/>
  <c r="AR288" i="12"/>
  <c r="AS288" i="12" s="1"/>
  <c r="AR289" i="12"/>
  <c r="AS289" i="12" s="1"/>
  <c r="AR290" i="12"/>
  <c r="AS290" i="12" s="1"/>
  <c r="AR291" i="12"/>
  <c r="AS291" i="12" s="1"/>
  <c r="AR292" i="12"/>
  <c r="AS292" i="12" s="1"/>
  <c r="AR293" i="12"/>
  <c r="AS293" i="12" s="1"/>
  <c r="AR294" i="12"/>
  <c r="AS294" i="12" s="1"/>
  <c r="AR295" i="12"/>
  <c r="AS295" i="12" s="1"/>
  <c r="AR296" i="12"/>
  <c r="AS296" i="12" s="1"/>
  <c r="AR297" i="12"/>
  <c r="AS297" i="12" s="1"/>
  <c r="AR298" i="12"/>
  <c r="AS298" i="12" s="1"/>
  <c r="AR299" i="12"/>
  <c r="AS299" i="12" s="1"/>
  <c r="AR300" i="12"/>
  <c r="AS300" i="12" s="1"/>
  <c r="AR301" i="12"/>
  <c r="AS301" i="12" s="1"/>
  <c r="AR302" i="12"/>
  <c r="AS302" i="12" s="1"/>
  <c r="AR303" i="12"/>
  <c r="AS303" i="12" s="1"/>
  <c r="AR304" i="12"/>
  <c r="AS304" i="12" s="1"/>
  <c r="AR305" i="12"/>
  <c r="AS305" i="12" s="1"/>
  <c r="AR306" i="12"/>
  <c r="AS306" i="12" s="1"/>
  <c r="AR307" i="12"/>
  <c r="AS307" i="12" s="1"/>
  <c r="AR308" i="12"/>
  <c r="AS308" i="12" s="1"/>
  <c r="AR309" i="12"/>
  <c r="AS309" i="12" s="1"/>
  <c r="AR310" i="12"/>
  <c r="AS310" i="12" s="1"/>
  <c r="AR311" i="12"/>
  <c r="AS311" i="12" s="1"/>
  <c r="AR312" i="12"/>
  <c r="AS312" i="12" s="1"/>
  <c r="AR313" i="12"/>
  <c r="AS313" i="12" s="1"/>
  <c r="AR314" i="12"/>
  <c r="AS314" i="12" s="1"/>
  <c r="AR315" i="12"/>
  <c r="AR316" i="12"/>
  <c r="AS316" i="12" s="1"/>
  <c r="AR317" i="12"/>
  <c r="AS317" i="12" s="1"/>
  <c r="AR318" i="12"/>
  <c r="AS318" i="12" s="1"/>
  <c r="AR319" i="12"/>
  <c r="AS319" i="12" s="1"/>
  <c r="AR320" i="12"/>
  <c r="AS320" i="12" s="1"/>
  <c r="AR321" i="12"/>
  <c r="AS321" i="12" s="1"/>
  <c r="AR322" i="12"/>
  <c r="AS322" i="12" s="1"/>
  <c r="AR323" i="12"/>
  <c r="AS323" i="12" s="1"/>
  <c r="AR324" i="12"/>
  <c r="AS324" i="12" s="1"/>
  <c r="AR325" i="12"/>
  <c r="AS325" i="12" s="1"/>
  <c r="AR326" i="12"/>
  <c r="AS326" i="12" s="1"/>
  <c r="AR327" i="12"/>
  <c r="AS327" i="12" s="1"/>
  <c r="AR328" i="12"/>
  <c r="AS328" i="12" s="1"/>
  <c r="AR329" i="12"/>
  <c r="AS329" i="12" s="1"/>
  <c r="AR330" i="12"/>
  <c r="AS330" i="12" s="1"/>
  <c r="AR331" i="12"/>
  <c r="AS331" i="12" s="1"/>
  <c r="AR332" i="12"/>
  <c r="AS332" i="12" s="1"/>
  <c r="AR333" i="12"/>
  <c r="AS333" i="12" s="1"/>
  <c r="AR334" i="12"/>
  <c r="AS334" i="12" s="1"/>
  <c r="AR335" i="12"/>
  <c r="AS335" i="12" s="1"/>
  <c r="AR336" i="12"/>
  <c r="AS336" i="12" s="1"/>
  <c r="AR337" i="12"/>
  <c r="AS337" i="12" s="1"/>
  <c r="AR338" i="12"/>
  <c r="AS338" i="12" s="1"/>
  <c r="AR339" i="12"/>
  <c r="AS339" i="12" s="1"/>
  <c r="AR340" i="12"/>
  <c r="AS340" i="12" s="1"/>
  <c r="AR341" i="12"/>
  <c r="AS341" i="12" s="1"/>
  <c r="AR342" i="12"/>
  <c r="AS342" i="12" s="1"/>
  <c r="AR343" i="12"/>
  <c r="AS343" i="12" s="1"/>
  <c r="AR344" i="12"/>
  <c r="AS344" i="12" s="1"/>
  <c r="AR345" i="12"/>
  <c r="AS345" i="12" s="1"/>
  <c r="AR346" i="12"/>
  <c r="AS346" i="12" s="1"/>
  <c r="AR347" i="12"/>
  <c r="AR348" i="12"/>
  <c r="AS348" i="12" s="1"/>
  <c r="AR349" i="12"/>
  <c r="AS349" i="12" s="1"/>
  <c r="AR350" i="12"/>
  <c r="AS350" i="12" s="1"/>
  <c r="AR351" i="12"/>
  <c r="AS351" i="12" s="1"/>
  <c r="AR352" i="12"/>
  <c r="AS352" i="12" s="1"/>
  <c r="AR353" i="12"/>
  <c r="AS353" i="12" s="1"/>
  <c r="AR354" i="12"/>
  <c r="AS354" i="12" s="1"/>
  <c r="AR355" i="12"/>
  <c r="AS355" i="12" s="1"/>
  <c r="AR356" i="12"/>
  <c r="AS356" i="12" s="1"/>
  <c r="AR357" i="12"/>
  <c r="AS357" i="12" s="1"/>
  <c r="AR358" i="12"/>
  <c r="AS358" i="12" s="1"/>
  <c r="AR359" i="12"/>
  <c r="AS359" i="12" s="1"/>
  <c r="AR360" i="12"/>
  <c r="AS360" i="12" s="1"/>
  <c r="AR361" i="12"/>
  <c r="AS361" i="12" s="1"/>
  <c r="AR362" i="12"/>
  <c r="AS362" i="12" s="1"/>
  <c r="AR363" i="12"/>
  <c r="AS363" i="12" s="1"/>
  <c r="AR364" i="12"/>
  <c r="AS364" i="12" s="1"/>
  <c r="AR365" i="12"/>
  <c r="AS365" i="12" s="1"/>
  <c r="AR366" i="12"/>
  <c r="AS366" i="12" s="1"/>
  <c r="AR367" i="12"/>
  <c r="AS367" i="12" s="1"/>
  <c r="AR368" i="12"/>
  <c r="AS368" i="12" s="1"/>
  <c r="AR369" i="12"/>
  <c r="AS369" i="12" s="1"/>
  <c r="AR370" i="12"/>
  <c r="AS370" i="12" s="1"/>
  <c r="AR371" i="12"/>
  <c r="AS371" i="12" s="1"/>
  <c r="AR372" i="12"/>
  <c r="AS372" i="12" s="1"/>
  <c r="AR373" i="12"/>
  <c r="AS373" i="12" s="1"/>
  <c r="AR374" i="12"/>
  <c r="AS374" i="12" s="1"/>
  <c r="AR375" i="12"/>
  <c r="AS375" i="12" s="1"/>
  <c r="AR376" i="12"/>
  <c r="AS376" i="12" s="1"/>
  <c r="AR377" i="12"/>
  <c r="AS377" i="12" s="1"/>
  <c r="AR378" i="12"/>
  <c r="AS378" i="12" s="1"/>
  <c r="AR379" i="12"/>
  <c r="AR380" i="12"/>
  <c r="AS380" i="12" s="1"/>
  <c r="AR381" i="12"/>
  <c r="AS381" i="12" s="1"/>
  <c r="AR382" i="12"/>
  <c r="AS382" i="12" s="1"/>
  <c r="AR383" i="12"/>
  <c r="AS383" i="12" s="1"/>
  <c r="AR384" i="12"/>
  <c r="AS384" i="12" s="1"/>
  <c r="AR385" i="12"/>
  <c r="AS385" i="12" s="1"/>
  <c r="AR386" i="12"/>
  <c r="AS386" i="12" s="1"/>
  <c r="AR387" i="12"/>
  <c r="AS387" i="12" s="1"/>
  <c r="AR388" i="12"/>
  <c r="AS388" i="12" s="1"/>
  <c r="AR389" i="12"/>
  <c r="AS389" i="12" s="1"/>
  <c r="AR390" i="12"/>
  <c r="AS390" i="12" s="1"/>
  <c r="AR391" i="12"/>
  <c r="AS391" i="12" s="1"/>
  <c r="AR392" i="12"/>
  <c r="AS392" i="12" s="1"/>
  <c r="AR393" i="12"/>
  <c r="AR394" i="12"/>
  <c r="AS394" i="12" s="1"/>
  <c r="AR395" i="12"/>
  <c r="AS395" i="12" s="1"/>
  <c r="AR396" i="12"/>
  <c r="AS396" i="12" s="1"/>
  <c r="AR397" i="12"/>
  <c r="AS397" i="12" s="1"/>
  <c r="AR398" i="12"/>
  <c r="AS398" i="12" s="1"/>
  <c r="AR399" i="12"/>
  <c r="AS399" i="12" s="1"/>
  <c r="AR400" i="12"/>
  <c r="AS400" i="12" s="1"/>
  <c r="AR401" i="12"/>
  <c r="AR402" i="12"/>
  <c r="AS402" i="12" s="1"/>
  <c r="AR403" i="12"/>
  <c r="AS403" i="12" s="1"/>
  <c r="AR404" i="12"/>
  <c r="AS404" i="12" s="1"/>
  <c r="AP192" i="12"/>
  <c r="AP193" i="12"/>
  <c r="AT193" i="12" s="1"/>
  <c r="AP194" i="12"/>
  <c r="AP195" i="12"/>
  <c r="AT195" i="12" s="1"/>
  <c r="AP196" i="12"/>
  <c r="AP197" i="12"/>
  <c r="AP198" i="12"/>
  <c r="AP199" i="12"/>
  <c r="AP200" i="12"/>
  <c r="AP201" i="12"/>
  <c r="AT201" i="12" s="1"/>
  <c r="AP202" i="12"/>
  <c r="AP203" i="12"/>
  <c r="AT203" i="12" s="1"/>
  <c r="AP204" i="12"/>
  <c r="AP205" i="12"/>
  <c r="AP206" i="12"/>
  <c r="AP207" i="12"/>
  <c r="AP208" i="12"/>
  <c r="AP209" i="12"/>
  <c r="AT209" i="12" s="1"/>
  <c r="AP210" i="12"/>
  <c r="AP211" i="12"/>
  <c r="AT211" i="12" s="1"/>
  <c r="AP212" i="12"/>
  <c r="AP213" i="12"/>
  <c r="AP214" i="12"/>
  <c r="AP215" i="12"/>
  <c r="AP216" i="12"/>
  <c r="AP217" i="12"/>
  <c r="AT217" i="12" s="1"/>
  <c r="AP218" i="12"/>
  <c r="AP219" i="12"/>
  <c r="AT219" i="12" s="1"/>
  <c r="AP220" i="12"/>
  <c r="AQ220" i="12" s="1"/>
  <c r="AP221" i="12"/>
  <c r="AP222" i="12"/>
  <c r="AP223" i="12"/>
  <c r="AP224" i="12"/>
  <c r="AP225" i="12"/>
  <c r="AT225" i="12" s="1"/>
  <c r="AP226" i="12"/>
  <c r="AP227" i="12"/>
  <c r="AT227" i="12" s="1"/>
  <c r="AP228" i="12"/>
  <c r="AQ228" i="12" s="1"/>
  <c r="AP229" i="12"/>
  <c r="AP230" i="12"/>
  <c r="AP231" i="12"/>
  <c r="AP232" i="12"/>
  <c r="AP233" i="12"/>
  <c r="AT233" i="12" s="1"/>
  <c r="AP234" i="12"/>
  <c r="AP235" i="12"/>
  <c r="AT235" i="12" s="1"/>
  <c r="AP236" i="12"/>
  <c r="AP237" i="12"/>
  <c r="AP238" i="12"/>
  <c r="AP239" i="12"/>
  <c r="AP240" i="12"/>
  <c r="AP241" i="12"/>
  <c r="AT241" i="12" s="1"/>
  <c r="AP242" i="12"/>
  <c r="AP243" i="12"/>
  <c r="AT243" i="12" s="1"/>
  <c r="AP244" i="12"/>
  <c r="AQ244" i="12" s="1"/>
  <c r="AP245" i="12"/>
  <c r="AP246" i="12"/>
  <c r="AP247" i="12"/>
  <c r="AP248" i="12"/>
  <c r="AP249" i="12"/>
  <c r="AT249" i="12" s="1"/>
  <c r="AP250" i="12"/>
  <c r="AP251" i="12"/>
  <c r="AT251" i="12" s="1"/>
  <c r="AP252" i="12"/>
  <c r="AP253" i="12"/>
  <c r="AP254" i="12"/>
  <c r="AP255" i="12"/>
  <c r="AP256" i="12"/>
  <c r="AP257" i="12"/>
  <c r="AT257" i="12" s="1"/>
  <c r="AP258" i="12"/>
  <c r="AP259" i="12"/>
  <c r="AT259" i="12" s="1"/>
  <c r="AP260" i="12"/>
  <c r="AP261" i="12"/>
  <c r="AP262" i="12"/>
  <c r="AP263" i="12"/>
  <c r="AP264" i="12"/>
  <c r="AP265" i="12"/>
  <c r="AT265" i="12" s="1"/>
  <c r="AP266" i="12"/>
  <c r="AP267" i="12"/>
  <c r="AT267" i="12" s="1"/>
  <c r="AP268" i="12"/>
  <c r="AQ268" i="12" s="1"/>
  <c r="AP269" i="12"/>
  <c r="AP270" i="12"/>
  <c r="AP271" i="12"/>
  <c r="AP272" i="12"/>
  <c r="AP273" i="12"/>
  <c r="AT273" i="12" s="1"/>
  <c r="AP274" i="12"/>
  <c r="AP275" i="12"/>
  <c r="AT275" i="12" s="1"/>
  <c r="AP276" i="12"/>
  <c r="AP277" i="12"/>
  <c r="AP278" i="12"/>
  <c r="AP279" i="12"/>
  <c r="AP280" i="12"/>
  <c r="AP281" i="12"/>
  <c r="AT281" i="12" s="1"/>
  <c r="AP282" i="12"/>
  <c r="AP283" i="12"/>
  <c r="AT283" i="12" s="1"/>
  <c r="AP284" i="12"/>
  <c r="AQ284" i="12" s="1"/>
  <c r="AP285" i="12"/>
  <c r="AP286" i="12"/>
  <c r="AP287" i="12"/>
  <c r="AP288" i="12"/>
  <c r="AP289" i="12"/>
  <c r="AT289" i="12" s="1"/>
  <c r="AP290" i="12"/>
  <c r="AP291" i="12"/>
  <c r="AT291" i="12" s="1"/>
  <c r="AP292" i="12"/>
  <c r="AQ292" i="12" s="1"/>
  <c r="AP293" i="12"/>
  <c r="AP294" i="12"/>
  <c r="AP295" i="12"/>
  <c r="AP296" i="12"/>
  <c r="AP297" i="12"/>
  <c r="AT297" i="12" s="1"/>
  <c r="AP298" i="12"/>
  <c r="AP299" i="12"/>
  <c r="AT299" i="12" s="1"/>
  <c r="AP300" i="12"/>
  <c r="AQ300" i="12" s="1"/>
  <c r="AP301" i="12"/>
  <c r="AP302" i="12"/>
  <c r="AP303" i="12"/>
  <c r="AP304" i="12"/>
  <c r="AP305" i="12"/>
  <c r="AT305" i="12" s="1"/>
  <c r="AP306" i="12"/>
  <c r="AP307" i="12"/>
  <c r="AT307" i="12" s="1"/>
  <c r="AP308" i="12"/>
  <c r="AQ308" i="12" s="1"/>
  <c r="AP309" i="12"/>
  <c r="AP310" i="12"/>
  <c r="AP311" i="12"/>
  <c r="AP312" i="12"/>
  <c r="AP313" i="12"/>
  <c r="AT313" i="12" s="1"/>
  <c r="AP314" i="12"/>
  <c r="AP315" i="12"/>
  <c r="AT315" i="12" s="1"/>
  <c r="AP316" i="12"/>
  <c r="AP317" i="12"/>
  <c r="AP318" i="12"/>
  <c r="AP319" i="12"/>
  <c r="AP320" i="12"/>
  <c r="AP321" i="12"/>
  <c r="AT321" i="12" s="1"/>
  <c r="AP322" i="12"/>
  <c r="AP323" i="12"/>
  <c r="AT323" i="12" s="1"/>
  <c r="AP324" i="12"/>
  <c r="AP325" i="12"/>
  <c r="AP326" i="12"/>
  <c r="AP327" i="12"/>
  <c r="AP328" i="12"/>
  <c r="AP329" i="12"/>
  <c r="AT329" i="12" s="1"/>
  <c r="AP330" i="12"/>
  <c r="AP331" i="12"/>
  <c r="AT331" i="12" s="1"/>
  <c r="AP332" i="12"/>
  <c r="AQ332" i="12" s="1"/>
  <c r="AP333" i="12"/>
  <c r="AP334" i="12"/>
  <c r="AP335" i="12"/>
  <c r="AP336" i="12"/>
  <c r="AP337" i="12"/>
  <c r="AT337" i="12" s="1"/>
  <c r="AP338" i="12"/>
  <c r="AP339" i="12"/>
  <c r="AT339" i="12" s="1"/>
  <c r="AP340" i="12"/>
  <c r="AQ340" i="12" s="1"/>
  <c r="AP341" i="12"/>
  <c r="AP342" i="12"/>
  <c r="AP343" i="12"/>
  <c r="AP344" i="12"/>
  <c r="AP345" i="12"/>
  <c r="AT345" i="12" s="1"/>
  <c r="AP346" i="12"/>
  <c r="AP347" i="12"/>
  <c r="AT347" i="12" s="1"/>
  <c r="AP348" i="12"/>
  <c r="AQ348" i="12" s="1"/>
  <c r="AP349" i="12"/>
  <c r="AP350" i="12"/>
  <c r="AP351" i="12"/>
  <c r="AP352" i="12"/>
  <c r="AP353" i="12"/>
  <c r="AT353" i="12" s="1"/>
  <c r="AP354" i="12"/>
  <c r="AP355" i="12"/>
  <c r="AT355" i="12" s="1"/>
  <c r="AP356" i="12"/>
  <c r="AQ356" i="12" s="1"/>
  <c r="AP357" i="12"/>
  <c r="AP358" i="12"/>
  <c r="AP359" i="12"/>
  <c r="AP360" i="12"/>
  <c r="AP361" i="12"/>
  <c r="AT361" i="12" s="1"/>
  <c r="AP362" i="12"/>
  <c r="AP363" i="12"/>
  <c r="AT363" i="12" s="1"/>
  <c r="AP364" i="12"/>
  <c r="AQ364" i="12" s="1"/>
  <c r="AP365" i="12"/>
  <c r="AP366" i="12"/>
  <c r="AP367" i="12"/>
  <c r="AP368" i="12"/>
  <c r="AP369" i="12"/>
  <c r="AT369" i="12" s="1"/>
  <c r="AP370" i="12"/>
  <c r="AP371" i="12"/>
  <c r="AT371" i="12" s="1"/>
  <c r="AP372" i="12"/>
  <c r="AQ372" i="12" s="1"/>
  <c r="AP373" i="12"/>
  <c r="AP374" i="12"/>
  <c r="AP375" i="12"/>
  <c r="AP376" i="12"/>
  <c r="AP377" i="12"/>
  <c r="AT377" i="12" s="1"/>
  <c r="AP378" i="12"/>
  <c r="AP379" i="12"/>
  <c r="AT379" i="12" s="1"/>
  <c r="AP380" i="12"/>
  <c r="AQ380" i="12" s="1"/>
  <c r="AP381" i="12"/>
  <c r="AP382" i="12"/>
  <c r="AP383" i="12"/>
  <c r="AP384" i="12"/>
  <c r="AP385" i="12"/>
  <c r="AT385" i="12" s="1"/>
  <c r="AP386" i="12"/>
  <c r="AP387" i="12"/>
  <c r="AT387" i="12" s="1"/>
  <c r="AP388" i="12"/>
  <c r="AP389" i="12"/>
  <c r="AP390" i="12"/>
  <c r="AP391" i="12"/>
  <c r="AP392" i="12"/>
  <c r="AP393" i="12"/>
  <c r="AT393" i="12" s="1"/>
  <c r="AP394" i="12"/>
  <c r="AP395" i="12"/>
  <c r="AT395" i="12" s="1"/>
  <c r="AP396" i="12"/>
  <c r="AQ396" i="12" s="1"/>
  <c r="AP397" i="12"/>
  <c r="AP398" i="12"/>
  <c r="AP399" i="12"/>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8" i="12"/>
  <c r="AN204" i="12"/>
  <c r="AN214" i="12"/>
  <c r="AN220" i="12"/>
  <c r="AN230" i="12"/>
  <c r="AN236" i="12"/>
  <c r="AN246" i="12"/>
  <c r="AN252" i="12"/>
  <c r="AN262" i="12"/>
  <c r="AN268" i="12"/>
  <c r="AN278" i="12"/>
  <c r="AN284" i="12"/>
  <c r="AN294" i="12"/>
  <c r="AN300" i="12"/>
  <c r="AN310" i="12"/>
  <c r="AN316" i="12"/>
  <c r="AN326" i="12"/>
  <c r="AN332" i="12"/>
  <c r="AN342" i="12"/>
  <c r="AN348" i="12"/>
  <c r="AN358" i="12"/>
  <c r="AN364" i="12"/>
  <c r="AN374" i="12"/>
  <c r="AN380" i="12"/>
  <c r="AN390" i="12"/>
  <c r="AN396" i="12"/>
  <c r="AM192" i="12"/>
  <c r="AN192" i="12" s="1"/>
  <c r="AM193" i="12"/>
  <c r="AN193" i="12" s="1"/>
  <c r="AM194" i="12"/>
  <c r="AN194" i="12" s="1"/>
  <c r="AM195" i="12"/>
  <c r="AN195" i="12" s="1"/>
  <c r="AM196" i="12"/>
  <c r="AN196" i="12" s="1"/>
  <c r="AM197" i="12"/>
  <c r="AN197" i="12" s="1"/>
  <c r="AM198" i="12"/>
  <c r="AM199" i="12"/>
  <c r="AN199" i="12" s="1"/>
  <c r="AM200" i="12"/>
  <c r="AN200" i="12" s="1"/>
  <c r="AM201" i="12"/>
  <c r="AN201" i="12" s="1"/>
  <c r="AM202" i="12"/>
  <c r="AN202" i="12" s="1"/>
  <c r="AM203" i="12"/>
  <c r="AN203" i="12" s="1"/>
  <c r="AM204" i="12"/>
  <c r="AM205" i="12"/>
  <c r="AN205" i="12" s="1"/>
  <c r="AM206" i="12"/>
  <c r="AN206" i="12" s="1"/>
  <c r="AM207" i="12"/>
  <c r="AN207" i="12" s="1"/>
  <c r="AM208" i="12"/>
  <c r="AN208" i="12" s="1"/>
  <c r="AM209" i="12"/>
  <c r="AN209" i="12" s="1"/>
  <c r="AM210" i="12"/>
  <c r="AN210" i="12" s="1"/>
  <c r="AM211" i="12"/>
  <c r="AN211" i="12" s="1"/>
  <c r="AM212" i="12"/>
  <c r="AN212" i="12" s="1"/>
  <c r="AM213" i="12"/>
  <c r="AN213" i="12" s="1"/>
  <c r="AM214" i="12"/>
  <c r="AM215" i="12"/>
  <c r="AN215" i="12" s="1"/>
  <c r="AM216" i="12"/>
  <c r="AN216" i="12" s="1"/>
  <c r="AM217" i="12"/>
  <c r="AN217" i="12" s="1"/>
  <c r="AM218" i="12"/>
  <c r="AN218" i="12" s="1"/>
  <c r="AM219" i="12"/>
  <c r="AN219" i="12" s="1"/>
  <c r="AM220" i="12"/>
  <c r="AM221" i="12"/>
  <c r="AN221" i="12" s="1"/>
  <c r="AM222" i="12"/>
  <c r="AN222" i="12" s="1"/>
  <c r="AM223" i="12"/>
  <c r="AN223" i="12" s="1"/>
  <c r="AM224" i="12"/>
  <c r="AN224" i="12" s="1"/>
  <c r="AM225" i="12"/>
  <c r="AN225" i="12" s="1"/>
  <c r="AM226" i="12"/>
  <c r="AN226" i="12" s="1"/>
  <c r="AM227" i="12"/>
  <c r="AN227" i="12" s="1"/>
  <c r="AM228" i="12"/>
  <c r="AN228" i="12" s="1"/>
  <c r="AM229" i="12"/>
  <c r="AN229" i="12" s="1"/>
  <c r="AM230" i="12"/>
  <c r="AM231" i="12"/>
  <c r="AN231" i="12" s="1"/>
  <c r="AM232" i="12"/>
  <c r="AN232" i="12" s="1"/>
  <c r="AM233" i="12"/>
  <c r="AN233" i="12" s="1"/>
  <c r="AM234" i="12"/>
  <c r="AN234" i="12" s="1"/>
  <c r="AM235" i="12"/>
  <c r="AN235" i="12" s="1"/>
  <c r="AM236" i="12"/>
  <c r="AM237" i="12"/>
  <c r="AN237" i="12" s="1"/>
  <c r="AM238" i="12"/>
  <c r="AN238" i="12" s="1"/>
  <c r="AM239" i="12"/>
  <c r="AN239" i="12" s="1"/>
  <c r="AM240" i="12"/>
  <c r="AN240" i="12" s="1"/>
  <c r="AM241" i="12"/>
  <c r="AN241" i="12" s="1"/>
  <c r="AM242" i="12"/>
  <c r="AN242" i="12" s="1"/>
  <c r="AM243" i="12"/>
  <c r="AN243" i="12" s="1"/>
  <c r="AM244" i="12"/>
  <c r="AN244" i="12" s="1"/>
  <c r="AM245" i="12"/>
  <c r="AN245" i="12" s="1"/>
  <c r="AM246" i="12"/>
  <c r="AM247" i="12"/>
  <c r="AN247" i="12" s="1"/>
  <c r="AM248" i="12"/>
  <c r="AN248" i="12" s="1"/>
  <c r="AM249" i="12"/>
  <c r="AN249" i="12" s="1"/>
  <c r="AM250" i="12"/>
  <c r="AN250" i="12" s="1"/>
  <c r="AM251" i="12"/>
  <c r="AN251" i="12" s="1"/>
  <c r="AM252" i="12"/>
  <c r="AM253" i="12"/>
  <c r="AN253" i="12" s="1"/>
  <c r="AM254" i="12"/>
  <c r="AN254" i="12" s="1"/>
  <c r="AM255" i="12"/>
  <c r="AN255" i="12" s="1"/>
  <c r="AM256" i="12"/>
  <c r="AN256" i="12" s="1"/>
  <c r="AM257" i="12"/>
  <c r="AN257" i="12" s="1"/>
  <c r="AM258" i="12"/>
  <c r="AN258" i="12" s="1"/>
  <c r="AM259" i="12"/>
  <c r="AN259" i="12" s="1"/>
  <c r="AM260" i="12"/>
  <c r="AN260" i="12" s="1"/>
  <c r="AM261" i="12"/>
  <c r="AN261" i="12" s="1"/>
  <c r="AM262" i="12"/>
  <c r="AM263" i="12"/>
  <c r="AN263" i="12" s="1"/>
  <c r="AM264" i="12"/>
  <c r="AN264" i="12" s="1"/>
  <c r="AM265" i="12"/>
  <c r="AN265" i="12" s="1"/>
  <c r="AM266" i="12"/>
  <c r="AN266" i="12" s="1"/>
  <c r="AM267" i="12"/>
  <c r="AN267" i="12" s="1"/>
  <c r="AM268" i="12"/>
  <c r="AM269" i="12"/>
  <c r="AN269" i="12" s="1"/>
  <c r="AM270" i="12"/>
  <c r="AN270" i="12" s="1"/>
  <c r="AM271" i="12"/>
  <c r="AN271" i="12" s="1"/>
  <c r="AM272" i="12"/>
  <c r="AN272" i="12" s="1"/>
  <c r="AM273" i="12"/>
  <c r="AN273" i="12" s="1"/>
  <c r="AM274" i="12"/>
  <c r="AN274" i="12" s="1"/>
  <c r="AM275" i="12"/>
  <c r="AN275" i="12" s="1"/>
  <c r="AM276" i="12"/>
  <c r="AN276" i="12" s="1"/>
  <c r="AM277" i="12"/>
  <c r="AN277" i="12" s="1"/>
  <c r="AM278" i="12"/>
  <c r="AM279" i="12"/>
  <c r="AN279" i="12" s="1"/>
  <c r="AM280" i="12"/>
  <c r="AN280" i="12" s="1"/>
  <c r="AM281" i="12"/>
  <c r="AN281" i="12" s="1"/>
  <c r="AM282" i="12"/>
  <c r="AN282" i="12" s="1"/>
  <c r="AM283" i="12"/>
  <c r="AN283" i="12" s="1"/>
  <c r="AM284" i="12"/>
  <c r="AM285" i="12"/>
  <c r="AN285" i="12" s="1"/>
  <c r="AM286" i="12"/>
  <c r="AN286" i="12" s="1"/>
  <c r="AM287" i="12"/>
  <c r="AN287" i="12" s="1"/>
  <c r="AM288" i="12"/>
  <c r="AN288" i="12" s="1"/>
  <c r="AM289" i="12"/>
  <c r="AN289" i="12" s="1"/>
  <c r="AM290" i="12"/>
  <c r="AN290" i="12" s="1"/>
  <c r="AM291" i="12"/>
  <c r="AN291" i="12" s="1"/>
  <c r="AM292" i="12"/>
  <c r="AN292" i="12" s="1"/>
  <c r="AM293" i="12"/>
  <c r="AN293" i="12" s="1"/>
  <c r="AM294" i="12"/>
  <c r="AM295" i="12"/>
  <c r="AN295" i="12" s="1"/>
  <c r="AM296" i="12"/>
  <c r="AN296" i="12" s="1"/>
  <c r="AM297" i="12"/>
  <c r="AN297" i="12" s="1"/>
  <c r="AM298" i="12"/>
  <c r="AN298" i="12" s="1"/>
  <c r="AM299" i="12"/>
  <c r="AN299" i="12" s="1"/>
  <c r="AM300" i="12"/>
  <c r="AM301" i="12"/>
  <c r="AN301" i="12" s="1"/>
  <c r="AM302" i="12"/>
  <c r="AN302" i="12" s="1"/>
  <c r="AM303" i="12"/>
  <c r="AN303" i="12" s="1"/>
  <c r="AM304" i="12"/>
  <c r="AN304" i="12" s="1"/>
  <c r="AM305" i="12"/>
  <c r="AN305" i="12" s="1"/>
  <c r="AM306" i="12"/>
  <c r="AN306" i="12" s="1"/>
  <c r="AM307" i="12"/>
  <c r="AN307" i="12" s="1"/>
  <c r="AM308" i="12"/>
  <c r="AN308" i="12" s="1"/>
  <c r="AM309" i="12"/>
  <c r="AN309" i="12" s="1"/>
  <c r="AM310" i="12"/>
  <c r="AM311" i="12"/>
  <c r="AN311" i="12" s="1"/>
  <c r="AM312" i="12"/>
  <c r="AN312" i="12" s="1"/>
  <c r="AM313" i="12"/>
  <c r="AN313" i="12" s="1"/>
  <c r="AM314" i="12"/>
  <c r="AN314" i="12" s="1"/>
  <c r="AM315" i="12"/>
  <c r="AN315" i="12" s="1"/>
  <c r="AM316" i="12"/>
  <c r="AM317" i="12"/>
  <c r="AN317" i="12" s="1"/>
  <c r="AM318" i="12"/>
  <c r="AN318" i="12" s="1"/>
  <c r="AM319" i="12"/>
  <c r="AN319" i="12" s="1"/>
  <c r="AM320" i="12"/>
  <c r="AN320" i="12" s="1"/>
  <c r="AM321" i="12"/>
  <c r="AN321" i="12" s="1"/>
  <c r="AM322" i="12"/>
  <c r="AN322" i="12" s="1"/>
  <c r="AM323" i="12"/>
  <c r="AN323" i="12" s="1"/>
  <c r="AM324" i="12"/>
  <c r="AN324" i="12" s="1"/>
  <c r="AM325" i="12"/>
  <c r="AN325" i="12" s="1"/>
  <c r="AM326" i="12"/>
  <c r="AM327" i="12"/>
  <c r="AN327" i="12" s="1"/>
  <c r="AM328" i="12"/>
  <c r="AN328" i="12" s="1"/>
  <c r="AM329" i="12"/>
  <c r="AN329" i="12" s="1"/>
  <c r="AM330" i="12"/>
  <c r="AN330" i="12" s="1"/>
  <c r="AM331" i="12"/>
  <c r="AN331" i="12" s="1"/>
  <c r="AM332" i="12"/>
  <c r="AM333" i="12"/>
  <c r="AN333" i="12" s="1"/>
  <c r="AM334" i="12"/>
  <c r="AN334" i="12" s="1"/>
  <c r="AM335" i="12"/>
  <c r="AN335" i="12" s="1"/>
  <c r="AM336" i="12"/>
  <c r="AN336" i="12" s="1"/>
  <c r="AM337" i="12"/>
  <c r="AN337" i="12" s="1"/>
  <c r="AM338" i="12"/>
  <c r="AN338" i="12" s="1"/>
  <c r="AM339" i="12"/>
  <c r="AN339" i="12" s="1"/>
  <c r="AM340" i="12"/>
  <c r="AN340" i="12" s="1"/>
  <c r="AM341" i="12"/>
  <c r="AN341" i="12" s="1"/>
  <c r="AM342" i="12"/>
  <c r="AM343" i="12"/>
  <c r="AN343" i="12" s="1"/>
  <c r="AM344" i="12"/>
  <c r="AN344" i="12" s="1"/>
  <c r="AM345" i="12"/>
  <c r="AN345" i="12" s="1"/>
  <c r="AM346" i="12"/>
  <c r="AN346" i="12" s="1"/>
  <c r="AM347" i="12"/>
  <c r="AN347" i="12" s="1"/>
  <c r="AM348" i="12"/>
  <c r="AM349" i="12"/>
  <c r="AN349" i="12" s="1"/>
  <c r="AM350" i="12"/>
  <c r="AN350" i="12" s="1"/>
  <c r="AM351" i="12"/>
  <c r="AN351" i="12" s="1"/>
  <c r="AM352" i="12"/>
  <c r="AN352" i="12" s="1"/>
  <c r="AM353" i="12"/>
  <c r="AN353" i="12" s="1"/>
  <c r="AM354" i="12"/>
  <c r="AN354" i="12" s="1"/>
  <c r="AM355" i="12"/>
  <c r="AN355" i="12" s="1"/>
  <c r="AM356" i="12"/>
  <c r="AN356" i="12" s="1"/>
  <c r="AM357" i="12"/>
  <c r="AN357" i="12" s="1"/>
  <c r="AM358" i="12"/>
  <c r="AM359" i="12"/>
  <c r="AN359" i="12" s="1"/>
  <c r="AM360" i="12"/>
  <c r="AN360" i="12" s="1"/>
  <c r="AM361" i="12"/>
  <c r="AN361" i="12" s="1"/>
  <c r="AM362" i="12"/>
  <c r="AN362" i="12" s="1"/>
  <c r="AM363" i="12"/>
  <c r="AN363" i="12" s="1"/>
  <c r="AM364" i="12"/>
  <c r="AM365" i="12"/>
  <c r="AN365" i="12" s="1"/>
  <c r="AM366" i="12"/>
  <c r="AN366" i="12" s="1"/>
  <c r="AM367" i="12"/>
  <c r="AN367" i="12" s="1"/>
  <c r="AM368" i="12"/>
  <c r="AN368" i="12" s="1"/>
  <c r="AM369" i="12"/>
  <c r="AN369" i="12" s="1"/>
  <c r="AM370" i="12"/>
  <c r="AN370" i="12" s="1"/>
  <c r="AM371" i="12"/>
  <c r="AN371" i="12" s="1"/>
  <c r="AM372" i="12"/>
  <c r="AN372" i="12" s="1"/>
  <c r="AM373" i="12"/>
  <c r="AN373" i="12" s="1"/>
  <c r="AM374" i="12"/>
  <c r="AM375" i="12"/>
  <c r="AN375" i="12" s="1"/>
  <c r="AM376" i="12"/>
  <c r="AN376" i="12" s="1"/>
  <c r="AM377" i="12"/>
  <c r="AN377" i="12" s="1"/>
  <c r="AM378" i="12"/>
  <c r="AN378" i="12" s="1"/>
  <c r="AM379" i="12"/>
  <c r="AN379" i="12" s="1"/>
  <c r="AM380" i="12"/>
  <c r="AM381" i="12"/>
  <c r="AN381" i="12" s="1"/>
  <c r="AM382" i="12"/>
  <c r="AN382" i="12" s="1"/>
  <c r="AM383" i="12"/>
  <c r="AN383" i="12" s="1"/>
  <c r="AM384" i="12"/>
  <c r="AN384" i="12" s="1"/>
  <c r="AM385" i="12"/>
  <c r="AN385" i="12" s="1"/>
  <c r="AM386" i="12"/>
  <c r="AN386" i="12" s="1"/>
  <c r="AM387" i="12"/>
  <c r="AN387" i="12" s="1"/>
  <c r="AM388" i="12"/>
  <c r="AN388" i="12" s="1"/>
  <c r="AM389" i="12"/>
  <c r="AN389" i="12" s="1"/>
  <c r="AM390" i="12"/>
  <c r="AM391" i="12"/>
  <c r="AN391" i="12" s="1"/>
  <c r="AM392" i="12"/>
  <c r="AN392" i="12" s="1"/>
  <c r="AM393" i="12"/>
  <c r="AN393" i="12" s="1"/>
  <c r="AM394" i="12"/>
  <c r="AN394" i="12" s="1"/>
  <c r="AM395" i="12"/>
  <c r="AN395" i="12" s="1"/>
  <c r="AM396" i="12"/>
  <c r="AM397" i="12"/>
  <c r="AN397" i="12" s="1"/>
  <c r="AM398" i="12"/>
  <c r="AN398" i="12" s="1"/>
  <c r="AM399" i="12"/>
  <c r="AN399" i="12" s="1"/>
  <c r="AM400" i="12"/>
  <c r="AN400" i="12" s="1"/>
  <c r="AM401" i="12"/>
  <c r="AN401" i="12" s="1"/>
  <c r="AM402" i="12"/>
  <c r="AN402" i="12" s="1"/>
  <c r="AM403" i="12"/>
  <c r="AN403" i="12" s="1"/>
  <c r="AM404" i="12"/>
  <c r="AN404" i="12" s="1"/>
  <c r="AK192" i="12"/>
  <c r="AK193" i="12"/>
  <c r="AK194" i="12"/>
  <c r="AK195" i="12"/>
  <c r="AK196" i="12"/>
  <c r="AL196" i="12" s="1"/>
  <c r="AK197" i="12"/>
  <c r="AL197" i="12" s="1"/>
  <c r="AK198" i="12"/>
  <c r="AK199" i="12"/>
  <c r="AL199" i="12" s="1"/>
  <c r="AK200" i="12"/>
  <c r="AL200" i="12" s="1"/>
  <c r="AK201" i="12"/>
  <c r="AK202" i="12"/>
  <c r="AK203" i="12"/>
  <c r="AK204" i="12"/>
  <c r="AL204" i="12" s="1"/>
  <c r="AK205" i="12"/>
  <c r="AL205" i="12" s="1"/>
  <c r="AK206" i="12"/>
  <c r="AK207" i="12"/>
  <c r="AL207" i="12" s="1"/>
  <c r="AK208" i="12"/>
  <c r="AL208" i="12" s="1"/>
  <c r="AK209" i="12"/>
  <c r="AL209" i="12" s="1"/>
  <c r="AK210" i="12"/>
  <c r="AL210" i="12" s="1"/>
  <c r="AK211" i="12"/>
  <c r="AK212" i="12"/>
  <c r="AL212" i="12" s="1"/>
  <c r="AK213" i="12"/>
  <c r="AL213" i="12" s="1"/>
  <c r="AK214" i="12"/>
  <c r="AK215" i="12"/>
  <c r="AL215" i="12" s="1"/>
  <c r="AK216" i="12"/>
  <c r="AL216" i="12" s="1"/>
  <c r="AK217" i="12"/>
  <c r="AL217" i="12" s="1"/>
  <c r="AK218" i="12"/>
  <c r="AK219" i="12"/>
  <c r="AK220" i="12"/>
  <c r="AL220" i="12" s="1"/>
  <c r="AK221" i="12"/>
  <c r="AL221" i="12" s="1"/>
  <c r="AK222" i="12"/>
  <c r="AK223" i="12"/>
  <c r="AL223" i="12" s="1"/>
  <c r="AK224" i="12"/>
  <c r="AL224" i="12" s="1"/>
  <c r="AK225" i="12"/>
  <c r="AL225" i="12" s="1"/>
  <c r="AK226" i="12"/>
  <c r="AL226" i="12" s="1"/>
  <c r="AK227" i="12"/>
  <c r="AK228" i="12"/>
  <c r="AL228" i="12" s="1"/>
  <c r="AK229" i="12"/>
  <c r="AL229" i="12" s="1"/>
  <c r="AK230" i="12"/>
  <c r="AK231" i="12"/>
  <c r="AL231" i="12" s="1"/>
  <c r="AK232" i="12"/>
  <c r="AL232" i="12" s="1"/>
  <c r="AK233" i="12"/>
  <c r="AL233" i="12" s="1"/>
  <c r="AK234" i="12"/>
  <c r="AK235" i="12"/>
  <c r="AK236" i="12"/>
  <c r="AL236" i="12" s="1"/>
  <c r="AK237" i="12"/>
  <c r="AL237" i="12" s="1"/>
  <c r="AK238" i="12"/>
  <c r="AK239" i="12"/>
  <c r="AL239" i="12" s="1"/>
  <c r="AK240" i="12"/>
  <c r="AL240" i="12" s="1"/>
  <c r="AK241" i="12"/>
  <c r="AL241" i="12" s="1"/>
  <c r="AK242" i="12"/>
  <c r="AK243" i="12"/>
  <c r="AK244" i="12"/>
  <c r="AL244" i="12" s="1"/>
  <c r="AK245" i="12"/>
  <c r="AL245" i="12" s="1"/>
  <c r="AK246" i="12"/>
  <c r="AK247" i="12"/>
  <c r="AL247" i="12" s="1"/>
  <c r="AK248" i="12"/>
  <c r="AL248" i="12" s="1"/>
  <c r="AK249" i="12"/>
  <c r="AL249" i="12" s="1"/>
  <c r="AK250" i="12"/>
  <c r="AL250" i="12" s="1"/>
  <c r="AK251" i="12"/>
  <c r="AK252" i="12"/>
  <c r="AL252" i="12" s="1"/>
  <c r="AK253" i="12"/>
  <c r="AL253" i="12" s="1"/>
  <c r="AK254" i="12"/>
  <c r="AK255" i="12"/>
  <c r="AL255" i="12" s="1"/>
  <c r="AK256" i="12"/>
  <c r="AL256" i="12" s="1"/>
  <c r="AK257" i="12"/>
  <c r="AL257" i="12" s="1"/>
  <c r="AK258" i="12"/>
  <c r="AL258" i="12" s="1"/>
  <c r="AK259" i="12"/>
  <c r="AK260" i="12"/>
  <c r="AL260" i="12" s="1"/>
  <c r="AK261" i="12"/>
  <c r="AL261" i="12" s="1"/>
  <c r="AK262" i="12"/>
  <c r="AK263" i="12"/>
  <c r="AL263" i="12" s="1"/>
  <c r="AK264" i="12"/>
  <c r="AL264" i="12" s="1"/>
  <c r="AK265" i="12"/>
  <c r="AL265" i="12" s="1"/>
  <c r="AK266" i="12"/>
  <c r="AK267" i="12"/>
  <c r="AK268" i="12"/>
  <c r="AL268" i="12" s="1"/>
  <c r="AK269" i="12"/>
  <c r="AL269" i="12" s="1"/>
  <c r="AK270" i="12"/>
  <c r="AK271" i="12"/>
  <c r="AL271" i="12" s="1"/>
  <c r="AK272" i="12"/>
  <c r="AL272" i="12" s="1"/>
  <c r="AK273" i="12"/>
  <c r="AL273" i="12" s="1"/>
  <c r="AK274" i="12"/>
  <c r="AL274" i="12" s="1"/>
  <c r="AK275" i="12"/>
  <c r="AK276" i="12"/>
  <c r="AL276" i="12" s="1"/>
  <c r="AK277" i="12"/>
  <c r="AL277" i="12" s="1"/>
  <c r="AK278" i="12"/>
  <c r="AK279" i="12"/>
  <c r="AL279" i="12" s="1"/>
  <c r="AK280" i="12"/>
  <c r="AL280" i="12" s="1"/>
  <c r="AK281" i="12"/>
  <c r="AL281" i="12" s="1"/>
  <c r="AK282" i="12"/>
  <c r="AK283" i="12"/>
  <c r="AK284" i="12"/>
  <c r="AL284" i="12" s="1"/>
  <c r="AK285" i="12"/>
  <c r="AL285" i="12" s="1"/>
  <c r="AK286" i="12"/>
  <c r="AK287" i="12"/>
  <c r="AL287" i="12" s="1"/>
  <c r="AK288" i="12"/>
  <c r="AL288" i="12" s="1"/>
  <c r="AK289" i="12"/>
  <c r="AL289" i="12" s="1"/>
  <c r="AK290" i="12"/>
  <c r="AL290" i="12" s="1"/>
  <c r="AK291" i="12"/>
  <c r="AK292" i="12"/>
  <c r="AL292" i="12" s="1"/>
  <c r="AK293" i="12"/>
  <c r="AL293" i="12" s="1"/>
  <c r="AK294" i="12"/>
  <c r="AK295" i="12"/>
  <c r="AL295" i="12" s="1"/>
  <c r="AK296" i="12"/>
  <c r="AL296" i="12" s="1"/>
  <c r="AK297" i="12"/>
  <c r="AL297" i="12" s="1"/>
  <c r="AK298" i="12"/>
  <c r="AK299" i="12"/>
  <c r="AK300" i="12"/>
  <c r="AL300" i="12" s="1"/>
  <c r="AK301" i="12"/>
  <c r="AL301" i="12" s="1"/>
  <c r="AK302" i="12"/>
  <c r="AK303" i="12"/>
  <c r="AL303" i="12" s="1"/>
  <c r="AK304" i="12"/>
  <c r="AL304" i="12" s="1"/>
  <c r="AK305" i="12"/>
  <c r="AL305" i="12" s="1"/>
  <c r="AK306" i="12"/>
  <c r="AK307" i="12"/>
  <c r="AK308" i="12"/>
  <c r="AL308" i="12" s="1"/>
  <c r="AK309" i="12"/>
  <c r="AL309" i="12" s="1"/>
  <c r="AK310" i="12"/>
  <c r="AK311" i="12"/>
  <c r="AL311" i="12" s="1"/>
  <c r="AK312" i="12"/>
  <c r="AL312" i="12" s="1"/>
  <c r="AK313" i="12"/>
  <c r="AL313" i="12" s="1"/>
  <c r="AK314" i="12"/>
  <c r="AL314" i="12" s="1"/>
  <c r="AK315" i="12"/>
  <c r="AK316" i="12"/>
  <c r="AL316" i="12" s="1"/>
  <c r="AK317" i="12"/>
  <c r="AL317" i="12" s="1"/>
  <c r="AK318" i="12"/>
  <c r="AK319" i="12"/>
  <c r="AL319" i="12" s="1"/>
  <c r="AK320" i="12"/>
  <c r="AL320" i="12" s="1"/>
  <c r="AK321" i="12"/>
  <c r="AL321" i="12" s="1"/>
  <c r="AK322" i="12"/>
  <c r="AL322" i="12" s="1"/>
  <c r="AK323" i="12"/>
  <c r="AK324" i="12"/>
  <c r="AL324" i="12" s="1"/>
  <c r="AK325" i="12"/>
  <c r="AL325" i="12" s="1"/>
  <c r="AK326" i="12"/>
  <c r="AK327" i="12"/>
  <c r="AL327" i="12" s="1"/>
  <c r="AK328" i="12"/>
  <c r="AL328" i="12" s="1"/>
  <c r="AK329" i="12"/>
  <c r="AL329" i="12" s="1"/>
  <c r="AK330" i="12"/>
  <c r="AK331" i="12"/>
  <c r="AK332" i="12"/>
  <c r="AL332" i="12" s="1"/>
  <c r="AK333" i="12"/>
  <c r="AL333" i="12" s="1"/>
  <c r="AK334" i="12"/>
  <c r="AK335" i="12"/>
  <c r="AL335" i="12" s="1"/>
  <c r="AK336" i="12"/>
  <c r="AL336" i="12" s="1"/>
  <c r="AK337" i="12"/>
  <c r="AL337" i="12" s="1"/>
  <c r="AK338" i="12"/>
  <c r="AL338" i="12" s="1"/>
  <c r="AK339" i="12"/>
  <c r="AK340" i="12"/>
  <c r="AL340" i="12" s="1"/>
  <c r="AK341" i="12"/>
  <c r="AL341" i="12" s="1"/>
  <c r="AK342" i="12"/>
  <c r="AK343" i="12"/>
  <c r="AL343" i="12" s="1"/>
  <c r="AK344" i="12"/>
  <c r="AL344" i="12" s="1"/>
  <c r="AK345" i="12"/>
  <c r="AL345" i="12" s="1"/>
  <c r="AK346" i="12"/>
  <c r="AK347" i="12"/>
  <c r="AK348" i="12"/>
  <c r="AL348" i="12" s="1"/>
  <c r="AK349" i="12"/>
  <c r="AL349" i="12" s="1"/>
  <c r="AK350" i="12"/>
  <c r="AK351" i="12"/>
  <c r="AL351" i="12" s="1"/>
  <c r="AK352" i="12"/>
  <c r="AL352" i="12" s="1"/>
  <c r="AK353" i="12"/>
  <c r="AL353" i="12" s="1"/>
  <c r="AK354" i="12"/>
  <c r="AK355" i="12"/>
  <c r="AK356" i="12"/>
  <c r="AL356" i="12" s="1"/>
  <c r="AK357" i="12"/>
  <c r="AL357" i="12" s="1"/>
  <c r="AK358" i="12"/>
  <c r="AK359" i="12"/>
  <c r="AL359" i="12" s="1"/>
  <c r="AK360" i="12"/>
  <c r="AL360" i="12" s="1"/>
  <c r="AK361" i="12"/>
  <c r="AL361" i="12" s="1"/>
  <c r="AK362" i="12"/>
  <c r="AK363" i="12"/>
  <c r="AK364" i="12"/>
  <c r="AL364" i="12" s="1"/>
  <c r="AK365" i="12"/>
  <c r="AL365" i="12" s="1"/>
  <c r="AK366" i="12"/>
  <c r="AK367" i="12"/>
  <c r="AL367" i="12" s="1"/>
  <c r="AK368" i="12"/>
  <c r="AL368" i="12" s="1"/>
  <c r="AK369" i="12"/>
  <c r="AL369" i="12" s="1"/>
  <c r="AK370" i="12"/>
  <c r="AK371" i="12"/>
  <c r="AK372" i="12"/>
  <c r="AL372" i="12" s="1"/>
  <c r="AK373" i="12"/>
  <c r="AL373" i="12" s="1"/>
  <c r="AK374" i="12"/>
  <c r="AK375" i="12"/>
  <c r="AL375" i="12" s="1"/>
  <c r="AK376" i="12"/>
  <c r="AL376" i="12" s="1"/>
  <c r="AK377" i="12"/>
  <c r="AL377" i="12" s="1"/>
  <c r="AK378" i="12"/>
  <c r="AL378" i="12" s="1"/>
  <c r="AK379" i="12"/>
  <c r="AK380" i="12"/>
  <c r="AL380" i="12" s="1"/>
  <c r="AK381" i="12"/>
  <c r="AL381" i="12" s="1"/>
  <c r="AK382" i="12"/>
  <c r="AK383" i="12"/>
  <c r="AL383" i="12" s="1"/>
  <c r="AK384" i="12"/>
  <c r="AL384" i="12" s="1"/>
  <c r="AK385" i="12"/>
  <c r="AL385" i="12" s="1"/>
  <c r="AK386" i="12"/>
  <c r="AL386" i="12" s="1"/>
  <c r="AK387" i="12"/>
  <c r="AK388" i="12"/>
  <c r="AL388" i="12" s="1"/>
  <c r="AK389" i="12"/>
  <c r="AL389" i="12" s="1"/>
  <c r="AK390" i="12"/>
  <c r="AK391" i="12"/>
  <c r="AL391" i="12" s="1"/>
  <c r="AK392" i="12"/>
  <c r="AL392" i="12" s="1"/>
  <c r="AK393" i="12"/>
  <c r="AL393" i="12" s="1"/>
  <c r="AK394" i="12"/>
  <c r="AK395" i="12"/>
  <c r="AK396" i="12"/>
  <c r="AL396" i="12" s="1"/>
  <c r="AK397" i="12"/>
  <c r="AL397" i="12" s="1"/>
  <c r="AK398" i="12"/>
  <c r="AK399" i="12"/>
  <c r="AL399" i="12" s="1"/>
  <c r="AK400" i="12"/>
  <c r="AL400" i="12" s="1"/>
  <c r="AK401" i="12"/>
  <c r="AL401" i="12" s="1"/>
  <c r="AK402" i="12"/>
  <c r="AL402" i="12" s="1"/>
  <c r="AK403" i="12"/>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3" i="12"/>
  <c r="AI201" i="12"/>
  <c r="AI215" i="12"/>
  <c r="AI223" i="12"/>
  <c r="AI234" i="12"/>
  <c r="AI242" i="12"/>
  <c r="AI257" i="12"/>
  <c r="AI265" i="12"/>
  <c r="AI279" i="12"/>
  <c r="AI287" i="12"/>
  <c r="AI306" i="12"/>
  <c r="AI321" i="12"/>
  <c r="AI329" i="12"/>
  <c r="AI343" i="12"/>
  <c r="AI351" i="12"/>
  <c r="AI362" i="12"/>
  <c r="AI375" i="12"/>
  <c r="AI391" i="12"/>
  <c r="AI399" i="12"/>
  <c r="AH192" i="12"/>
  <c r="AI192" i="12" s="1"/>
  <c r="AH193" i="12"/>
  <c r="AH194" i="12"/>
  <c r="AI194" i="12" s="1"/>
  <c r="AH195" i="12"/>
  <c r="AI195" i="12" s="1"/>
  <c r="AH196" i="12"/>
  <c r="AI196" i="12" s="1"/>
  <c r="AH197" i="12"/>
  <c r="AI197" i="12" s="1"/>
  <c r="AH198" i="12"/>
  <c r="AI198" i="12" s="1"/>
  <c r="AH199" i="12"/>
  <c r="AI199" i="12" s="1"/>
  <c r="AH200" i="12"/>
  <c r="AI200" i="12" s="1"/>
  <c r="AH201" i="12"/>
  <c r="AH202" i="12"/>
  <c r="AI202" i="12" s="1"/>
  <c r="AH203" i="12"/>
  <c r="AI203" i="12" s="1"/>
  <c r="AH204" i="12"/>
  <c r="AI204" i="12" s="1"/>
  <c r="AH205" i="12"/>
  <c r="AI205" i="12" s="1"/>
  <c r="AH206" i="12"/>
  <c r="AI206" i="12" s="1"/>
  <c r="AH207" i="12"/>
  <c r="AI207" i="12" s="1"/>
  <c r="AH208" i="12"/>
  <c r="AI208" i="12" s="1"/>
  <c r="AH209" i="12"/>
  <c r="AI209" i="12" s="1"/>
  <c r="AH210" i="12"/>
  <c r="AI210" i="12" s="1"/>
  <c r="AH211" i="12"/>
  <c r="AI211" i="12" s="1"/>
  <c r="AH212" i="12"/>
  <c r="AI212" i="12" s="1"/>
  <c r="AH213" i="12"/>
  <c r="AI213" i="12" s="1"/>
  <c r="AH214" i="12"/>
  <c r="AI214" i="12" s="1"/>
  <c r="AH215" i="12"/>
  <c r="AH216" i="12"/>
  <c r="AI216" i="12" s="1"/>
  <c r="AH217" i="12"/>
  <c r="AI217" i="12" s="1"/>
  <c r="AH218" i="12"/>
  <c r="AI218" i="12" s="1"/>
  <c r="AH219" i="12"/>
  <c r="AI219" i="12" s="1"/>
  <c r="AH220" i="12"/>
  <c r="AI220" i="12" s="1"/>
  <c r="AH221" i="12"/>
  <c r="AI221" i="12" s="1"/>
  <c r="AH222" i="12"/>
  <c r="AI222" i="12" s="1"/>
  <c r="AH223" i="12"/>
  <c r="AH224" i="12"/>
  <c r="AI224" i="12" s="1"/>
  <c r="AH225" i="12"/>
  <c r="AI225" i="12" s="1"/>
  <c r="AH226" i="12"/>
  <c r="AI226" i="12" s="1"/>
  <c r="AH227" i="12"/>
  <c r="AI227" i="12" s="1"/>
  <c r="AH228" i="12"/>
  <c r="AI228" i="12" s="1"/>
  <c r="AH229" i="12"/>
  <c r="AI229" i="12" s="1"/>
  <c r="AH230" i="12"/>
  <c r="AI230" i="12" s="1"/>
  <c r="AH231" i="12"/>
  <c r="AI231" i="12" s="1"/>
  <c r="AH232" i="12"/>
  <c r="AI232" i="12" s="1"/>
  <c r="AH233" i="12"/>
  <c r="AI233" i="12" s="1"/>
  <c r="AH234" i="12"/>
  <c r="AH235" i="12"/>
  <c r="AI235" i="12" s="1"/>
  <c r="AH236" i="12"/>
  <c r="AI236" i="12" s="1"/>
  <c r="AH237" i="12"/>
  <c r="AI237" i="12" s="1"/>
  <c r="AH238" i="12"/>
  <c r="AI238" i="12" s="1"/>
  <c r="AH239" i="12"/>
  <c r="AI239" i="12" s="1"/>
  <c r="AH240" i="12"/>
  <c r="AI240" i="12" s="1"/>
  <c r="AH241" i="12"/>
  <c r="AI241" i="12" s="1"/>
  <c r="AH242" i="12"/>
  <c r="AH243" i="12"/>
  <c r="AI243" i="12" s="1"/>
  <c r="AH244" i="12"/>
  <c r="AI244" i="12" s="1"/>
  <c r="AH245" i="12"/>
  <c r="AI245" i="12" s="1"/>
  <c r="AH246" i="12"/>
  <c r="AI246" i="12" s="1"/>
  <c r="AH247" i="12"/>
  <c r="AI247" i="12" s="1"/>
  <c r="AH248" i="12"/>
  <c r="AI248" i="12" s="1"/>
  <c r="AH249" i="12"/>
  <c r="AI249" i="12" s="1"/>
  <c r="AH250" i="12"/>
  <c r="AI250" i="12" s="1"/>
  <c r="AH251" i="12"/>
  <c r="AI251" i="12" s="1"/>
  <c r="AH252" i="12"/>
  <c r="AI252" i="12" s="1"/>
  <c r="AH253" i="12"/>
  <c r="AI253" i="12" s="1"/>
  <c r="AH254" i="12"/>
  <c r="AI254" i="12" s="1"/>
  <c r="AH255" i="12"/>
  <c r="AI255" i="12" s="1"/>
  <c r="AH256" i="12"/>
  <c r="AI256" i="12" s="1"/>
  <c r="AH257" i="12"/>
  <c r="AH258" i="12"/>
  <c r="AI258" i="12" s="1"/>
  <c r="AH259" i="12"/>
  <c r="AI259" i="12" s="1"/>
  <c r="AH260" i="12"/>
  <c r="AI260" i="12" s="1"/>
  <c r="AH261" i="12"/>
  <c r="AI261" i="12" s="1"/>
  <c r="AH262" i="12"/>
  <c r="AI262" i="12" s="1"/>
  <c r="AH263" i="12"/>
  <c r="AI263" i="12" s="1"/>
  <c r="AH264" i="12"/>
  <c r="AI264" i="12" s="1"/>
  <c r="AH265" i="12"/>
  <c r="AH266" i="12"/>
  <c r="AI266" i="12" s="1"/>
  <c r="AH267" i="12"/>
  <c r="AI267" i="12" s="1"/>
  <c r="AH268" i="12"/>
  <c r="AI268" i="12" s="1"/>
  <c r="AH269" i="12"/>
  <c r="AI269" i="12" s="1"/>
  <c r="AH270" i="12"/>
  <c r="AI270" i="12" s="1"/>
  <c r="AH271" i="12"/>
  <c r="AI271" i="12" s="1"/>
  <c r="AH272" i="12"/>
  <c r="AI272" i="12" s="1"/>
  <c r="AH273" i="12"/>
  <c r="AI273" i="12" s="1"/>
  <c r="AH274" i="12"/>
  <c r="AI274" i="12" s="1"/>
  <c r="AH275" i="12"/>
  <c r="AI275" i="12" s="1"/>
  <c r="AH276" i="12"/>
  <c r="AI276" i="12" s="1"/>
  <c r="AH277" i="12"/>
  <c r="AI277" i="12" s="1"/>
  <c r="AH278" i="12"/>
  <c r="AI278" i="12" s="1"/>
  <c r="AH279" i="12"/>
  <c r="AH280" i="12"/>
  <c r="AI280" i="12" s="1"/>
  <c r="AH281" i="12"/>
  <c r="AI281" i="12" s="1"/>
  <c r="AH282" i="12"/>
  <c r="AI282" i="12" s="1"/>
  <c r="AH283" i="12"/>
  <c r="AI283" i="12" s="1"/>
  <c r="AH284" i="12"/>
  <c r="AI284" i="12" s="1"/>
  <c r="AH285" i="12"/>
  <c r="AI285" i="12" s="1"/>
  <c r="AH286" i="12"/>
  <c r="AI286" i="12" s="1"/>
  <c r="AH287" i="12"/>
  <c r="AH288" i="12"/>
  <c r="AI288" i="12" s="1"/>
  <c r="AH289" i="12"/>
  <c r="AI289" i="12" s="1"/>
  <c r="AH290" i="12"/>
  <c r="AI290" i="12" s="1"/>
  <c r="AH291" i="12"/>
  <c r="AI291" i="12" s="1"/>
  <c r="AH292" i="12"/>
  <c r="AI292" i="12" s="1"/>
  <c r="AH293" i="12"/>
  <c r="AI293" i="12" s="1"/>
  <c r="AH294" i="12"/>
  <c r="AI294" i="12" s="1"/>
  <c r="AH295" i="12"/>
  <c r="AI295" i="12" s="1"/>
  <c r="AH296" i="12"/>
  <c r="AI296" i="12" s="1"/>
  <c r="AH297" i="12"/>
  <c r="AI297" i="12" s="1"/>
  <c r="AH298" i="12"/>
  <c r="AI298" i="12" s="1"/>
  <c r="AH299" i="12"/>
  <c r="AI299" i="12" s="1"/>
  <c r="AH300" i="12"/>
  <c r="AI300" i="12" s="1"/>
  <c r="AH301" i="12"/>
  <c r="AI301" i="12" s="1"/>
  <c r="AH302" i="12"/>
  <c r="AI302" i="12" s="1"/>
  <c r="AH303" i="12"/>
  <c r="AI303" i="12" s="1"/>
  <c r="AH304" i="12"/>
  <c r="AI304" i="12" s="1"/>
  <c r="AH305" i="12"/>
  <c r="AI305" i="12" s="1"/>
  <c r="AH306" i="12"/>
  <c r="AH307" i="12"/>
  <c r="AI307" i="12" s="1"/>
  <c r="AH308" i="12"/>
  <c r="AI308" i="12" s="1"/>
  <c r="AH309" i="12"/>
  <c r="AI309" i="12" s="1"/>
  <c r="AH310" i="12"/>
  <c r="AI310" i="12" s="1"/>
  <c r="AH311" i="12"/>
  <c r="AI311" i="12" s="1"/>
  <c r="AH312" i="12"/>
  <c r="AI312" i="12" s="1"/>
  <c r="AH313" i="12"/>
  <c r="AI313" i="12" s="1"/>
  <c r="AH314" i="12"/>
  <c r="AI314" i="12" s="1"/>
  <c r="AH315" i="12"/>
  <c r="AI315" i="12" s="1"/>
  <c r="AH316" i="12"/>
  <c r="AI316" i="12" s="1"/>
  <c r="AH317" i="12"/>
  <c r="AI317" i="12" s="1"/>
  <c r="AH318" i="12"/>
  <c r="AI318" i="12" s="1"/>
  <c r="AH319" i="12"/>
  <c r="AI319" i="12" s="1"/>
  <c r="AH320" i="12"/>
  <c r="AI320" i="12" s="1"/>
  <c r="AH321" i="12"/>
  <c r="AH322" i="12"/>
  <c r="AI322" i="12" s="1"/>
  <c r="AH323" i="12"/>
  <c r="AI323" i="12" s="1"/>
  <c r="AH324" i="12"/>
  <c r="AI324" i="12" s="1"/>
  <c r="AH325" i="12"/>
  <c r="AI325" i="12" s="1"/>
  <c r="AH326" i="12"/>
  <c r="AI326" i="12" s="1"/>
  <c r="AH327" i="12"/>
  <c r="AI327" i="12" s="1"/>
  <c r="AH328" i="12"/>
  <c r="AI328" i="12" s="1"/>
  <c r="AH329" i="12"/>
  <c r="AH330" i="12"/>
  <c r="AI330" i="12" s="1"/>
  <c r="AH331" i="12"/>
  <c r="AI331" i="12" s="1"/>
  <c r="AH332" i="12"/>
  <c r="AI332" i="12" s="1"/>
  <c r="AH333" i="12"/>
  <c r="AI333" i="12" s="1"/>
  <c r="AH334" i="12"/>
  <c r="AI334" i="12" s="1"/>
  <c r="AH335" i="12"/>
  <c r="AI335" i="12" s="1"/>
  <c r="AH336" i="12"/>
  <c r="AI336" i="12" s="1"/>
  <c r="AH337" i="12"/>
  <c r="AI337" i="12" s="1"/>
  <c r="AH338" i="12"/>
  <c r="AI338" i="12" s="1"/>
  <c r="AH339" i="12"/>
  <c r="AI339" i="12" s="1"/>
  <c r="AH340" i="12"/>
  <c r="AI340" i="12" s="1"/>
  <c r="AH341" i="12"/>
  <c r="AI341" i="12" s="1"/>
  <c r="AH342" i="12"/>
  <c r="AI342" i="12" s="1"/>
  <c r="AH343" i="12"/>
  <c r="AH344" i="12"/>
  <c r="AI344" i="12" s="1"/>
  <c r="AH345" i="12"/>
  <c r="AI345" i="12" s="1"/>
  <c r="AH346" i="12"/>
  <c r="AI346" i="12" s="1"/>
  <c r="AH347" i="12"/>
  <c r="AI347" i="12" s="1"/>
  <c r="AH348" i="12"/>
  <c r="AI348" i="12" s="1"/>
  <c r="AH349" i="12"/>
  <c r="AI349" i="12" s="1"/>
  <c r="AH350" i="12"/>
  <c r="AI350" i="12" s="1"/>
  <c r="AH351" i="12"/>
  <c r="AH352" i="12"/>
  <c r="AI352" i="12" s="1"/>
  <c r="AH353" i="12"/>
  <c r="AI353" i="12" s="1"/>
  <c r="AH354" i="12"/>
  <c r="AI354" i="12" s="1"/>
  <c r="AH355" i="12"/>
  <c r="AI355" i="12" s="1"/>
  <c r="AH356" i="12"/>
  <c r="AI356" i="12" s="1"/>
  <c r="AH357" i="12"/>
  <c r="AI357" i="12" s="1"/>
  <c r="AH358" i="12"/>
  <c r="AI358" i="12" s="1"/>
  <c r="AH359" i="12"/>
  <c r="AI359" i="12" s="1"/>
  <c r="AH360" i="12"/>
  <c r="AI360" i="12" s="1"/>
  <c r="AH361" i="12"/>
  <c r="AI361" i="12" s="1"/>
  <c r="AH362" i="12"/>
  <c r="AH363" i="12"/>
  <c r="AI363" i="12" s="1"/>
  <c r="AH364" i="12"/>
  <c r="AI364" i="12" s="1"/>
  <c r="AH365" i="12"/>
  <c r="AI365" i="12" s="1"/>
  <c r="AH366" i="12"/>
  <c r="AI366" i="12" s="1"/>
  <c r="AH367" i="12"/>
  <c r="AI367" i="12" s="1"/>
  <c r="AH368" i="12"/>
  <c r="AI368" i="12" s="1"/>
  <c r="AH369" i="12"/>
  <c r="AI369" i="12" s="1"/>
  <c r="AH370" i="12"/>
  <c r="AI370" i="12" s="1"/>
  <c r="AH371" i="12"/>
  <c r="AI371" i="12" s="1"/>
  <c r="AH372" i="12"/>
  <c r="AI372" i="12" s="1"/>
  <c r="AH373" i="12"/>
  <c r="AI373" i="12" s="1"/>
  <c r="AH374" i="12"/>
  <c r="AI374" i="12" s="1"/>
  <c r="AH375" i="12"/>
  <c r="AH376" i="12"/>
  <c r="AI376" i="12" s="1"/>
  <c r="AH377" i="12"/>
  <c r="AI377" i="12" s="1"/>
  <c r="AH378" i="12"/>
  <c r="AI378" i="12" s="1"/>
  <c r="AH379" i="12"/>
  <c r="AI379" i="12" s="1"/>
  <c r="AH380" i="12"/>
  <c r="AI380" i="12" s="1"/>
  <c r="AH381" i="12"/>
  <c r="AI381" i="12" s="1"/>
  <c r="AH382" i="12"/>
  <c r="AI382" i="12" s="1"/>
  <c r="AH383" i="12"/>
  <c r="AI383" i="12" s="1"/>
  <c r="AH384" i="12"/>
  <c r="AI384" i="12" s="1"/>
  <c r="AH385" i="12"/>
  <c r="AI385" i="12" s="1"/>
  <c r="AH386" i="12"/>
  <c r="AI386" i="12" s="1"/>
  <c r="AH387" i="12"/>
  <c r="AI387" i="12" s="1"/>
  <c r="AH388" i="12"/>
  <c r="AI388" i="12" s="1"/>
  <c r="AH389" i="12"/>
  <c r="AI389" i="12" s="1"/>
  <c r="AH390" i="12"/>
  <c r="AI390" i="12" s="1"/>
  <c r="AH391" i="12"/>
  <c r="AH392" i="12"/>
  <c r="AI392" i="12" s="1"/>
  <c r="AH393" i="12"/>
  <c r="AI393" i="12" s="1"/>
  <c r="AH394" i="12"/>
  <c r="AI394" i="12" s="1"/>
  <c r="AH395" i="12"/>
  <c r="AI395" i="12" s="1"/>
  <c r="AH396" i="12"/>
  <c r="AI396" i="12" s="1"/>
  <c r="AH397" i="12"/>
  <c r="AI397" i="12" s="1"/>
  <c r="AH398" i="12"/>
  <c r="AI398" i="12" s="1"/>
  <c r="AH399" i="12"/>
  <c r="AH400" i="12"/>
  <c r="AI400" i="12" s="1"/>
  <c r="AH401" i="12"/>
  <c r="AI401" i="12" s="1"/>
  <c r="AH402" i="12"/>
  <c r="AI402" i="12" s="1"/>
  <c r="AH403" i="12"/>
  <c r="AI403" i="12" s="1"/>
  <c r="AH404" i="12"/>
  <c r="AI404" i="12" s="1"/>
  <c r="AF192" i="12"/>
  <c r="AJ192" i="12" s="1"/>
  <c r="AF193" i="12"/>
  <c r="AJ193" i="12" s="1"/>
  <c r="AF194" i="12"/>
  <c r="AF195" i="12"/>
  <c r="AG195" i="12" s="1"/>
  <c r="AF196" i="12"/>
  <c r="AF197" i="12"/>
  <c r="AF198" i="12"/>
  <c r="AG198" i="12" s="1"/>
  <c r="AF199" i="12"/>
  <c r="AJ199" i="12" s="1"/>
  <c r="AF200" i="12"/>
  <c r="AJ200" i="12" s="1"/>
  <c r="AF201" i="12"/>
  <c r="AJ201" i="12" s="1"/>
  <c r="AF202" i="12"/>
  <c r="AG202" i="12" s="1"/>
  <c r="AF203" i="12"/>
  <c r="AG203" i="12" s="1"/>
  <c r="AF204" i="12"/>
  <c r="AF205" i="12"/>
  <c r="AF206" i="12"/>
  <c r="AJ206" i="12" s="1"/>
  <c r="AF207" i="12"/>
  <c r="AJ207" i="12" s="1"/>
  <c r="AF208" i="12"/>
  <c r="AJ208" i="12" s="1"/>
  <c r="AF209" i="12"/>
  <c r="AJ209" i="12" s="1"/>
  <c r="AF210" i="12"/>
  <c r="AF211" i="12"/>
  <c r="AJ211" i="12" s="1"/>
  <c r="AF212" i="12"/>
  <c r="AF213" i="12"/>
  <c r="AF214" i="12"/>
  <c r="AJ214" i="12" s="1"/>
  <c r="AF215" i="12"/>
  <c r="AJ215" i="12" s="1"/>
  <c r="AF216" i="12"/>
  <c r="AJ216" i="12" s="1"/>
  <c r="AF217" i="12"/>
  <c r="AJ217" i="12" s="1"/>
  <c r="AF218" i="12"/>
  <c r="AF219" i="12"/>
  <c r="AF220" i="12"/>
  <c r="AF221" i="12"/>
  <c r="AF222" i="12"/>
  <c r="AJ222" i="12" s="1"/>
  <c r="AF223" i="12"/>
  <c r="AJ223" i="12" s="1"/>
  <c r="AF224" i="12"/>
  <c r="AJ224" i="12" s="1"/>
  <c r="AF225" i="12"/>
  <c r="AJ225" i="12" s="1"/>
  <c r="AF226" i="12"/>
  <c r="AF227" i="12"/>
  <c r="AJ227" i="12" s="1"/>
  <c r="AF228" i="12"/>
  <c r="AF229" i="12"/>
  <c r="AF230" i="12"/>
  <c r="AG230" i="12" s="1"/>
  <c r="AF231" i="12"/>
  <c r="AJ231" i="12" s="1"/>
  <c r="AF232" i="12"/>
  <c r="AJ232" i="12" s="1"/>
  <c r="AF233" i="12"/>
  <c r="AJ233" i="12" s="1"/>
  <c r="AF234" i="12"/>
  <c r="AF235" i="12"/>
  <c r="AG235" i="12" s="1"/>
  <c r="AF236" i="12"/>
  <c r="AF237" i="12"/>
  <c r="AF238" i="12"/>
  <c r="AJ238" i="12" s="1"/>
  <c r="AF239" i="12"/>
  <c r="AJ239" i="12" s="1"/>
  <c r="AF240" i="12"/>
  <c r="AJ240" i="12" s="1"/>
  <c r="AF241" i="12"/>
  <c r="AJ241" i="12" s="1"/>
  <c r="AF242" i="12"/>
  <c r="AF243" i="12"/>
  <c r="AG243" i="12" s="1"/>
  <c r="AF244" i="12"/>
  <c r="AF245" i="12"/>
  <c r="AF246" i="12"/>
  <c r="AJ246" i="12" s="1"/>
  <c r="AF247" i="12"/>
  <c r="AJ247" i="12" s="1"/>
  <c r="AF248" i="12"/>
  <c r="AJ248" i="12" s="1"/>
  <c r="AF249" i="12"/>
  <c r="AJ249" i="12" s="1"/>
  <c r="AF250" i="12"/>
  <c r="AF251" i="12"/>
  <c r="AF252" i="12"/>
  <c r="AF253" i="12"/>
  <c r="AF254" i="12"/>
  <c r="AJ254" i="12" s="1"/>
  <c r="AF255" i="12"/>
  <c r="AJ255" i="12" s="1"/>
  <c r="AF256" i="12"/>
  <c r="AJ256" i="12" s="1"/>
  <c r="AF257" i="12"/>
  <c r="AJ257" i="12" s="1"/>
  <c r="AF258" i="12"/>
  <c r="AF259" i="12"/>
  <c r="AG259" i="12" s="1"/>
  <c r="AF260" i="12"/>
  <c r="AF261" i="12"/>
  <c r="AF262" i="12"/>
  <c r="AG262" i="12" s="1"/>
  <c r="AF263" i="12"/>
  <c r="AJ263" i="12" s="1"/>
  <c r="AF264" i="12"/>
  <c r="AJ264" i="12" s="1"/>
  <c r="AF265" i="12"/>
  <c r="AJ265" i="12" s="1"/>
  <c r="AF266" i="12"/>
  <c r="AG266" i="12" s="1"/>
  <c r="AF267" i="12"/>
  <c r="AG267" i="12" s="1"/>
  <c r="AF268" i="12"/>
  <c r="AF269" i="12"/>
  <c r="AF270" i="12"/>
  <c r="AJ270" i="12" s="1"/>
  <c r="AF271" i="12"/>
  <c r="AJ271" i="12" s="1"/>
  <c r="AF272" i="12"/>
  <c r="AJ272" i="12" s="1"/>
  <c r="AF273" i="12"/>
  <c r="AJ273" i="12" s="1"/>
  <c r="AF274" i="12"/>
  <c r="AF275" i="12"/>
  <c r="AJ275" i="12" s="1"/>
  <c r="AF276" i="12"/>
  <c r="AF277" i="12"/>
  <c r="AF278" i="12"/>
  <c r="AJ278" i="12" s="1"/>
  <c r="AF279" i="12"/>
  <c r="AJ279" i="12" s="1"/>
  <c r="AF280" i="12"/>
  <c r="AJ280" i="12" s="1"/>
  <c r="AF281" i="12"/>
  <c r="AJ281" i="12" s="1"/>
  <c r="AF282" i="12"/>
  <c r="AF283" i="12"/>
  <c r="AF284" i="12"/>
  <c r="AF285" i="12"/>
  <c r="AF286" i="12"/>
  <c r="AG286" i="12" s="1"/>
  <c r="AF287" i="12"/>
  <c r="AJ287" i="12" s="1"/>
  <c r="AF288" i="12"/>
  <c r="AJ288" i="12" s="1"/>
  <c r="AF289" i="12"/>
  <c r="AJ289" i="12" s="1"/>
  <c r="AF290" i="12"/>
  <c r="AF291" i="12"/>
  <c r="AJ291" i="12" s="1"/>
  <c r="AF292" i="12"/>
  <c r="AF293" i="12"/>
  <c r="AF294" i="12"/>
  <c r="AJ294" i="12" s="1"/>
  <c r="AF295" i="12"/>
  <c r="AJ295" i="12" s="1"/>
  <c r="AF296" i="12"/>
  <c r="AJ296" i="12" s="1"/>
  <c r="AF297" i="12"/>
  <c r="AJ297" i="12" s="1"/>
  <c r="AF298" i="12"/>
  <c r="AF299" i="12"/>
  <c r="AG299" i="12" s="1"/>
  <c r="AF300" i="12"/>
  <c r="AF301" i="12"/>
  <c r="AF302" i="12"/>
  <c r="AJ302" i="12" s="1"/>
  <c r="AF303" i="12"/>
  <c r="AJ303" i="12" s="1"/>
  <c r="AF304" i="12"/>
  <c r="AJ304" i="12" s="1"/>
  <c r="AF305" i="12"/>
  <c r="AJ305" i="12" s="1"/>
  <c r="AF306" i="12"/>
  <c r="AF307" i="12"/>
  <c r="AF308" i="12"/>
  <c r="AF309" i="12"/>
  <c r="AF310" i="12"/>
  <c r="AJ310" i="12" s="1"/>
  <c r="AF311" i="12"/>
  <c r="AJ311" i="12" s="1"/>
  <c r="AF312" i="12"/>
  <c r="AJ312" i="12" s="1"/>
  <c r="AF313" i="12"/>
  <c r="AJ313" i="12" s="1"/>
  <c r="AF314" i="12"/>
  <c r="AF315" i="12"/>
  <c r="AF316" i="12"/>
  <c r="AF317" i="12"/>
  <c r="AF318" i="12"/>
  <c r="AJ318" i="12" s="1"/>
  <c r="AF319" i="12"/>
  <c r="AJ319" i="12" s="1"/>
  <c r="AF320" i="12"/>
  <c r="AJ320" i="12" s="1"/>
  <c r="AF321" i="12"/>
  <c r="AJ321" i="12" s="1"/>
  <c r="AF322" i="12"/>
  <c r="AF323" i="12"/>
  <c r="AG323" i="12" s="1"/>
  <c r="AF324" i="12"/>
  <c r="AF325" i="12"/>
  <c r="AF326" i="12"/>
  <c r="AJ326" i="12" s="1"/>
  <c r="AF327" i="12"/>
  <c r="AJ327" i="12" s="1"/>
  <c r="AF328" i="12"/>
  <c r="AJ328" i="12" s="1"/>
  <c r="AF329" i="12"/>
  <c r="AJ329" i="12" s="1"/>
  <c r="AF330" i="12"/>
  <c r="AG330" i="12" s="1"/>
  <c r="AF331" i="12"/>
  <c r="AG331" i="12" s="1"/>
  <c r="AF332" i="12"/>
  <c r="AF333" i="12"/>
  <c r="AF334" i="12"/>
  <c r="AJ334" i="12" s="1"/>
  <c r="AF335" i="12"/>
  <c r="AJ335" i="12" s="1"/>
  <c r="AF336" i="12"/>
  <c r="AJ336" i="12" s="1"/>
  <c r="AF337" i="12"/>
  <c r="AJ337" i="12" s="1"/>
  <c r="AF338" i="12"/>
  <c r="AF339" i="12"/>
  <c r="AJ339" i="12" s="1"/>
  <c r="AF340" i="12"/>
  <c r="AF341" i="12"/>
  <c r="AF342" i="12"/>
  <c r="AJ342" i="12" s="1"/>
  <c r="AF343" i="12"/>
  <c r="AJ343" i="12" s="1"/>
  <c r="AF344" i="12"/>
  <c r="AJ344" i="12" s="1"/>
  <c r="AF345" i="12"/>
  <c r="AJ345" i="12" s="1"/>
  <c r="AF346" i="12"/>
  <c r="AF347" i="12"/>
  <c r="AF348" i="12"/>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210" i="12"/>
  <c r="AD226" i="12"/>
  <c r="AD246" i="12"/>
  <c r="AD258" i="12"/>
  <c r="AD278" i="12"/>
  <c r="AD290" i="12"/>
  <c r="AD310" i="12"/>
  <c r="AD322" i="12"/>
  <c r="AD342" i="12"/>
  <c r="AD354" i="12"/>
  <c r="AD374" i="12"/>
  <c r="AD386" i="12"/>
  <c r="AD390" i="12"/>
  <c r="AC192" i="12"/>
  <c r="AD192" i="12" s="1"/>
  <c r="AC193" i="12"/>
  <c r="AD193" i="12" s="1"/>
  <c r="AC194" i="12"/>
  <c r="AD194" i="12" s="1"/>
  <c r="AC195" i="12"/>
  <c r="AD195" i="12" s="1"/>
  <c r="AC196" i="12"/>
  <c r="AD196" i="12" s="1"/>
  <c r="AC197" i="12"/>
  <c r="AD197" i="12" s="1"/>
  <c r="AC198" i="12"/>
  <c r="AD198" i="12" s="1"/>
  <c r="AC199" i="12"/>
  <c r="AD199" i="12" s="1"/>
  <c r="AC200" i="12"/>
  <c r="AD200" i="12" s="1"/>
  <c r="AC201" i="12"/>
  <c r="AD201" i="12" s="1"/>
  <c r="AC202" i="12"/>
  <c r="AD202" i="12" s="1"/>
  <c r="AC203" i="12"/>
  <c r="AD203" i="12" s="1"/>
  <c r="AC204" i="12"/>
  <c r="AD204" i="12" s="1"/>
  <c r="AC205" i="12"/>
  <c r="AD205" i="12" s="1"/>
  <c r="AC206" i="12"/>
  <c r="AD206" i="12" s="1"/>
  <c r="AC207" i="12"/>
  <c r="AD207" i="12" s="1"/>
  <c r="AC208" i="12"/>
  <c r="AD208" i="12" s="1"/>
  <c r="AC209" i="12"/>
  <c r="AD209" i="12" s="1"/>
  <c r="AC210" i="12"/>
  <c r="AC211" i="12"/>
  <c r="AD211" i="12" s="1"/>
  <c r="AC212" i="12"/>
  <c r="AD212" i="12" s="1"/>
  <c r="AC213" i="12"/>
  <c r="AD213" i="12" s="1"/>
  <c r="AC214" i="12"/>
  <c r="AD214" i="12" s="1"/>
  <c r="AC215" i="12"/>
  <c r="AD215" i="12" s="1"/>
  <c r="AC216" i="12"/>
  <c r="AD216" i="12" s="1"/>
  <c r="AC217" i="12"/>
  <c r="AD217" i="12" s="1"/>
  <c r="AC218" i="12"/>
  <c r="AD218" i="12" s="1"/>
  <c r="AC219" i="12"/>
  <c r="AD219" i="12" s="1"/>
  <c r="AC220" i="12"/>
  <c r="AD220" i="12" s="1"/>
  <c r="AC221" i="12"/>
  <c r="AD221" i="12" s="1"/>
  <c r="AC222" i="12"/>
  <c r="AD222" i="12" s="1"/>
  <c r="AC223" i="12"/>
  <c r="AD223" i="12" s="1"/>
  <c r="AC224" i="12"/>
  <c r="AD224" i="12" s="1"/>
  <c r="AC225" i="12"/>
  <c r="AD225" i="12" s="1"/>
  <c r="AC226" i="12"/>
  <c r="AC227" i="12"/>
  <c r="AD227" i="12" s="1"/>
  <c r="AC228" i="12"/>
  <c r="AD228" i="12" s="1"/>
  <c r="AC229" i="12"/>
  <c r="AD229" i="12" s="1"/>
  <c r="AC230" i="12"/>
  <c r="AD230" i="12" s="1"/>
  <c r="AC231" i="12"/>
  <c r="AD231" i="12" s="1"/>
  <c r="AC232" i="12"/>
  <c r="AD232" i="12" s="1"/>
  <c r="AC233" i="12"/>
  <c r="AD233" i="12" s="1"/>
  <c r="AC234" i="12"/>
  <c r="AD234" i="12" s="1"/>
  <c r="AC235" i="12"/>
  <c r="AD235" i="12" s="1"/>
  <c r="AC236" i="12"/>
  <c r="AD236" i="12" s="1"/>
  <c r="AC237" i="12"/>
  <c r="AD237" i="12" s="1"/>
  <c r="AC238" i="12"/>
  <c r="AD238" i="12" s="1"/>
  <c r="AC239" i="12"/>
  <c r="AD239" i="12" s="1"/>
  <c r="AC240" i="12"/>
  <c r="AD240" i="12" s="1"/>
  <c r="AC241" i="12"/>
  <c r="AD241" i="12" s="1"/>
  <c r="AC242" i="12"/>
  <c r="AD242" i="12" s="1"/>
  <c r="AC243" i="12"/>
  <c r="AD243" i="12" s="1"/>
  <c r="AC244" i="12"/>
  <c r="AD244" i="12" s="1"/>
  <c r="AC245" i="12"/>
  <c r="AD245" i="12" s="1"/>
  <c r="AC246" i="12"/>
  <c r="AC247" i="12"/>
  <c r="AD247" i="12" s="1"/>
  <c r="AC248" i="12"/>
  <c r="AD248" i="12" s="1"/>
  <c r="AC249" i="12"/>
  <c r="AD249" i="12" s="1"/>
  <c r="AC250" i="12"/>
  <c r="AD250" i="12" s="1"/>
  <c r="AC251" i="12"/>
  <c r="AD251" i="12" s="1"/>
  <c r="AC252" i="12"/>
  <c r="AD252" i="12" s="1"/>
  <c r="AC253" i="12"/>
  <c r="AD253" i="12" s="1"/>
  <c r="AC254" i="12"/>
  <c r="AD254" i="12" s="1"/>
  <c r="AC255" i="12"/>
  <c r="AD255" i="12" s="1"/>
  <c r="AC256" i="12"/>
  <c r="AD256" i="12" s="1"/>
  <c r="AC257" i="12"/>
  <c r="AD257" i="12" s="1"/>
  <c r="AC258" i="12"/>
  <c r="AC259" i="12"/>
  <c r="AD259" i="12" s="1"/>
  <c r="AC260" i="12"/>
  <c r="AD260" i="12" s="1"/>
  <c r="AC261" i="12"/>
  <c r="AD261" i="12" s="1"/>
  <c r="AC262" i="12"/>
  <c r="AD262" i="12" s="1"/>
  <c r="AC263" i="12"/>
  <c r="AD263" i="12" s="1"/>
  <c r="AC264" i="12"/>
  <c r="AD264" i="12" s="1"/>
  <c r="AC265" i="12"/>
  <c r="AD265" i="12" s="1"/>
  <c r="AC266" i="12"/>
  <c r="AD266" i="12" s="1"/>
  <c r="AC267" i="12"/>
  <c r="AD267" i="12" s="1"/>
  <c r="AC268" i="12"/>
  <c r="AD268" i="12" s="1"/>
  <c r="AC269" i="12"/>
  <c r="AD269" i="12" s="1"/>
  <c r="AC270" i="12"/>
  <c r="AD270" i="12" s="1"/>
  <c r="AC271" i="12"/>
  <c r="AD271" i="12" s="1"/>
  <c r="AC272" i="12"/>
  <c r="AD272" i="12" s="1"/>
  <c r="AC273" i="12"/>
  <c r="AD273" i="12" s="1"/>
  <c r="AC274" i="12"/>
  <c r="AD274" i="12" s="1"/>
  <c r="AC275" i="12"/>
  <c r="AD275" i="12" s="1"/>
  <c r="AC276" i="12"/>
  <c r="AD276" i="12" s="1"/>
  <c r="AC277" i="12"/>
  <c r="AD277" i="12" s="1"/>
  <c r="AC278" i="12"/>
  <c r="AC279" i="12"/>
  <c r="AD279" i="12" s="1"/>
  <c r="AC280" i="12"/>
  <c r="AD280" i="12" s="1"/>
  <c r="AC281" i="12"/>
  <c r="AD281" i="12" s="1"/>
  <c r="AC282" i="12"/>
  <c r="AD282" i="12" s="1"/>
  <c r="AC283" i="12"/>
  <c r="AD283" i="12" s="1"/>
  <c r="AC284" i="12"/>
  <c r="AD284" i="12" s="1"/>
  <c r="AC285" i="12"/>
  <c r="AD285" i="12" s="1"/>
  <c r="AC286" i="12"/>
  <c r="AD286" i="12" s="1"/>
  <c r="AC287" i="12"/>
  <c r="AD287" i="12" s="1"/>
  <c r="AC288" i="12"/>
  <c r="AD288" i="12" s="1"/>
  <c r="AC289" i="12"/>
  <c r="AD289" i="12" s="1"/>
  <c r="AC290" i="12"/>
  <c r="AC291" i="12"/>
  <c r="AD291" i="12" s="1"/>
  <c r="AC292" i="12"/>
  <c r="AD292" i="12" s="1"/>
  <c r="AC293" i="12"/>
  <c r="AD293" i="12" s="1"/>
  <c r="AC294" i="12"/>
  <c r="AD294" i="12" s="1"/>
  <c r="AC295" i="12"/>
  <c r="AD295" i="12" s="1"/>
  <c r="AC296" i="12"/>
  <c r="AD296" i="12" s="1"/>
  <c r="AC297" i="12"/>
  <c r="AD297" i="12" s="1"/>
  <c r="AC298" i="12"/>
  <c r="AD298" i="12" s="1"/>
  <c r="AC299" i="12"/>
  <c r="AD299" i="12" s="1"/>
  <c r="AC300" i="12"/>
  <c r="AD300" i="12" s="1"/>
  <c r="AC301" i="12"/>
  <c r="AD301" i="12" s="1"/>
  <c r="AC302" i="12"/>
  <c r="AD302" i="12" s="1"/>
  <c r="AC303" i="12"/>
  <c r="AD303" i="12" s="1"/>
  <c r="AC304" i="12"/>
  <c r="AD304" i="12" s="1"/>
  <c r="AC305" i="12"/>
  <c r="AD305" i="12" s="1"/>
  <c r="AC306" i="12"/>
  <c r="AD306" i="12" s="1"/>
  <c r="AC307" i="12"/>
  <c r="AD307" i="12" s="1"/>
  <c r="AC308" i="12"/>
  <c r="AD308" i="12" s="1"/>
  <c r="AC309" i="12"/>
  <c r="AD309" i="12" s="1"/>
  <c r="AC310" i="12"/>
  <c r="AC311" i="12"/>
  <c r="AD311" i="12" s="1"/>
  <c r="AC312" i="12"/>
  <c r="AD312" i="12" s="1"/>
  <c r="AC313" i="12"/>
  <c r="AD313" i="12" s="1"/>
  <c r="AC314" i="12"/>
  <c r="AD314" i="12" s="1"/>
  <c r="AC315" i="12"/>
  <c r="AD315" i="12" s="1"/>
  <c r="AC316" i="12"/>
  <c r="AD316" i="12" s="1"/>
  <c r="AC317" i="12"/>
  <c r="AD317" i="12" s="1"/>
  <c r="AC318" i="12"/>
  <c r="AD318" i="12" s="1"/>
  <c r="AC319" i="12"/>
  <c r="AD319" i="12" s="1"/>
  <c r="AC320" i="12"/>
  <c r="AD320" i="12" s="1"/>
  <c r="AC321" i="12"/>
  <c r="AD321" i="12" s="1"/>
  <c r="AC322" i="12"/>
  <c r="AC323" i="12"/>
  <c r="AD323" i="12" s="1"/>
  <c r="AC324" i="12"/>
  <c r="AD324" i="12" s="1"/>
  <c r="AC325" i="12"/>
  <c r="AD325" i="12" s="1"/>
  <c r="AC326" i="12"/>
  <c r="AD326" i="12" s="1"/>
  <c r="AC327" i="12"/>
  <c r="AD327" i="12" s="1"/>
  <c r="AC328" i="12"/>
  <c r="AD328" i="12" s="1"/>
  <c r="AC329" i="12"/>
  <c r="AD329" i="12" s="1"/>
  <c r="AC330" i="12"/>
  <c r="AD330" i="12" s="1"/>
  <c r="AC331" i="12"/>
  <c r="AD331" i="12" s="1"/>
  <c r="AC332" i="12"/>
  <c r="AD332" i="12" s="1"/>
  <c r="AC333" i="12"/>
  <c r="AD333" i="12" s="1"/>
  <c r="AC334" i="12"/>
  <c r="AD334" i="12" s="1"/>
  <c r="AC335" i="12"/>
  <c r="AD335" i="12" s="1"/>
  <c r="AC336" i="12"/>
  <c r="AD336" i="12" s="1"/>
  <c r="AC337" i="12"/>
  <c r="AD337" i="12" s="1"/>
  <c r="AC338" i="12"/>
  <c r="AD338" i="12" s="1"/>
  <c r="AC339" i="12"/>
  <c r="AD339" i="12" s="1"/>
  <c r="AC340" i="12"/>
  <c r="AD340" i="12" s="1"/>
  <c r="AC341" i="12"/>
  <c r="AD341" i="12" s="1"/>
  <c r="AC342" i="12"/>
  <c r="AC343" i="12"/>
  <c r="AD343" i="12" s="1"/>
  <c r="AC344" i="12"/>
  <c r="AD344" i="12" s="1"/>
  <c r="AC345" i="12"/>
  <c r="AD345" i="12" s="1"/>
  <c r="AC346" i="12"/>
  <c r="AD346" i="12" s="1"/>
  <c r="AC347" i="12"/>
  <c r="AD347" i="12" s="1"/>
  <c r="AC348" i="12"/>
  <c r="AD348" i="12" s="1"/>
  <c r="AC349" i="12"/>
  <c r="AD349" i="12" s="1"/>
  <c r="AC350" i="12"/>
  <c r="AD350" i="12" s="1"/>
  <c r="AC351" i="12"/>
  <c r="AD351" i="12" s="1"/>
  <c r="AC352" i="12"/>
  <c r="AD352" i="12" s="1"/>
  <c r="AC353" i="12"/>
  <c r="AD353" i="12" s="1"/>
  <c r="AC354" i="12"/>
  <c r="AC355" i="12"/>
  <c r="AD355" i="12" s="1"/>
  <c r="AC356" i="12"/>
  <c r="AD356" i="12" s="1"/>
  <c r="AC357" i="12"/>
  <c r="AD357" i="12" s="1"/>
  <c r="AC358" i="12"/>
  <c r="AD358" i="12" s="1"/>
  <c r="AC359" i="12"/>
  <c r="AD359" i="12" s="1"/>
  <c r="AC360" i="12"/>
  <c r="AD360" i="12" s="1"/>
  <c r="AC361" i="12"/>
  <c r="AD361" i="12" s="1"/>
  <c r="AC362" i="12"/>
  <c r="AD362" i="12" s="1"/>
  <c r="AC363" i="12"/>
  <c r="AD363" i="12" s="1"/>
  <c r="AC364" i="12"/>
  <c r="AD364" i="12" s="1"/>
  <c r="AC365" i="12"/>
  <c r="AD365" i="12" s="1"/>
  <c r="AC366" i="12"/>
  <c r="AD366" i="12" s="1"/>
  <c r="AC367" i="12"/>
  <c r="AD367" i="12" s="1"/>
  <c r="AC368" i="12"/>
  <c r="AD368" i="12" s="1"/>
  <c r="AC369" i="12"/>
  <c r="AD369" i="12" s="1"/>
  <c r="AC370" i="12"/>
  <c r="AD370" i="12" s="1"/>
  <c r="AC371" i="12"/>
  <c r="AD371" i="12" s="1"/>
  <c r="AC372" i="12"/>
  <c r="AD372" i="12" s="1"/>
  <c r="AC373" i="12"/>
  <c r="AD373" i="12" s="1"/>
  <c r="AC374" i="12"/>
  <c r="AC375" i="12"/>
  <c r="AD375" i="12" s="1"/>
  <c r="AC376" i="12"/>
  <c r="AD376" i="12" s="1"/>
  <c r="AC377" i="12"/>
  <c r="AD377" i="12" s="1"/>
  <c r="AC378" i="12"/>
  <c r="AD378" i="12" s="1"/>
  <c r="AC379" i="12"/>
  <c r="AD379" i="12" s="1"/>
  <c r="AC380" i="12"/>
  <c r="AD380" i="12" s="1"/>
  <c r="AC381" i="12"/>
  <c r="AD381" i="12" s="1"/>
  <c r="AC382" i="12"/>
  <c r="AD382" i="12" s="1"/>
  <c r="AC383" i="12"/>
  <c r="AD383" i="12" s="1"/>
  <c r="AC384" i="12"/>
  <c r="AD384" i="12" s="1"/>
  <c r="AC385" i="12"/>
  <c r="AD385" i="12" s="1"/>
  <c r="AC386" i="12"/>
  <c r="AC387" i="12"/>
  <c r="AD387" i="12" s="1"/>
  <c r="AC388" i="12"/>
  <c r="AD388" i="12" s="1"/>
  <c r="AC389" i="12"/>
  <c r="AD389" i="12" s="1"/>
  <c r="AC390" i="12"/>
  <c r="AC391" i="12"/>
  <c r="AD391" i="12" s="1"/>
  <c r="AC392" i="12"/>
  <c r="AD392" i="12" s="1"/>
  <c r="AC393" i="12"/>
  <c r="AD393" i="12" s="1"/>
  <c r="AC394" i="12"/>
  <c r="AD394" i="12" s="1"/>
  <c r="AC395" i="12"/>
  <c r="AD395" i="12" s="1"/>
  <c r="AC396" i="12"/>
  <c r="AD396" i="12" s="1"/>
  <c r="AC397" i="12"/>
  <c r="AD397" i="12" s="1"/>
  <c r="AC398" i="12"/>
  <c r="AD398" i="12" s="1"/>
  <c r="AC399" i="12"/>
  <c r="AD399" i="12" s="1"/>
  <c r="AC400" i="12"/>
  <c r="AD400" i="12" s="1"/>
  <c r="AC401" i="12"/>
  <c r="AD401" i="12" s="1"/>
  <c r="AC402" i="12"/>
  <c r="AD402" i="12" s="1"/>
  <c r="AC403" i="12"/>
  <c r="AD403" i="12" s="1"/>
  <c r="AC404" i="12"/>
  <c r="AD404" i="12" s="1"/>
  <c r="AA192" i="12"/>
  <c r="AA193" i="12"/>
  <c r="AA194" i="12"/>
  <c r="AA195" i="12"/>
  <c r="AA196" i="12"/>
  <c r="AA197" i="12"/>
  <c r="AB197" i="12" s="1"/>
  <c r="AA198" i="12"/>
  <c r="AB198" i="12" s="1"/>
  <c r="AA199" i="12"/>
  <c r="AE199" i="12" s="1"/>
  <c r="AA200" i="12"/>
  <c r="AA201" i="12"/>
  <c r="AA202" i="12"/>
  <c r="AA203" i="12"/>
  <c r="AA204" i="12"/>
  <c r="AA205" i="12"/>
  <c r="AA206" i="12"/>
  <c r="AB206" i="12" s="1"/>
  <c r="AA207" i="12"/>
  <c r="AB207" i="12" s="1"/>
  <c r="AA208" i="12"/>
  <c r="AA209" i="12"/>
  <c r="AA210" i="12"/>
  <c r="AA211" i="12"/>
  <c r="AA212" i="12"/>
  <c r="AA213" i="12"/>
  <c r="AA214" i="12"/>
  <c r="AB214" i="12" s="1"/>
  <c r="AA215" i="12"/>
  <c r="AB215" i="12" s="1"/>
  <c r="AA216" i="12"/>
  <c r="AA217" i="12"/>
  <c r="AA218" i="12"/>
  <c r="AA219" i="12"/>
  <c r="AA220" i="12"/>
  <c r="AA221" i="12"/>
  <c r="AA222" i="12"/>
  <c r="AB222" i="12" s="1"/>
  <c r="AA223" i="12"/>
  <c r="AB223" i="12" s="1"/>
  <c r="AA224" i="12"/>
  <c r="AA225" i="12"/>
  <c r="AA226" i="12"/>
  <c r="AA227" i="12"/>
  <c r="AA228" i="12"/>
  <c r="AA229" i="12"/>
  <c r="AA230" i="12"/>
  <c r="AB230" i="12" s="1"/>
  <c r="AA231" i="12"/>
  <c r="AE231" i="12" s="1"/>
  <c r="AA232" i="12"/>
  <c r="AA233" i="12"/>
  <c r="AA234" i="12"/>
  <c r="AA235" i="12"/>
  <c r="AA236" i="12"/>
  <c r="AA237" i="12"/>
  <c r="AA238" i="12"/>
  <c r="AB238" i="12" s="1"/>
  <c r="AA239" i="12"/>
  <c r="AB239" i="12" s="1"/>
  <c r="AA240" i="12"/>
  <c r="AA241" i="12"/>
  <c r="AA242" i="12"/>
  <c r="AA243" i="12"/>
  <c r="AA244" i="12"/>
  <c r="AA245" i="12"/>
  <c r="AA246" i="12"/>
  <c r="AB246" i="12" s="1"/>
  <c r="AA247" i="12"/>
  <c r="AB247" i="12" s="1"/>
  <c r="AA248" i="12"/>
  <c r="AA249" i="12"/>
  <c r="AA250" i="12"/>
  <c r="AA251" i="12"/>
  <c r="AA252" i="12"/>
  <c r="AA253" i="12"/>
  <c r="AA254" i="12"/>
  <c r="AB254" i="12" s="1"/>
  <c r="AA255" i="12"/>
  <c r="AB255" i="12" s="1"/>
  <c r="AA256" i="12"/>
  <c r="AA257" i="12"/>
  <c r="AA258" i="12"/>
  <c r="AA259" i="12"/>
  <c r="AA260" i="12"/>
  <c r="AA261" i="12"/>
  <c r="AA262" i="12"/>
  <c r="AB262" i="12" s="1"/>
  <c r="AA263" i="12"/>
  <c r="AE263" i="12" s="1"/>
  <c r="AA264" i="12"/>
  <c r="AA265" i="12"/>
  <c r="AA266" i="12"/>
  <c r="AA267" i="12"/>
  <c r="AA268" i="12"/>
  <c r="AA269" i="12"/>
  <c r="AA270" i="12"/>
  <c r="AB270" i="12" s="1"/>
  <c r="AA271" i="12"/>
  <c r="AB271" i="12" s="1"/>
  <c r="AA272" i="12"/>
  <c r="AA273" i="12"/>
  <c r="AA274" i="12"/>
  <c r="AA275" i="12"/>
  <c r="AA276" i="12"/>
  <c r="AA277" i="12"/>
  <c r="AA278" i="12"/>
  <c r="AB278" i="12" s="1"/>
  <c r="AA279" i="12"/>
  <c r="AB279" i="12" s="1"/>
  <c r="AA280" i="12"/>
  <c r="AA281" i="12"/>
  <c r="AA282" i="12"/>
  <c r="AA283" i="12"/>
  <c r="AA284" i="12"/>
  <c r="AA285" i="12"/>
  <c r="AA286" i="12"/>
  <c r="AB286" i="12" s="1"/>
  <c r="AA287" i="12"/>
  <c r="AB287" i="12" s="1"/>
  <c r="AA288" i="12"/>
  <c r="AA289" i="12"/>
  <c r="AA290" i="12"/>
  <c r="AA291" i="12"/>
  <c r="AA292" i="12"/>
  <c r="AA293" i="12"/>
  <c r="AA294" i="12"/>
  <c r="AB294" i="12" s="1"/>
  <c r="AA295" i="12"/>
  <c r="AE295" i="12" s="1"/>
  <c r="AA296" i="12"/>
  <c r="AA297" i="12"/>
  <c r="AA298" i="12"/>
  <c r="AA299" i="12"/>
  <c r="AA300" i="12"/>
  <c r="AA301" i="12"/>
  <c r="AA302" i="12"/>
  <c r="AB302" i="12" s="1"/>
  <c r="AA303" i="12"/>
  <c r="AB303" i="12" s="1"/>
  <c r="AA304" i="12"/>
  <c r="AA305" i="12"/>
  <c r="AA306" i="12"/>
  <c r="AA307" i="12"/>
  <c r="AA308" i="12"/>
  <c r="AA309" i="12"/>
  <c r="AA310" i="12"/>
  <c r="AB310" i="12" s="1"/>
  <c r="AA311" i="12"/>
  <c r="AB311" i="12" s="1"/>
  <c r="AA312" i="12"/>
  <c r="AA313" i="12"/>
  <c r="AA314" i="12"/>
  <c r="AA315" i="12"/>
  <c r="AA316" i="12"/>
  <c r="AA317" i="12"/>
  <c r="AA318" i="12"/>
  <c r="AB318" i="12" s="1"/>
  <c r="AA319" i="12"/>
  <c r="AB319" i="12" s="1"/>
  <c r="AA320" i="12"/>
  <c r="AA321" i="12"/>
  <c r="AA322" i="12"/>
  <c r="AA323" i="12"/>
  <c r="AA324" i="12"/>
  <c r="AA325" i="12"/>
  <c r="AA326" i="12"/>
  <c r="AB326" i="12" s="1"/>
  <c r="AA327" i="12"/>
  <c r="AE327" i="12" s="1"/>
  <c r="AA328" i="12"/>
  <c r="AA329" i="12"/>
  <c r="AA330" i="12"/>
  <c r="AA331" i="12"/>
  <c r="AA332" i="12"/>
  <c r="AA333" i="12"/>
  <c r="AA334" i="12"/>
  <c r="AB334" i="12" s="1"/>
  <c r="AA335" i="12"/>
  <c r="AB335" i="12" s="1"/>
  <c r="AA336" i="12"/>
  <c r="AA337" i="12"/>
  <c r="AA338" i="12"/>
  <c r="AA339" i="12"/>
  <c r="AA340" i="12"/>
  <c r="AA341" i="12"/>
  <c r="AA342" i="12"/>
  <c r="AB342" i="12" s="1"/>
  <c r="AA343" i="12"/>
  <c r="AB343" i="12" s="1"/>
  <c r="AA344" i="12"/>
  <c r="AA345" i="12"/>
  <c r="AA346" i="12"/>
  <c r="AA347" i="12"/>
  <c r="AA348" i="12"/>
  <c r="AA349" i="12"/>
  <c r="AA350" i="12"/>
  <c r="AB350" i="12" s="1"/>
  <c r="AA351" i="12"/>
  <c r="AB351" i="12" s="1"/>
  <c r="AA352" i="12"/>
  <c r="AA353" i="12"/>
  <c r="AA354" i="12"/>
  <c r="AA355" i="12"/>
  <c r="AA356" i="12"/>
  <c r="AA357" i="12"/>
  <c r="AA358" i="12"/>
  <c r="AB358" i="12" s="1"/>
  <c r="AA359" i="12"/>
  <c r="AE359" i="12" s="1"/>
  <c r="AA360" i="12"/>
  <c r="AA361" i="12"/>
  <c r="AA362" i="12"/>
  <c r="AA363" i="12"/>
  <c r="AA364" i="12"/>
  <c r="AA365" i="12"/>
  <c r="AA366" i="12"/>
  <c r="AB366" i="12" s="1"/>
  <c r="AA367" i="12"/>
  <c r="AB367" i="12" s="1"/>
  <c r="AA368" i="12"/>
  <c r="AA369" i="12"/>
  <c r="AA370" i="12"/>
  <c r="AA371" i="12"/>
  <c r="AA372" i="12"/>
  <c r="AA373" i="12"/>
  <c r="AA374" i="12"/>
  <c r="AB374" i="12" s="1"/>
  <c r="AA375" i="12"/>
  <c r="AB375" i="12" s="1"/>
  <c r="AA376" i="12"/>
  <c r="AA377" i="12"/>
  <c r="AA378" i="12"/>
  <c r="AA379" i="12"/>
  <c r="AA380" i="12"/>
  <c r="AA381" i="12"/>
  <c r="AA382" i="12"/>
  <c r="AB382" i="12" s="1"/>
  <c r="AA383" i="12"/>
  <c r="AB383" i="12" s="1"/>
  <c r="AA384" i="12"/>
  <c r="AA385" i="12"/>
  <c r="AA386" i="12"/>
  <c r="AA387" i="12"/>
  <c r="AA388" i="12"/>
  <c r="AA389" i="12"/>
  <c r="AA390" i="12"/>
  <c r="AB390" i="12" s="1"/>
  <c r="AA391" i="12"/>
  <c r="AE391" i="12" s="1"/>
  <c r="AA392" i="12"/>
  <c r="AA393" i="12"/>
  <c r="AA394" i="12"/>
  <c r="AA395" i="12"/>
  <c r="AA396" i="12"/>
  <c r="AA397" i="12"/>
  <c r="AA398" i="12"/>
  <c r="AB398" i="12" s="1"/>
  <c r="AA399" i="12"/>
  <c r="AB399" i="12" s="1"/>
  <c r="AA400" i="12"/>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3" i="12"/>
  <c r="Y201" i="12"/>
  <c r="Y225" i="12"/>
  <c r="Y249" i="12"/>
  <c r="Y257" i="12"/>
  <c r="Y265" i="12"/>
  <c r="Y289" i="12"/>
  <c r="Y308" i="12"/>
  <c r="Y313" i="12"/>
  <c r="Y321" i="12"/>
  <c r="Y329" i="12"/>
  <c r="Y353" i="12"/>
  <c r="Y377" i="12"/>
  <c r="Y385" i="12"/>
  <c r="Y393" i="12"/>
  <c r="X192" i="12"/>
  <c r="Y192" i="12" s="1"/>
  <c r="X193" i="12"/>
  <c r="X194" i="12"/>
  <c r="Y194" i="12" s="1"/>
  <c r="X195" i="12"/>
  <c r="Y195" i="12" s="1"/>
  <c r="X196" i="12"/>
  <c r="Y196" i="12" s="1"/>
  <c r="X197" i="12"/>
  <c r="Y197" i="12" s="1"/>
  <c r="X198" i="12"/>
  <c r="Y198" i="12" s="1"/>
  <c r="X199" i="12"/>
  <c r="Y199" i="12" s="1"/>
  <c r="X200" i="12"/>
  <c r="Y200" i="12" s="1"/>
  <c r="X201" i="12"/>
  <c r="X202" i="12"/>
  <c r="Y202" i="12" s="1"/>
  <c r="X203" i="12"/>
  <c r="Y203" i="12" s="1"/>
  <c r="X204" i="12"/>
  <c r="Y204" i="12" s="1"/>
  <c r="X205" i="12"/>
  <c r="Y205" i="12" s="1"/>
  <c r="X206" i="12"/>
  <c r="Y206" i="12" s="1"/>
  <c r="X207" i="12"/>
  <c r="Y207" i="12" s="1"/>
  <c r="X208" i="12"/>
  <c r="Y208" i="12" s="1"/>
  <c r="X209" i="12"/>
  <c r="Y209" i="12" s="1"/>
  <c r="X210" i="12"/>
  <c r="Y210" i="12" s="1"/>
  <c r="X211" i="12"/>
  <c r="Y211" i="12" s="1"/>
  <c r="X212" i="12"/>
  <c r="Y212" i="12" s="1"/>
  <c r="X213" i="12"/>
  <c r="Y213" i="12" s="1"/>
  <c r="X214" i="12"/>
  <c r="Y214" i="12" s="1"/>
  <c r="X215" i="12"/>
  <c r="Y215" i="12" s="1"/>
  <c r="X216" i="12"/>
  <c r="Y216" i="12" s="1"/>
  <c r="X217" i="12"/>
  <c r="Y217" i="12" s="1"/>
  <c r="X218" i="12"/>
  <c r="Y218" i="12" s="1"/>
  <c r="X219" i="12"/>
  <c r="Y219" i="12" s="1"/>
  <c r="X220" i="12"/>
  <c r="Y220" i="12" s="1"/>
  <c r="X221" i="12"/>
  <c r="Y221" i="12" s="1"/>
  <c r="X222" i="12"/>
  <c r="Y222" i="12" s="1"/>
  <c r="X223" i="12"/>
  <c r="Y223" i="12" s="1"/>
  <c r="X224" i="12"/>
  <c r="Y224" i="12" s="1"/>
  <c r="X225" i="12"/>
  <c r="X226" i="12"/>
  <c r="Y226" i="12" s="1"/>
  <c r="X227" i="12"/>
  <c r="Y227" i="12" s="1"/>
  <c r="X228" i="12"/>
  <c r="Y228" i="12" s="1"/>
  <c r="X229" i="12"/>
  <c r="Y229" i="12" s="1"/>
  <c r="X230" i="12"/>
  <c r="Y230" i="12" s="1"/>
  <c r="X231" i="12"/>
  <c r="Y231" i="12" s="1"/>
  <c r="X232" i="12"/>
  <c r="Y232" i="12" s="1"/>
  <c r="X233" i="12"/>
  <c r="Y233" i="12" s="1"/>
  <c r="X234" i="12"/>
  <c r="Y234" i="12" s="1"/>
  <c r="X235" i="12"/>
  <c r="Y235" i="12" s="1"/>
  <c r="X236" i="12"/>
  <c r="Y236" i="12" s="1"/>
  <c r="X237" i="12"/>
  <c r="Y237" i="12" s="1"/>
  <c r="X238" i="12"/>
  <c r="Y238" i="12" s="1"/>
  <c r="X239" i="12"/>
  <c r="Y239" i="12" s="1"/>
  <c r="X240" i="12"/>
  <c r="Y240" i="12" s="1"/>
  <c r="X241" i="12"/>
  <c r="Y241" i="12" s="1"/>
  <c r="X242" i="12"/>
  <c r="Y242" i="12" s="1"/>
  <c r="X243" i="12"/>
  <c r="Y243" i="12" s="1"/>
  <c r="X244" i="12"/>
  <c r="Y244" i="12" s="1"/>
  <c r="X245" i="12"/>
  <c r="Y245" i="12" s="1"/>
  <c r="X246" i="12"/>
  <c r="Y246" i="12" s="1"/>
  <c r="X247" i="12"/>
  <c r="Y247" i="12" s="1"/>
  <c r="X248" i="12"/>
  <c r="Y248" i="12" s="1"/>
  <c r="X249" i="12"/>
  <c r="X250" i="12"/>
  <c r="Y250" i="12" s="1"/>
  <c r="X251" i="12"/>
  <c r="Y251" i="12" s="1"/>
  <c r="X252" i="12"/>
  <c r="Y252" i="12" s="1"/>
  <c r="X253" i="12"/>
  <c r="Y253" i="12" s="1"/>
  <c r="X254" i="12"/>
  <c r="Y254" i="12" s="1"/>
  <c r="X255" i="12"/>
  <c r="Y255" i="12" s="1"/>
  <c r="X256" i="12"/>
  <c r="Y256" i="12" s="1"/>
  <c r="X257" i="12"/>
  <c r="X258" i="12"/>
  <c r="Y258" i="12" s="1"/>
  <c r="X259" i="12"/>
  <c r="Y259" i="12" s="1"/>
  <c r="X260" i="12"/>
  <c r="Y260" i="12" s="1"/>
  <c r="X261" i="12"/>
  <c r="Y261" i="12" s="1"/>
  <c r="X262" i="12"/>
  <c r="Y262" i="12" s="1"/>
  <c r="X263" i="12"/>
  <c r="Y263" i="12" s="1"/>
  <c r="X264" i="12"/>
  <c r="Y264" i="12" s="1"/>
  <c r="X265" i="12"/>
  <c r="X266" i="12"/>
  <c r="Y266" i="12" s="1"/>
  <c r="X267" i="12"/>
  <c r="Y267" i="12" s="1"/>
  <c r="X268" i="12"/>
  <c r="Y268" i="12" s="1"/>
  <c r="X269" i="12"/>
  <c r="Y269" i="12" s="1"/>
  <c r="X270" i="12"/>
  <c r="Y270" i="12" s="1"/>
  <c r="X271" i="12"/>
  <c r="Y271" i="12" s="1"/>
  <c r="X272" i="12"/>
  <c r="Y272" i="12" s="1"/>
  <c r="X273" i="12"/>
  <c r="Y273" i="12" s="1"/>
  <c r="X274" i="12"/>
  <c r="Y274" i="12" s="1"/>
  <c r="X275" i="12"/>
  <c r="Y275" i="12" s="1"/>
  <c r="X276" i="12"/>
  <c r="Y276" i="12" s="1"/>
  <c r="X277" i="12"/>
  <c r="Y277" i="12" s="1"/>
  <c r="X278" i="12"/>
  <c r="Y278" i="12" s="1"/>
  <c r="X279" i="12"/>
  <c r="Y279" i="12" s="1"/>
  <c r="X280" i="12"/>
  <c r="Y280" i="12" s="1"/>
  <c r="X281" i="12"/>
  <c r="Y281" i="12" s="1"/>
  <c r="X282" i="12"/>
  <c r="Y282" i="12" s="1"/>
  <c r="X283" i="12"/>
  <c r="Y283" i="12" s="1"/>
  <c r="X284" i="12"/>
  <c r="Y284" i="12" s="1"/>
  <c r="X285" i="12"/>
  <c r="Y285" i="12" s="1"/>
  <c r="X286" i="12"/>
  <c r="Y286" i="12" s="1"/>
  <c r="X287" i="12"/>
  <c r="Y287" i="12" s="1"/>
  <c r="X288" i="12"/>
  <c r="Y288" i="12" s="1"/>
  <c r="X289" i="12"/>
  <c r="X290" i="12"/>
  <c r="Y290" i="12" s="1"/>
  <c r="X291" i="12"/>
  <c r="Y291" i="12" s="1"/>
  <c r="X292" i="12"/>
  <c r="Y292" i="12" s="1"/>
  <c r="X293" i="12"/>
  <c r="Y293" i="12" s="1"/>
  <c r="X294" i="12"/>
  <c r="Y294" i="12" s="1"/>
  <c r="X295" i="12"/>
  <c r="Y295" i="12" s="1"/>
  <c r="X296" i="12"/>
  <c r="Y296" i="12" s="1"/>
  <c r="X297" i="12"/>
  <c r="Y297" i="12" s="1"/>
  <c r="X298" i="12"/>
  <c r="Y298" i="12" s="1"/>
  <c r="X299" i="12"/>
  <c r="Y299" i="12" s="1"/>
  <c r="X300" i="12"/>
  <c r="Y300" i="12" s="1"/>
  <c r="X301" i="12"/>
  <c r="Y301" i="12" s="1"/>
  <c r="X302" i="12"/>
  <c r="Y302" i="12" s="1"/>
  <c r="X303" i="12"/>
  <c r="Y303" i="12" s="1"/>
  <c r="X304" i="12"/>
  <c r="Y304" i="12" s="1"/>
  <c r="X305" i="12"/>
  <c r="Y305" i="12" s="1"/>
  <c r="X306" i="12"/>
  <c r="Y306" i="12" s="1"/>
  <c r="X307" i="12"/>
  <c r="Y307" i="12" s="1"/>
  <c r="X308" i="12"/>
  <c r="X309" i="12"/>
  <c r="Y309" i="12" s="1"/>
  <c r="X310" i="12"/>
  <c r="Y310" i="12" s="1"/>
  <c r="X311" i="12"/>
  <c r="Y311" i="12" s="1"/>
  <c r="X312" i="12"/>
  <c r="Y312" i="12" s="1"/>
  <c r="X313" i="12"/>
  <c r="X314" i="12"/>
  <c r="Y314" i="12" s="1"/>
  <c r="X315" i="12"/>
  <c r="Y315" i="12" s="1"/>
  <c r="X316" i="12"/>
  <c r="Y316" i="12" s="1"/>
  <c r="X317" i="12"/>
  <c r="Y317" i="12" s="1"/>
  <c r="X318" i="12"/>
  <c r="Y318" i="12" s="1"/>
  <c r="X319" i="12"/>
  <c r="Y319" i="12" s="1"/>
  <c r="X320" i="12"/>
  <c r="Y320" i="12" s="1"/>
  <c r="X321" i="12"/>
  <c r="X322" i="12"/>
  <c r="Y322" i="12" s="1"/>
  <c r="X323" i="12"/>
  <c r="Y323" i="12" s="1"/>
  <c r="X324" i="12"/>
  <c r="Y324" i="12" s="1"/>
  <c r="X325" i="12"/>
  <c r="Y325" i="12" s="1"/>
  <c r="X326" i="12"/>
  <c r="Y326" i="12" s="1"/>
  <c r="X327" i="12"/>
  <c r="Y327" i="12" s="1"/>
  <c r="X328" i="12"/>
  <c r="Y328" i="12" s="1"/>
  <c r="X329" i="12"/>
  <c r="X330" i="12"/>
  <c r="Y330" i="12" s="1"/>
  <c r="X331" i="12"/>
  <c r="Y331" i="12" s="1"/>
  <c r="X332" i="12"/>
  <c r="Y332" i="12" s="1"/>
  <c r="X333" i="12"/>
  <c r="Y333" i="12" s="1"/>
  <c r="X334" i="12"/>
  <c r="Y334" i="12" s="1"/>
  <c r="X335" i="12"/>
  <c r="Y335" i="12" s="1"/>
  <c r="X336" i="12"/>
  <c r="Y336" i="12" s="1"/>
  <c r="X337" i="12"/>
  <c r="Y337" i="12" s="1"/>
  <c r="X338" i="12"/>
  <c r="Y338" i="12" s="1"/>
  <c r="X339" i="12"/>
  <c r="Y339" i="12" s="1"/>
  <c r="X340" i="12"/>
  <c r="Y340" i="12" s="1"/>
  <c r="X341" i="12"/>
  <c r="Y341" i="12" s="1"/>
  <c r="X342" i="12"/>
  <c r="Y342" i="12" s="1"/>
  <c r="X343" i="12"/>
  <c r="Y343" i="12" s="1"/>
  <c r="X344" i="12"/>
  <c r="Y344" i="12" s="1"/>
  <c r="X345" i="12"/>
  <c r="Y345" i="12" s="1"/>
  <c r="X346" i="12"/>
  <c r="Y346" i="12" s="1"/>
  <c r="X347" i="12"/>
  <c r="Y347" i="12" s="1"/>
  <c r="X348" i="12"/>
  <c r="Y348" i="12" s="1"/>
  <c r="X349" i="12"/>
  <c r="Y349" i="12" s="1"/>
  <c r="X350" i="12"/>
  <c r="Y350" i="12" s="1"/>
  <c r="X351" i="12"/>
  <c r="Y351" i="12" s="1"/>
  <c r="X352" i="12"/>
  <c r="Y352" i="12" s="1"/>
  <c r="X353" i="12"/>
  <c r="X354" i="12"/>
  <c r="Y354" i="12" s="1"/>
  <c r="X355" i="12"/>
  <c r="Y355" i="12" s="1"/>
  <c r="X356" i="12"/>
  <c r="Y356" i="12" s="1"/>
  <c r="X357" i="12"/>
  <c r="Y357" i="12" s="1"/>
  <c r="X358" i="12"/>
  <c r="Y358" i="12" s="1"/>
  <c r="X359" i="12"/>
  <c r="Y359" i="12" s="1"/>
  <c r="X360" i="12"/>
  <c r="Y360" i="12" s="1"/>
  <c r="X361" i="12"/>
  <c r="Y361" i="12" s="1"/>
  <c r="X362" i="12"/>
  <c r="Y362" i="12" s="1"/>
  <c r="X363" i="12"/>
  <c r="Y363" i="12" s="1"/>
  <c r="X364" i="12"/>
  <c r="Y364" i="12" s="1"/>
  <c r="X365" i="12"/>
  <c r="Y365" i="12" s="1"/>
  <c r="X366" i="12"/>
  <c r="Y366" i="12" s="1"/>
  <c r="X367" i="12"/>
  <c r="Y367" i="12" s="1"/>
  <c r="X368" i="12"/>
  <c r="Y368" i="12" s="1"/>
  <c r="X369" i="12"/>
  <c r="Y369" i="12" s="1"/>
  <c r="X370" i="12"/>
  <c r="Y370" i="12" s="1"/>
  <c r="X371" i="12"/>
  <c r="Y371" i="12" s="1"/>
  <c r="X372" i="12"/>
  <c r="Y372" i="12" s="1"/>
  <c r="X373" i="12"/>
  <c r="Y373" i="12" s="1"/>
  <c r="X374" i="12"/>
  <c r="Y374" i="12" s="1"/>
  <c r="X375" i="12"/>
  <c r="Y375" i="12" s="1"/>
  <c r="X376" i="12"/>
  <c r="Y376" i="12" s="1"/>
  <c r="X377" i="12"/>
  <c r="X378" i="12"/>
  <c r="Y378" i="12" s="1"/>
  <c r="X379" i="12"/>
  <c r="Y379" i="12" s="1"/>
  <c r="X380" i="12"/>
  <c r="Y380" i="12" s="1"/>
  <c r="X381" i="12"/>
  <c r="Y381" i="12" s="1"/>
  <c r="X382" i="12"/>
  <c r="Y382" i="12" s="1"/>
  <c r="X383" i="12"/>
  <c r="Y383" i="12" s="1"/>
  <c r="X384" i="12"/>
  <c r="Y384" i="12" s="1"/>
  <c r="X385" i="12"/>
  <c r="X386" i="12"/>
  <c r="Y386" i="12" s="1"/>
  <c r="X387" i="12"/>
  <c r="Y387" i="12" s="1"/>
  <c r="X388" i="12"/>
  <c r="Y388" i="12" s="1"/>
  <c r="X389" i="12"/>
  <c r="Y389" i="12" s="1"/>
  <c r="X390" i="12"/>
  <c r="Y390" i="12" s="1"/>
  <c r="X391" i="12"/>
  <c r="Y391" i="12" s="1"/>
  <c r="X392" i="12"/>
  <c r="Y392" i="12" s="1"/>
  <c r="X393" i="12"/>
  <c r="X394" i="12"/>
  <c r="Y394" i="12" s="1"/>
  <c r="X395" i="12"/>
  <c r="Y395" i="12" s="1"/>
  <c r="X396" i="12"/>
  <c r="Y396" i="12" s="1"/>
  <c r="X397" i="12"/>
  <c r="Y397" i="12" s="1"/>
  <c r="X398" i="12"/>
  <c r="Y398" i="12" s="1"/>
  <c r="X399" i="12"/>
  <c r="Y399" i="12" s="1"/>
  <c r="X400" i="12"/>
  <c r="Y400" i="12" s="1"/>
  <c r="X401" i="12"/>
  <c r="Y401" i="12" s="1"/>
  <c r="X402" i="12"/>
  <c r="Y402" i="12" s="1"/>
  <c r="X403" i="12"/>
  <c r="Y403" i="12" s="1"/>
  <c r="X404" i="12"/>
  <c r="Y404" i="12" s="1"/>
  <c r="V192" i="12"/>
  <c r="W192" i="12" s="1"/>
  <c r="V193" i="12"/>
  <c r="V194" i="12"/>
  <c r="V195" i="12"/>
  <c r="V196" i="12"/>
  <c r="V197" i="12"/>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V284" i="12"/>
  <c r="V285" i="12"/>
  <c r="V286" i="12"/>
  <c r="V287" i="12"/>
  <c r="V288" i="12"/>
  <c r="W288" i="12" s="1"/>
  <c r="V289" i="12"/>
  <c r="V290" i="12"/>
  <c r="W290" i="12" s="1"/>
  <c r="V291" i="12"/>
  <c r="V292" i="12"/>
  <c r="V293" i="12"/>
  <c r="V294" i="12"/>
  <c r="V295" i="12"/>
  <c r="V296" i="12"/>
  <c r="W296" i="12" s="1"/>
  <c r="V297" i="12"/>
  <c r="V298" i="12"/>
  <c r="V299" i="12"/>
  <c r="V300" i="12"/>
  <c r="V301" i="12"/>
  <c r="V302" i="12"/>
  <c r="V303" i="12"/>
  <c r="V304" i="12"/>
  <c r="W304" i="12" s="1"/>
  <c r="V305" i="12"/>
  <c r="Z305" i="12" s="1"/>
  <c r="V306" i="12"/>
  <c r="V307" i="12"/>
  <c r="V308" i="12"/>
  <c r="V309" i="12"/>
  <c r="V310" i="12"/>
  <c r="V311" i="12"/>
  <c r="V312" i="12"/>
  <c r="W312" i="12" s="1"/>
  <c r="V313" i="12"/>
  <c r="Z313" i="12" s="1"/>
  <c r="V314" i="12"/>
  <c r="V315" i="12"/>
  <c r="V316" i="12"/>
  <c r="V317" i="12"/>
  <c r="V318" i="12"/>
  <c r="V319" i="12"/>
  <c r="V320" i="12"/>
  <c r="W320" i="12" s="1"/>
  <c r="V321" i="12"/>
  <c r="Z321" i="12" s="1"/>
  <c r="V322" i="12"/>
  <c r="V323" i="12"/>
  <c r="V324" i="12"/>
  <c r="V325" i="12"/>
  <c r="V326" i="12"/>
  <c r="V327" i="12"/>
  <c r="V328" i="12"/>
  <c r="W328" i="12" s="1"/>
  <c r="V329" i="12"/>
  <c r="Z329" i="12" s="1"/>
  <c r="V330" i="12"/>
  <c r="V331" i="12"/>
  <c r="W331" i="12" s="1"/>
  <c r="V332" i="12"/>
  <c r="V333" i="12"/>
  <c r="V334" i="12"/>
  <c r="V335" i="12"/>
  <c r="V336" i="12"/>
  <c r="W336" i="12" s="1"/>
  <c r="V337" i="12"/>
  <c r="Z337" i="12" s="1"/>
  <c r="V338" i="12"/>
  <c r="V339" i="12"/>
  <c r="V340" i="12"/>
  <c r="V341" i="12"/>
  <c r="V342" i="12"/>
  <c r="V343" i="12"/>
  <c r="V344" i="12"/>
  <c r="W344" i="12" s="1"/>
  <c r="V345" i="12"/>
  <c r="Z345" i="12" s="1"/>
  <c r="V346" i="12"/>
  <c r="V347" i="12"/>
  <c r="V348" i="12"/>
  <c r="V349" i="12"/>
  <c r="V350" i="12"/>
  <c r="V351" i="12"/>
  <c r="V352" i="12"/>
  <c r="W352" i="12" s="1"/>
  <c r="V353" i="12"/>
  <c r="Z353" i="12" s="1"/>
  <c r="V354" i="12"/>
  <c r="W354" i="12" s="1"/>
  <c r="V355" i="12"/>
  <c r="V356" i="12"/>
  <c r="V357" i="12"/>
  <c r="V358" i="12"/>
  <c r="V359" i="12"/>
  <c r="V360" i="12"/>
  <c r="W360" i="12" s="1"/>
  <c r="V361" i="12"/>
  <c r="Z361" i="12" s="1"/>
  <c r="V362" i="12"/>
  <c r="V363" i="12"/>
  <c r="V364" i="12"/>
  <c r="V365" i="12"/>
  <c r="V366" i="12"/>
  <c r="V367" i="12"/>
  <c r="V368" i="12"/>
  <c r="W368" i="12" s="1"/>
  <c r="V369" i="12"/>
  <c r="Z369" i="12" s="1"/>
  <c r="V370" i="12"/>
  <c r="V371" i="12"/>
  <c r="V372" i="12"/>
  <c r="V373" i="12"/>
  <c r="W373" i="12" s="1"/>
  <c r="V374" i="12"/>
  <c r="V375" i="12"/>
  <c r="V376" i="12"/>
  <c r="W376" i="12" s="1"/>
  <c r="V377" i="12"/>
  <c r="Z377" i="12" s="1"/>
  <c r="V378" i="12"/>
  <c r="V379" i="12"/>
  <c r="V380" i="12"/>
  <c r="V381" i="12"/>
  <c r="V382" i="12"/>
  <c r="V383" i="12"/>
  <c r="V384" i="12"/>
  <c r="W384" i="12" s="1"/>
  <c r="V385" i="12"/>
  <c r="Z385" i="12" s="1"/>
  <c r="V386" i="12"/>
  <c r="V387" i="12"/>
  <c r="V388" i="12"/>
  <c r="V389" i="12"/>
  <c r="V390" i="12"/>
  <c r="V391" i="12"/>
  <c r="V392" i="12"/>
  <c r="W392" i="12" s="1"/>
  <c r="V393" i="12"/>
  <c r="Z393" i="12" s="1"/>
  <c r="V394" i="12"/>
  <c r="V395" i="12"/>
  <c r="W395" i="12" s="1"/>
  <c r="V396" i="12"/>
  <c r="V397" i="12"/>
  <c r="V398" i="12"/>
  <c r="V399" i="12"/>
  <c r="V400" i="12"/>
  <c r="W400" i="12" s="1"/>
  <c r="V401" i="12"/>
  <c r="Z401" i="12" s="1"/>
  <c r="V402" i="12"/>
  <c r="V403" i="12"/>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223" i="12"/>
  <c r="T224" i="12"/>
  <c r="T239" i="12"/>
  <c r="T287" i="12"/>
  <c r="T288" i="12"/>
  <c r="T297" i="12"/>
  <c r="T305" i="12"/>
  <c r="T313" i="12"/>
  <c r="T321" i="12"/>
  <c r="T329" i="12"/>
  <c r="T337" i="12"/>
  <c r="T345" i="12"/>
  <c r="T353" i="12"/>
  <c r="T361" i="12"/>
  <c r="T369" i="12"/>
  <c r="T377" i="12"/>
  <c r="T385" i="12"/>
  <c r="T393" i="12"/>
  <c r="T401" i="12"/>
  <c r="S192" i="12"/>
  <c r="T192" i="12" s="1"/>
  <c r="S193" i="12"/>
  <c r="T193" i="12" s="1"/>
  <c r="S194" i="12"/>
  <c r="T194" i="12" s="1"/>
  <c r="S195" i="12"/>
  <c r="T195" i="12" s="1"/>
  <c r="S196" i="12"/>
  <c r="T196" i="12" s="1"/>
  <c r="S197" i="12"/>
  <c r="T197" i="12" s="1"/>
  <c r="S198" i="12"/>
  <c r="T198" i="12" s="1"/>
  <c r="S199" i="12"/>
  <c r="T199" i="12" s="1"/>
  <c r="S200" i="12"/>
  <c r="T200" i="12" s="1"/>
  <c r="S201" i="12"/>
  <c r="T201" i="12" s="1"/>
  <c r="S202" i="12"/>
  <c r="T202" i="12" s="1"/>
  <c r="S203" i="12"/>
  <c r="T203" i="12" s="1"/>
  <c r="S204" i="12"/>
  <c r="T204" i="12" s="1"/>
  <c r="S205" i="12"/>
  <c r="T205" i="12" s="1"/>
  <c r="S206" i="12"/>
  <c r="T206" i="12" s="1"/>
  <c r="S207" i="12"/>
  <c r="T207" i="12" s="1"/>
  <c r="S208" i="12"/>
  <c r="T208" i="12" s="1"/>
  <c r="S209" i="12"/>
  <c r="T209" i="12" s="1"/>
  <c r="S210" i="12"/>
  <c r="T210" i="12" s="1"/>
  <c r="S211" i="12"/>
  <c r="T211" i="12" s="1"/>
  <c r="S212" i="12"/>
  <c r="T212" i="12" s="1"/>
  <c r="S213" i="12"/>
  <c r="T213" i="12" s="1"/>
  <c r="S214" i="12"/>
  <c r="T214" i="12" s="1"/>
  <c r="S215" i="12"/>
  <c r="T215" i="12" s="1"/>
  <c r="S216" i="12"/>
  <c r="T216" i="12" s="1"/>
  <c r="S217" i="12"/>
  <c r="T217" i="12" s="1"/>
  <c r="S218" i="12"/>
  <c r="T218" i="12" s="1"/>
  <c r="S219" i="12"/>
  <c r="T219" i="12" s="1"/>
  <c r="S220" i="12"/>
  <c r="T220" i="12" s="1"/>
  <c r="S221" i="12"/>
  <c r="T221" i="12" s="1"/>
  <c r="S222" i="12"/>
  <c r="T222" i="12" s="1"/>
  <c r="S223" i="12"/>
  <c r="S224" i="12"/>
  <c r="S225" i="12"/>
  <c r="T225" i="12" s="1"/>
  <c r="S226" i="12"/>
  <c r="T226" i="12" s="1"/>
  <c r="S227" i="12"/>
  <c r="T227" i="12" s="1"/>
  <c r="S228" i="12"/>
  <c r="T228" i="12" s="1"/>
  <c r="S229" i="12"/>
  <c r="T229" i="12" s="1"/>
  <c r="S230" i="12"/>
  <c r="T230" i="12" s="1"/>
  <c r="S231" i="12"/>
  <c r="T231" i="12" s="1"/>
  <c r="S232" i="12"/>
  <c r="T232" i="12" s="1"/>
  <c r="S233" i="12"/>
  <c r="T233" i="12" s="1"/>
  <c r="S234" i="12"/>
  <c r="T234" i="12" s="1"/>
  <c r="S235" i="12"/>
  <c r="T235" i="12" s="1"/>
  <c r="S236" i="12"/>
  <c r="T236" i="12" s="1"/>
  <c r="S237" i="12"/>
  <c r="T237" i="12" s="1"/>
  <c r="S238" i="12"/>
  <c r="T238" i="12" s="1"/>
  <c r="S239" i="12"/>
  <c r="S240" i="12"/>
  <c r="T240" i="12" s="1"/>
  <c r="S241" i="12"/>
  <c r="T241" i="12" s="1"/>
  <c r="S242" i="12"/>
  <c r="T242" i="12" s="1"/>
  <c r="S243" i="12"/>
  <c r="T243" i="12" s="1"/>
  <c r="S244" i="12"/>
  <c r="T244" i="12" s="1"/>
  <c r="S245" i="12"/>
  <c r="T245" i="12" s="1"/>
  <c r="S246" i="12"/>
  <c r="T246" i="12" s="1"/>
  <c r="S247" i="12"/>
  <c r="T247" i="12" s="1"/>
  <c r="S248" i="12"/>
  <c r="T248" i="12" s="1"/>
  <c r="S249" i="12"/>
  <c r="T249" i="12" s="1"/>
  <c r="S250" i="12"/>
  <c r="T250" i="12" s="1"/>
  <c r="S251" i="12"/>
  <c r="T251" i="12" s="1"/>
  <c r="S252" i="12"/>
  <c r="T252" i="12" s="1"/>
  <c r="S253" i="12"/>
  <c r="T253" i="12" s="1"/>
  <c r="S254" i="12"/>
  <c r="T254" i="12" s="1"/>
  <c r="S255" i="12"/>
  <c r="T255" i="12" s="1"/>
  <c r="S256" i="12"/>
  <c r="T256" i="12" s="1"/>
  <c r="S257" i="12"/>
  <c r="T257" i="12" s="1"/>
  <c r="S258" i="12"/>
  <c r="T258" i="12" s="1"/>
  <c r="S259" i="12"/>
  <c r="T259" i="12" s="1"/>
  <c r="S260" i="12"/>
  <c r="T260" i="12" s="1"/>
  <c r="S261" i="12"/>
  <c r="T261" i="12" s="1"/>
  <c r="S262" i="12"/>
  <c r="T262" i="12" s="1"/>
  <c r="S263" i="12"/>
  <c r="T263" i="12" s="1"/>
  <c r="S264" i="12"/>
  <c r="T264" i="12" s="1"/>
  <c r="S265" i="12"/>
  <c r="T265" i="12" s="1"/>
  <c r="S266" i="12"/>
  <c r="T266" i="12" s="1"/>
  <c r="S267" i="12"/>
  <c r="T267" i="12" s="1"/>
  <c r="S268" i="12"/>
  <c r="T268" i="12" s="1"/>
  <c r="S269" i="12"/>
  <c r="T269" i="12" s="1"/>
  <c r="S270" i="12"/>
  <c r="T270" i="12" s="1"/>
  <c r="S271" i="12"/>
  <c r="T271" i="12" s="1"/>
  <c r="S272" i="12"/>
  <c r="T272" i="12" s="1"/>
  <c r="S273" i="12"/>
  <c r="T273" i="12" s="1"/>
  <c r="S274" i="12"/>
  <c r="T274" i="12" s="1"/>
  <c r="S275" i="12"/>
  <c r="T275" i="12" s="1"/>
  <c r="S276" i="12"/>
  <c r="T276" i="12" s="1"/>
  <c r="S277" i="12"/>
  <c r="T277" i="12" s="1"/>
  <c r="S278" i="12"/>
  <c r="T278" i="12" s="1"/>
  <c r="S279" i="12"/>
  <c r="T279" i="12" s="1"/>
  <c r="S280" i="12"/>
  <c r="T280" i="12" s="1"/>
  <c r="S281" i="12"/>
  <c r="T281" i="12" s="1"/>
  <c r="S282" i="12"/>
  <c r="T282" i="12" s="1"/>
  <c r="S283" i="12"/>
  <c r="T283" i="12" s="1"/>
  <c r="S284" i="12"/>
  <c r="T284" i="12" s="1"/>
  <c r="S285" i="12"/>
  <c r="T285" i="12" s="1"/>
  <c r="S286" i="12"/>
  <c r="T286" i="12" s="1"/>
  <c r="S287" i="12"/>
  <c r="S288" i="12"/>
  <c r="S289" i="12"/>
  <c r="T289" i="12" s="1"/>
  <c r="S290" i="12"/>
  <c r="T290" i="12" s="1"/>
  <c r="S291" i="12"/>
  <c r="T291" i="12" s="1"/>
  <c r="S292" i="12"/>
  <c r="T292" i="12" s="1"/>
  <c r="S293" i="12"/>
  <c r="T293" i="12" s="1"/>
  <c r="S294" i="12"/>
  <c r="T294" i="12" s="1"/>
  <c r="S295" i="12"/>
  <c r="T295" i="12" s="1"/>
  <c r="S296" i="12"/>
  <c r="T296" i="12" s="1"/>
  <c r="S297" i="12"/>
  <c r="S298" i="12"/>
  <c r="T298" i="12" s="1"/>
  <c r="S299" i="12"/>
  <c r="T299" i="12" s="1"/>
  <c r="S300" i="12"/>
  <c r="T300" i="12" s="1"/>
  <c r="S301" i="12"/>
  <c r="T301" i="12" s="1"/>
  <c r="S302" i="12"/>
  <c r="T302" i="12" s="1"/>
  <c r="S303" i="12"/>
  <c r="T303" i="12" s="1"/>
  <c r="S304" i="12"/>
  <c r="T304" i="12" s="1"/>
  <c r="S305" i="12"/>
  <c r="S306" i="12"/>
  <c r="T306" i="12" s="1"/>
  <c r="S307" i="12"/>
  <c r="T307" i="12" s="1"/>
  <c r="S308" i="12"/>
  <c r="T308" i="12" s="1"/>
  <c r="S309" i="12"/>
  <c r="T309" i="12" s="1"/>
  <c r="S310" i="12"/>
  <c r="T310" i="12" s="1"/>
  <c r="S311" i="12"/>
  <c r="T311" i="12" s="1"/>
  <c r="S312" i="12"/>
  <c r="T312" i="12" s="1"/>
  <c r="S313" i="12"/>
  <c r="S314" i="12"/>
  <c r="T314" i="12" s="1"/>
  <c r="S315" i="12"/>
  <c r="T315" i="12" s="1"/>
  <c r="S316" i="12"/>
  <c r="T316" i="12" s="1"/>
  <c r="S317" i="12"/>
  <c r="T317" i="12" s="1"/>
  <c r="S318" i="12"/>
  <c r="T318" i="12" s="1"/>
  <c r="S319" i="12"/>
  <c r="T319" i="12" s="1"/>
  <c r="S320" i="12"/>
  <c r="T320" i="12" s="1"/>
  <c r="S321" i="12"/>
  <c r="S322" i="12"/>
  <c r="T322" i="12" s="1"/>
  <c r="S323" i="12"/>
  <c r="T323" i="12" s="1"/>
  <c r="S324" i="12"/>
  <c r="T324" i="12" s="1"/>
  <c r="S325" i="12"/>
  <c r="T325" i="12" s="1"/>
  <c r="S326" i="12"/>
  <c r="T326" i="12" s="1"/>
  <c r="S327" i="12"/>
  <c r="T327" i="12" s="1"/>
  <c r="S328" i="12"/>
  <c r="T328" i="12" s="1"/>
  <c r="S329" i="12"/>
  <c r="S330" i="12"/>
  <c r="T330" i="12" s="1"/>
  <c r="S331" i="12"/>
  <c r="T331" i="12" s="1"/>
  <c r="S332" i="12"/>
  <c r="T332" i="12" s="1"/>
  <c r="S333" i="12"/>
  <c r="T333" i="12" s="1"/>
  <c r="S334" i="12"/>
  <c r="T334" i="12" s="1"/>
  <c r="S335" i="12"/>
  <c r="T335" i="12" s="1"/>
  <c r="S336" i="12"/>
  <c r="T336" i="12" s="1"/>
  <c r="S337" i="12"/>
  <c r="S338" i="12"/>
  <c r="T338" i="12" s="1"/>
  <c r="S339" i="12"/>
  <c r="T339" i="12" s="1"/>
  <c r="S340" i="12"/>
  <c r="T340" i="12" s="1"/>
  <c r="S341" i="12"/>
  <c r="T341" i="12" s="1"/>
  <c r="S342" i="12"/>
  <c r="T342" i="12" s="1"/>
  <c r="S343" i="12"/>
  <c r="T343" i="12" s="1"/>
  <c r="S344" i="12"/>
  <c r="T344" i="12" s="1"/>
  <c r="S345" i="12"/>
  <c r="S346" i="12"/>
  <c r="T346" i="12" s="1"/>
  <c r="S347" i="12"/>
  <c r="T347" i="12" s="1"/>
  <c r="S348" i="12"/>
  <c r="T348" i="12" s="1"/>
  <c r="S349" i="12"/>
  <c r="T349" i="12" s="1"/>
  <c r="S350" i="12"/>
  <c r="T350" i="12" s="1"/>
  <c r="S351" i="12"/>
  <c r="T351" i="12" s="1"/>
  <c r="S352" i="12"/>
  <c r="T352" i="12" s="1"/>
  <c r="S353" i="12"/>
  <c r="S354" i="12"/>
  <c r="T354" i="12" s="1"/>
  <c r="S355" i="12"/>
  <c r="T355" i="12" s="1"/>
  <c r="S356" i="12"/>
  <c r="T356" i="12" s="1"/>
  <c r="S357" i="12"/>
  <c r="T357" i="12" s="1"/>
  <c r="S358" i="12"/>
  <c r="T358" i="12" s="1"/>
  <c r="S359" i="12"/>
  <c r="T359" i="12" s="1"/>
  <c r="S360" i="12"/>
  <c r="T360" i="12" s="1"/>
  <c r="S361" i="12"/>
  <c r="S362" i="12"/>
  <c r="T362" i="12" s="1"/>
  <c r="S363" i="12"/>
  <c r="T363" i="12" s="1"/>
  <c r="S364" i="12"/>
  <c r="T364" i="12" s="1"/>
  <c r="S365" i="12"/>
  <c r="T365" i="12" s="1"/>
  <c r="S366" i="12"/>
  <c r="T366" i="12" s="1"/>
  <c r="S367" i="12"/>
  <c r="T367" i="12" s="1"/>
  <c r="S368" i="12"/>
  <c r="T368" i="12" s="1"/>
  <c r="S369" i="12"/>
  <c r="S370" i="12"/>
  <c r="T370" i="12" s="1"/>
  <c r="S371" i="12"/>
  <c r="T371" i="12" s="1"/>
  <c r="S372" i="12"/>
  <c r="T372" i="12" s="1"/>
  <c r="S373" i="12"/>
  <c r="T373" i="12" s="1"/>
  <c r="S374" i="12"/>
  <c r="T374" i="12" s="1"/>
  <c r="S375" i="12"/>
  <c r="T375" i="12" s="1"/>
  <c r="S376" i="12"/>
  <c r="T376" i="12" s="1"/>
  <c r="S377" i="12"/>
  <c r="S378" i="12"/>
  <c r="T378" i="12" s="1"/>
  <c r="S379" i="12"/>
  <c r="T379" i="12" s="1"/>
  <c r="S380" i="12"/>
  <c r="T380" i="12" s="1"/>
  <c r="S381" i="12"/>
  <c r="T381" i="12" s="1"/>
  <c r="S382" i="12"/>
  <c r="T382" i="12" s="1"/>
  <c r="S383" i="12"/>
  <c r="T383" i="12" s="1"/>
  <c r="S384" i="12"/>
  <c r="T384" i="12" s="1"/>
  <c r="S385" i="12"/>
  <c r="S386" i="12"/>
  <c r="T386" i="12" s="1"/>
  <c r="S387" i="12"/>
  <c r="T387" i="12" s="1"/>
  <c r="S388" i="12"/>
  <c r="T388" i="12" s="1"/>
  <c r="S389" i="12"/>
  <c r="T389" i="12" s="1"/>
  <c r="S390" i="12"/>
  <c r="T390" i="12" s="1"/>
  <c r="S391" i="12"/>
  <c r="T391" i="12" s="1"/>
  <c r="S392" i="12"/>
  <c r="T392" i="12" s="1"/>
  <c r="S393" i="12"/>
  <c r="S394" i="12"/>
  <c r="T394" i="12" s="1"/>
  <c r="S395" i="12"/>
  <c r="T395" i="12" s="1"/>
  <c r="S396" i="12"/>
  <c r="T396" i="12" s="1"/>
  <c r="S397" i="12"/>
  <c r="T397" i="12" s="1"/>
  <c r="S398" i="12"/>
  <c r="T398" i="12" s="1"/>
  <c r="S399" i="12"/>
  <c r="T399" i="12" s="1"/>
  <c r="S400" i="12"/>
  <c r="T400" i="12" s="1"/>
  <c r="S401" i="12"/>
  <c r="S402" i="12"/>
  <c r="T402" i="12" s="1"/>
  <c r="S403" i="12"/>
  <c r="T403" i="12" s="1"/>
  <c r="S404" i="12"/>
  <c r="T404" i="12" s="1"/>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Q196" i="12"/>
  <c r="R196" i="12" s="1"/>
  <c r="Q197" i="12"/>
  <c r="R197" i="12" s="1"/>
  <c r="Q198" i="12"/>
  <c r="R198" i="12" s="1"/>
  <c r="Q199" i="12"/>
  <c r="Q200" i="12"/>
  <c r="U200" i="12" s="1"/>
  <c r="Q201" i="12"/>
  <c r="U201" i="12" s="1"/>
  <c r="Q202" i="12"/>
  <c r="U202" i="12" s="1"/>
  <c r="Q203" i="12"/>
  <c r="Q204" i="12"/>
  <c r="Q205" i="12"/>
  <c r="U205" i="12" s="1"/>
  <c r="Q206" i="12"/>
  <c r="U206" i="12" s="1"/>
  <c r="Q207" i="12"/>
  <c r="Q208" i="12"/>
  <c r="U208" i="12" s="1"/>
  <c r="Q209" i="12"/>
  <c r="U209" i="12" s="1"/>
  <c r="Q210" i="12"/>
  <c r="U210" i="12" s="1"/>
  <c r="Q211" i="12"/>
  <c r="Q212" i="12"/>
  <c r="R212" i="12" s="1"/>
  <c r="Q213" i="12"/>
  <c r="R213" i="12" s="1"/>
  <c r="Q214" i="12"/>
  <c r="U214" i="12" s="1"/>
  <c r="Q215" i="12"/>
  <c r="Q216" i="12"/>
  <c r="U216" i="12" s="1"/>
  <c r="Q217" i="12"/>
  <c r="R217" i="12" s="1"/>
  <c r="Q218" i="12"/>
  <c r="U218" i="12" s="1"/>
  <c r="Q219" i="12"/>
  <c r="R219" i="12" s="1"/>
  <c r="Q220" i="12"/>
  <c r="R220" i="12" s="1"/>
  <c r="Q221" i="12"/>
  <c r="R221" i="12" s="1"/>
  <c r="Q222" i="12"/>
  <c r="R222" i="12" s="1"/>
  <c r="Q223" i="12"/>
  <c r="Q224" i="12"/>
  <c r="U224" i="12" s="1"/>
  <c r="Q225" i="12"/>
  <c r="U225" i="12" s="1"/>
  <c r="Q226" i="12"/>
  <c r="U226" i="12" s="1"/>
  <c r="Q227" i="12"/>
  <c r="Q228" i="12"/>
  <c r="Q229" i="12"/>
  <c r="U229" i="12" s="1"/>
  <c r="Q230" i="12"/>
  <c r="U230" i="12" s="1"/>
  <c r="Q231" i="12"/>
  <c r="Q232" i="12"/>
  <c r="U232" i="12" s="1"/>
  <c r="Q233" i="12"/>
  <c r="U233" i="12" s="1"/>
  <c r="Q234" i="12"/>
  <c r="U234" i="12" s="1"/>
  <c r="Q235" i="12"/>
  <c r="R235" i="12" s="1"/>
  <c r="Q236" i="12"/>
  <c r="R236" i="12" s="1"/>
  <c r="Q237" i="12"/>
  <c r="R237" i="12" s="1"/>
  <c r="Q238" i="12"/>
  <c r="U238" i="12" s="1"/>
  <c r="Q239" i="12"/>
  <c r="Q240" i="12"/>
  <c r="U240" i="12" s="1"/>
  <c r="Q241" i="12"/>
  <c r="U241" i="12" s="1"/>
  <c r="Q242" i="12"/>
  <c r="U242" i="12" s="1"/>
  <c r="Q243" i="12"/>
  <c r="Q244" i="12"/>
  <c r="Q245" i="12"/>
  <c r="U245" i="12" s="1"/>
  <c r="Q246" i="12"/>
  <c r="U246" i="12" s="1"/>
  <c r="Q247" i="12"/>
  <c r="Q248" i="12"/>
  <c r="U248" i="12" s="1"/>
  <c r="Q249" i="12"/>
  <c r="U249" i="12" s="1"/>
  <c r="Q250" i="12"/>
  <c r="U250" i="12" s="1"/>
  <c r="Q251" i="12"/>
  <c r="Q252" i="12"/>
  <c r="Q253" i="12"/>
  <c r="U253" i="12" s="1"/>
  <c r="Q254" i="12"/>
  <c r="U254" i="12" s="1"/>
  <c r="Q255" i="12"/>
  <c r="Q256" i="12"/>
  <c r="U256" i="12" s="1"/>
  <c r="Q257" i="12"/>
  <c r="U257" i="12" s="1"/>
  <c r="Q258" i="12"/>
  <c r="U258" i="12" s="1"/>
  <c r="Q259" i="12"/>
  <c r="Q260" i="12"/>
  <c r="R260" i="12" s="1"/>
  <c r="Q261" i="12"/>
  <c r="R261" i="12" s="1"/>
  <c r="Q262" i="12"/>
  <c r="R262" i="12" s="1"/>
  <c r="Q263" i="12"/>
  <c r="Q264" i="12"/>
  <c r="U264" i="12" s="1"/>
  <c r="Q265" i="12"/>
  <c r="R265" i="12" s="1"/>
  <c r="Q266" i="12"/>
  <c r="U266" i="12" s="1"/>
  <c r="Q267" i="12"/>
  <c r="R267" i="12" s="1"/>
  <c r="Q268" i="12"/>
  <c r="Q269" i="12"/>
  <c r="U269" i="12" s="1"/>
  <c r="Q270" i="12"/>
  <c r="U270" i="12" s="1"/>
  <c r="Q271" i="12"/>
  <c r="Q272" i="12"/>
  <c r="U272" i="12" s="1"/>
  <c r="Q273" i="12"/>
  <c r="U273" i="12" s="1"/>
  <c r="Q274" i="12"/>
  <c r="U274" i="12" s="1"/>
  <c r="Q275" i="12"/>
  <c r="Q276" i="12"/>
  <c r="R276" i="12" s="1"/>
  <c r="Q277" i="12"/>
  <c r="R277" i="12" s="1"/>
  <c r="Q278" i="12"/>
  <c r="U278" i="12" s="1"/>
  <c r="Q279" i="12"/>
  <c r="Q280" i="12"/>
  <c r="R280" i="12" s="1"/>
  <c r="Q281" i="12"/>
  <c r="U281" i="12" s="1"/>
  <c r="Q282" i="12"/>
  <c r="U282" i="12" s="1"/>
  <c r="Q283" i="12"/>
  <c r="Q284" i="12"/>
  <c r="R284" i="12" s="1"/>
  <c r="Q285" i="12"/>
  <c r="R285" i="12" s="1"/>
  <c r="Q286" i="12"/>
  <c r="R286" i="12" s="1"/>
  <c r="Q287" i="12"/>
  <c r="Q288" i="12"/>
  <c r="R288" i="12" s="1"/>
  <c r="Q289" i="12"/>
  <c r="U289" i="12" s="1"/>
  <c r="Q290" i="12"/>
  <c r="U290" i="12" s="1"/>
  <c r="Q291" i="12"/>
  <c r="Q292" i="12"/>
  <c r="Q293" i="12"/>
  <c r="U293" i="12" s="1"/>
  <c r="Q294" i="12"/>
  <c r="U294" i="12" s="1"/>
  <c r="Q295" i="12"/>
  <c r="Q296" i="12"/>
  <c r="R296" i="12" s="1"/>
  <c r="Q297" i="12"/>
  <c r="U297" i="12" s="1"/>
  <c r="Q298" i="12"/>
  <c r="U298" i="12" s="1"/>
  <c r="Q299" i="12"/>
  <c r="R299" i="12" s="1"/>
  <c r="Q300" i="12"/>
  <c r="Q301" i="12"/>
  <c r="U301" i="12" s="1"/>
  <c r="Q302" i="12"/>
  <c r="U302" i="12" s="1"/>
  <c r="Q303" i="12"/>
  <c r="Q304" i="12"/>
  <c r="U304" i="12" s="1"/>
  <c r="Q305" i="12"/>
  <c r="U305" i="12" s="1"/>
  <c r="Q306" i="12"/>
  <c r="U306" i="12" s="1"/>
  <c r="Q307" i="12"/>
  <c r="Q308" i="12"/>
  <c r="R308" i="12" s="1"/>
  <c r="Q309" i="12"/>
  <c r="R309" i="12" s="1"/>
  <c r="Q310" i="12"/>
  <c r="U310" i="12" s="1"/>
  <c r="Q311" i="12"/>
  <c r="Q312" i="12"/>
  <c r="R312" i="12" s="1"/>
  <c r="Q313" i="12"/>
  <c r="U313" i="12" s="1"/>
  <c r="Q314" i="12"/>
  <c r="U314" i="12" s="1"/>
  <c r="Q315" i="12"/>
  <c r="Q316" i="12"/>
  <c r="R316" i="12" s="1"/>
  <c r="Q317" i="12"/>
  <c r="R317" i="12" s="1"/>
  <c r="Q318" i="12"/>
  <c r="R318" i="12" s="1"/>
  <c r="Q319" i="12"/>
  <c r="Q320" i="12"/>
  <c r="R320" i="12" s="1"/>
  <c r="Q321" i="12"/>
  <c r="U321" i="12" s="1"/>
  <c r="Q322" i="12"/>
  <c r="U322" i="12" s="1"/>
  <c r="Q323" i="12"/>
  <c r="R323" i="12" s="1"/>
  <c r="Q324" i="12"/>
  <c r="Q325" i="12"/>
  <c r="U325" i="12" s="1"/>
  <c r="Q326" i="12"/>
  <c r="U326" i="12" s="1"/>
  <c r="Q327" i="12"/>
  <c r="Q328" i="12"/>
  <c r="R328" i="12" s="1"/>
  <c r="Q329" i="12"/>
  <c r="U329" i="12" s="1"/>
  <c r="Q330" i="12"/>
  <c r="U330" i="12" s="1"/>
  <c r="Q331" i="12"/>
  <c r="R331" i="12" s="1"/>
  <c r="Q332" i="12"/>
  <c r="Q333" i="12"/>
  <c r="U333" i="12" s="1"/>
  <c r="Q334" i="12"/>
  <c r="U334" i="12" s="1"/>
  <c r="Q335" i="12"/>
  <c r="Q336" i="12"/>
  <c r="U336" i="12" s="1"/>
  <c r="Q337" i="12"/>
  <c r="U337" i="12" s="1"/>
  <c r="Q338" i="12"/>
  <c r="U338" i="12" s="1"/>
  <c r="Q339" i="12"/>
  <c r="Q340" i="12"/>
  <c r="R340" i="12" s="1"/>
  <c r="Q341" i="12"/>
  <c r="R341" i="12" s="1"/>
  <c r="Q342" i="12"/>
  <c r="U342" i="12" s="1"/>
  <c r="Q343" i="12"/>
  <c r="Q344" i="12"/>
  <c r="R344" i="12" s="1"/>
  <c r="Q345" i="12"/>
  <c r="U345" i="12" s="1"/>
  <c r="Q346" i="12"/>
  <c r="U346" i="12" s="1"/>
  <c r="Q347" i="12"/>
  <c r="Q348" i="12"/>
  <c r="R348" i="12" s="1"/>
  <c r="Q349" i="12"/>
  <c r="R349" i="12" s="1"/>
  <c r="Q350" i="12"/>
  <c r="R350" i="12" s="1"/>
  <c r="Q351" i="12"/>
  <c r="Q352" i="12"/>
  <c r="R352" i="12" s="1"/>
  <c r="Q353" i="12"/>
  <c r="U353" i="12" s="1"/>
  <c r="Q354" i="12"/>
  <c r="U354" i="12" s="1"/>
  <c r="Q355" i="12"/>
  <c r="Q356" i="12"/>
  <c r="Q357" i="12"/>
  <c r="U357" i="12" s="1"/>
  <c r="Q358" i="12"/>
  <c r="U358" i="12" s="1"/>
  <c r="Q359" i="12"/>
  <c r="Q360" i="12"/>
  <c r="R360" i="12" s="1"/>
  <c r="Q361" i="12"/>
  <c r="U361" i="12" s="1"/>
  <c r="Q362" i="12"/>
  <c r="U362" i="12" s="1"/>
  <c r="Q363" i="12"/>
  <c r="R363" i="12" s="1"/>
  <c r="Q364" i="12"/>
  <c r="Q365" i="12"/>
  <c r="U365" i="12" s="1"/>
  <c r="Q366" i="12"/>
  <c r="U366" i="12" s="1"/>
  <c r="Q367" i="12"/>
  <c r="Q368" i="12"/>
  <c r="U368" i="12" s="1"/>
  <c r="Q369" i="12"/>
  <c r="U369" i="12" s="1"/>
  <c r="Q370" i="12"/>
  <c r="U370" i="12" s="1"/>
  <c r="Q371" i="12"/>
  <c r="Q372" i="12"/>
  <c r="R372" i="12" s="1"/>
  <c r="Q373" i="12"/>
  <c r="R373" i="12" s="1"/>
  <c r="Q374" i="12"/>
  <c r="U374" i="12" s="1"/>
  <c r="Q375" i="12"/>
  <c r="Q376" i="12"/>
  <c r="R376" i="12" s="1"/>
  <c r="Q377" i="12"/>
  <c r="U377" i="12" s="1"/>
  <c r="Q378" i="12"/>
  <c r="U378" i="12" s="1"/>
  <c r="Q379" i="12"/>
  <c r="Q380" i="12"/>
  <c r="R380" i="12" s="1"/>
  <c r="Q381" i="12"/>
  <c r="R381" i="12" s="1"/>
  <c r="Q382" i="12"/>
  <c r="R382" i="12" s="1"/>
  <c r="Q383" i="12"/>
  <c r="Q384" i="12"/>
  <c r="R384" i="12" s="1"/>
  <c r="Q385" i="12"/>
  <c r="U385" i="12" s="1"/>
  <c r="Q386" i="12"/>
  <c r="U386" i="12" s="1"/>
  <c r="Q387" i="12"/>
  <c r="R387" i="12" s="1"/>
  <c r="Q388" i="12"/>
  <c r="Q389" i="12"/>
  <c r="U389" i="12" s="1"/>
  <c r="Q390" i="12"/>
  <c r="U390" i="12" s="1"/>
  <c r="Q391" i="12"/>
  <c r="Q392" i="12"/>
  <c r="R392" i="12" s="1"/>
  <c r="Q393" i="12"/>
  <c r="U393" i="12" s="1"/>
  <c r="Q394" i="12"/>
  <c r="U394" i="12" s="1"/>
  <c r="Q395" i="12"/>
  <c r="R395" i="12" s="1"/>
  <c r="Q396" i="12"/>
  <c r="Q397" i="12"/>
  <c r="U397" i="12" s="1"/>
  <c r="Q398" i="12"/>
  <c r="U398" i="12" s="1"/>
  <c r="Q399" i="12"/>
  <c r="Q400" i="12"/>
  <c r="U400" i="12" s="1"/>
  <c r="Q401" i="12"/>
  <c r="U401" i="12" s="1"/>
  <c r="Q402" i="12"/>
  <c r="U402" i="12" s="1"/>
  <c r="Q403" i="12"/>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U403" i="12" l="1"/>
  <c r="U379" i="12"/>
  <c r="U371" i="12"/>
  <c r="U355" i="12"/>
  <c r="U347" i="12"/>
  <c r="U339" i="12"/>
  <c r="U315" i="12"/>
  <c r="U307" i="12"/>
  <c r="U291" i="12"/>
  <c r="U283" i="12"/>
  <c r="U275" i="12"/>
  <c r="U259" i="12"/>
  <c r="U251" i="12"/>
  <c r="U243" i="12"/>
  <c r="U227" i="12"/>
  <c r="U211" i="12"/>
  <c r="U203" i="12"/>
  <c r="U195" i="12"/>
  <c r="AE400" i="12"/>
  <c r="AE392" i="12"/>
  <c r="AE384" i="12"/>
  <c r="AE376" i="12"/>
  <c r="AE368" i="12"/>
  <c r="AE360" i="12"/>
  <c r="AE352" i="12"/>
  <c r="Z397" i="12"/>
  <c r="Z389" i="12"/>
  <c r="Z381" i="12"/>
  <c r="Z365" i="12"/>
  <c r="Z357" i="12"/>
  <c r="Z349" i="12"/>
  <c r="Z341" i="12"/>
  <c r="Z333" i="12"/>
  <c r="Z325" i="12"/>
  <c r="Z317" i="12"/>
  <c r="Z309" i="12"/>
  <c r="Z301" i="12"/>
  <c r="Z293" i="12"/>
  <c r="Z403" i="12"/>
  <c r="Z387" i="12"/>
  <c r="Z379" i="12"/>
  <c r="Z371" i="12"/>
  <c r="Z363" i="12"/>
  <c r="Z355" i="12"/>
  <c r="Z347" i="12"/>
  <c r="Z339" i="12"/>
  <c r="Z323" i="12"/>
  <c r="Z315" i="12"/>
  <c r="Z299" i="12"/>
  <c r="Z283" i="12"/>
  <c r="Z219" i="12"/>
  <c r="AO403" i="12"/>
  <c r="AO395" i="12"/>
  <c r="AO387" i="12"/>
  <c r="AO379" i="12"/>
  <c r="AO371" i="12"/>
  <c r="AO363" i="12"/>
  <c r="AO355" i="12"/>
  <c r="AO347" i="12"/>
  <c r="AO339" i="12"/>
  <c r="AO331" i="12"/>
  <c r="AO323" i="12"/>
  <c r="AO315" i="12"/>
  <c r="AO307" i="12"/>
  <c r="AO299" i="12"/>
  <c r="AT397" i="12"/>
  <c r="AT389" i="12"/>
  <c r="AT381" i="12"/>
  <c r="AT373" i="12"/>
  <c r="AT365" i="12"/>
  <c r="AT357" i="12"/>
  <c r="AT349" i="12"/>
  <c r="AT341" i="12"/>
  <c r="AT333" i="12"/>
  <c r="AT325" i="12"/>
  <c r="AT317" i="12"/>
  <c r="AT309" i="12"/>
  <c r="AT301" i="12"/>
  <c r="AT293" i="12"/>
  <c r="AT285" i="12"/>
  <c r="AT277" i="12"/>
  <c r="AT269" i="12"/>
  <c r="AT261" i="12"/>
  <c r="AT253" i="12"/>
  <c r="AT245" i="12"/>
  <c r="AT237" i="12"/>
  <c r="AT229" i="12"/>
  <c r="AT221" i="12"/>
  <c r="AT213" i="12"/>
  <c r="AT205" i="12"/>
  <c r="AT197" i="12"/>
  <c r="Z261" i="12"/>
  <c r="Z197" i="12"/>
  <c r="BD403" i="12"/>
  <c r="BD395" i="12"/>
  <c r="BD387" i="12"/>
  <c r="BD379" i="12"/>
  <c r="BD371" i="12"/>
  <c r="BD363" i="12"/>
  <c r="AE344" i="12"/>
  <c r="AE336" i="12"/>
  <c r="AE328" i="12"/>
  <c r="AE320" i="12"/>
  <c r="AE312" i="12"/>
  <c r="AE304" i="12"/>
  <c r="AE296" i="12"/>
  <c r="AE288" i="12"/>
  <c r="AE280" i="12"/>
  <c r="AE272" i="12"/>
  <c r="AE264" i="12"/>
  <c r="AE256" i="12"/>
  <c r="AE248" i="12"/>
  <c r="AE240" i="12"/>
  <c r="AE232" i="12"/>
  <c r="AE224" i="12"/>
  <c r="AE216" i="12"/>
  <c r="AE208" i="12"/>
  <c r="AE200" i="12"/>
  <c r="AE192" i="12"/>
  <c r="AO192" i="12"/>
  <c r="U399" i="12"/>
  <c r="U391" i="12"/>
  <c r="U383" i="12"/>
  <c r="U375" i="12"/>
  <c r="U367" i="12"/>
  <c r="U359" i="12"/>
  <c r="U351" i="12"/>
  <c r="U343" i="12"/>
  <c r="U335" i="12"/>
  <c r="U327" i="12"/>
  <c r="U319" i="12"/>
  <c r="U311" i="12"/>
  <c r="U303" i="12"/>
  <c r="U295" i="12"/>
  <c r="U287" i="12"/>
  <c r="U279" i="12"/>
  <c r="U271" i="12"/>
  <c r="U263" i="12"/>
  <c r="U255" i="12"/>
  <c r="U247" i="12"/>
  <c r="U239" i="12"/>
  <c r="U231" i="12"/>
  <c r="U223" i="12"/>
  <c r="U215" i="12"/>
  <c r="U207" i="12"/>
  <c r="U199" i="12"/>
  <c r="U396" i="12"/>
  <c r="U388" i="12"/>
  <c r="U364" i="12"/>
  <c r="U356" i="12"/>
  <c r="U332" i="12"/>
  <c r="U324" i="12"/>
  <c r="U300" i="12"/>
  <c r="U292" i="12"/>
  <c r="U268" i="12"/>
  <c r="U252" i="12"/>
  <c r="U244" i="12"/>
  <c r="U228" i="12"/>
  <c r="U204" i="12"/>
  <c r="AE193" i="12"/>
  <c r="AJ341" i="12"/>
  <c r="AJ333" i="12"/>
  <c r="AJ325" i="12"/>
  <c r="AJ317" i="12"/>
  <c r="AJ309" i="12"/>
  <c r="AJ301" i="12"/>
  <c r="AJ293" i="12"/>
  <c r="AJ285" i="12"/>
  <c r="AJ277" i="12"/>
  <c r="AJ269" i="12"/>
  <c r="AJ261" i="12"/>
  <c r="AJ253" i="12"/>
  <c r="AJ245" i="12"/>
  <c r="AJ237" i="12"/>
  <c r="AJ229" i="12"/>
  <c r="AJ221" i="12"/>
  <c r="AJ213" i="12"/>
  <c r="AJ205" i="12"/>
  <c r="AJ197" i="12"/>
  <c r="AO291" i="12"/>
  <c r="AO283" i="12"/>
  <c r="AO275" i="12"/>
  <c r="AO267" i="12"/>
  <c r="AO259" i="12"/>
  <c r="AO251" i="12"/>
  <c r="AO243" i="12"/>
  <c r="AO235" i="12"/>
  <c r="AO227" i="12"/>
  <c r="AO219" i="12"/>
  <c r="AO211" i="12"/>
  <c r="AO203" i="12"/>
  <c r="AO195" i="12"/>
  <c r="AO394" i="12"/>
  <c r="AO370" i="12"/>
  <c r="AO362" i="12"/>
  <c r="AO354" i="12"/>
  <c r="AO346" i="12"/>
  <c r="AO330" i="12"/>
  <c r="AO306" i="12"/>
  <c r="AO298" i="12"/>
  <c r="AO282" i="12"/>
  <c r="AO266" i="12"/>
  <c r="AO242" i="12"/>
  <c r="AO234" i="12"/>
  <c r="AO218" i="12"/>
  <c r="AO202" i="12"/>
  <c r="AO194" i="12"/>
  <c r="AT399" i="12"/>
  <c r="AT391" i="12"/>
  <c r="AT383" i="12"/>
  <c r="AT375" i="12"/>
  <c r="AT367" i="12"/>
  <c r="AT359" i="12"/>
  <c r="AT351" i="12"/>
  <c r="AT343" i="12"/>
  <c r="AT335" i="12"/>
  <c r="AT327" i="12"/>
  <c r="AT319" i="12"/>
  <c r="AT311" i="12"/>
  <c r="AT303" i="12"/>
  <c r="AT295" i="12"/>
  <c r="AT287" i="12"/>
  <c r="AT279" i="12"/>
  <c r="AT271" i="12"/>
  <c r="AT263" i="12"/>
  <c r="AT255" i="12"/>
  <c r="AT247" i="12"/>
  <c r="AT239" i="12"/>
  <c r="AT231" i="12"/>
  <c r="AT223" i="12"/>
  <c r="AT215" i="12"/>
  <c r="AT207" i="12"/>
  <c r="AT199" i="12"/>
  <c r="AJ404" i="12"/>
  <c r="AJ348" i="12"/>
  <c r="AJ340" i="12"/>
  <c r="AJ332" i="12"/>
  <c r="AJ324" i="12"/>
  <c r="AJ316" i="12"/>
  <c r="AJ308" i="12"/>
  <c r="AJ300" i="12"/>
  <c r="AJ292" i="12"/>
  <c r="AJ284" i="12"/>
  <c r="AJ276" i="12"/>
  <c r="AJ268" i="12"/>
  <c r="AJ260" i="12"/>
  <c r="AJ252" i="12"/>
  <c r="AJ244" i="12"/>
  <c r="AJ236" i="12"/>
  <c r="AJ228" i="12"/>
  <c r="AJ220" i="12"/>
  <c r="AJ212" i="12"/>
  <c r="AJ204" i="12"/>
  <c r="AJ196" i="12"/>
  <c r="AO201" i="12"/>
  <c r="AO193" i="12"/>
  <c r="AY397" i="12"/>
  <c r="AY389" i="12"/>
  <c r="AY381" i="12"/>
  <c r="AY373" i="12"/>
  <c r="AY365" i="12"/>
  <c r="AY357" i="12"/>
  <c r="AY349" i="12"/>
  <c r="AY341" i="12"/>
  <c r="AY333" i="12"/>
  <c r="AY325" i="12"/>
  <c r="AY317" i="12"/>
  <c r="AY309" i="12"/>
  <c r="AY301" i="12"/>
  <c r="AY293" i="12"/>
  <c r="AY404" i="12"/>
  <c r="AY396" i="12"/>
  <c r="AY388" i="12"/>
  <c r="AY380" i="12"/>
  <c r="AY372" i="12"/>
  <c r="AY364" i="12"/>
  <c r="AY356" i="12"/>
  <c r="AY348" i="12"/>
  <c r="AY340" i="12"/>
  <c r="AY332" i="12"/>
  <c r="AY324" i="12"/>
  <c r="AY316" i="12"/>
  <c r="AY308" i="12"/>
  <c r="AY300" i="12"/>
  <c r="AY292" i="12"/>
  <c r="AY284" i="12"/>
  <c r="AY276" i="12"/>
  <c r="AY268" i="12"/>
  <c r="AY260" i="12"/>
  <c r="AY252" i="12"/>
  <c r="AY244" i="12"/>
  <c r="AY236" i="12"/>
  <c r="AY228" i="12"/>
  <c r="AY220" i="12"/>
  <c r="AY212" i="12"/>
  <c r="AY204" i="12"/>
  <c r="AY196" i="12"/>
  <c r="BD401" i="12"/>
  <c r="BD393" i="12"/>
  <c r="AY403" i="12"/>
  <c r="AY395" i="12"/>
  <c r="AY387" i="12"/>
  <c r="AY371" i="12"/>
  <c r="AY363" i="12"/>
  <c r="AY347" i="12"/>
  <c r="AY339" i="12"/>
  <c r="AY331" i="12"/>
  <c r="AY323" i="12"/>
  <c r="AY315" i="12"/>
  <c r="AY307" i="12"/>
  <c r="AY299" i="12"/>
  <c r="AY291" i="12"/>
  <c r="AY283" i="12"/>
  <c r="AY402" i="12"/>
  <c r="AY394" i="12"/>
  <c r="AY386" i="12"/>
  <c r="AY378" i="12"/>
  <c r="AY370" i="12"/>
  <c r="AY362" i="12"/>
  <c r="AY354" i="12"/>
  <c r="AY346" i="12"/>
  <c r="AY338" i="12"/>
  <c r="AY330" i="12"/>
  <c r="AY322" i="12"/>
  <c r="AY314" i="12"/>
  <c r="AY306" i="12"/>
  <c r="AY298" i="12"/>
  <c r="AY290" i="12"/>
  <c r="AY282" i="12"/>
  <c r="AY274" i="12"/>
  <c r="AY266" i="12"/>
  <c r="AY258" i="12"/>
  <c r="AY250" i="12"/>
  <c r="AY242" i="12"/>
  <c r="AY234" i="12"/>
  <c r="AY226" i="12"/>
  <c r="AY218" i="12"/>
  <c r="AY210" i="12"/>
  <c r="AY202" i="12"/>
  <c r="AY194" i="12"/>
  <c r="BD399" i="12"/>
  <c r="BD391" i="12"/>
  <c r="BD385" i="12"/>
  <c r="BD377" i="12"/>
  <c r="BD369" i="12"/>
  <c r="BD361" i="12"/>
  <c r="BD353" i="12"/>
  <c r="BD345" i="12"/>
  <c r="BD337" i="12"/>
  <c r="BD329" i="12"/>
  <c r="BD321" i="12"/>
  <c r="BD313" i="12"/>
  <c r="BD305" i="12"/>
  <c r="BD297" i="12"/>
  <c r="BD289" i="12"/>
  <c r="BD281" i="12"/>
  <c r="BD273" i="12"/>
  <c r="BD265" i="12"/>
  <c r="BD257" i="12"/>
  <c r="BD249" i="12"/>
  <c r="BD241" i="12"/>
  <c r="BD225" i="12"/>
  <c r="BD217" i="12"/>
  <c r="BD209" i="12"/>
  <c r="BD201" i="12"/>
  <c r="BD193" i="12"/>
  <c r="BD383" i="12"/>
  <c r="BD375" i="12"/>
  <c r="BD367" i="12"/>
  <c r="BD359" i="12"/>
  <c r="BD351" i="12"/>
  <c r="BD343" i="12"/>
  <c r="BD335" i="12"/>
  <c r="BD327" i="12"/>
  <c r="BD319" i="12"/>
  <c r="BD311" i="12"/>
  <c r="BD303" i="12"/>
  <c r="BD295" i="12"/>
  <c r="BD287" i="12"/>
  <c r="BD279" i="12"/>
  <c r="BD271" i="12"/>
  <c r="BD263" i="12"/>
  <c r="BD255" i="12"/>
  <c r="BD247" i="12"/>
  <c r="BD239" i="12"/>
  <c r="BD231" i="12"/>
  <c r="BD223" i="12"/>
  <c r="BD215" i="12"/>
  <c r="BD207" i="12"/>
  <c r="BD199" i="12"/>
  <c r="AG319" i="12"/>
  <c r="AO402" i="12"/>
  <c r="AO274" i="12"/>
  <c r="BA347" i="12"/>
  <c r="BA203" i="12"/>
  <c r="W369" i="12"/>
  <c r="AV396" i="12"/>
  <c r="W347" i="12"/>
  <c r="AQ327" i="12"/>
  <c r="AQ263" i="12"/>
  <c r="BD358" i="12"/>
  <c r="R361" i="12"/>
  <c r="AE350" i="12"/>
  <c r="AG231" i="12"/>
  <c r="AL371" i="12"/>
  <c r="AO250" i="12"/>
  <c r="AQ199" i="12"/>
  <c r="AV370" i="12"/>
  <c r="R339" i="12"/>
  <c r="U299" i="12"/>
  <c r="AE222" i="12"/>
  <c r="AL362" i="12"/>
  <c r="AO210" i="12"/>
  <c r="AV332" i="12"/>
  <c r="U267" i="12"/>
  <c r="AL283" i="12"/>
  <c r="AV306" i="12"/>
  <c r="BA275" i="12"/>
  <c r="AJ286" i="12"/>
  <c r="AL202" i="12"/>
  <c r="AT228" i="12"/>
  <c r="AV236" i="12"/>
  <c r="AG310" i="12"/>
  <c r="AJ262" i="12"/>
  <c r="BI264" i="12"/>
  <c r="AB400" i="12"/>
  <c r="AG374" i="12"/>
  <c r="AQ391" i="12"/>
  <c r="BD233" i="12"/>
  <c r="W365" i="12"/>
  <c r="W293" i="12"/>
  <c r="AG391" i="12"/>
  <c r="AG223" i="12"/>
  <c r="AL275" i="12"/>
  <c r="AQ381" i="12"/>
  <c r="AQ317" i="12"/>
  <c r="AQ253" i="12"/>
  <c r="AV386" i="12"/>
  <c r="AV322" i="12"/>
  <c r="AV228" i="12"/>
  <c r="BA339" i="12"/>
  <c r="BA267" i="12"/>
  <c r="BA199" i="12"/>
  <c r="BD344" i="12"/>
  <c r="BI200" i="12"/>
  <c r="R297" i="12"/>
  <c r="U222" i="12"/>
  <c r="W349" i="12"/>
  <c r="W261" i="12"/>
  <c r="AE262" i="12"/>
  <c r="AG383" i="12"/>
  <c r="AG295" i="12"/>
  <c r="AG214" i="12"/>
  <c r="AL347" i="12"/>
  <c r="AL266" i="12"/>
  <c r="AO226" i="12"/>
  <c r="AQ375" i="12"/>
  <c r="AQ311" i="12"/>
  <c r="AQ247" i="12"/>
  <c r="AV380" i="12"/>
  <c r="AV316" i="12"/>
  <c r="AV194" i="12"/>
  <c r="BA403" i="12"/>
  <c r="BA331" i="12"/>
  <c r="BA263" i="12"/>
  <c r="BD334" i="12"/>
  <c r="R275" i="12"/>
  <c r="W197" i="12"/>
  <c r="AG287" i="12"/>
  <c r="AG199" i="12"/>
  <c r="AL339" i="12"/>
  <c r="AL251" i="12"/>
  <c r="AQ365" i="12"/>
  <c r="AQ301" i="12"/>
  <c r="AQ237" i="12"/>
  <c r="BA395" i="12"/>
  <c r="BA327" i="12"/>
  <c r="BA241" i="12"/>
  <c r="BD326" i="12"/>
  <c r="R233" i="12"/>
  <c r="W341" i="12"/>
  <c r="AB320" i="12"/>
  <c r="AE206" i="12"/>
  <c r="AG359" i="12"/>
  <c r="AG278" i="12"/>
  <c r="AL330" i="12"/>
  <c r="AL243" i="12"/>
  <c r="AO378" i="12"/>
  <c r="AQ359" i="12"/>
  <c r="AQ295" i="12"/>
  <c r="AQ231" i="12"/>
  <c r="AV364" i="12"/>
  <c r="AV300" i="12"/>
  <c r="BA391" i="12"/>
  <c r="BA305" i="12"/>
  <c r="BD398" i="12"/>
  <c r="BD312"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H4" i="12" s="1"/>
  <c r="BG5" i="12"/>
  <c r="BH5" i="12" s="1"/>
  <c r="BG6" i="12"/>
  <c r="BH6" i="12" s="1"/>
  <c r="BG7" i="12"/>
  <c r="BG8" i="12"/>
  <c r="BH8" i="12" s="1"/>
  <c r="BG9" i="12"/>
  <c r="BG10" i="12"/>
  <c r="BH10" i="12" s="1"/>
  <c r="BG11" i="12"/>
  <c r="BH11" i="12" s="1"/>
  <c r="BG12" i="12"/>
  <c r="BG13" i="12"/>
  <c r="BH13" i="12" s="1"/>
  <c r="BG14" i="12"/>
  <c r="BH14" i="12" s="1"/>
  <c r="BG15" i="12"/>
  <c r="BG16" i="12"/>
  <c r="BH16" i="12" s="1"/>
  <c r="BG17" i="12"/>
  <c r="BG18" i="12"/>
  <c r="BG19" i="12"/>
  <c r="BH19" i="12" s="1"/>
  <c r="BG20" i="12"/>
  <c r="BH20" i="12" s="1"/>
  <c r="BG21" i="12"/>
  <c r="BH21" i="12" s="1"/>
  <c r="BG22" i="12"/>
  <c r="BH22" i="12" s="1"/>
  <c r="BG23" i="12"/>
  <c r="BG24" i="12"/>
  <c r="BH24" i="12" s="1"/>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C84" i="12" s="1"/>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C165" i="12" s="1"/>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D6" i="12" s="1"/>
  <c r="BB7" i="12"/>
  <c r="BC7" i="12" s="1"/>
  <c r="BB8" i="12"/>
  <c r="BC8" i="12" s="1"/>
  <c r="BB9" i="12"/>
  <c r="BC9" i="12" s="1"/>
  <c r="BB10" i="12"/>
  <c r="BB11" i="12"/>
  <c r="BB12" i="12"/>
  <c r="BB13" i="12"/>
  <c r="BB14" i="12"/>
  <c r="BD14" i="12" s="1"/>
  <c r="BB15" i="12"/>
  <c r="BC15" i="12" s="1"/>
  <c r="BB16" i="12"/>
  <c r="BC16" i="12" s="1"/>
  <c r="BB17" i="12"/>
  <c r="BB18" i="12"/>
  <c r="BB19" i="12"/>
  <c r="BB20" i="12"/>
  <c r="BC20" i="12" s="1"/>
  <c r="BB21" i="12"/>
  <c r="BD21" i="12" s="1"/>
  <c r="BB22" i="12"/>
  <c r="BD22" i="12" s="1"/>
  <c r="BB23" i="12"/>
  <c r="BC23" i="12" s="1"/>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A9" i="12"/>
  <c r="BA10" i="12"/>
  <c r="BA11" i="12"/>
  <c r="BD13" i="12"/>
  <c r="BA17" i="12"/>
  <c r="BA18" i="12"/>
  <c r="BA19"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X5" i="12" s="1"/>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T5" i="12" s="1"/>
  <c r="AR6" i="12"/>
  <c r="AR7" i="12"/>
  <c r="AR8" i="12"/>
  <c r="AS8" i="12" s="1"/>
  <c r="AR9" i="12"/>
  <c r="AR10" i="12"/>
  <c r="AR11" i="12"/>
  <c r="AR12" i="12"/>
  <c r="AS12" i="12" s="1"/>
  <c r="AR13" i="12"/>
  <c r="AT13" i="12" s="1"/>
  <c r="AR14" i="12"/>
  <c r="AR15" i="12"/>
  <c r="AR16" i="12"/>
  <c r="AS16" i="12" s="1"/>
  <c r="AR17" i="12"/>
  <c r="AR18" i="12"/>
  <c r="AR19" i="12"/>
  <c r="AR20" i="12"/>
  <c r="AR21" i="12"/>
  <c r="AR22" i="12"/>
  <c r="AR23" i="12"/>
  <c r="AR24" i="12"/>
  <c r="AS24" i="12" s="1"/>
  <c r="AR25" i="12"/>
  <c r="AR26" i="12"/>
  <c r="AR2" i="12"/>
  <c r="AS2" i="12" s="1"/>
  <c r="AQ28" i="12"/>
  <c r="AQ29" i="12"/>
  <c r="AQ30" i="12"/>
  <c r="AQ31" i="12"/>
  <c r="AQ32" i="12"/>
  <c r="AQ35" i="12"/>
  <c r="AQ36" i="12"/>
  <c r="AQ37" i="12"/>
  <c r="AQ38" i="12"/>
  <c r="AQ39" i="12"/>
  <c r="AQ40" i="12"/>
  <c r="AQ41" i="12"/>
  <c r="AQ43" i="12"/>
  <c r="AQ44" i="12"/>
  <c r="AQ45" i="12"/>
  <c r="AQ46" i="12"/>
  <c r="AQ47" i="12"/>
  <c r="AQ48" i="12"/>
  <c r="AQ49" i="12"/>
  <c r="AQ50" i="12"/>
  <c r="AQ51" i="12"/>
  <c r="AQ52" i="12"/>
  <c r="AQ53" i="12"/>
  <c r="AQ54" i="12"/>
  <c r="AQ55" i="12"/>
  <c r="AQ56" i="12"/>
  <c r="AQ59" i="12"/>
  <c r="AQ60" i="12"/>
  <c r="AQ61" i="12"/>
  <c r="AQ62" i="12"/>
  <c r="AQ63" i="12"/>
  <c r="AQ64" i="12"/>
  <c r="AQ67" i="12"/>
  <c r="AQ68" i="12"/>
  <c r="AQ69" i="12"/>
  <c r="AQ70" i="12"/>
  <c r="AQ71" i="12"/>
  <c r="AQ72" i="12"/>
  <c r="AQ75" i="12"/>
  <c r="AQ76" i="12"/>
  <c r="AQ77" i="12"/>
  <c r="AQ78" i="12"/>
  <c r="AQ79" i="12"/>
  <c r="AQ80" i="12"/>
  <c r="AQ82" i="12"/>
  <c r="AQ83" i="12"/>
  <c r="AQ84" i="12"/>
  <c r="AQ85" i="12"/>
  <c r="AQ86" i="12"/>
  <c r="AQ87" i="12"/>
  <c r="AQ88" i="12"/>
  <c r="AQ89" i="12"/>
  <c r="AQ91" i="12"/>
  <c r="AQ92" i="12"/>
  <c r="AQ93" i="12"/>
  <c r="AQ94" i="12"/>
  <c r="AQ95" i="12"/>
  <c r="AQ96" i="12"/>
  <c r="AQ99" i="12"/>
  <c r="AQ100" i="12"/>
  <c r="AQ101" i="12"/>
  <c r="AQ102" i="12"/>
  <c r="AQ103" i="12"/>
  <c r="AQ104" i="12"/>
  <c r="AQ105" i="12"/>
  <c r="AQ107" i="12"/>
  <c r="AQ108" i="12"/>
  <c r="AQ109" i="12"/>
  <c r="AQ110" i="12"/>
  <c r="AQ111" i="12"/>
  <c r="AQ112" i="12"/>
  <c r="AQ113" i="12"/>
  <c r="AQ114" i="12"/>
  <c r="AQ115" i="12"/>
  <c r="AQ116" i="12"/>
  <c r="AQ117" i="12"/>
  <c r="AQ118" i="12"/>
  <c r="AQ119" i="12"/>
  <c r="AQ120" i="12"/>
  <c r="AQ123" i="12"/>
  <c r="AQ124" i="12"/>
  <c r="AQ125" i="12"/>
  <c r="AQ126" i="12"/>
  <c r="AQ127" i="12"/>
  <c r="AQ128" i="12"/>
  <c r="AQ131" i="12"/>
  <c r="AQ132" i="12"/>
  <c r="AQ133" i="12"/>
  <c r="AQ134" i="12"/>
  <c r="AQ135" i="12"/>
  <c r="AQ136" i="12"/>
  <c r="AQ139" i="12"/>
  <c r="AQ140" i="12"/>
  <c r="AQ141" i="12"/>
  <c r="AQ142" i="12"/>
  <c r="AQ143" i="12"/>
  <c r="AQ144" i="12"/>
  <c r="AQ146" i="12"/>
  <c r="AQ147" i="12"/>
  <c r="AQ148" i="12"/>
  <c r="AQ149" i="12"/>
  <c r="AQ150" i="12"/>
  <c r="AQ151" i="12"/>
  <c r="AQ152" i="12"/>
  <c r="AQ153" i="12"/>
  <c r="AQ155" i="12"/>
  <c r="AQ156" i="12"/>
  <c r="AQ157" i="12"/>
  <c r="AQ158" i="12"/>
  <c r="AQ159" i="12"/>
  <c r="AQ160" i="12"/>
  <c r="AQ163" i="12"/>
  <c r="AQ164" i="12"/>
  <c r="AQ165" i="12"/>
  <c r="AQ166" i="12"/>
  <c r="AQ167" i="12"/>
  <c r="AQ168" i="12"/>
  <c r="AQ169" i="12"/>
  <c r="AQ171" i="12"/>
  <c r="AQ172" i="12"/>
  <c r="AQ173" i="12"/>
  <c r="AQ174" i="12"/>
  <c r="AQ175" i="12"/>
  <c r="AQ176" i="12"/>
  <c r="AQ178" i="12"/>
  <c r="AQ179" i="12"/>
  <c r="AQ180" i="12"/>
  <c r="AQ181" i="12"/>
  <c r="AQ182" i="12"/>
  <c r="AQ183" i="12"/>
  <c r="AQ184" i="12"/>
  <c r="AQ187" i="12"/>
  <c r="AQ188" i="12"/>
  <c r="AQ189" i="12"/>
  <c r="AQ190" i="12"/>
  <c r="AQ191" i="12"/>
  <c r="AQ3" i="12"/>
  <c r="AT6" i="12"/>
  <c r="AQ7" i="12"/>
  <c r="AQ9" i="12"/>
  <c r="AQ10" i="12"/>
  <c r="AQ11"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N13" i="12" s="1"/>
  <c r="AM14" i="12"/>
  <c r="AM15" i="12"/>
  <c r="AM16" i="12"/>
  <c r="AN16" i="12" s="1"/>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I13" i="12" s="1"/>
  <c r="AH14" i="12"/>
  <c r="AI14" i="12" s="1"/>
  <c r="AH15" i="12"/>
  <c r="AI15" i="12" s="1"/>
  <c r="AH16" i="12"/>
  <c r="AI16" i="12" s="1"/>
  <c r="AH17" i="12"/>
  <c r="AH18" i="12"/>
  <c r="AH19" i="12"/>
  <c r="AH20" i="12"/>
  <c r="AH21" i="12"/>
  <c r="AI21" i="12" s="1"/>
  <c r="AH22" i="12"/>
  <c r="AH23" i="12"/>
  <c r="AI23" i="12" s="1"/>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D2" i="12" s="1"/>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7" i="12"/>
  <c r="BH9" i="12"/>
  <c r="BH12" i="12"/>
  <c r="BH15" i="12"/>
  <c r="BH17" i="12"/>
  <c r="BH18" i="12"/>
  <c r="BH23" i="12"/>
  <c r="BH25" i="12"/>
  <c r="BF4" i="12"/>
  <c r="BF12" i="12"/>
  <c r="BF13" i="12"/>
  <c r="BF20" i="12"/>
  <c r="BA4" i="12"/>
  <c r="BA5" i="12"/>
  <c r="BA6" i="12"/>
  <c r="BA7" i="12"/>
  <c r="BA8" i="12"/>
  <c r="BA12" i="12"/>
  <c r="BA13" i="12"/>
  <c r="BA14" i="12"/>
  <c r="BA15" i="12"/>
  <c r="BA16" i="12"/>
  <c r="BA20" i="12"/>
  <c r="BA21" i="12"/>
  <c r="BA22" i="12"/>
  <c r="BA23" i="12"/>
  <c r="BA24" i="12"/>
  <c r="AX4" i="12"/>
  <c r="AX19" i="12"/>
  <c r="AX2" i="12"/>
  <c r="AV3" i="12"/>
  <c r="AV4" i="12"/>
  <c r="AV6" i="12"/>
  <c r="AV7" i="12"/>
  <c r="AV11" i="12"/>
  <c r="AV12" i="12"/>
  <c r="AV14" i="12"/>
  <c r="AV15" i="12"/>
  <c r="AV19" i="12"/>
  <c r="AV20" i="12"/>
  <c r="AV22" i="12"/>
  <c r="AV23" i="12"/>
  <c r="AV2" i="12"/>
  <c r="AQ4" i="12"/>
  <c r="AQ5" i="12"/>
  <c r="AQ8" i="12"/>
  <c r="AQ12" i="12"/>
  <c r="AQ16" i="12"/>
  <c r="AQ20" i="12"/>
  <c r="AQ21" i="12"/>
  <c r="AQ24" i="12"/>
  <c r="AN15" i="12"/>
  <c r="AN23" i="12"/>
  <c r="AI6" i="12"/>
  <c r="AI22" i="12"/>
  <c r="AG7" i="12"/>
  <c r="AG15" i="12"/>
  <c r="AD7" i="12"/>
  <c r="AD8" i="12"/>
  <c r="AB4" i="12"/>
  <c r="AB8" i="12"/>
  <c r="AB15" i="12"/>
  <c r="AB16" i="12"/>
  <c r="AB18" i="12"/>
  <c r="AB20" i="12"/>
  <c r="AB26" i="12"/>
  <c r="Y6" i="12"/>
  <c r="Y22" i="12"/>
  <c r="W3" i="12"/>
  <c r="W11" i="12"/>
  <c r="W14" i="12"/>
  <c r="W19" i="12"/>
  <c r="W21" i="12"/>
  <c r="W2" i="12"/>
  <c r="T21" i="12"/>
  <c r="AT186" i="12" l="1"/>
  <c r="AT90" i="12"/>
  <c r="AT122" i="12"/>
  <c r="AT106" i="12"/>
  <c r="AT130" i="12"/>
  <c r="BD58" i="12"/>
  <c r="B48" i="23"/>
  <c r="D47" i="23"/>
  <c r="AT138" i="12"/>
  <c r="AT42" i="12"/>
  <c r="AT34" i="12"/>
  <c r="AT98" i="12"/>
  <c r="AT154" i="12"/>
  <c r="AT170" i="12"/>
  <c r="AT162" i="12"/>
  <c r="AT66" i="12"/>
  <c r="AT58" i="12"/>
  <c r="AT74" i="1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C47" i="23"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AX408" i="12" l="1"/>
  <c r="C16" i="23"/>
  <c r="AX406" i="12"/>
  <c r="B3" i="1"/>
  <c r="B12" i="23"/>
  <c r="C35" i="23"/>
  <c r="C43" i="23"/>
  <c r="AS408" i="12"/>
  <c r="B3" i="2"/>
  <c r="D49" i="23"/>
  <c r="AD408" i="12"/>
  <c r="C36" i="23"/>
  <c r="C51" i="23"/>
  <c r="B27" i="23"/>
  <c r="C49" i="23"/>
  <c r="D4" i="23"/>
  <c r="D8" i="23"/>
  <c r="B24" i="23"/>
  <c r="B4" i="2"/>
  <c r="BH406" i="12"/>
  <c r="D52" i="23"/>
  <c r="AN408" i="12"/>
  <c r="AN407" i="12"/>
  <c r="AN406" i="12"/>
  <c r="B18" i="23"/>
  <c r="D12" i="23"/>
  <c r="D7" i="23"/>
  <c r="B41" i="23"/>
  <c r="T408" i="12"/>
  <c r="T407" i="12"/>
  <c r="T406" i="12"/>
  <c r="D15" i="23"/>
  <c r="C20" i="23"/>
  <c r="D11" i="23"/>
  <c r="C25" i="23"/>
  <c r="D23" i="23"/>
  <c r="AX407" i="12"/>
  <c r="D3" i="23"/>
  <c r="C32" i="23"/>
  <c r="D36" i="23"/>
  <c r="B49" i="23"/>
  <c r="B47" i="23"/>
  <c r="B52" i="23"/>
  <c r="B8" i="23"/>
  <c r="AS407" i="12"/>
  <c r="C42" i="23"/>
  <c r="C44" i="23"/>
  <c r="AI408" i="12"/>
  <c r="AI407" i="12"/>
  <c r="AI406" i="12"/>
  <c r="C4" i="2"/>
  <c r="B19" i="23"/>
  <c r="C27" i="23"/>
  <c r="D27" i="23"/>
  <c r="C3" i="23"/>
  <c r="B34" i="23"/>
  <c r="C34" i="23"/>
  <c r="B55" i="23"/>
  <c r="E55" i="23" s="1"/>
  <c r="E54" i="23" s="1"/>
  <c r="AS406" i="12"/>
  <c r="B44" i="23"/>
  <c r="BC408" i="12"/>
  <c r="BC407" i="12"/>
  <c r="BC406" i="12"/>
  <c r="B20" i="23"/>
  <c r="C18" i="23"/>
  <c r="D16" i="23"/>
  <c r="C12" i="23"/>
  <c r="D25" i="23"/>
  <c r="C26" i="23"/>
  <c r="B3" i="23"/>
  <c r="D33" i="23"/>
  <c r="D31" i="23"/>
  <c r="C50" i="23"/>
  <c r="B51" i="23"/>
  <c r="C48" i="23"/>
  <c r="C8" i="23"/>
  <c r="D42" i="23"/>
  <c r="D41" i="23"/>
  <c r="D19" i="23"/>
  <c r="D17" i="23"/>
  <c r="C19" i="23"/>
  <c r="C28" i="23"/>
  <c r="B28" i="23"/>
  <c r="B4" i="23"/>
  <c r="D34" i="23"/>
  <c r="D35" i="23"/>
  <c r="C39" i="23"/>
  <c r="BH407" i="12"/>
  <c r="B42" i="23"/>
  <c r="Y408" i="12"/>
  <c r="Y407" i="12"/>
  <c r="Y406" i="12"/>
  <c r="B2" i="2"/>
  <c r="D20" i="23"/>
  <c r="D18" i="23"/>
  <c r="B11" i="23"/>
  <c r="B23" i="23"/>
  <c r="D26" i="23"/>
  <c r="C4" i="23"/>
  <c r="D32" i="23"/>
  <c r="B32" i="23"/>
  <c r="B50" i="23"/>
  <c r="D51" i="23"/>
  <c r="B7" i="23"/>
  <c r="BH408" i="12"/>
  <c r="D39" i="23"/>
  <c r="D40" i="23"/>
  <c r="AD406" i="12"/>
  <c r="B39" i="23"/>
  <c r="C15" i="23"/>
  <c r="B16" i="23"/>
  <c r="B25" i="23"/>
  <c r="C33" i="23"/>
  <c r="D43" i="23"/>
  <c r="D78" i="23"/>
  <c r="B76" i="23"/>
  <c r="B79" i="23"/>
  <c r="C78" i="23"/>
  <c r="D75" i="23"/>
  <c r="D80" i="23"/>
  <c r="B78" i="23"/>
  <c r="C75" i="23"/>
  <c r="C80" i="23"/>
  <c r="D77" i="23"/>
  <c r="B75" i="23"/>
  <c r="B80" i="23"/>
  <c r="C77" i="23"/>
  <c r="C76" i="23"/>
  <c r="D79" i="23"/>
  <c r="B77" i="23"/>
  <c r="C79" i="23"/>
  <c r="D76" i="23"/>
  <c r="B4" i="1"/>
  <c r="B17" i="23"/>
  <c r="C17" i="23"/>
  <c r="C11" i="23"/>
  <c r="D24" i="23"/>
  <c r="B26" i="23"/>
  <c r="C24" i="23"/>
  <c r="C31" i="23"/>
  <c r="B31" i="23"/>
  <c r="B36" i="23"/>
  <c r="C52" i="23"/>
  <c r="C7" i="23"/>
  <c r="C41" i="23"/>
  <c r="D44" i="23"/>
  <c r="AD407" i="12"/>
  <c r="B43" i="23"/>
  <c r="C40" i="23"/>
  <c r="B3" i="5"/>
  <c r="D3" i="8"/>
  <c r="E72" i="11" s="1"/>
  <c r="B2" i="1"/>
  <c r="C3" i="11" s="1"/>
  <c r="B15" i="23"/>
  <c r="C23" i="23"/>
  <c r="D28" i="23"/>
  <c r="B33" i="23"/>
  <c r="B35" i="23"/>
  <c r="D50" i="23"/>
  <c r="D48" i="23"/>
  <c r="B40" i="23"/>
  <c r="D3" i="2"/>
  <c r="C4" i="3"/>
  <c r="D24" i="11" s="1"/>
  <c r="B3" i="7"/>
  <c r="C63" i="11" s="1"/>
  <c r="R407" i="12"/>
  <c r="D4" i="6"/>
  <c r="E54" i="11" s="1"/>
  <c r="B2" i="9"/>
  <c r="C81" i="11" s="1"/>
  <c r="C3" i="5"/>
  <c r="D43" i="11" s="1"/>
  <c r="C3" i="4"/>
  <c r="D33" i="11" s="1"/>
  <c r="AT405" i="12"/>
  <c r="B7" i="10" s="1"/>
  <c r="D2" i="3"/>
  <c r="E22" i="11" s="1"/>
  <c r="C3" i="6"/>
  <c r="D53" i="11" s="1"/>
  <c r="D2" i="7"/>
  <c r="E62" i="11" s="1"/>
  <c r="D4" i="4"/>
  <c r="E34" i="11" s="1"/>
  <c r="B4" i="4"/>
  <c r="C34" i="11" s="1"/>
  <c r="C2" i="7"/>
  <c r="D62" i="11" s="1"/>
  <c r="B4" i="3"/>
  <c r="C24" i="11" s="1"/>
  <c r="AY405" i="12"/>
  <c r="B8" i="10" s="1"/>
  <c r="BD405" i="12"/>
  <c r="B9" i="10" s="1"/>
  <c r="B3" i="6"/>
  <c r="C53" i="11" s="1"/>
  <c r="D2" i="6"/>
  <c r="D4" i="1"/>
  <c r="E5" i="11" s="1"/>
  <c r="D3" i="5"/>
  <c r="E43" i="11" s="1"/>
  <c r="W407" i="12"/>
  <c r="D3" i="6"/>
  <c r="E53" i="11" s="1"/>
  <c r="C2" i="1"/>
  <c r="D3" i="11" s="1"/>
  <c r="B3" i="3"/>
  <c r="C23" i="11" s="1"/>
  <c r="C4" i="8"/>
  <c r="D73" i="11" s="1"/>
  <c r="AB407" i="12"/>
  <c r="C4" i="7"/>
  <c r="D64" i="11" s="1"/>
  <c r="D3" i="4"/>
  <c r="E33" i="11" s="1"/>
  <c r="C2" i="2"/>
  <c r="D12" i="11" s="1"/>
  <c r="D4" i="5"/>
  <c r="E44" i="11" s="1"/>
  <c r="D3" i="3"/>
  <c r="E23" i="11" s="1"/>
  <c r="R408" i="12"/>
  <c r="AJ405" i="12"/>
  <c r="B5" i="10" s="1"/>
  <c r="C2" i="9"/>
  <c r="D81" i="11" s="1"/>
  <c r="C4" i="9"/>
  <c r="D83" i="11" s="1"/>
  <c r="C3" i="9"/>
  <c r="D82" i="11" s="1"/>
  <c r="BI405" i="12"/>
  <c r="B10" i="10" s="1"/>
  <c r="D4" i="2"/>
  <c r="E14" i="11" s="1"/>
  <c r="AQ406" i="12"/>
  <c r="C3" i="1"/>
  <c r="D4" i="11" s="1"/>
  <c r="B2" i="3"/>
  <c r="C22" i="11" s="1"/>
  <c r="B2" i="8"/>
  <c r="C71" i="11" s="1"/>
  <c r="C2" i="3"/>
  <c r="D22" i="11" s="1"/>
  <c r="C3" i="7"/>
  <c r="D63" i="11" s="1"/>
  <c r="AG408" i="12"/>
  <c r="C3" i="2"/>
  <c r="D13" i="11" s="1"/>
  <c r="AL406" i="12"/>
  <c r="D2" i="1"/>
  <c r="E3" i="11" s="1"/>
  <c r="U405" i="12"/>
  <c r="B2" i="10" s="1"/>
  <c r="Z405" i="12"/>
  <c r="B3" i="10" s="1"/>
  <c r="AE405" i="12"/>
  <c r="B4" i="10" s="1"/>
  <c r="W406" i="12"/>
  <c r="AQ408" i="12"/>
  <c r="AV406" i="12"/>
  <c r="D4" i="8"/>
  <c r="E73" i="11" s="1"/>
  <c r="AB408" i="12"/>
  <c r="C4" i="4"/>
  <c r="D34" i="11" s="1"/>
  <c r="B3" i="9"/>
  <c r="C82" i="11" s="1"/>
  <c r="D2" i="5"/>
  <c r="E42" i="11" s="1"/>
  <c r="D3" i="1"/>
  <c r="E4" i="11" s="1"/>
  <c r="AO405" i="12"/>
  <c r="B6" i="10" s="1"/>
  <c r="W408" i="12"/>
  <c r="AV407" i="12"/>
  <c r="B4" i="8"/>
  <c r="C73" i="11" s="1"/>
  <c r="BA406" i="12"/>
  <c r="C3" i="3"/>
  <c r="D23" i="11" s="1"/>
  <c r="C2" i="5"/>
  <c r="D42" i="11" s="1"/>
  <c r="C2" i="4"/>
  <c r="D32" i="11" s="1"/>
  <c r="B4" i="9"/>
  <c r="C83" i="11" s="1"/>
  <c r="AL407" i="12"/>
  <c r="D2" i="2"/>
  <c r="E12" i="11" s="1"/>
  <c r="B4" i="5"/>
  <c r="C44" i="11" s="1"/>
  <c r="D3" i="7"/>
  <c r="E63" i="11" s="1"/>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E13" i="11"/>
  <c r="C5" i="11"/>
  <c r="C14" i="11"/>
  <c r="C13" i="11"/>
  <c r="C12" i="11"/>
  <c r="E52" i="11"/>
  <c r="C4" i="11"/>
  <c r="D14" i="11"/>
  <c r="C43" i="11"/>
  <c r="E36" i="23" l="1"/>
  <c r="H36" i="23" s="1"/>
  <c r="E25" i="23"/>
  <c r="H25" i="23" s="1"/>
  <c r="AX409" i="12"/>
  <c r="BH409" i="12"/>
  <c r="G10" i="10" s="1"/>
  <c r="E24" i="23"/>
  <c r="H24" i="23" s="1"/>
  <c r="E20" i="23"/>
  <c r="H20" i="23" s="1"/>
  <c r="E50" i="23"/>
  <c r="H50" i="23" s="1"/>
  <c r="E75" i="23"/>
  <c r="H75" i="23" s="1"/>
  <c r="E77" i="23"/>
  <c r="H77" i="23" s="1"/>
  <c r="E12" i="23"/>
  <c r="H12" i="23" s="1"/>
  <c r="I8" i="10"/>
  <c r="G8" i="10"/>
  <c r="E17" i="23"/>
  <c r="J17" i="23" s="1"/>
  <c r="H55" i="23"/>
  <c r="I55" i="23"/>
  <c r="J55" i="23"/>
  <c r="E33" i="23"/>
  <c r="J33" i="23" s="1"/>
  <c r="E31" i="23"/>
  <c r="I31" i="23" s="1"/>
  <c r="E79" i="23"/>
  <c r="J79" i="23" s="1"/>
  <c r="E39" i="23"/>
  <c r="H39" i="23" s="1"/>
  <c r="BC409" i="12"/>
  <c r="H9" i="10" s="1"/>
  <c r="E49" i="23"/>
  <c r="H49" i="23" s="1"/>
  <c r="E18" i="23"/>
  <c r="I18" i="23" s="1"/>
  <c r="E35" i="23"/>
  <c r="I35" i="23" s="1"/>
  <c r="E80" i="23"/>
  <c r="I80" i="23" s="1"/>
  <c r="J31" i="23"/>
  <c r="AI409" i="12"/>
  <c r="G5" i="10" s="1"/>
  <c r="E47" i="23"/>
  <c r="H47" i="23" s="1"/>
  <c r="E43" i="23"/>
  <c r="I43" i="23" s="1"/>
  <c r="E76" i="23"/>
  <c r="J76" i="23" s="1"/>
  <c r="E32" i="23"/>
  <c r="H32" i="23" s="1"/>
  <c r="E3" i="23"/>
  <c r="H3" i="23" s="1"/>
  <c r="E34" i="23"/>
  <c r="J34" i="23" s="1"/>
  <c r="AN409" i="12"/>
  <c r="H6" i="10" s="1"/>
  <c r="E15" i="23"/>
  <c r="J15" i="23" s="1"/>
  <c r="E26" i="23"/>
  <c r="H26" i="23" s="1"/>
  <c r="E4" i="23"/>
  <c r="J4" i="23" s="1"/>
  <c r="E44" i="23"/>
  <c r="I44" i="23" s="1"/>
  <c r="AD409" i="12"/>
  <c r="I4" i="10" s="1"/>
  <c r="E40" i="23"/>
  <c r="J40" i="23" s="1"/>
  <c r="E78" i="23"/>
  <c r="J78" i="23" s="1"/>
  <c r="E28" i="23"/>
  <c r="H28" i="23" s="1"/>
  <c r="AS409" i="12"/>
  <c r="I7" i="10" s="1"/>
  <c r="H8" i="10"/>
  <c r="Y409" i="12"/>
  <c r="H3" i="10" s="1"/>
  <c r="E23" i="23"/>
  <c r="E42" i="23"/>
  <c r="I42" i="23" s="1"/>
  <c r="E51" i="23"/>
  <c r="E19" i="23"/>
  <c r="J19" i="23" s="1"/>
  <c r="E8" i="23"/>
  <c r="J8" i="23" s="1"/>
  <c r="E41" i="23"/>
  <c r="H41" i="23" s="1"/>
  <c r="T409" i="12"/>
  <c r="G2" i="10" s="1"/>
  <c r="E16" i="23"/>
  <c r="I16" i="23" s="1"/>
  <c r="E7" i="23"/>
  <c r="I7" i="23" s="1"/>
  <c r="E11" i="23"/>
  <c r="E48" i="23"/>
  <c r="E52" i="23"/>
  <c r="J52" i="23" s="1"/>
  <c r="E27" i="23"/>
  <c r="I27" i="23" s="1"/>
  <c r="BA409" i="12"/>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I24" i="23" l="1"/>
  <c r="J25" i="23"/>
  <c r="I25" i="23"/>
  <c r="I36" i="23"/>
  <c r="J36" i="23"/>
  <c r="I17" i="23"/>
  <c r="I79" i="23"/>
  <c r="I77" i="23"/>
  <c r="I40" i="23"/>
  <c r="H10" i="10"/>
  <c r="I10" i="10"/>
  <c r="J20" i="23"/>
  <c r="J18" i="23"/>
  <c r="J75" i="23"/>
  <c r="I50" i="23"/>
  <c r="J50" i="23"/>
  <c r="I3" i="23"/>
  <c r="I75" i="23"/>
  <c r="J32" i="23"/>
  <c r="J24" i="23"/>
  <c r="I9" i="10"/>
  <c r="I20" i="23"/>
  <c r="H43" i="23"/>
  <c r="I33" i="23"/>
  <c r="J43" i="23"/>
  <c r="H52" i="23"/>
  <c r="J77" i="23"/>
  <c r="I12" i="23"/>
  <c r="I76" i="23"/>
  <c r="H79" i="23"/>
  <c r="I32" i="23"/>
  <c r="J39" i="23"/>
  <c r="I26" i="23"/>
  <c r="I28" i="23"/>
  <c r="J12" i="23"/>
  <c r="E10" i="23"/>
  <c r="H42" i="23"/>
  <c r="J7" i="23"/>
  <c r="I11" i="23"/>
  <c r="H4" i="23"/>
  <c r="G4" i="10"/>
  <c r="I5" i="10"/>
  <c r="H4" i="10"/>
  <c r="H5" i="10"/>
  <c r="H17" i="23"/>
  <c r="H44" i="23"/>
  <c r="H35" i="23"/>
  <c r="I34" i="23"/>
  <c r="E30" i="23"/>
  <c r="H8" i="23"/>
  <c r="E22" i="23"/>
  <c r="J44" i="23"/>
  <c r="J28" i="23"/>
  <c r="H33" i="23"/>
  <c r="I52" i="23"/>
  <c r="J35" i="23"/>
  <c r="H18" i="23"/>
  <c r="H11" i="23"/>
  <c r="H19" i="23"/>
  <c r="I8" i="23"/>
  <c r="J11" i="23"/>
  <c r="G3" i="10"/>
  <c r="G6" i="10"/>
  <c r="J3" i="23"/>
  <c r="E2" i="23"/>
  <c r="I19" i="23"/>
  <c r="J16" i="23"/>
  <c r="J80" i="23"/>
  <c r="G7" i="10"/>
  <c r="H78" i="23"/>
  <c r="J41" i="23"/>
  <c r="H80" i="23"/>
  <c r="I49" i="23"/>
  <c r="J49" i="23"/>
  <c r="E38" i="23"/>
  <c r="J48" i="23"/>
  <c r="H48" i="23"/>
  <c r="I78" i="23"/>
  <c r="I48" i="23"/>
  <c r="I41" i="23"/>
  <c r="H15" i="23"/>
  <c r="E14" i="23"/>
  <c r="J27" i="23"/>
  <c r="H27" i="23"/>
  <c r="H51" i="23"/>
  <c r="I51" i="23"/>
  <c r="J23" i="23"/>
  <c r="I2" i="10"/>
  <c r="H40" i="23"/>
  <c r="I6" i="10"/>
  <c r="H34" i="23"/>
  <c r="H76" i="23"/>
  <c r="E46" i="23"/>
  <c r="I47" i="23"/>
  <c r="J47" i="23"/>
  <c r="E74" i="23"/>
  <c r="H7" i="23"/>
  <c r="E6" i="23"/>
  <c r="I3" i="10"/>
  <c r="H2" i="10"/>
  <c r="I23" i="23"/>
  <c r="G9" i="10"/>
  <c r="H16" i="23"/>
  <c r="H23" i="23"/>
  <c r="J42" i="23"/>
  <c r="H7" i="10"/>
  <c r="J26" i="23"/>
  <c r="I4" i="23"/>
  <c r="I15" i="23"/>
  <c r="I39" i="23"/>
  <c r="H31" i="23"/>
  <c r="J51" i="23"/>
  <c r="J9" i="10"/>
  <c r="K6" i="10"/>
  <c r="K9" i="10"/>
  <c r="K3" i="10"/>
  <c r="L6"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2" i="10" l="1"/>
  <c r="E9" i="10"/>
  <c r="M9" i="10"/>
  <c r="M6"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0C1F07DD-6E4D-4930-8DAD-525B8251743B}" keepAlive="1" name="Query - step3_calibration" description="Connection to the 'step3_calibration' query in the workbook." type="5" refreshedVersion="0" background="1" saveData="1">
    <dbPr connection="Provider=Microsoft.Mashup.OleDb.1;Data Source=$Workbook$;Location=step3_calibration;Extended Properties=&quot;&quot;" command="SELECT * FROM [step3_calibration]"/>
  </connection>
  <connection id="5" xr16:uid="{9149ED3D-A7CC-44A6-B3A1-4D9DE4DD6695}" keepAlive="1" name="Query - step3_calibration (2)" description="Connection to the 'step3_calibration (2)' query in the workbook." type="5" refreshedVersion="0" background="1" saveData="1">
    <dbPr connection="Provider=Microsoft.Mashup.OleDb.1;Data Source=$Workbook$;Location=&quot;step3_calibration (2)&quot;;Extended Properties=&quot;&quot;" command="SELECT * FROM [step3_calibration (2)]"/>
  </connection>
  <connection id="6" xr16:uid="{1C97B903-722F-4545-A7C7-BD62DA2565C3}" keepAlive="1" name="Query - step3_calibration (3)" description="Connection to the 'step3_calibration (3)' query in the workbook." type="5" refreshedVersion="8" background="1" saveData="1">
    <dbPr connection="Provider=Microsoft.Mashup.OleDb.1;Data Source=$Workbook$;Location=&quot;step3_calibration (3)&quot;;Extended Properties=&quot;&quot;" command="SELECT * FROM [step3_calibration (3)]"/>
  </connection>
  <connection id="7" xr16:uid="{2BDB6015-4C61-458A-827A-6CB5CACB3788}" keepAlive="1" name="Query - step3_calibration (4)" description="Connection to the 'step3_calibration (4)' query in the workbook." type="5" refreshedVersion="8" background="1" saveData="1">
    <dbPr connection="Provider=Microsoft.Mashup.OleDb.1;Data Source=$Workbook$;Location=&quot;step3_calibration (4)&quot;;Extended Properties=&quot;&quot;" command="SELECT * FROM [step3_calibration (4)]"/>
  </connection>
  <connection id="8" xr16:uid="{017B4B31-2551-4E5F-9273-EFE6DEEDF3C8}" keepAlive="1" name="Query - step3_calibration (5)" description="Connection to the 'step3_calibration (5)' query in the workbook." type="5" refreshedVersion="0" background="1" saveData="1">
    <dbPr connection="Provider=Microsoft.Mashup.OleDb.1;Data Source=$Workbook$;Location=&quot;step3_calibration (5)&quot;;Extended Properties=&quot;&quot;" command="SELECT * FROM [step3_calibration (5)]"/>
  </connection>
  <connection id="9" xr16:uid="{CCF61606-8CA3-42CA-86C7-E7CBCC588043}" keepAlive="1" name="Query - step3_calibration (6)" description="Connection to the 'step3_calibration (6)' query in the workbook." type="5" refreshedVersion="8" background="1" saveData="1">
    <dbPr connection="Provider=Microsoft.Mashup.OleDb.1;Data Source=$Workbook$;Location=&quot;step3_calibration (6)&quot;;Extended Properties=&quot;&quot;" command="SELECT * FROM [step3_calibration (6)]"/>
  </connection>
  <connection id="10"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11"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12"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13"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4"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5"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<sst xmlns="http://schemas.openxmlformats.org/spreadsheetml/2006/main" count="9233" uniqueCount="3847">
  <si>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</si>
  <si>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</si>
  <si>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</si>
  <si>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</si>
  <si>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</si>
  <si>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</si>
  <si>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</si>
  <si>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</si>
  <si>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</si>
  <si>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</si>
  <si>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</si>
  <si>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</si>
  <si>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</si>
  <si>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</si>
  <si>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</si>
  <si>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</si>
  <si>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</si>
  <si>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</si>
  <si>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</si>
  <si>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</si>
  <si>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</si>
  <si>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</si>
  <si>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</si>
  <si>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</si>
  <si>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</si>
  <si>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</si>
  <si>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</si>
  <si>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</si>
  <si>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</si>
  <si>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</si>
  <si>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</si>
  <si>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</si>
  <si>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</si>
  <si>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</si>
  <si>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</si>
  <si>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</si>
  <si>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</si>
  <si>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</si>
  <si>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</si>
  <si>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</si>
  <si>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</si>
  <si>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</si>
  <si>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</si>
  <si>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</si>
  <si>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</si>
  <si>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</si>
  <si>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</si>
  <si>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</si>
  <si>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</si>
  <si>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</si>
  <si>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</si>
  <si>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</si>
  <si>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</si>
  <si>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</si>
  <si>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</si>
  <si>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</si>
  <si>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</si>
  <si>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</si>
  <si>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</si>
  <si>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</si>
  <si>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</si>
  <si>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</si>
  <si>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</si>
  <si>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</si>
  <si>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</si>
  <si>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</si>
  <si>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</si>
  <si>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</si>
  <si>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</si>
  <si>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</si>
  <si>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</si>
  <si>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</si>
  <si>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</si>
  <si>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</si>
  <si>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</si>
  <si>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</si>
  <si>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</si>
  <si>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</si>
  <si>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</si>
  <si>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</si>
  <si>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</si>
  <si>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</si>
  <si>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</si>
  <si>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</si>
  <si>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</si>
  <si>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</si>
  <si>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</si>
  <si>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</si>
  <si>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</si>
  <si>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</si>
  <si>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</si>
  <si>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</si>
  <si>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</si>
  <si>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</si>
  <si>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</si>
  <si>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</si>
  <si>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</si>
  <si>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</si>
  <si>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</si>
  <si>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</si>
  <si>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</si>
  <si>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</si>
  <si>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</si>
  <si>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</si>
  <si>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</si>
  <si>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</si>
  <si>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</si>
  <si>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</si>
  <si>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</si>
  <si>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</si>
  <si>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</si>
  <si>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</si>
  <si>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</si>
  <si>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</si>
  <si>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</si>
  <si>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</si>
  <si>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</si>
  <si>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</si>
  <si>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</si>
  <si>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</si>
  <si>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</si>
  <si>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</si>
  <si>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</si>
  <si>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</si>
  <si>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</si>
  <si>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</si>
  <si>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</si>
  <si>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</si>
  <si>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</si>
  <si>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</si>
  <si>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</si>
  <si>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</si>
  <si>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</si>
  <si>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</si>
  <si>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</si>
  <si>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</si>
  <si>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</si>
  <si>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</si>
  <si>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</si>
  <si>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</si>
  <si>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</si>
  <si>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</si>
  <si>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</si>
  <si>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</si>
  <si>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</si>
  <si>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</si>
  <si>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</si>
  <si>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</si>
  <si>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</si>
  <si>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</si>
  <si>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</si>
  <si>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</si>
  <si>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</si>
  <si>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</si>
  <si>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</si>
  <si>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</si>
  <si>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</si>
  <si>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</si>
  <si>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</si>
  <si>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</si>
  <si>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</si>
  <si>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</si>
  <si>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</si>
  <si>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</si>
  <si>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</si>
  <si>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</si>
  <si>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</si>
  <si>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</si>
  <si>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</si>
  <si>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</si>
  <si>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</si>
  <si>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</si>
  <si>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</si>
  <si>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</si>
  <si>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</si>
  <si>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</si>
  <si>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</si>
  <si>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</si>
  <si>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</si>
  <si>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</si>
  <si>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</si>
  <si>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</si>
  <si>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</si>
  <si>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</si>
  <si>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</si>
  <si>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</si>
  <si>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</si>
  <si>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</si>
  <si>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</si>
  <si>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</si>
  <si>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</si>
  <si>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</si>
  <si>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</si>
  <si>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</si>
  <si>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</si>
  <si>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</si>
  <si>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</si>
  <si>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</si>
  <si>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</si>
  <si>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</si>
  <si>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</si>
  <si>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</si>
  <si>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</si>
  <si>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</si>
  <si>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</si>
  <si>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</si>
  <si>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</si>
  <si>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</si>
  <si>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</si>
  <si>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</si>
  <si>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</si>
  <si>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</si>
  <si>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</si>
  <si>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</si>
  <si>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</si>
  <si>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</si>
  <si>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
  </si>
  <si>
    <t>Cách tính thuế mới đơn giản hóa bậc thuế, dễ hiểu và thực hiện nhanh chóng hơn so với trước đây.</t>
  </si>
  <si>
    <t>Biểu thuế được đơn giản hóa từ 7 bậc xuống còn 5 bậc, giảm bớt rắc rối cho người nộp thuế.</t>
  </si>
  <si>
    <t>Mức thuế mới được thiết kế sao cho hợp lý với thu nhập hiện tại của tôi, tạo cảm giác công bằng.</t>
  </si>
  <si>
    <t>Cách tính thuế và các bậc thuế mới đơn giản hóa so với trước đây, giúp người dân dễ dàng hiểu và thực hiện.</t>
  </si>
  <si>
    <t>Nhà nước đã giải thích rõ ràng về mục tiêu của chính sách mới, tạo niềm tin cho người dân.</t>
  </si>
  <si>
    <t>Mức thuế mới có thể phù hợp với thu nhập của tôi, tạo cảm giác công bằng.</t>
  </si>
  <si>
    <t>Biểu thuế đã được đơn giản hóa từ 7 bậc xuống còn 5 bậc, dễ hiểu và thực hiện nhanh chóng hơn so với trước đây.</t>
  </si>
  <si>
    <t>Mức giảm trừ gia cảnh tăng, thủ tục khai báo đơn giản hơn so với trước đây.</t>
  </si>
  <si>
    <t>Cách tính thuế mới đơn giản hơn so với trước đây, giúp người dân dễ dàng hiểu và áp dụng.</t>
  </si>
  <si>
    <t>Theo quy định mới, mức giảm trừ gia cảnh tăng lên đáng kể, giúp giảm gánh nặng thuế cho nhiều người. Việc đơn giản hóa biểu thuế cũng làm giảm cơ hội trốn thuế. Công nghệ hiện đại của cơ quan thuế có khả năng phát hiện hành vi trốn thuế.</t>
  </si>
  <si>
    <t>Việc tăng cường công nghệ và quy định quản lý thuế giúp phát hiện và xử lý nghiêm các hành vi trốn thuế. Cơ quan thuế cũng đã cung cấp nhiều kênh thông tin minh bạch hơn.</t>
  </si>
  <si>
    <t>Mức giảm trừ gia cảnh tăng đáng kể, đơn giản hóa biểu thuế và quy định mới giúp thủ tục khai báo thuế trở nên dễ dàng hơn. Tuy nhiên, các quy định về thuế vẫn còn phức tạp đối với người dân.</t>
  </si>
  <si>
    <t>Biểu thuế đơn giản hóa từ 7 bậc xuống 5 bậc giúp việc tính toán và hiểu rõ hơn về mức thuế phải đóng. Mức thuế mới có thể phù hợp hơn với thu nhập của tôi.</t>
  </si>
  <si>
    <t>Nhà nước đã cải thiện quy định quản lý thuế, tăng giảm trừ gia cảnh và đơn giản hóa biểu thuế. Điều này giúp tạo niềm tin rằng chính sách mới sẽ được thực thi công bằng đối với mọi người.</t>
  </si>
  <si>
    <t>Tăng cường mức giảm trừ gia cảnh và đơn giản hóa biểu thuế có thể làm cho mức thuế tôi phải đóng trở nên hợp lý hơn. Tuy nhiên, vẫn cần thời gian để đánh giá hiệu quả thực tế của chính sách.</t>
  </si>
  <si>
    <t>Mức giảm trừ gia cảnh tăng và đơn giản hóa biểu thuế có thể giúp số tiền thuế tôi đóng được sử dụng hiệu quả hơn cho dịch vụ công. Tuy nhiên, cần thời gian để đánh giá sự công bằng của việc phân bổ ngân sách.</t>
  </si>
  <si>
    <t>Các thông tin về quy định mới đã được cung cấp qua nhiều kênh, giúp tôi hiểu rõ hơn về lý do và mục tiêu cải cách. Tuy nhiên, vẫn cần thêm thời gian để đánh giá sự minh bạch của quá trình thực thi.</t>
  </si>
  <si>
    <t>Mặc dù mức giảm trừ gia cảnh tăng và đơn giản hóa biểu thuế giúp tôi cảm thấy công bằng hơn về mức thuế, nhưng vẫn cần thời gian để đánh giá hiệu quả thực tế. Tôi ủng hộ chính sách mới với điều kiện nó được thực hiện công bằng.</t>
  </si>
  <si>
    <t>Biện pháp quản lý thuế hiện đại và công nghệ phát triển giúp tăng khả năng phát hiện trốn thuế, đặc biệt là với mức giảm trừ gia cảnh cao hơn.</t>
  </si>
  <si>
    <t>Công nghệ ngày càng tiên tiến, cùng với sự cải cách quản lý thuế sẽ nâng cao hiệu quả phát hiện và xử lý gian lận trốn thuế.</t>
  </si>
  <si>
    <t>Thủ tục khai báo thuế đơn giản hơn khi giảm số bậc thuế, đồng thời mức giảm trừ gia cảnh cao giúp việc làm việc với cơ quan thuế thuận lợi hơn.</t>
  </si>
  <si>
    <t>Biểu thuế được đơn giản hóa, các bước tính toán thu nhập chịu thuế trở nên rõ ràng và dễ thực hiện hơn so với trước đây.</t>
  </si>
  <si>
    <t>Mức giảm trừ gia cảnh tăng cao có thể làm giảm gánh nặng cho người dân bình thường, tạo niềm tin vào tính công bằng của hệ thống thuế.</t>
  </si>
  <si>
    <t>Các bậc thuế mới rõ ràng hơn, nhưng mức thu nhập chịu thuế cao vẫn phải đóng thuế suất cao, điều này có thể gây nghi ngờ về tính công bằng cho người có thu nhập cao.</t>
  </si>
  <si>
    <t>Người dân tin rằng số tiền đóng thuế sẽ được sử dụng hiệu quả hơn vào các dịch vụ công, đặc biệt là với mức giảm trừ gia cảnh tăng.</t>
  </si>
  <si>
    <t>Giải thích về lý do và mục tiêu của việc sửa đổi thuế chưa rõ ràng đủ để làm thay đổi suy nghĩ của tôi về tính minh bạch.</t>
  </si>
  <si>
    <t>Các quyền lợi từ mức giảm trừ gia cảnh cao có thể tăng sự ủng hộ, nhưng gánh nặng thuế cho người có thu nhập cao vẫn còn lớn nên quyết định cuối cùng là trung lập.</t>
  </si>
  <si>
    <t>Biện pháp quản lý thuế hiện nay được cải thiện đáng kể, đặc biệt là mức giảm trừ gia cảnh tăng cao, giúp phát hiện và xử lý gian lận trốn thuế dễ dàng hơn.</t>
  </si>
  <si>
    <t>Công nghệ ngày càng phát triển, các cơ quan thuế có đủ khả năng để theo dõi và phát hiện hành vi trốn thuế. Tuy nhiên, hiệu quả thực tế còn phụ thuộc vào sự quản lý của nhân viên.</t>
  </si>
  <si>
    <t>Biểu thuế được đơn giản hóa, nhưng mức thuế suất vẫn khá phức tạp, chưa tạo ra sự khác biệt lớn so với trước đây. Quy trình làm việc với cơ quan thuế cũng không có nhiều cải thiện.</t>
  </si>
  <si>
    <t>Cách tính thuế mới đơn giản hơn nhưng vẫn còn cần thời gian để người dân hiểu và làm quen, đặc biệt là đối với những bậc thuế cao.</t>
  </si>
  <si>
    <t>Mức giảm trừ gia cảnh tăng cao, tạo cảm giác công bằng hơn cho người nộp thuế. Tuy nhiên, mức thuế vẫn còn gây nghi ngại về sự công bằng giữa các nhóm thu nhập khác nhau.</t>
  </si>
  <si>
    <t>Mức thuế mới có thể coi là công bằng đối với tôi nhưng chưa chắc chắn so với những người trong cùng nhóm thu nhập. Mức thuế suất vẫn còn gây nghi ngại về sự công bằng giữa các nhóm thu nhập.</t>
  </si>
  <si>
    <t>Mặc dù mức giảm trừ gia cảnh tăng cao, nhưng tôi lo lắng rằng số tiền thuế tôi đóng có thể không được sử dụng hiệu quả để cải thiện dịch vụ công. Cần thêm thông tin về việc sử dụng số tiền thuế.</t>
  </si>
  <si>
    <t>Thống kê và giải thích về lý do và mục tiêu của chính sách mới chưa rõ ràng enough, khiến tôi cảm thấy không hoàn toàn thuyết phục.</t>
  </si>
  <si>
    <t>Dù các cải cách mang lại lợi ích tài chính cho tôi nhưng vẫn còn nhiều nghi ngại về công bằng và hiệu quả sử dụng số tiền thuế. Tôi cần thêm thông tin để có quyết định cuối cùng.</t>
  </si>
  <si>
    <t>Mức giảm trừ gia cảnh tăng đáng kể, giúp giảm gánh nặng thuế cho người thu nhập thấp. Tuy nhiên, công nghệ phát hiện trốn thuế vẫn chưa hoàn thiện.</t>
  </si>
  <si>
    <t>Công nghệ hiện nay có thể hỗ trợ tốt trong việc kiểm soát và quản lý thuế, nhưng khả năng phát hiện trốn thuế còn phụ thuộc vào nhân sự cơ quan thuế.</t>
  </si>
  <si>
    <t>Biểu thuế được đơn giản hóa, giảm số bậc từ 7 xuống 5, giúp người dân dễ dàng khai báo hơn. Tuy nhiên, quy trình làm việc với cơ quan thuế vẫn chưa thực sự tiện lợi.</t>
  </si>
  <si>
    <t>Cách tính thuế và bậc thuế mới đơn giản hóa so với trước đây, giúp người dân dễ hiểu và dễ thực hiện hơn.</t>
  </si>
  <si>
    <t>Nhà nước đã tăng mức giảm trừ gia cảnh, thể hiện sự công bằng trong việc áp dụng chính sách cho mọi người. Tuy nhiên, vẫn có nhiều người lo lắng về khả năng thực thi.</t>
  </si>
  <si>
    <t>Mức thuế mới được thiết kế nhằm đảm bảo công bằng cho người dân với thu nhập tương tự như tôi. Tuy nhiên, cần thêm thông tin minh bạch để tăng niềm tin hơn.</t>
  </si>
  <si>
    <t>Thuế đóng góp vào việc cải thiện dịch vụ công, đặc biệt là y tế và giao thông. Mức thuế mới được thiết kế nhằm đảm bảo công bằng cho người dân với thu nhập tương tự như tôi.</t>
  </si>
  <si>
    <t>Nhà nước đã giải thích rõ ràng về lý do và mục tiêu của việc sửa đổi thuế, nhưng vẫn có nhiều ý kiến trái chiều. Tuy nhiên, thông tin minh bạch giúp tăng niềm tin.</t>
  </si>
  <si>
    <t>Sau khi xem xét các quyền lợi từ chính sách mới và khả năng thực thi, tôi quyết định ủng hộ và tuân thủ. Tuy nhiên, vẫn cần thêm thông tin minh bạch để tăng sự tin tưởng.</t>
  </si>
  <si>
    <t>Cải cách thuế TNCN nhằm tăng giảm trừ gia cảnh và đơn giản hóa biểu thuế, nhưng chưa rõ liệu các công nghệ mới có được áp dụng rộng rãi hay không.</t>
  </si>
  <si>
    <t>Việc tăng mức giảm trừ gia cảnh và đơn giản hóa biểu thuế sẽ làm giảm gian lận, tuy nhiên khả năng phát hiện trốn thuế phụ thuộc nhiều vào công nghệ và nguồn lực của cơ quan thuế.</t>
  </si>
  <si>
    <t>Mức giảm trừ gia cảnh tăng lên có thể tạo thuận lợi cho việc khai báo thuế, nhưng quy trình cụ thể với cơ quan thuế chưa rõ ràng.</t>
  </si>
  <si>
    <t>Biểu thuế đơn giản hóa từ 7 bậc xuống còn 5 bậc, giúp giảm độ phức tạp và dễ dàng tính toán hơn cho người nộp thuế.</t>
  </si>
  <si>
    <t>Mức giảm trừ gia cảnh tăng lên có thể tạo niềm tin công bằng, tuy nhiên việc thực thi chính sách vẫn cần thời gian để chứng minh.</t>
  </si>
  <si>
    <t>Nhìn chung mức thuế mới được thiết kế phù hợp với thu nhập trung bình, nhưng chưa rõ liệu nó có công bằng tuyệt đối hay không.</t>
  </si>
  <si>
    <t>Tăng giảm trừ gia cảnh và đơn giản hóa biểu thuế có thể tạo niềm tin rằng số tiền thuế đóng sẽ được sử dụng hiệu quả cho dịch vụ công, nhưng cần thời gian để chứng minh.</t>
  </si>
  <si>
    <t>Giải thích về lý do và mục tiêu của việc sửa đổi thuế chưa đầy đủ, do đó tạo ra sự hoài nghi về tính minh bạch từ phía nhà nước.</t>
  </si>
  <si>
    <t>Mặc dù có nhiều cải tiến, nhưng tôi cần thời gian để đánh giá hiệu quả thực tế của chính sách mới trước khi quyết định ủng hộ hay không.</t>
  </si>
  <si>
    <t>Điều kiện hiện nay không có nhiều thông tin về khả năng phát hiện trốn thuế, nhưng tăng giảm trừ gia cảnh và đơn giản hóa quy trình có thể giúp hạn chế gian lận.</t>
  </si>
  <si>
    <t>Nhà nước và cơ quan thuế có công nghệ để phát hiện gian lận nếu họ áp dụng đúng, nhưng không chắc chắn về khả năng thực thi.</t>
  </si>
  <si>
    <t>Bậc thuế từ 7 bậc xuống còn 5 bậc giúp quy trình đơn giản hơn, tuy nhiên, mức giảm trừ gia cảnh tăng và ngưỡng chịu thuế thay đổi có thể làm phức tạp hóa vấn đề.</t>
  </si>
  <si>
    <t>Phương án mới với ít bậc thuế hơn nên dễ hiểu hơn so với trước đây, nhưng cần xem xét thêm về độ chính xác của các mức thuế.</t>
  </si>
  <si>
    <t>Mức giảm trừ gia cảnh và ngưỡng chịu thuế thay đổi có thể cho thấy tính công bằng đối với người nộp thuế với thu nhập thấp, nhưng cần xem xét thêm về cách thực thi.</t>
  </si>
  <si>
    <t>Đối với mức thu nhập của tôi, mức thuế mới có vẻ hợp lý, tuy nhiên, vẫn cần sự minh bạch và công khai hơn để đảm bảo tính công bằng.</t>
  </si>
  <si>
    <t>Trạng thái hiện tại của cơ sở hạ tầng y tế và giao thông không rõ ràng về việc số tiền thuế đóng có được sử dụng hiệu quả hay không, nhưng mức giảm trừ gia cảnh tăng có thể cho thấy một phần sự công bằng.</t>
  </si>
  <si>
    <t>Thông tin giải thích về lý do và mục tiêu của chính sách mới chưa đầy đủ nên cần thêm minh bạch hơn để tạo niềm tin từ người dân.</t>
  </si>
  <si>
    <t>Sau khi xem xét các quyền lợi và nghĩa vụ, tôi thấy mức thuế mới có thể hợp lý đối với thu nhập của mình nhưng vẫn cần sự minh bạch và công khai hơn trong việc thực thi chính sách.</t>
  </si>
  <si>
    <t>Biện pháp quản lý thuế hiện tại được cải thiện, nhưng khả năng phát hiện trốn thuế vẫn còn hạn chế.</t>
  </si>
  <si>
    <t>Công nghệ hiện đại giúp phát hiện trốn thuế hiệu quả hơn, tuy nhiên không loại trừ khả năng thất bại.</t>
  </si>
  <si>
    <t>Quy trình khai báo thuế đơn giản hơn trước, đặc biệt là với mức giảm trừ gia cảnh mới.</t>
  </si>
  <si>
    <t>Cách tính thuế và bậc thuế mới dễ hiểu và dễ thực hiện hơn so với quy định cũ.</t>
  </si>
  <si>
    <t>Nhà nước đã cải thiện chính sách để giảm gánh nặng thuế, nhưng vẫn cần nâng cao công khai trong quản lý thuế.</t>
  </si>
  <si>
    <t>Mức thuế mới phù hợp với thu nhập hiện tại của tôi, tạo cảm giác công bằng hơn.</t>
  </si>
  <si>
    <t>Thuế đóng góp vào việc cải thiện dịch vụ công là cần thiết, nhưng hiệu quả sử dụng tiền thuế còn cần kiểm tra.</t>
  </si>
  <si>
    <t>Nhà nước đã giải thích rõ ràng về mục tiêu mới của chính sách thuế, tạo niềm tin cho người dân.</t>
  </si>
  <si>
    <t>Chính sách mới giảm gánh nặng thuế và cải thiện công khai, tôi sẽ ủng hộ và tuân thủ.</t>
  </si>
  <si>
    <t>Biểu thuế đơn giản, giảm bậc thuế nên hành vi trốn thuế khó xảy ra. Công nghệ hiện đại giúp phát hiện gian lận.</t>
  </si>
  <si>
    <t>Công nghệ và quản lý hiệu quả của cơ quan thuế sẽ đảm bảo các hành vi trốn thuế bị xử lý nghiêm túc.</t>
  </si>
  <si>
    <t>Mức giảm trừ gia cảnh cao hơn, đơn giản hóa biểu thuế giúp thủ tục khai báo dễ dàng hơn trước đây.</t>
  </si>
  <si>
    <t>Cách tính thuế mới đơn giản hơn và số bậc thuế giảm, làm cho việc thực hiện rõ ràng hơn.</t>
  </si>
  <si>
    <t>Chính sách mới tăng mức giảm trừ gia cảnh, tôi tin rằng cơ quan thuế sẽ công bằng trong việc áp dụng.</t>
  </si>
  <si>
    <t>Mức thuế mới dựa trên thu nhập của tôi là hợp lý, tôi thấy công bằng khi đóng thuế như vậy.</t>
  </si>
  <si>
    <t>Tăng mức giảm trừ gia cảnh và đơn giản hóa biểu thuế giúp tôi tin rằng tiền thuế sẽ được sử dụng hiệu quả cho dịch vụ công.</t>
  </si>
  <si>
    <t>Chính sách mới có giải thích rõ ràng về mục tiêu của việc tăng giảm trừ gia cảnh, điều này làm tăng niềm tin vào sự minh bạch.</t>
  </si>
  <si>
    <t>Nhiều ưu đãi về thuế cùng với mức thuế công bằng khiến tôi ủng hộ và tuân thủ chính sách mới.</t>
  </si>
  <si>
    <t>Các quy định quản lý thuế hiện nay đã tăng mức giảm trừ gia cảnh, điều này làm giảm gánh nặng về mặt tài chính. Tuy nhiên, khả năng phát hiện trốn thuế phụ thuộc nhiều vào công nghệ và nguồn lực của cơ quan thuế.</t>
  </si>
  <si>
    <t>Việc tăng cường công nghệ trong quản lý thuế có thể giúp phát hiện trốn thuế hiệu quả hơn. Tuy nhiên, vẫn cần cải thiện năng lực triển khai và ứng dụng công nghệ.</t>
  </si>
  <si>
    <t>Bậc thuế được đơn giản hóa từ 7 xuống còn 5, giúp người dân dễ dàng nắm bắt và thực hiện. Tuy nhiên, quy trình khai báo thuế vẫn chưa tối ưu hóa hoàn toàn.</t>
  </si>
  <si>
    <t>Cách tính thuế mới đơn giản hơn so với trước đây, giảm số bậc từ 7 xuống còn 5. Điều này giúp người dân hiểu và thực hiện nhanh chóng hơn.</t>
  </si>
  <si>
    <t>Niềm tin vào sự công bằng của Nhà nước trong việc thực thi chính sách đã tăng lên do mức giảm trừ gia cảnh được nâng cao. Tuy nhiên, vẫn có những lo ngại về cách thực hiện.</t>
  </si>
  <si>
    <t>Mức thuế mới được điều chỉnh theo thu nhập, tạo cảm giác công bằng. Tuy nhiên, mức thuế cụ thể của tôi không thay đổi nhiều so với trước đây, nên niềm tin về mặt này chỉ ở mức trung bình.</t>
  </si>
  <si>
    <t>Niềm tin vào việc sử dụng tiền thuế để cải thiện dịch vụ công đã tăng lên do mức giảm trừ gia cảnh được nâng cao. Tuy nhiên, vẫn có những lo ngại về hiệu quả thực tế của các dự án đầu tư.</t>
  </si>
  <si>
    <t>Nhà nước đã giải thích rõ ràng về mục tiêu cải cách thuế, tuy nhiên, thông tin cụ thể về lý do và chi tiết chính sách vẫn chưa đầy đủ.</t>
  </si>
  <si>
    <t>Niềm tin và sự công bằng đã tăng lên nhưng gánh nặng về mặt tài chính không thay đổi nhiều. Tuy nhiên, tôi sẽ tiếp tục theo dõi và đánh giá các chính sách mới này.</t>
  </si>
  <si>
    <t>Mức giảm trừ gia cảnh và các thay đổi về thuế suất có thể làm tăng sự công bằng, nhưng không đảm bảo phát hiện trốn thuế dễ dàng.</t>
  </si>
  <si>
    <t>Công nghệ hiện đại giúp phát hiện trốn thuế nhanh chóng hơn, đặc biệt với các quy định quản lý mới.</t>
  </si>
  <si>
    <t>Thay đổi biểu thuế đơn giản và rõ ràng nhưng vẫn cần cải thiện về hệ thống khai báo trực tuyến.</t>
  </si>
  <si>
    <t>Cách tính thuế mới đơn giản hóa quy trình, dễ hiểu hơn so với trước đây.</t>
  </si>
  <si>
    <t>Nhìn chung, mức giảm trừ gia cảnh và thay đổi thuế suất tạo ra sự công bằng nhưng cần thời gian để thực thi khách quan.</t>
  </si>
  <si>
    <t>Thuế mới có vẻ công bằng đối với thu nhập hiện tại của tôi nhưng vẫn nghi ngờ về việc áp dụng thực tế.</t>
  </si>
  <si>
    <t>Tôi tin rằng tiền thuế đóng góp vào các dịch vụ công, mặc dù lo ngại về hiệu quả thực tế.</t>
  </si>
  <si>
    <t>Thông tin giải thích rõ ràng nhưng chưa hoàn toàn thuyết phục, đặc biệt là về mục tiêu cải cách.</t>
  </si>
  <si>
    <t>Đối với thu nhập hiện tại, tôi sẽ ủng hộ và tuân thủ chính sách mới, nhưng vẫn có lo ngại về hiệu quả thực tế.</t>
  </si>
  <si>
    <t>Việc tăng mức giảm trừ gia cảnh và đơn giản hóa biểu thuế có thể làm giảm động lực trốn thuế, nhưng khả năng phát hiện hành vi gian lận vẫn phụ thuộc vào công nghệ và nguồn lực của cơ quan thuế.</t>
  </si>
  <si>
    <t>Công nghệ phát triển ngày càng mạnh mẽ, đồng thời Chính phủ cũng đầu tư nhiều hơn vào khả năng phát hiện trốn thuế. Tuy nhiên, vẫn cần thời gian để công nghệ và nguồn lực thực sự có hiệu quả.</t>
  </si>
  <si>
    <t>Số bậc thuế giảm từ 7 xuống 5, đồng nghĩa với việc quy trình làm việc đơn giản hơn. Tuy nhiên, mức thuế suất cao hơn ở các bậc sau vẫn cần thời gian để người dân quen thuộc.</t>
  </si>
  <si>
    <t>Biểu thuế được đơn giản hóa, nhưng mức thuế suất tăng lên ở các bậc cao có thể khiến người dân cảm thấy khó hiểu hơn so với trước đây.</t>
  </si>
  <si>
    <t>Mức giảm trừ gia cảnh và số bậc thuế giảm có thể làm cho việc thực thi công bằng hơn, nhưng vẫn cần thời gian để mọi người tin tưởng vào cách thức thực hiện mới.</t>
  </si>
  <si>
    <t>Việc tăng mức giảm trừ gia cảnh và đơn giản hóa biểu thuế có thể khiến tôi thấy mức thuế mới là công bằng hơn, nhưng vẫn cần xem xét tổng thể về lợi ích và nghĩa vụ.</t>
  </si>
  <si>
    <t>Mức giảm trừ gia cảnh tăng và số bậc thuế giảm có thể làm cho việc sử dụng tiền thuế hiệu quả hơn. Tuy nhiên, vẫn cần thời gian để nhìn nhận thực tế về sự cải thiện dịch vụ công.</t>
  </si>
  <si>
    <t>Tôi thấy thông tin giải thích về các thay đổi thuế có thể chưa rõ ràng và minh bạch như mong đợi. Tuy nhiên, việc tăng mức giảm trừ gia cảnh và đơn giản hóa biểu thuế đã phần nào thuyết phục tôi.</t>
  </si>
  <si>
    <t>Sau khi xem xét các quyền lợi từ mức giảm trừ gia cảnh tăng lên và số bậc thuế giảm, cùng với những thay đổi để làm việc thuận tiện hơn, tôi sẽ ủng hộ chính sách mới. Tuy nhiên, vẫn cần thời gian để cảm thấy tin tưởng hoàn toàn.</t>
  </si>
  <si>
    <t>Quy định quản lý thuế hiện nay chưa có nhiều cải tiến cụ thể, do đó khả năng phát hiện trốn thuế vẫn phụ thuộc vào kiểm tra thực tế của cơ quan thuế.</t>
  </si>
  <si>
    <t>Công nghệ tiên tiến và quy định rõ ràng giúp tăng khả năng phát hiện hành vi trốn thuế, nhưng vẫn cần sự tuân thủ chặt chẽ từ phía người nộp thuế.</t>
  </si>
  <si>
    <t>Mức giảm trừ gia cảnh cao hơn và biểu thuế đơn giản hóa đã làm quá trình khai báo trở nên dễ dàng hơn, tuy nhiên quy trình làm việc với cơ quan thuế vẫn cần cải tiến.</t>
  </si>
  <si>
    <t>Biểu thuế mới đơn giản hơn so với trước đây nhưng mức độ hiểu rõ và thực hiện vẫn phụ thuộc vào khả năng của người nộp thuế.</t>
  </si>
  <si>
    <t>Nhà nước đã cải thiện quy định về giảm trừ gia cảnh, do đó tôi tin rằng việc thực thi sẽ công bằng hơn. Tuy nhiên, vẫn cần thêm thông tin minh bạch để tăng niềm tin.</t>
  </si>
  <si>
    <t>Mức thuế mới có vẻ hợp lý so với thu nhập hiện tại của tôi, nhưng cần xem xét hiệu quả sử dụng tiền thuế trong tương lai.</t>
  </si>
  <si>
    <t>Tôi tin rằng số tiền thuế đóng sẽ được sử dụng cho mục đích công ích, nhưng cần thêm thông tin về việc này từ phía cơ quan quản lý.</t>
  </si>
  <si>
    <t>Các thông báo về cải cách mới đã khá rõ ràng, nhưng tôi vẫn mong muốn có thêm thông tin chi tiết để hiểu hơn về mục tiêu và hiệu quả của nó.</t>
  </si>
  <si>
    <t>Mức thuế mới hợp lý và giảm trừ gia cảnh tăng lên làm tôi cảm thấy ủng hộ. Tuy nhiên, quyết định cuối cùng phụ thuộc vào khả năng quản lý và sử dụng tiền thuế.</t>
  </si>
  <si>
    <t>Dự luật này không chỉ tăng giảm trừ gia cảnh mà còn đơn giản hóa quy trình khai báo thuế, có thể giúp phát hiện hành vi gian lận hiệu quả hơn.</t>
  </si>
  <si>
    <t>Công nghệ ngày càng tiên tiến và nhà nước đã đầu tư vào hệ thống quản lý thuế, tăng khả năng phát hiện trốn thuế.</t>
  </si>
  <si>
    <t>Mức giảm trừ gia cảnh cao hơn và biểu thuế đơn giản hóa giúp quá trình khai báo trở nên dễ dàng hơn.</t>
  </si>
  <si>
    <t>Các bậc thuế mới đơn giản, rõ ràng hơn so với trước đây, giúp tính toán và nộp thuế dễ dàng hơn.</t>
  </si>
  <si>
    <t>Giảm trừ gia cảnh tăng lên cùng biểu thuế đơn giản hóa tạo cảm giác công bằng trong việc đánh thuế.</t>
  </si>
  <si>
    <t>Nhìn chung, mức thuế mới được thiết kế dựa trên thu nhập cá nhân, tạo nên sự công bằng.</t>
  </si>
  <si>
    <t>Giảm trừ gia cảnh cao hơn và biểu thuế đơn giản hóa làm tăng niềm tin vào việc sử dụng hiệu quả số tiền thuế được đóng.</t>
  </si>
  <si>
    <t>Dự luật đã giải thích khá rõ về mục tiêu của việc sửa đổi, nhưng chưa thực sự minh bạch về cách áp dụng cụ thể.</t>
  </si>
  <si>
    <t>Nhìn chung tôi thấy lợi ích từ dự luật này, tuy nhiên vẫn có một số lo ngại về khả năng giải thích và minh bạch.</t>
  </si>
  <si>
    <t>Cải cách thuế TNCN có thể giảm gian lận thông qua việc tăng mức giảm trừ gia cảnh, nhưng không rõ liệu cơ quan thuế có đủ nguồn lực để phát hiện trốn thuế hay không.</t>
  </si>
  <si>
    <t>Công nghệ hiện đại giúp cải thiện khả năng phát hiện hành vi gian lận, tuy nhiên vẫn còn nghi ngại về sự thực thi hiệu quả của các quy định quản lý thuế.</t>
  </si>
  <si>
    <t>Mức giảm trừ gia cảnh tăng và đơn giản hóa biểu thuế có thể làm cho thủ tục khai báo thuế trở nên dễ dàng hơn, nhưng không phải quá nhanh chóng.</t>
  </si>
  <si>
    <t>Cách tính thuế mới đơn giản, nhưng vẫn còn phức tạp với những bậc thuế. Tuy nhiên, so với trước đây, nó đã rõ ràng và dễ hiểu hơn.</t>
  </si>
  <si>
    <t>Mức giảm trừ gia cảnh tăng có thể làm cho tôi cảm thấy công bằng hơn khi nộp thuế, nhưng vẫn còn nghi ngại về cách thực thi chính sách của cơ quan thuế.</t>
  </si>
  <si>
    <t>Các bậc thuế mới có vẻ hợp lý với thu nhập của tôi, tuy nhiên, không hoàn toàn chắc chắn về mức độ công bằng chung cho tất cả mọi người.</t>
  </si>
  <si>
    <t>Tôi tin rằng số tiền thuế đóng sẽ được sử dụng hiệu quả cho các dịch vụ công, nhưng vẫn lo ngại về cách thực thi chính sách của cơ quan quản lý.</t>
  </si>
  <si>
    <t>Nhà nước đã giải thích rõ ràng hơn về mục tiêu cải cách thuế, tuy nhiên, vẫn còn nghi ngại về mức độ minh bạch trong quá trình thực thi chính sách.</t>
  </si>
  <si>
    <t>Tôi ủng hộ các thay đổi vì giảm gánh nặng tài chính và thủ tục đơn giản hơn, nhưng quyết định tuân thủ cuối cùng phụ thuộc vào việc tôi cảm thấy có được lợi ích thực sự từ chính sách.</t>
  </si>
  <si>
    <t>Chính phủ đã tăng giảm trừ gia cảnh và đơn giản hóa biểu thuế, giảm gánh nặng cho người dân. Điều này làm tăng niềm tin về tính công bằng của hệ thống thuế mới.</t>
  </si>
  <si>
    <t>Công nghệ phát triển và chính phủ đã đầu tư vào các biện pháp phát hiện trốn thuế, do đó khả năng phát hiện và xử lý nghiêm sẽ tăng lên.</t>
  </si>
  <si>
    <t>Nguyên tắc đơn giản hóa biểu thuế từ 7 bậc xuống 5 bậc làm cho việc khai báo thuế dễ dàng hơn, giảm thời gian và công sức tốn kém.</t>
  </si>
  <si>
    <t>Bậc thuế mới rõ ràng hơn, giúp người dân hiểu được mức thuế phải nộp một cách dễ dàng hơn.</t>
  </si>
  <si>
    <t>Chính sách mới có tính công bằng cao với việc giảm trừ gia cảnh và đơn giản hóa biểu thuế, tăng niềm tin về sự đối xử công bằng của cơ quan thuế.</t>
  </si>
  <si>
    <t>Mức thuế mới được thiết kế để phù hợp với thu nhập trung bình, tạo cảm giác rằng mức thuế này là công bằng đối với người nộp thuế như tôi.</t>
  </si>
  <si>
    <t>Tăng giảm trừ gia cảnh và đơn giản hóa biểu thuế giúp số tiền thuế đóng được sử dụng hiệu quả hơn để cải thiện dịch vụ công.</t>
  </si>
  <si>
    <t>Thông tin về chính sách mới được truyền tải rõ ràng, nhưng tôi vẫn có một chút nghi ngờ về sự minh bạch trong việc thực hiện các quy định.</t>
  </si>
  <si>
    <t>Sau khi xem xét các ưu điểm của chính sách mới như giảm gánh nặng thuế và tăng giảm trừ gia cảnh, tôi có xu hướng ủng hộ và tuân thủ nó. Tuy nhiên, tôi vẫn lo ngại về khả năng thực thi.</t>
  </si>
  <si>
    <t>Việc tăng giảm trừ gia cảnh có thể giảm gánh nặng thuế cho người dân, nhưng quy định quản lý thuế hiện tại vẫn chưa rõ ràng. Công nghệ phát hiện trốn thuế ngày càng tiến triển.</t>
  </si>
  <si>
    <t>Cơ quan thuế đã đầu tư công nghệ tiên tiến hơn để phát hiện gian lận, tăng khả năng phát hiện và xử lý các hành vi trốn thuế.</t>
  </si>
  <si>
    <t>Biểu thuế đơn giản hóa từ 7 bậc xuống còn 5 bậc làm cho việc khai báo trở nên dễ dàng hơn. Tuy nhiên, quy trình làm việc với cơ quan thuế vẫn chưa thực sự tiện lợi.</t>
  </si>
  <si>
    <t>Cách tính thuế mới đơn giản hóa nhiều so với trước đây và số bậc thuế giảm đi tạo cảm giác rõ ràng hơn về mức thuế phải đóng, dễ hiểu và dễ thực hiện hơn.</t>
  </si>
  <si>
    <t>Nhà nước đã tăng giảm trừ gia cảnh, điều này thể hiện tính công bằng đối với người nộp thuế. Tuy nhiên, việc thực thi chính sách vẫn cần thêm thời gian để tạo niềm tin.</t>
  </si>
  <si>
    <t>Mức thuế mới có vẻ hợp lý so với thu nhập cá nhân của tôi, tuy nhiên, việc này cần được kiểm chứng và minh bạch hơn trong thực tế.</t>
  </si>
  <si>
    <t>Số tiền thuế đóng sẽ được sử dụng hiệu quả để cải thiện dịch vụ công như y tế, đường xá... Điều này tạo niềm tin cho người nộp thuế.</t>
  </si>
  <si>
    <t>Nhà nước đã giải thích rõ ràng về mục tiêu của việc sửa đổi thuế, nhưng vẫn cần thêm thông tin để tôi hoàn toàn tin tưởng.</t>
  </si>
  <si>
    <t>Sau khi xem xét các quyền lợi và nghĩa vụ mới, tôi ủng hộ chính sách. Tuy nhiên, quyết định tuân thủ cần thời gian để hình thành niềm tin.</t>
  </si>
  <si>
    <t>Theo thông tin chính sách, các quy định quản lý thuế được tăng cường. Tuy nhiên, tôi vẫn có sự nghi ngờ về khả năng phát hiện và xử lý nghiêm minh của cơ quan thuế.</t>
  </si>
  <si>
    <t>Công nghệ tiên tiến sẽ giúp phát hiện trốn thuế hiệu quả hơn. Tuy nhiên, thực tế còn phụ thuộc vào nguồn lực và quyết tâm của nhà nước.</t>
  </si>
  <si>
    <t>Đơn giản hóa biểu thuế và tăng mức giảm trừ gia cảnh tạo thuận tiện cho người nộp thuế. Quy trình khai báo trở nên dễ dàng hơn so với trước đây.</t>
  </si>
  <si>
    <t>Cách tính thuế mới đơn giản, rõ ràng hơn so với biểu thuế phức tạp trước đây. Điều này giúp tôi dễ hiểu và thực hiện các bước cần thiết.</t>
  </si>
  <si>
    <t>Nhà nước đã tăng mức giảm trừ gia cảnh, tạo sự công bằng cho người dân thu nhập thấp. Tuy nhiên, vẫn có lo ngại về cách thực thi chính sách.</t>
  </si>
  <si>
    <t>Mức thuế mới được thiết kế sao cho phù hợp với thu nhập của tôi. Tuy nhiên, vẫn cần thêm thời gian để đánh giá hiệu quả lâu dài.</t>
  </si>
  <si>
    <t>Việc cải cách thuế nhằm nâng cao chất lượng dịch vụ công, nhưng kết quả thực tế còn phụ thuộc vào việc sử dụng nguồn thu từ thuế hiệu quả như thế nào.</t>
  </si>
  <si>
    <t>Nhà nước đã giải thích rõ ràng về mục tiêu cải cách. Tuy nhiên, tôi vẫn cần thêm thông tin để đánh giá hoàn toàn sự minh bạch và tính công bằng.</t>
  </si>
  <si>
    <t>Sau khi xem xét các lợi ích từ chính sách mới, tôi thấy thuận tiện và hợp lý. Tuy nhiên, việc tuân thủ phụ thuộc vào mức độ tin tưởng của tôi vào cách thực thi chính sách.</t>
  </si>
  <si>
    <t>Theo cải cách thuế, mức giảm trừ gia cảnh tăng, giảm bớt gánh nặng cho người thu nhập thấp. Tuy nhiên, chưa có thông tin rõ ràng về khả năng phát hiện trốn thuế.</t>
  </si>
  <si>
    <t>Đã áp dụng công nghệ trong quản lý thuế nhưng vẫn cần cải thiện hơn nữa để phát hiện và xử lý các hành vi trốn thuế hiệu quả hơn.</t>
  </si>
  <si>
    <t>Các biểu thuế được đơn giản hóa, giảm số bậc từ 7 xuống còn 5. Điều này làm cho việc khai báo thuế dễ dàng và nhanh chóng hơn.</t>
  </si>
  <si>
    <t>Mức thuế mới có thể dễ hiểu hơn do ít bậc thuế, tuy nhiên cách tính thuế vẫn cần thêm thông tin để người dân nắm bắt.</t>
  </si>
  <si>
    <t>Nhu cầu cải thiện công bằng trong việc áp dụng thuế đã được thực hiện. Mức giảm trừ gia cảnh cao hơn giúp người thu nhập thấp không bị gánh nặng quá lớn.</t>
  </si>
  <si>
    <t>Mức thuế mới có thể công bằng đối với tôi, tuy nhiên việc cải cách cần thêm minh bạch để đảm bảo tính công bằng.</t>
  </si>
  <si>
    <t>Số tiền thuế đóng sẽ được sử dụng hiệu quả hơn cho dịch vụ công. Tuy nhiên, việc cải cách này chưa thể chứng minh được rõ ràng về hiệu quả sử dụng nguồn lực.</t>
  </si>
  <si>
    <t>Đã có những giải thích rõ ràng về mục tiêu của cải cách thuế, tuy nhiên cần thêm thông tin để thuyết phục hoàn toàn.</t>
  </si>
  <si>
    <t>Cải cách thuế đã giảm gánh nặng cho tôi và tăng mức giảm trừ gia cảnh. Tuy nhiên, vẫn còn nghi ngờ về tính minh bạch trong việc sử dụng nguồn lực thu thuế.</t>
  </si>
  <si>
    <t>Điều kiện quản lý thuế hiện nay đã được cải thiện, tăng mức giảm trừ gia cảnh và đơn giản hóa biểu thuế. Điều này làm cho việc trốn thuế trở nên khó khăn hơn.</t>
  </si>
  <si>
    <t>Công nghệ ngày càng phát triển giúp cơ quan thuế dễ dàng phát hiện các hành vi gian lận thông qua hệ thống quản lý điện tử và công nghệ tiên tiến.</t>
  </si>
  <si>
    <t>Mức giảm trừ gia cảnh tăng, đặc biệt là đối với người phụ thuộc, giúp đơn giản hóa quy trình khai báo thuế.</t>
  </si>
  <si>
    <t>Biểu thuế được rút gọn từ 7 bậc xuống còn 5 bậc, giúp tính toán và hiểu rõ hơn về mức thuế phải đóng.</t>
  </si>
  <si>
    <t>Các quy định mới tăng cường công bằng trong việc phân bổ thuế, giảm gánh nặng cho người có thu nhập thấp hơn.</t>
  </si>
  <si>
    <t>Mức thuế mới được thiết kế để phù hợp với thu nhập cá nhân, tạo cảm giác rằng mức thuế này là công bằng.</t>
  </si>
  <si>
    <t>Thuế đóng góp vào việc cải thiện các dịch vụ công quan trọng như y tế và giao thông, giúp tạo niềm tin về sự sử dụng hiệu quả của nguồn thu ngân sách.</t>
  </si>
  <si>
    <t>Thông tin về mục tiêu chính sách mới được cung cấp đầy đủ trên các phương tiện truyền thông, giúp người dân hiểu rõ hơn về lý do và mục đích cải cách thuế.</t>
  </si>
  <si>
    <t>Các quyền lợi tăng lên như mức giảm trừ gia cảnh cao hơn và đơn giản hóa biểu thuế đã thuyết phục tôi ủng hộ và tuân thủ chính sách mới.</t>
  </si>
  <si>
    <t>Tăng mức giảm trừ gia cảnh và đơn giản hóa biểu thuế có thể làm giảm khả năng phát hiện hành vi gian lận hoặc trốn thuế.</t>
  </si>
  <si>
    <t>Việc tăng mức giảm trừ gia cảnh và đơn giản hóa biểu thuế cũng có thể làm giảm khả năng phát hiện hành vi trốn thuế, nhưng công nghệ và khả năng của cơ quan thuế vẫn đáng tin cậy.</t>
  </si>
  <si>
    <t>Mức giảm trừ gia cảnh tăng và đơn giản hóa biểu thuế giúp thủ tục khai báo thuế trở nên dễ dàng hơn so với trước đây, nhưng vẫn còn một số khó khăn.</t>
  </si>
  <si>
    <t>Biểu thuế được rút gọn từ 7 bậc xuống còn 5 bậc, đơn giản hóa quy trình tính và nộp thuế, dễ hiểu và thực hiện hơn so với trước đây.</t>
  </si>
  <si>
    <t>Mức giảm trừ gia cảnh tăng và mức thuế mới có thể tạo ra cảm giác công bằng trong việc đối xử giữa các đối tượng nộp thuế khác nhau.</t>
  </si>
  <si>
    <t>Các bậc thuế mới được thiết kế sao cho người thu nhập thấp như tôi chỉ đóng thuế ở mức 5%, điều này tạo cảm giác công bằng.</t>
  </si>
  <si>
    <t>Sau khi tăng mức giảm trừ gia cảnh và đơn giản hóa biểu thuế, tôi tin rằng số tiền thuế mà tôi đóng sẽ được sử dụng hiệu quả để cải thiện dịch vụ công.</t>
  </si>
  <si>
    <t>Những thông tin về việc sửa đổi thuế mới đã được giải thích một cách rõ ràng và minh bạch, nhưng vẫn còn có sự phức tạp trong việc tiếp nhận thông tin.</t>
  </si>
  <si>
    <t>Biện pháp quản lý thuế được tăng cường, với mức giảm trừ gia cảnh cao hơn và quy định rõ ràng về trốn thuế sẽ làm giảm cơ hội cho hành vi gian lận. Điều này tạo nên sự tin tưởng rằng các quy định mới sẽ hiệu quả trong việc phát hiện và xử lý trốn thuế.</t>
  </si>
  <si>
    <t>Như đã phân tích, các biện pháp quản lý thuế được cải thiện đáng kể với mức giảm trừ gia cảnh tăng và quy định rõ ràng về xử phạt. Công nghệ hiện đại cũng hỗ trợ việc phát hiện trốn thuế hiệu quả hơn.</t>
  </si>
  <si>
    <t>Với số bậc thuế giảm, biểu thuế đơn giản hóa, thủ tục khai báo thuế trở nên dễ dàng và nhanh chóng hơn. Điều này giúp tiết kiệm thời gian và công sức cho người nộp thuế.</t>
  </si>
  <si>
    <t>Cách tính thuế mới đơn giản với số bậc giảm từ 7 xuống còn 5, tạo ra sự rõ ràng về mức thuế nên đóng. Điều này giúp người dân dễ dàng hiểu và tuân thủ chính sách.</t>
  </si>
  <si>
    <t>Nhà nước đã tăng cường quản lý thuế với mức giảm trừ gia cảnh cao hơn, minh bạch hóa quy định về trốn thuế. Điều này tạo nên sự tin tưởng rằng công bằng sẽ được duy trì.</t>
  </si>
  <si>
    <t>Mức thuế mới dựa trên thu nhập của tôi có vẻ hợp lý với số bậc thuế giảm. Tuy nhiên, tôi vẫn cảm thấy cần thêm thông tin về việc sử dụng nguồn thu thuế để đánh giá toàn diện hơn.</t>
  </si>
  <si>
    <t>Tôi tin rằng thuế mới sẽ được dùng hiệu quả cho các dịch vụ công, nhưng cần thêm thông tin về kế hoạch và thực hiện của chính phủ.</t>
  </si>
  <si>
    <t>Các thông báo về việc sửa đổi thuế đã khá rõ ràng, tuy nhiên, tôi muốn có thêm thông tin chi tiết hơn về mục tiêu cụ thể để đánh giá sự minh bạch đầy đủ.</t>
  </si>
  <si>
    <t>Với mức giảm trừ gia cảnh cao và quy định thuế đơn giản hơn, tôi sẵn sàng tuân thủ chính sách mới. Tuy nhiên, cần thêm thông tin về việc sử dụng nguồn thu để tăng độ tin tưởng.</t>
  </si>
  <si>
    <t>Theo thông tin cải cách thuế, việc quản lý thuế đã được tăng cường với mức giảm trừ gia cảnh lớn hơn, tuy nhiên, không có thông tin về công nghệ phát hiện gian lận. Đôi khi vẫn còn khó khăn trong việc xác minh thu nhập.</t>
  </si>
  <si>
    <t>Như đã nêu trên, cải cách thuế chưa có nhiều công nghệ hỗ trợ để phát hiện trốn thuế hiệu quả, do đó khả năng phát hiện và xử lý gian lận vẫn còn hạn chế.</t>
  </si>
  <si>
    <t>Biểu thuế được đơn giản hóa từ 7 bậc xuống 5, đồng thời mức giảm trừ gia cảnh tăng. Điều này tạo điều kiện cho việc khai báo dễ dàng hơn.</t>
  </si>
  <si>
    <t>Cách tính thuế mới đã được đơn giản hóa và rõ ràng hơn so với trước đây, do đó người dân dễ hiểu và thực hiện nhanh chóng.</t>
  </si>
  <si>
    <t>Nâng cao mức giảm trừ gia cảnh và đơn giản hóa biểu thuế tạo ra sự công bằng trong việc đánh giá thu nhập. Tuy nhiên, vẫn còn nhiều người nghi ngờ về cách thực thi chính sách.</t>
  </si>
  <si>
    <t>Mức thuế mới được thiết kế để phù hợp với thu nhập của tôi, nhưng vẫn có một số hoài nghi về tính công bằng so với mức thuế trước đây.</t>
  </si>
  <si>
    <t>Việc cải cách thuế có thể giúp tăng nguồn tài chính cho các dịch vụ công, tuy nhiên, cần thời gian để kiểm chứng hiệu quả sử dụng số tiền đó.</t>
  </si>
  <si>
    <t>Thông tin về cải cách thuế đã được truyền thông một cách rõ ràng, nhưng vẫn có sự hoài nghi về mục tiêu và cách thực hiện chính sách mới.</t>
  </si>
  <si>
    <t>Sau khi cân nhắc các lợi ích từ cải cách thuế, tôi thấy mình sẽ tuân thủ chính sách mới với điều kiện nó được thực thi một cách công bằng.</t>
  </si>
  <si>
    <t>Điều kiện quản lý thuế hiện nay khá chặt chẽ, với sự phát triển của công nghệ, việc phát hiện gian lận trở nên dễ dàng hơn. Tuy nhiên, vẫn có rủi ro trốn thuế nếu người nộp thuế thông minh.</t>
  </si>
  <si>
    <t>Nhà nước đã đầu tư nhiều vào công nghệ và nhân lực để phát hiện gian lận, đồng thời tăng cường xử lý nghiêm các hành vi sai phạm. Tuy nhiên, vẫn có những trường hợp khó kiểm soát.</t>
  </si>
  <si>
    <t>Các quy định về giảm trừ gia cảnh và biểu thuế đơn giản hơn đã làm cho thủ tục khai báo trở nên dễ dàng hơn, tiết kiệm thời gian và công sức. Tuy nhiên, vẫn có một số khó khăn khi thực hiện.</t>
  </si>
  <si>
    <t>Biểu thuế mới đơn giản với ít bậc hơn đã làm cho việc tính toán thu nhập chịu thuế dễ dàng hơn. Tuy nhiên, cần thêm thời gian để quen với quy trình mới.</t>
  </si>
  <si>
    <t>Nhà nước đã công bố rõ ràng về chính sách mới và có các biện pháp đảm bảo tính công bằng. Tuy nhiên, vẫn có sự bất đồng từ phía người dân do chưa quen với quy định mới.</t>
  </si>
  <si>
    <t>Thuế mới được thiết kế dựa trên mức thu nhập thực tế nên cảm thấy hợp lý đối với tôi. Tuy nhiên, vẫn có những thắc mắc về cách tính thuế ở một số trường hợp.</t>
  </si>
  <si>
    <t>Số tiền thuế đóng được sử dụng hiệu quả cho các dịch vụ công như y tế và giao thông. Tuy nhiên, việc giám sát chi tiêu ngân sách vẫn còn hạn chế.</t>
  </si>
  <si>
    <t>Nhà nước đã giải thích rõ ràng về chính sách mới nhưng cần thêm thời gian để người dân tiếp thu đầy đủ các thông tin. Tuy nhiên, cảm giác rằng mục tiêu của cải cách thuế là hợp lý.</t>
  </si>
  <si>
    <t>Dù có một số thay đổi tích cực, tôi vẫn cần thêm thời gian để thích nghi với chính sách mới và đánh giá hiệu quả thực tế. Tuy nhiên, sẵn lòng tuân thủ nếu không có vấn đề gì lớn.</t>
  </si>
  <si>
    <t>Các quy định quản lý thuế hiện nay chưa đủ mạnh để phát hiện hành vi gian lận, đặc biệt là với công nghệ ngày càng tinh vi của người trốn thuế.</t>
  </si>
  <si>
    <t>Nhà nước và cơ quan thuế có thể áp dụng công nghệ tiên tiến hơn nhưng chưa chắc đã đủ để phát hiện toàn bộ hành vi trốn thuế hiệu quả.</t>
  </si>
  <si>
    <t>Mức giảm trừ gia cảnh được tăng lên, tạo thuận lợi cho người nộp thuế. Tuy nhiên, quy trình khai báo thuế vẫn còn một số rắc rối.</t>
  </si>
  <si>
    <t>Biểu thuế đơn giản hơn nhưng cần thời gian để quen với các bậc thuế mới.</t>
  </si>
  <si>
    <t>Nếu mức giảm trừ gia cảnh và mức thuế được công bố minh bạch, tôi sẽ tin rằng chính sách mới là khách quan và công bằng.</t>
  </si>
  <si>
    <t>Mức thuế mới có thể hợp lý đối với thu nhập của tôi nhưng cần xem xét tổng thể về các mức độ thu nhập khác để đánh giá tính công bằng.</t>
  </si>
  <si>
    <t>Tôi tin rằng số tiền thuế đóng sẽ được sử dụng hiệu quả, nhưng thực tế chưa rõ ràng. Cần có thêm thông tin minh bạch hơn về việc sử dụng nguồn thu.</t>
  </si>
  <si>
    <t>Thông tin về lý do và mục tiêu của việc sửa đổi thuế còn thiếu, cần có thêm giải thích từ nhà nước để tôi cảm thấy rõ ràng hơn.</t>
  </si>
  <si>
    <t>Sau cân nhắc giữa các quyền lợi và nghĩa vụ, tôi sẽ ủng hộ và tuân thủ chính sách mới vì giảm gánh nặng thuế và minh bạch hóa biểu thuế.</t>
  </si>
  <si>
    <t>Ngoài việc tăng mức giảm trừ gia cảnh, không có cải cách lớn về quản lý thuế. Tuy nhiên, việc sử dụng công nghệ hiện đại giúp phát hiện trốn thuế dễ dàng hơn.</t>
  </si>
  <si>
    <t>Công nghệ và hệ thống quản lý thuế đã được cải tiến đáng kể, giúp Nhà nước có khả năng phát hiện và xử lý nghiêm các hành vi trốn thuế.</t>
  </si>
  <si>
    <t>Thủ tục khai báo thuế đơn giản hơn với ít bậc thuế. Tuy nhiên, quy trình làm việc vẫn cần cải thiện để nhanh chóng và tiện lợi hơn.</t>
  </si>
  <si>
    <t>Cách tính thuế và các bậc thuế mới đơn giản hóa so với trước đây, giúp dễ hiểu và thực hiện hơn.</t>
  </si>
  <si>
    <t>Nhà nước đã cải thiện mức giảm trừ gia cảnh, tạo cảm giác công bằng cho người nộp thuế. Tuy nhiên, vẫn có sự hoài nghi về cách thực thi chính sách.</t>
  </si>
  <si>
    <t>Mức thuế mới được thiết kế sao cho hợp lý với thu nhập cá nhân hiện tại. Mặc dù vậy, vẫn cần thêm minh bạch trong việc áp dụng.</t>
  </si>
  <si>
    <t>Thuế đóng góp vào dịch vụ công nhưng không có thông tin đầy đủ về cách sử dụng nguồn thuế. Tuy nhiên, mức giảm trừ gia cảnh đã tăng.</t>
  </si>
  <si>
    <t>Nhà nước đã cung cấp thông tin về cải cách thuế nhưng chưa rõ ràng và minh bạch như mong đợi. Cần thêm giải thích về mục tiêu của chính sách.</t>
  </si>
  <si>
    <t>Dựa trên lợi ích tăng lên từ mức giảm trừ gia cảnh, tôi ủng hộ chính sách mới. Tuy nhiên, vẫn có sự lo ngại về cách thực hiện và minh bạch.</t>
  </si>
  <si>
    <t>Mức giảm trừ gia cảnh tăng lên, giúp người dân tiết kiệm thuế, đồng thời có thêm cơ sở pháp lý để phát hiện trốn thuế.</t>
  </si>
  <si>
    <t>Tăng cường quản lý thông qua công nghệ và quy định mới sẽ giúp phát hiện gian lận và xử lý nghiêm các hành vi trốn thuế.</t>
  </si>
  <si>
    <t>Biểu thuế đơn giản hơn, giảm số bậc từ 7 xuống còn 5, tạo thuận lợi cho việc khai báo thuế.</t>
  </si>
  <si>
    <t>Cách tính thuế và các bậc thuế mới rõ ràng hơn, dễ dàng làm theo hơn so với trước đây.</t>
  </si>
  <si>
    <t>Những thay đổi về mức giảm trừ gia cảnh giúp người dân cảm thấy được đối xử công bằng.</t>
  </si>
  <si>
    <t>Các khoản giảm trừ gia cảnh tăng lên giúp cải thiện dịch vụ công, nhưng vẫn cần thời gian để thấy hiệu quả.</t>
  </si>
  <si>
    <t>Thông tin về việc sửa đổi thuế chưa đầy đủ, khiến tôi còn nghi ngờ về mục tiêu chính sách.</t>
  </si>
  <si>
    <t>Sau khi cân nhắc các thay đổi, tôi thấy có lợi cho bản thân nên sẽ tuân thủ</t>
  </si>
  <si>
    <t>Mức giảm trừ gia cảnh tăng mạnh, giúp giảm gánh nặng thuế cho người dân. Việc đơn giản hóa biểu thuế cũng làm giảm cơ hội trốn thuế.</t>
  </si>
  <si>
    <t>Công nghệ hiện đại và quy định quản lý thuế chặt chẽ hơn sẽ giúp phát hiện các hành vi gian lận.</t>
  </si>
  <si>
    <t>Mức giảm trừ gia cảnh tăng, cùng với việc đơn giản hóa biểu thuế làm các thủ tục khai báo trở nên dễ dàng hơn.</t>
  </si>
  <si>
    <t>Biểu thuế được rút gọn và rõ ràng hơn, giúp người dân dễ hiểu và thực hiện.</t>
  </si>
  <si>
    <t>Mức giảm trừ gia cảnh tăng, cùng với việc đơn giản hóa biểu thuế tạo cảm giác công bằng trong việc đánh thuế.</t>
  </si>
  <si>
    <t>Các bậc thuế mới được thiết kế dựa trên thu nhập thực tế nên tôi thấy mức thuế đóng là hợp lý.</t>
  </si>
  <si>
    <t>Tăng giảm trừ gia cảnh và đơn giản hóa biểu thuế giúp số tiền đóng góp vào ngân sách có thể được sử dụng hiệu quả hơn cho các dịch vụ công.</t>
  </si>
  <si>
    <t>Thông tin về chính sách mới khá đầy đủ, nhưng tôi vẫn cần thêm thời gian để đánh giá toàn diện.</t>
  </si>
  <si>
    <t>Các quyền lợi và nghĩa vụ đã được cân nhắc kỹ lưỡng. Tuy nhiên, việc tăng mức giảm trừ gia cảnh và đơn giản hóa biểu thuế tạo cảm giác ủng hộ chính sách mới.</t>
  </si>
  <si>
    <t>Quy định quản lý thuế hiện nay có nhiều cải tiến, nhưng vẫn còn khả năng trốn thuế. Công nghệ phát hiện gian lận cần thời gian để hoàn thiện.</t>
  </si>
  <si>
    <t>Công nghệ ngày càng phát triển, giúp Nhà nước và cơ quan thuế có nhiều phương pháp phát hiện trốn thuế hiệu quả hơn. Đây là một lợi thế lớn.</t>
  </si>
  <si>
    <t>Mức giảm trừ gia cảnh tăng và đơn giản hóa biểu thuế tạo thuận tiện cho người nộp thuế, nhưng quy trình khai báo vẫn cần cải tiến thêm để tối ưu hơn.</t>
  </si>
  <si>
    <t>Cách tính thuế mới rõ ràng hơn so với trước đây, giúp người dân dễ dàng tính toán và tuân thủ. Đây là một bước tiến đáng kể về mặt tiện lợi.</t>
  </si>
  <si>
    <t>Nhà nước đã công bố nhiều thông tin minh bạch về chính sách mới. Tuy nhiên, việc thực thi vẫn phụ thuộc vào cách quản lý cụ thể của các cơ quan thuế.</t>
  </si>
  <si>
    <t>Mức thuế mới được thiết kế dựa trên thu nhập, nhưng tôi vẫn có sự hoài nghi về tính công bằng trong việc áp dụng với mọi đối tượng.</t>
  </si>
  <si>
    <t>Thuế đóng góp cho xã hội, nhưng hiệu quả sử dụng số tiền này còn phụ thuộc vào nhiều yếu tố khác. Tôi tin rằng phần lớn được sử dụng đúng mục đích.</t>
  </si>
  <si>
    <t>Nhà nước đã cung cấp thông tin về chính sách mới, nhưng tôi vẫn cần thêm thời gian để đánh giá toàn diện</t>
  </si>
  <si>
    <t>Các cải tiến về thuế tạo thuận lợi cho người dân. Tuy nhiên, quyết định ủng hộ hay không phụ thuộc vào việc thực thi và hiệu quả sử dụng số tiền thuế.</t>
  </si>
  <si>
    <t>Nâng cao mức giảm trừ gia cảnh có thể làm giảm cơ hội phát hiện sai phạm, nhưng với sự phát triển của công nghệ quản lý thuế, khả năng phát hiện gian lận và trốn thuế vẫn tăng lên.</t>
  </si>
  <si>
    <t>Công nghệ ngày càng phát triển giúp cải thiện hiệu quả trong việc phát hiện và xử lý các hành vi trốn thuế. Cơ quan thuế có nhiều nguồn lực hơn để giám sát hoạt động kinh doanh.</t>
  </si>
  <si>
    <t>Biểu thuế đơn giản hóa từ 7 bậc xuống còn 5 đã làm giảm sự phức tạp, nhưng quy trình khai báo vẫn cần cải thiện thêm để trở nên hoàn toàn tiện lợi.</t>
  </si>
  <si>
    <t>Cách tính thuế mới rõ ràng hơn và các bậc thuế dễ hiểu hơn so với trước đây. Điều này giúp người nộp thuế dễ dàng thực hiện hơn.</t>
  </si>
  <si>
    <t>Mức giảm trừ gia cảnh tăng cao có thể làm giảm gánh nặng thuế, nhưng niềm tin vào sự công bằng của cơ quan thuế vẫn cần thời gian để xây dựng.</t>
  </si>
  <si>
    <t>Mức thuế mới được thiết lập dựa trên thu nhập cá nhân nên cảm thấy công bằng. Tuy nhiên, hiệu quả sử dụng nguồn thu từ thuế vào các dịch vụ công vẫn cần thời gian để chứng minh.</t>
  </si>
  <si>
    <t>Niềm tin rằng số tiền thuế đóng sẽ được sử dụng hiệu quả vào việc cải thiện dịch vụ công đang còn hạn chế, do đó mức độ ủng hộ không cao.</t>
  </si>
  <si>
    <t>Giải thích về lý do và mục tiêu của chính sách mới đã rõ ràng hơn so với trước đây. Tuy nhiên, sự minh bạch đầy đủ vẫn cần thời gian để đạt được.</t>
  </si>
  <si>
    <t>Dù các thay đổi có thể mang lại lợi ích tài chính, nhưng quyết định tuân thủ hay không phụ thuộc vào nhiều yếu tố khác như sự phức tạp của quy trình và niềm tin vào cơ quan thuế.</t>
  </si>
  <si>
    <t>Luật Thuế TNCN sửa đổi có nhiều quy định rõ ràng về giảm trừ gia cảnh, điều này làm tăng niềm tin rằng hành vi gian lận sẽ khó xảy ra. Công nghệ hiện đại cũng hỗ trợ việc phát hiện trốn thuế hiệu quả.</t>
  </si>
  <si>
    <t>Nhà nước đã đầu tư công nghệ và nhân lực để cải thiện khả năng quản lý thuế, nâng cao khả năng phát hiện và xử lý các hành vi gian lận. Công nghệ AI cũng hỗ trợ việc này.</t>
  </si>
  <si>
    <t>Các quy định về giảm trừ gia cảnh rõ ràng hơn, giúp quá trình khai báo thuế đơn giản hơn. Tuy nhiên, vẫn cần cải thiện trong việc cung cấp dịch vụ trực tuyến.</t>
  </si>
  <si>
    <t>Biểu thuế đơn giản hóa đã làm giảm độ phức tạp, dễ hiểu và thực hiện hơn so với trước đây.</t>
  </si>
  <si>
    <t>Nhà nước đã cải thiện quy định về giảm trừ gia cảnh, tạo sự công bằng trong việc đánh thuế. Tuy nhiên, vẫn có lo ngại về cách áp dụng.</t>
  </si>
  <si>
    <t>Mức thuế mới được thiết kế sao cho hợp lý với thu nhập của tôi, tuy nhiên, cần thêm thông tin minh bạch để tăng niềm tin hơn nữa.</t>
  </si>
  <si>
    <t>Thuế đóng góp vào các dịch vụ công quan trọng như y tế và hạ tầng. Tuy nhiên, hiệu quả sử dụng nguồn thu còn cần được cải thiện.</t>
  </si>
  <si>
    <t>Nhà nước đã giải thích rõ về mục tiêu của việc sửa đổi thuế. Tuy nhiên, thông tin chi tiết về cách thức thực hiện vẫn chưa đầy đủ.</t>
  </si>
  <si>
    <t>Tôi ủng hộ các thay đổi này do giảm gánh nặng thuế và tăng minh bạch. Tuy nhiên, cần thêm thời gian để quen với quy trình mới và cảm thấy tin tưởng hơn.</t>
  </si>
  <si>
    <t>Mức giảm trừ gia cảnh tăng lên, giúp nhiều người không cần khai thuế. Các quy định quản lý thuế hiện nay có thể phát hiện gian lận nhưng chưa rõ khả năng xử lý.</t>
  </si>
  <si>
    <t>Công nghệ hiện đại hỗ trợ việc phát hiện trốn thuế, nhưng vẫn cần nguồn lực và quyết tâm từ cơ quan thuế để thực hiện hiệu quả.</t>
  </si>
  <si>
    <t>Bậc thuế đơn giản hơn, quy trình làm việc với cơ quan thuế cũng thuận tiện hơn so với trước đây. Việc này giảm bớt gian nan trong khai báo thuế.</t>
  </si>
  <si>
    <t>Cách tính thuế và bậc thuế mới đơn giản hơn, dễ hiểu và dễ thực hiện, giúp người dân không còn cảm thấy bị lừa dối về thuế.</t>
  </si>
  <si>
    <t>Nhà nước đã tăng mức giảm trừ gia cảnh, tạo công bằng cho nhiều người. Tuy nhiên, vẫn có lo ngại về việc thực thi chính sách một cách khách quan và công tâm.</t>
  </si>
  <si>
    <t>Mức thuế mới được điều chỉnh phù hợp với thu nhập của tôi, tạo cảm giác công bằng. Các bậc thuế rõ ràng hơn, dễ hiểu hơn so với trước đây.</t>
  </si>
  <si>
    <t>Tăng mức giảm trừ gia cảnh giúp cải thiện dịch vụ công, tuy nhiên vẫn có lo ngại về việc sử dụng hiệu quả số tiền thuế thu được.</t>
  </si>
  <si>
    <t>Các thông tin giải thích về sửa đổi thuế lần này khá đầy đủ và minh bạch. Tuy nhiên, vẫn cần thời gian để kiểm chứng tính thực thi của chính sách.</t>
  </si>
  <si>
    <t>Thu nhập của tôi đã giảm do mức thuế mới thấp hơn so với trước đây, tạo cảm giác công bằng và tin tưởng vào hệ thống thuế. Tuy nhiên, vẫn có lo ngại về việc tuân thủ lâu dài.</t>
  </si>
  <si>
    <t>Biên độ thuế suất cao hơn và mức giảm trừ gia cảnh lớn hơn có thể làm tăng rủi ro phát hiện hành vi trốn thuế.</t>
  </si>
  <si>
    <t>Công nghệ tiên tiến như AI,Big Data của cơ quan thuế giúp phát hiện các gian lận hiệu quả hơn.</t>
  </si>
  <si>
    <t>Mức giảm trừ gia cảnh cao hơn và ít bậc thuế có thể làm thủ tục đơn giản, tiện lợi hơn.</t>
  </si>
  <si>
    <t>Phương án mới với mức thuế thấp hơn đối với thu nhập trung bình giúp việc tính toán dễ dàng hơn.</t>
  </si>
  <si>
    <t>Nâng cao mức giảm trừ gia cảnh và đơn giản hóa biểu thuế có thể làm tăng niềm tin vào sự công bằng của cơ quan thuế.</t>
  </si>
  <si>
    <t>Thuế suất thấp hơn đối với thu nhập trung bình có thể tạo cảm giác mức thuế đóng là công bằng.</t>
  </si>
  <si>
    <t>Những cải cách về thuế có thể tạo niềm tin vào việc sử dụng tiền thuế hiệu quả để nâng cao chất lượng dịch vụ công.</t>
  </si>
  <si>
    <t>Cải chính trong thông báo từ cơ quan thuế giúp người dân hiểu rõ hơn về mục tiêu của cải cách.</t>
  </si>
  <si>
    <t>Tăng giảm trừ gia cảnh và đơn giản hóa thuế suất có thể tạo ra sự ủng hộ từ người dân đối với chính sách mới.</t>
  </si>
  <si>
    <t>Dù mức giảm trừ gia cảnh tăng, nhưng các quy định quản lý thuế hiện tại vẫn còn phức tạp và chưa có nhiều cải tiến về công nghệ phát hiện trốn thuế.</t>
  </si>
  <si>
    <t>Công nghệ và khả năng phát hiện trốn thuế của nhà nước đã được đầu tư cải thiện, nhưng cần thời gian để áp dụng hiệu quả trên thực tế.</t>
  </si>
  <si>
    <t>Biểu thuế đơn giản hơn trước, nhưng quy trình khai báo và làm việc với cơ quan thuế vẫn còn khá rườm rà.</t>
  </si>
  <si>
    <t>Cách tính thuế mới đơn giản hóa nhiều so với trước đây, giúp người dân dễ hiểu và thực hiện.</t>
  </si>
  <si>
    <t>Nhà nước tăng mức giảm trừ gia cảnh, nhưng chưa rõ ràng về cách công bằng đối xử giữa các nhóm thu nhập khác nhau.</t>
  </si>
  <si>
    <t>Mức thuế mới có thể công bằng hơn so với trước đây, nhưng do tôi thuộc nhóm thu nhập trung bình nên không cảm thấy quá thay đổi lớn về mức thuế phải đóng.</t>
  </si>
  <si>
    <t>Đóng thuế để cải thiện dịch vụ công là điều hợp lý, nhưng cần xem xét hiệu quả thực tế của việc sử dụng số tiền thuế này.</t>
  </si>
  <si>
    <t>Thông tin về mục tiêu và lý do sửa đổi thuế chưa được giải thích đầy đủ, gây ra sự hoài nghi về quyết định này.</t>
  </si>
  <si>
    <t>Dù mức thuế có thay đổi nhưng tôi vẫn giữ quan điểm thận trọng trước các quy định mới và cần thời gian để xem xét kỹ hơn.</t>
  </si>
  <si>
    <t>Biện pháp quản lý thuế hiện tại có nhiều cải tiến, nhưng vẫn còn khả năng trốn thuế nếu không tuân thủ chặt chẽ. Cơ quan thuế cần tăng cường công nghệ để phát hiện gian lận.</t>
  </si>
  <si>
    <t>Công nghệ ngày càng tiên tiến, giúp nhà nước theo dõi và phát hiện hành vi trốn thuế một cách hiệu quả hơn. Tuy nhiên, vẫn cần sự hợp tác tích cực từ người nộp thuế.</t>
  </si>
  <si>
    <t>So với trước đây, quy trình khai báo thuế đơn giản hơn và ít rườm rà, nhưng vẫn chưa hoàn toàn thuận tiện. Việc giảm số bậc thuế giúp việc tính toán dễ dàng hơn.</t>
  </si>
  <si>
    <t>Cách tính thuế mới đơn giản, rõ ràng hơn so với trước đây, tạo cảm giác công bằng cho người nộp thuế. Tuy nhiên, vẫn còn một số điểm chưa thuận tiện khi áp dụng.</t>
  </si>
  <si>
    <t>Nhà nước đã cải thiện việc giảm trừ gia cảnh và đơn giản hóa quy trình, tăng niềm tin vào tính công bằng của chính sách. Tuy nhiên, vẫn cần thêm minh bạch trong thực thi.</t>
  </si>
  <si>
    <t>Mức thuế mới được thiết kế phù hợp với thu nhập cá nhân hiện tại, tạo cảm giác công bằng cho người nộp thuế. Tuy nhiên, việc áp dụng vẫn cần thêm thời gian để đánh giá hiệu quả.</t>
  </si>
  <si>
    <t>Thuê mới được cải thiện, nhưng sự minh bạch trong sử dụng nguồn thu còn hạn chế. Cần có các chính sách cụ thể hơn về việc sử dụng thuế vào các dịch vụ công.</t>
  </si>
  <si>
    <t>Nhà nước đã giải thích rõ ràng về mục tiêu cải cách, nhưng cần thêm minh bạch trong quy trình thực hiện. Tuy nhiên, sự cải tiến trong quản lý thuế tạo niềm tin cho người nộp thuế.</t>
  </si>
  <si>
    <t>Sau khi cân nhắc các quyền lợi và nghĩa vụ, tôi ủng hộ chính sách mới vì nó đơn giản hóa quy trình và giảm gánh nặng thuế. Tuy nhiên, cần thêm thời gian để đánh giá hiệu quả.</t>
  </si>
  <si>
    <t>Các quy định quản lý thuế hiện nay đã được cải thiện, với mức giảm trừ gia cảnh tăng cao và việc đơn giản hóa biểu thuế giúp phát hiện gian lận trở nên dễ dàng hơn. Cơ quan thuế có khả năng phát hiện hành vi trốn thuế.</t>
  </si>
  <si>
    <t>Nền tảng công nghệ hiện đại của cơ quan thuế đã được nâng cấp, giúp họ phát hiện và xử lý nghiêm các hành vi trốn thuế một cách hiệu quả. Tăng cường hợp tác giữa các cơ quan cũng hỗ trợ quá trình này.</t>
  </si>
  <si>
    <t>Các quy định về giảm trừ gia cảnh và đơn giản hóa biểu thuế đã làm cho thủ tục khai báo thuế trở nên dễ dàng hơn. Tuy nhiên, việc thực hiện vẫn cần tuân thủ các quy định.</t>
  </si>
  <si>
    <t>Biểu thuế mới có ít bậc hơn và rõ ràng hơn so với trước đây. Người dân dễ dàng tính toán mức thuế phải đóng mà không gặp nhiều khó khăn.</t>
  </si>
  <si>
    <t>Cơ quan thuế đã thực hiện các cải cách để đảm bảo tính công bằng trong việc áp dụng chính sách thuế mới. Các quy định về giảm trừ gia cảnh cũng giúp người dân cảm thấy được đối xử công bằng.</t>
  </si>
  <si>
    <t>Mức thuế mới dựa trên thu nhập có thể coi là hợp lý, nhưng cần thời gian để nhìn nhận thực tế. Người dân còn lo ngại về việc có thể bị đánh thuế quá nhiều hoặc không công bằng.</t>
  </si>
  <si>
    <t>Số tiền thuế đóng sẽ được sử dụng hiệu quả cho các dịch vụ công, nhưng cần thời gian để xem xét thực tế. Người dân còn lo ngại về việc số tiền thuế có thể bị lãng phí.</t>
  </si>
  <si>
    <t>Nhà nước đã cải cách thuế để minh bạch hơn, nhưng thông tin cần được truyền tải rõ ràng hơn nữa để người dân hiểu đầy đủ. Hiện nay, thông điệp giải thích về chính sách vẫn còn chưa thuyết phục được nhiều người.</t>
  </si>
  <si>
    <t>Sau khi xem xét các quyền lợi và nghĩa vụ, tôi ủng hộ chính sách mới vì mức thuế giảm và thủ tục đơn giản hơn. Tuy nhiên, cần thời gian để quen với sự thay đổi.</t>
  </si>
  <si>
    <t>Nguyên tắc quản lý thuế mới sẽ tăng mức giảm trừ gia cảnh, đơn giản hóa quy trình khai báo, giúp phát hiện gian lận dễ dàng hơn. Công nghệ tiên tiến cũng góp phần cải thiện hiệu suất quản lý.</t>
  </si>
  <si>
    <t>Nhà nước và cơ quan thuế đã đầu tư mạnh vào công nghệ để phát hiện trốn thuế, đồng thời có các biện pháp xử lý nghiêm khắc. Tuy nhiên, vẫn còn một số rủi ro về khả năng phát hiện toàn diện.</t>
  </si>
  <si>
    <t>Mức giảm trừ gia cảnh cao hơn và quy trình khai báo đơn giản hơn so với trước đây giúp tiết kiệm thời gian và công sức. Tuy nhiên, vẫn có một số thủ tục cần cải thiện.</t>
  </si>
  <si>
    <t>Biểu thuế được đơn giản hóa từ 7 bậc xuống 5 bậc, giảm bớt sự phức tạp cho người dân trong việc tính toán và khai báo. Tuy nhiên, vẫn có thể còn một số điểm chưa thuận tiện.</t>
  </si>
  <si>
    <t>Nhà nước đã tăng cường các biện pháp quản lý thuế nhằm đảm bảo công bằng và minh bạch trong việc thực thi chính sách. Mức giảm trừ gia cảnh cao hơn cũng tạo niềm tin cho người dân.</t>
  </si>
  <si>
    <t>Mức thuế mới được thiết kế để phù hợp với thu nhập trung bình, tuy nhiên vẫn có một số ý kiến lo ngại về sự công bằng. Mức thuế này được coi là vừa phải đối với người dân.</t>
  </si>
  <si>
    <t>Thuế được sử dụng hiệu quả để cải thiện dịch vụ công như y tế, giáo dục và hạ tầng cơ sở. Tuy nhiên, việc thực hiện mục tiêu này phụ thuộc vào khả năng quản lý của chính phủ.</t>
  </si>
  <si>
    <t>Các thông tin về lý do và mục tiêu cải cách thuế đã được giải thích rõ ràng hơn so với trước đây. Tuy nhiên, vẫn có những ý kiến nghi ngờ về tính minh bạch của việc truyền thông.</t>
  </si>
  <si>
    <t>Sau khi xem xét các quyền lợi và nghĩa vụ, tôi thấy chính sách mới mang lại nhiều lợi ích cho người dân. Tuy nhiên, vẫn còn một số lo ngại về khả năng phát hiện trốn thuế và minh bạch trong quản lý.</t>
  </si>
  <si>
    <t>Mức giảm trừ gia cảnh tăng lên và quy định quản lý thuế được cải thiện, giúp phát hiện các hành vi gian lận trở nên khó khăn hơn. Công nghệ cũng hỗ trợ việc theo dõi và xử lý thuế một cách hiệu quả.</t>
  </si>
  <si>
    <t>Việc sử dụng công nghệ tiên tiến giúp tăng cường khả năng phát hiện trốn thuế, đồng thời hệ thống quản lý thuế được cải thiện. Tuy nhiên, vẫn cần thêm nguồn lực và đào tạo để tối ưu hóa hiệu quả.</t>
  </si>
  <si>
    <t>Mức giảm trừ gia cảnh tăng lên làm đơn giản hóa quá trình khai báo thuế. Các quy định về quy trình làm việc với cơ quan thuế cũng được cải thiện, tạo cảm giác thuận tiện hơn cho người dân.</t>
  </si>
  <si>
    <t>Biểu thuế đơn giản và số bậc giảm xuống từ 7 thành 5, giúp người dân hiểu rõ cách tính thuế một cách dễ dàng hơn. Điều này làm tăng mức độ thuận lợi khi thực hiện các bước cần thiết.</t>
  </si>
  <si>
    <t>Những cải tiến về quy định quản lý thuế và giảm trừ gia cảnh tạo ra sự công bằng đối với người dân nộp thuế. Việc xử lý thuế một cách khách quan, công tâm được đảm bảo thông qua các quy định mới.</t>
  </si>
  <si>
    <t>Mức thuế theo phương án mới phù hợp với thu nhập hiện tại của tôi và tạo ra sự cân đối trong việc phân chia gánh nặng thuế. Điều này thể hiện tính công bằng về mặt tài chính.</t>
  </si>
  <si>
    <t>Số tiền thuế đóng sẽ được sử dụng hiệu quả cho các dịch vụ công, từ đó tạo ra sự tin tưởng rằng mục tiêu cải cách thuế là có ích và hợp lý. Tuy nhiên, cần thêm thông tin về cụ thể việc sử dụng số tiền này.</t>
  </si>
  <si>
    <t>Công bố rõ ràng về mục tiêu của chính sách mới đã tạo ra sự minh bạch trong việc thực hiện các thay đổi. Tuy nhiên, cần thêm thông tin chi tiết để tôi có thể đánh giá một cách toàn diện.</t>
  </si>
  <si>
    <t>Sau khi xem xét cải tiến về quy định thuế và giảm trừ gia cảnh, tôi thấy chính sách mới có lợi cho người dân. Tuy nhiên, cần thêm thông tin chi tiết để hoàn thiện quyết định của mình.</t>
  </si>
  <si>
    <t>Quy định quản lý thuế hiện nay chưa được đề cập chi tiết, nhưng với sự phát triển của công nghệ, khả năng phát hiện trốn thuế có thể tăng lên. Tuy nhiên, không có thông tin cụ thể về việc xử lý nghiêm các hành vi trốn thuế.</t>
  </si>
  <si>
    <t>Công nghệ hiện đại giúp nhà nước và cơ quan thuế phát hiện trốn thuế nhanh chóng hơn. Tuy nhiên, hiệu quả thực tế phụ thuộc vào nguồn lực và khả năng triển khai công nghệ.</t>
  </si>
  <si>
    <t>Biểu thuế được đơn giản hóa từ 7 bậc xuống còn 5 bậc, làm giảm rủi ro cho người nộp thuế. Quy trình làm việc với cơ quan thuế cũng có thể trở nên đơn giản hơn.</t>
  </si>
  <si>
    <t>Mức giảm trừ gia cảnh và quy định mới về biểu thuế khiến quá trình tính thuế trở nên dễ dàng hơn, phù hợp hơn với nhiều đối tượng. Tuy nhiên, mức độ đơn giản hóa còn phụ thuộc vào cách thực hiện.</t>
  </si>
  <si>
    <t>Mức giảm trừ gia cảnh và quy định mới về biểu thuế có thể tạo cảm giác công bằng cho người nộp thuế. Tuy nhiên, quyết định thực thi chính sách vẫn cần sự khách quan từ các cơ quan chức năng.</t>
  </si>
  <si>
    <t>Mức thuế mới được thiết lập dựa trên thu nhập cá nhân của tôi, tạo cảm giác công bằng. Tuy nhiên, việc này phụ thuộc vào cách thực hiện và quản lý trong quá trình nộp thuế.</t>
  </si>
  <si>
    <t>Quy định mới về biểu thuế có thể làm tăng niềm tin rằng số tiền thuế đóng sẽ được sử dụng hiệu quả để cải thiện dịch vụ công. Tuy nhiên, thực tế còn phụ thuộc vào cách quản lý và sử dụng nguồn thu.</t>
  </si>
  <si>
    <t>Thông tin về quy định mới chưa được giải thích rõ ràng, tạo ra sự hoài nghi từ phía người nộp thuế. Tuy nhiên, việc tăng giảm trừ gia cảnh có thể giúp cải thiện niềm tin.</t>
  </si>
  <si>
    <t>Thu nhập của tôi đã giảm nhờ mức giảm trừ gia cảnh mới và quy định về biểu thuế. Điều này tạo ra sự ủng hộ đối với chính sách mới, đồng thời cũng cảm thấy nghĩa vụ tuân thủ hơn vì lợi ích cá nhân.</t>
  </si>
  <si>
    <t>Biểu thuế đơn giản hóa và mức giảm trừ gia cảnh tăng, giúp việc khai báo dễ dàng hơn nhưng khả năng phát hiện trốn thuế vẫn phụ thuộc nhiều vào công nghệ quản lý.</t>
  </si>
  <si>
    <t>Nhà nước đã đầu tư công nghệ để giám sát và phát hiện hành vi trốn thuế, tăng cường kiểm soát nên khả năng xử lý nghiêm là cao.</t>
  </si>
  <si>
    <t>Mức giảm trừ gia cảnh tăng và đơn giản hóa biểu thuế giúp quy trình làm việc với cơ quan thuế trở nên thuận tiện hơn so với trước đây.</t>
  </si>
  <si>
    <t>Biểu thuế mới có ít bậc, mức thuế suất rõ ràng, dễ hiểu hơn so với biểu thuế cũ, giảm bớt sự phức tạp cho người nộp thuế.</t>
  </si>
  <si>
    <t>Chính sách mới tăng cường công bằng và khách quan trong việc đánh thuế thông qua các mức giảm trừ gia cảnh và bậc thuế rõ ràng.</t>
  </si>
  <si>
    <t>Với thu nhập của tôi, mức thuế mới không thay đổi nhiều so với trước đây nên tôi thấy công bằng. Tuy nhiên, vẫn cần sự minh bạch về việc sử dụng số tiền thuế</t>
  </si>
  <si>
    <t>Tôi tin rằng số tiền thuế đóng sẽ được sử dụng hiệu quả để cải thiện dịch vụ công nhưng cần thông tin rõ ràng hơn về cách sử dụng.</t>
  </si>
  <si>
    <t>Chính phủ đã giải thích một phần lý do và mục tiêu của việc sửa đổi thuế, tuy nhiên, tôi mong muốn có thêm thông tin chi tiết về các bước thực hiện.</t>
  </si>
  <si>
    <t>Dù thuận tiện hơn nhưng vẫn cần sự minh bạch và công bằng trong cách thu thuế. Tôi sẽ tuân thủ vì lợi ích dài hạn cho bản thân và cộng đồng</t>
  </si>
  <si>
    <t>Các quy định quản lý thuế hiện nay có thể phát hiện hành vi gian lận, nhưng không rõ ràng về công nghệ xử lý nghiêm trốn thuế.</t>
  </si>
  <si>
    <t>Nhà nước và cơ quan thuế có khả năng và công nghệ để phát hiện trốn thuế, tuy nhiên cần cải thiện hơn nữa trong thực tế.</t>
  </si>
  <si>
    <t>Thủ tục khai báo thuế đơn giản hóa so với trước đây, nhưng vẫn chưa hoàn toàn tiện lợi đối với người dân.</t>
  </si>
  <si>
    <t>Cách tính thuế và các bậc thuế trong phương án mới đơn giản hơn, giúp người nộp thuế dễ hiểu và thực hiện.</t>
  </si>
  <si>
    <t>Niềm tin vào sự công bằng của Nhà nước đối với việc thực thi chính sách mới đang tăng lên do giảm trừ gia cảnh và đơn giản hóa biểu thuế.</t>
  </si>
  <si>
    <t>Mức thuế theo phương án mới được đánh giá là công bằng, phù hợp với thu nhập hiện tại của tôi.</t>
  </si>
  <si>
    <t>Số tiền thuế đóng sẽ được sử dụng hiệu quả để cải thiện dịch vụ công, nhưng cần thêm thông tin về việc này từ Nhà nước.</t>
  </si>
  <si>
    <t>Nhà nước đã giải thích rõ ràng về mục tiêu của việc sửa đổi thuế, nhưng vẫn cần minh bạch hơn trong quá trình thực thi.</t>
  </si>
  <si>
    <t>Sau khi xem xét các quyền lợi và nghĩa vụ, tôi ủng hộ chính sách mới vì nó đơn giản hóa thủ tục và công bằng hơn so với trước đây.</t>
  </si>
  <si>
    <t>Tăng cường công nghệ và quản lý thuế có thể phát hiện gian lận, nhưng vẫn cần sự tuân thủ của cá nhân.</t>
  </si>
  <si>
    <t>Công nghệ hiện đại giúp tăng cường khả năng phát hiện trốn thuế, tạo niềm tin vào hệ thống.</t>
  </si>
  <si>
    <t>Mức giảm trừ gia cảnh cao hơn và biểu thuế đơn giản hơn làm thủ tục khai báo dễ dàng hơn.</t>
  </si>
  <si>
    <t>Bậc thuế được đơn giản hóa, rõ ràng hơn nên việc tính toán thu nhập chịu thuế trở nên dễ dàng.</t>
  </si>
  <si>
    <t>Giảm trừ gia cảnh tăng và biểu thuế đơn giản hơn tạo cảm giác công bằng trong việc thực thi chính sách.</t>
  </si>
  <si>
    <t>Thuế suất mới được thiết kế dựa trên mức thu nhập, nhưng vẫn cần xem xét tổng thể để đánh giá tính công bằng.</t>
  </si>
  <si>
    <t>Giảm trừ gia cảnh tăng và biểu thuế đơn giản hơn tạo cảm giác số tiền đóng thuế sẽ được sử dụng hiệu quả.</t>
  </si>
  <si>
    <t>Thông tin về cải cách thuế chưa được giải thích rõ ràng, cần thêm thông tin minh bạch để thuyết phục.</t>
  </si>
  <si>
    <t>Thuế suất mới có lợi cho thu nhập thấp hơn nhưng vẫn cần cân nhắc giữa nghĩa vụ và quyền lợi của mình.</t>
  </si>
  <si>
    <t>Tăng mức giảm trừ gia cảnh và đơn giản hóa biểu thuế có thể làm giảm hành vi gian lận, tuy nhiên khả năng phát hiện trốn thuế vẫn phụ thuộc vào công nghệ và nguồn lực của cơ quan thuế.</t>
  </si>
  <si>
    <t>Công nghệ ngày càng tiên tiến, việc sử dụng AI trong xác định hành vi gian lận có thể tăng hiệu quả phát hiện trốn thuế, nhưng vẫn cần nguồn lực và hợp tác từ phía người nộp thuế.</t>
  </si>
  <si>
    <t>Mức giảm trừ gia cảnh cao hơn và số bậc thuế ít đi có thể đơn giản hóa quy trình khai báo, tuy nhiên việc thực hiện qua mạng cần thời gian quen thuộc đối với người lớn tuổi.</t>
  </si>
  <si>
    <t>Biểu thuế đơn giản hơn nhưng vẫn cần sự hiểu biết về các bậc thuế mới để tính toán chính xác, dễ dàng hơn so với trước đây nhưng chưa hoàn toàn tiện lợi.</t>
  </si>
  <si>
    <t>Nhà nước đã cải thiện giảm trừ gia cảnh và đơn giản hóa biểu thuế, tạo cảm giác công bằng đối với người thu nhập thấp trung bình. Tuy nhiên vẫn cần minh bạch hơn về cách sử dụng nguồn thuế.</t>
  </si>
  <si>
    <t>Mức thuế mới phù hợp với thu nhập của tôi, tuy nhiên cảm giác công bằng còn phụ thuộc vào việc thực tế số tiền thuế có được dùng hiệu quả như cam kết hay không.</t>
  </si>
  <si>
    <t>Cải cách thuế đã được giải thích rõ ràng nhưng chưa đầy đủ, đặc biệt là về mục tiêu dài hạn và hiệu quả thực tế trong việc cải thiện chất lượng dịch vụ công.</t>
  </si>
  <si>
    <t>Sau khi xem xét các quyền lợi từ chính sách mới như giảm trừ gia cảnh cao hơn, tôi cảm thấy ủng hộ. Tuy nhiên, quyết định tuân thủ còn phụ thuộc vào việc thực tế số tiền thuế có được sử dụng hiệu quả hay không.</t>
  </si>
  <si>
    <t>Nguyên tắc quản lý thuế hiện nay đã được cải thiện, tăng mức giảm trừ gia cảnh và đơn giản hóa biểu thuế. Các quy định rõ ràng hơn giúp phát hiện hành vi gian lận.</t>
  </si>
  <si>
    <t>Công nghệ ngày càng tiên tiến, có khả năng phát hiện trốn thuế nhanh chóng và chính xác hơn. Tuy nhiên, vẫn cần cải thiện về mặt công khai trong việc xử lý các trường hợp.</t>
  </si>
  <si>
    <t>Sau khi xem xét, quy trình làm việc với cơ quan thuế đã đơn giản và nhanh chóng hơn. Tuy nhiên, vẫn còn một số thủ tục cần cải thiện.</t>
  </si>
  <si>
    <t>Cách tính thuế và các bậc thuế mới đơn giản hóa nhiều so với trước đây, giảm bớt sự phức tạp cho người nộp thuế.</t>
  </si>
  <si>
    <t>Trách nhiệm của cơ quan thuế trong việc thực thi chính sách công bằng hơn. Tuy nhiên, vẫn cần thêm minh bạch về cách sử dụng số tiền thuế thu được.</t>
  </si>
  <si>
    <t>Mức thuế mới có vẻ hợp lý so với thu nhập của tôi. Sự đơn giản hóa giúp tôi cảm thấy công bằng hơn trong việc đóng thuế.</t>
  </si>
  <si>
    <t>Số tiền thuế đóng sẽ được sử dụng hiệu quả cho các dịch vụ công ích, nhưng cần thêm thông tin về cách sử dụng cụ thể.</t>
  </si>
  <si>
    <t>Tài liệu giải thích rõ ràng hơn về mục tiêu của chính sách mới. Tuy nhiên, tôi mong muốn có thêm thông tin chi tiết về cách thực hiện để đảm bảo minh bạch.</t>
  </si>
  <si>
    <t>Trách nhiệm và lợi ích được cân nhắc kỹ lưỡng. Tôi ủng hộ chính sách này vì nó mang lại nhiều lợi ích cho người dân và đơn giản hóa quy trình nộp thuế.</t>
  </si>
  <si>
    <t>Luật mới không đề cập rõ về công nghệ, khả năng phát hiện trốn thuế.</t>
  </si>
  <si>
    <t>Công nghệ và khả năng của cơ quan thuế được cải thiện nhưng chưa chắc chắn.</t>
  </si>
  <si>
    <t>Mức giảm trừ gia cảnh cao hơn, thủ tục khai báo đơn giản hơn trước.</t>
  </si>
  <si>
    <t>Biểu thuế được đơn giản hóa, các bậc thuế suất rõ ràng hơn.</t>
  </si>
  <si>
    <t>Nhìn chung Nhà nước có thể thực thi một cách công tâm nhưng còn phụ thuộc vào việc kiểm soát và giám sát.</t>
  </si>
  <si>
    <t>Mức thuế mới được điều chỉnh, phù hợp với thu nhập hiện tại của tôi.</t>
  </si>
  <si>
    <t>Đây là lần đầu tiên có cải cách thuế nên không thể đánh giá hiệu quả ngay lập tức.</t>
  </si>
  <si>
    <t>Thông tin về lý do và mục tiêu sửa đổi chưa được giải thích rõ ràng.</t>
  </si>
  <si>
    <t>Thu nhập của tôi giảm nên tôi ủng hộ, đồng thời cũng lo ngại việc tuân thủ.</t>
  </si>
  <si>
    <t>Hiện nay, mức giảm trừ gia cảnh tăng đáng kể và có thêm người phụ thuộc, giúp giảm gánh nặng thuế cho nhiều người. Tuy nhiên, khả năng phát hiện trốn thuế vẫn còn phụ thuộc vào công nghệ và nguồn lực của cơ quan thuế.</t>
  </si>
  <si>
    <t>Công nghệ ngày càng tiên tiến, có thể giúp tăng cường phát hiện hành vi gian lận. Tuy nhiên, việc xử lý nghiêm các trường hợp trốn thuế vẫn cần thời gian và nguồn lực.</t>
  </si>
  <si>
    <t>Biểu thuế được đơn giản hóa, giảm số bậc từ 7 xuống còn 5, giúp quy trình khai báo trở nên dễ dàng hơn. Tuy nhiên, các thủ tục với cơ quan thuế vẫn chưa thực sự thuận tiện.</t>
  </si>
  <si>
    <t>Cách tính thuế đơn giản hơn và có ít bậc hơn, nhưng người nộp thuế cần thời gian để làm quen. Cách tính cũ khá phức tạp nên cải cách này là một bước tiến.</t>
  </si>
  <si>
    <t>Nhà nước đã tăng giảm trừ gia cảnh và đơn giản hóa biểu thuế, tạo ra sự công bằng hơn cho người nộp thuế. Tuy nhiên, vẫn cần thời gian để thấy được hiệu quả thực tế trong thực thi.</t>
  </si>
  <si>
    <t>Nhìn chung mức thuế mới phù hợp với thu nhập của tôi và tạo cảm giác công bằng hơn so với trước đây. Tuy nhiên, vẫn cần thời gian để thấy hiệu quả thực tế.</t>
  </si>
  <si>
    <t>Dù giảm trừ gia cảnh tăng nhưng mức thuế mới vẫn được xem là công bằng đối với thu nhập của tôi. Tôi tin rằng số tiền đóng sẽ được sử dụng hiệu quả cho mục đích chung.</t>
  </si>
  <si>
    <t>Chính phủ đã giải thích rõ ràng về cải cách thuế, nhưng cần thêm thời gian để cảm nhận sự minh bạch và công bằng của chính sách mới. Hiện tại vẫn còn nhiều thông tin cần cung cấp.</t>
  </si>
  <si>
    <t>Sau khi xem xét các quyền lợi và nghĩa vụ, tôi ủng hộ chính sách mới do giảm gánh nặng thuế và cảm thấy công bằng hơn so với trước đây. Tuy nhiên, vẫn cần thêm thời gian để đánh giá hiệu quả thực tế.</t>
  </si>
  <si>
    <t>Chính phủ đã tăng cường quản lý thuế với mức giảm trừ gia cảnh cao hơn, giúp phát hiện hành vi trốn thuế khó khăn hơn.</t>
  </si>
  <si>
    <t>Công nghệ và khả năng của cơ quan thuế được cải thiện, tuy nhiên vẫn cần thời gian để hoàn thiện các hệ thống mới.</t>
  </si>
  <si>
    <t>Biểu thuế đơn giản hơn, giảm số bậc từ 7 xuống còn 5, giúp quy trình khai báo và làm việc với cơ quan thuế thuận tiện hơn.</t>
  </si>
  <si>
    <t>Cách tính thuế mới đơn giản hóa các bậc thuế, dễ hiểu hơn so với trước đây, giảm rào cản cho người dân trong việc tính toán.</t>
  </si>
  <si>
    <t>Nợn thuế được tăng và cơ cấu thuế hợp lý, tạo niềm tin rằng chính phủ sẽ thực thi công bằng đối với mọi người nộp thuế.</t>
  </si>
  <si>
    <t>Mức thuế mới dựa trên thu nhập cá nhân của tôi là hợp lý, tôi thấy nó phản ánh đúng mức thu nhập nên cho là công bằng.</t>
  </si>
  <si>
    <t>Giảm trừ gia cảnh tăng và biểu thuế đơn giản giúp số tiền đóng thuế giảm, tạo niềm tin rằng tiền thuế sẽ được sử dụng hiệu quả.</t>
  </si>
  <si>
    <t>Những thông tin giải thích về chính sách mới chưa đầy đủ khiến tôi lo ngại về việc thực thi công bằng trong tương lai.</t>
  </si>
  <si>
    <t>Niềm tin và cảm giác công bằng cao, cùng với quy trình làm việc đơn giản giúp tôi sẵn sàng tuân thủ chính sách mới.</t>
  </si>
  <si>
    <t>Mức giảm trừ gia cảnh tăng lên, giúp tôi tiết kiệm nhiều thuế hơn. Tuy nhiên, việc sử dụng công nghệ để phát hiện trốn thuế vẫn còn hạn chế.</t>
  </si>
  <si>
    <t>Nhà nước đã đầu tư vào hệ thống quản lý thuế mới, nhưng chưa rõ hiệu quả thực tế trong việc phát hiện hành vi trốn thuế.</t>
  </si>
  <si>
    <t>Thủ tục khai báo thuế đơn giản hơn với ít bậc thuế. Tuy nhiên, quy trình làm việc với cơ quan thuế vẫn còn chậm chạp.</t>
  </si>
  <si>
    <t>Cách tính thuế và các bậc thuế trong phương án mới đơn giản hơn so với trước đây, giúp tôi dễ dàng tính toán.</t>
  </si>
  <si>
    <t>Nhà nước đã tăng mức giảm trừ gia cảnh, tạo cảm giác công bằng. Tuy nhiên, còn nhiều nghi ngờ về cách thực thi chính sách.</t>
  </si>
  <si>
    <t>Mức thuế mới có thể phù hợp với thu nhập của tôi, nhưng chưa rõ ràng về cơ sở tính toán.</t>
  </si>
  <si>
    <t>Tôi tin rằng số tiền thuế đóng sẽ được sử dụng hiệu quả vào việc cải thiện dịch vụ công. Tuy nhiên, cần thêm thông tin về cách quản lý ngân sách thuế.</t>
  </si>
  <si>
    <t>Nhà nước đã giải thích rõ về thay đổi mới nhưng chưa thuyết phục hoàn toàn. Thông tin về mục tiêu chính sách còn hạn chế.</t>
  </si>
  <si>
    <t>Thu nhập của tôi giảm do mức thuế thấp hơn, nhưng quy định mới đơn giản và công bằng hơn so với trước đây. Tôi sẽ tiếp tục tuân thủ.</t>
  </si>
  <si>
    <t>Việc tăng mức giảm trừ gia cảnh và đơn giản hóa biểu thuế có thể làm giảm rủi ro trốn thuế, nhưng khả năng phát hiện vẫn phụ thuộc nhiều vào công nghệ và nguồn lực của cơ quan thuế. Công nghệ hiện nay đã cải thiện đáng kể nhưng chưa chắc chắn 100%</t>
  </si>
  <si>
    <t>Nguyên tắc chung là cơ quan thuế có đủ khả năng phát hiện trốn thuế, nhưng thực tế vẫn phụ thuộc vào nguồn lực và công nghệ. Công nghệ đã cải thiện đáng kể so với trước đây</t>
  </si>
  <si>
    <t>Số bậc thuế giảm đi và mức giảm trừ gia cảnh cao hơn có thể làm đơn giản hóa quy trình khai báo, nhưng vẫn cần thời gian để mọi người quen thuộc với các thay đổi</t>
  </si>
  <si>
    <t>Cách tính thuế mới rõ ràng và dễ hiểu hơn so với trước đây, đặc biệt là đối với những người có thu nhập thấp. Tuy nhiên, vẫn cần thời gian để mọi người nắm bắt đầy đủ</t>
  </si>
  <si>
    <t>Những thay đổi về giảm trừ gia cảnh và mức thuế suất có thể làm tăng niềm tin vào tính công bằng của hệ thống thuế. Tuy nhiên, vẫn cần thời gian để mọi người cảm thấy hài lòng hơn</t>
  </si>
  <si>
    <t>Mức thuế mới được thiết kế dựa trên thu nhập nên tôi cho rằng nó là hợp lý đối với mức thu nhập của mình. Tuy nhiên, vẫn cần thời gian để mọi người cảm thấy hài lòng hơn</t>
  </si>
  <si>
    <t>Giảm trừ gia cảnh và mức thuế suất mới có thể làm tăng niềm tin vào việc sử dụng hiệu quả số tiền thuế. Tuy nhiên, vẫn cần thời gian để mọi người cảm thấy hài lòng hơn</t>
  </si>
  <si>
    <t>Những thay đổi về thuế đã được giải thích rõ ràng và công khai, tuy nhiên, do tôi là người đa nghi nên vẫn cần thêm thời gian để thuyết phục</t>
  </si>
  <si>
    <t>Sau khi xem xét các quyền lợi và nghĩa vụ mới, tôi ủng hộ chính sách thuế này. Tuy nhiên, tôi cần thời gian để quen với quy trình khai báo mới</t>
  </si>
  <si>
    <t>Thuật toán phát hiện gian lận và trốn thuế được cải thiện, mức giảm trừ gia cảnh tăng nên việc tuân thủ sẽ dễ dàng hơn.</t>
  </si>
  <si>
    <t>Công nghệ hiện đại hỗ trợ phát hiện hành vi gian lận hiệu quả hơn, cùng với đó là sự minh bạch và công khai trong quy trình quản lý thuế.</t>
  </si>
  <si>
    <t>Mức giảm trừ gia cảnh tăng, số bậc thuế giảm từ 7 xuống 5 nên quá trình khai báo thuế đơn giản hơn.</t>
  </si>
  <si>
    <t>Cách tính thuế và các bậc thuế trong phương án mới được đơn giản hóa so với trước đây, dễ hiểu và thực hiện hơn.</t>
  </si>
  <si>
    <t>Thuật toán quản lý thuế công khai hơn, mức giảm trừ gia cảnh tăng nên tôi tin rằng việc áp dụng thuế là công bằng đối với mọi người nộp thuế.</t>
  </si>
  <si>
    <t>Mức thuế mới được thiết kế dựa trên thu nhập, do đó tôi thấy rằng mức thuế này là hợp lý và công bằng.</t>
  </si>
  <si>
    <t>Thuật toán quản lý thuế minh bạch hơn, số tiền thuế đóng sẽ được sử dụng hiệu quả cho các dịch vụ công ích.</t>
  </si>
  <si>
    <t>Thông tin về việc sửa đổi thuế được giải thích rõ ràng và công khai, tôi tin rằng mục tiêu của chính sách là minh bạch.</t>
  </si>
  <si>
    <t>Do mức thuế mới hợp lý, giảm trừ gia cảnh tăng nên tôi sẵn sàng tuân thủ chính sách mới.</t>
  </si>
  <si>
    <t>Hiện nay, với mức giảm trừ gia cảnh cao hơn và các quy định quản lý thuế chặt chẽ hơn, hành vi gian lận hoặc trốn thuế sẽ khó xảy ra. Công nghệ hiện đại cũng giúp cơ quan thuế dễ dàng phát hiện các hoạt động bất thường.</t>
  </si>
  <si>
    <t>Công nghệ tiên tiến và hệ thống quản lý thuế hiệu quả đã được áp dụng, tăng cường khả năng phát hiện trốn thuế. Tuy nhiên, vẫn cần cải thiện hơn nữa để giảm rủi ro gian lận.</t>
  </si>
  <si>
    <t>Mức độ thuận tiện trong khai báo thuế và làm việc với cơ quan thuế đã được đơn giản hóa, đặc biệt là với mức giảm trừ gia cảnh tăng cao. Điều này tạo cảm giác thuận lợi hơn cho người nộp thuế.</t>
  </si>
  <si>
    <t>Cách tính thuế mới có ít bậc hơn và rõ ràng hơn so với trước đây, giúp việc phân loại thu nhập dễ dàng và dễ hiểu hơn. Tuy nhiên, vẫn cần thêm thời gian để người dân quen thuộc.</t>
  </si>
  <si>
    <t>Nhà nước đã tăng mức giảm trừ gia cảnh đáng kể, tạo cảm giác công bằng cho người nộp thuế. Phương án mới được thể hiện là khách quan và công bằng đối với mọi người dân.</t>
  </si>
  <si>
    <t>Đối với thu nhập trung bình của tôi, mức thuế mới có vẻ hợp lý so với trước đây. Tuy nhiên, vẫn cần thêm thời gian để đánh giá thực tế về hiệu quả của chính sách.</t>
  </si>
  <si>
    <t>Tăng giảm trừ gia cảnh và đơn giản hóa biểu thuế tạo cảm giác số tiền đóng thuế sẽ được sử dụng hiệu quả. Tuy nhiên, vẫn cần thời gian để thấy kết quả cụ thể từ việc cải cách.</t>
  </si>
  <si>
    <t>Nhà nước đã giải thích rõ ràng về mục tiêu của chính sách mới, tạo cảm giác minh bạch và tin cậy. Tuy nhiên, vẫn cần thêm thông tin để đánh giá toàn diện hơn về hiệu quả.</t>
  </si>
  <si>
    <t>Chính sách mới đã giảm gánh nặng thuế cho tôi đáng kể nhờ mức giảm trừ gia cảnh tăng cao và đơn giản hóa biểu thuế. Tôi sẵn sàng tuân thủ chính sách này do lợi ích rõ ràng mà nó mang lại.</t>
  </si>
  <si>
    <t>Tăng cường quản lý thuế và công nghệ phát hiện gian lận giúp giảm nguy cơ trốn thuế, tuy nhiên vẫn còn nhiều yếu tố phụ thuộc vào thực thi.</t>
  </si>
  <si>
    <t>Công nghệ hiện đại hỗ trợ tốt cho việc phát hiện và xử lý gian lận, nhưng cần sự phối hợp đồng bộ giữa các cơ quan.</t>
  </si>
  <si>
    <t>Giảm số bậc thuế và đơn giản hóa quy trình khai báo tạo cảm giác thuận tiện hơn cho người dân.</t>
  </si>
  <si>
    <t>Simplification of tax brackets and calculation methods make the process more understandable, but may still require adjustments for some taxpayers.</t>
  </si>
  <si>
    <t>Fairness is improved with higher personal exemption amounts, which can increase trust in tax administration's impartiality.</t>
  </si>
  <si>
    <t>Tax rates are more progressive and equitable, but the perception of fairness may vary based on individual income levels.</t>
  </si>
  <si>
    <t>The improved personal exemption amounts can contribute to a sense of reciprocity, as people feel their contributions support public services.</t>
  </si>
  <si>
    <t>Clear communication about the rationale for tax reforms could improve trust in government's accountability and transparency.</t>
  </si>
  <si>
    <t>Overall, the revised tax policy offers benefits that can increase support and compliance among taxpayers. However, individual circumstances may influence final decision.</t>
  </si>
  <si>
    <t>Theo thông tin, các quy định quản lý thuế hiện nay đã được cải cách, nhưng không có nhiều chi tiết về công nghệ và khả năng phát hiện trốn thuế. Do đó, tôi thấy mức độ này chỉ ở mức trung bình.</t>
  </si>
  <si>
    <t>Công nghệ ngày càng tiên tiến giúp nhà nước dễ dàng phát hiện và xử lý các hành vi trốn thuế, tuy nhiên không có thông tin cụ thể về khả năng hiện tại của cơ quan thuế. Do đó, tôi cho điểm là trung bình.</t>
  </si>
  <si>
    <t>Cải cách biểu thuế đã đơn giản hóa quy trình khai báo và làm việc với cơ quan thuế, do đó dễ dàng hơn so với trước đây. Điều này giúp tăng niềm tin vào sự tiện lợi của thủ tục.</t>
  </si>
  <si>
    <t>Biểu thuế mới đơn giản hơn, có ít bậc thuế và ngưỡng chịu thuế rõ ràng hơn, do đó dễ hiểu và thực hiện dễ dàng hơn. Điều này tăng cảm giác về sự công bằng trong quá trình tính thuế.</t>
  </si>
  <si>
    <t>Cải cách thuế đã mang lại nhiều lợi ích cho tôi như mức giảm trừ gia cảnh cao hơn, do đó tôi tin rằng các quy định mới sẽ được thực thi một cách khách quan và công bằng. Tuy nhiên, do vẫn còn nghi ngờ về khả năng phát hiện trốn thuế nên điểm không quá cao.</t>
  </si>
  <si>
    <t>Mức thuế mới giảm đi đáng kể so với trước đây, điều này làm tôi cảm thấy công bằng khi so sánh mức đóng thuế của mình. Tuy nhiên, do vẫn còn nghi ngờ về khả năng thực thi chính sách nên điểm không quá cao.</t>
  </si>
  <si>
    <t>Cải cách thuế đã giảm gánh nặng tài chính cho tôi và gia đình, do đó tôi tin rằng số tiền thuế đóng sẽ được sử dụng hiệu quả để cải thiện dịch vụ công. Tuy nhiên, do vẫn còn nghi ngờ về khả năng thực thi chính sách nên điểm không quá cao.</t>
  </si>
  <si>
    <t>Cải cách thuế đã đơn giản hóa quy trình và giảm bớt sự phức tạp, tôi cảm thấy Nhà nước đã giải thích rõ ràng về mục tiêu của cải cách. Tuy nhiên, do vẫn còn nghi ngờ về khả năng thực thi chính sách nên điểm không quá cao.</t>
  </si>
  <si>
    <t>Cải cách thuế mang lại nhiều lợi ích cho tôi như mức giảm trừ gia cảnh cao hơn và đơn giản hóa quy trình. Tuy nhiên, do vẫn còn nghi ngờ về khả năng thực thi chính sách nên quyết định cuối cùng của tôi là ủng hộ nhưng chưa cam kết hoàn toàn.</t>
  </si>
  <si>
    <t>Các quy định quản lý thuế hiện nay được cải thiện, nhưng vẫn còn nhiều rủi ro cho người trốn thuế. Việc phát hiện hành vi gian lận và xử lý nghiêm có thể bị hạn chế do nguồn lực và công nghệ chưa đủ mạnh.</t>
  </si>
  <si>
    <t>Công nghệ hiện nay đã tiên tiến hơn so với trước đây, tuy nhiên vẫn còn nhiều thách thức trong việc phát hiện trốn thuế. Tuy nhiên, Nhà nước đang đầu tư vào công nghệ và nhân lực để cải thiện.</t>
  </si>
  <si>
    <t>Đơn giản hóa biểu thuế từ 7 bậc xuống còn 5 bậc, giảm tải cho người nộp thuế và làm việc với cơ quan thuế trở nên dễ dàng hơn. Tuy nhiên, quy trình khai báo thuế vẫn có thể phức tạp.</t>
  </si>
  <si>
    <t>Cách tính thuế và các bậc thuế mới đơn giản hơn so với trước đây, người dân dễ hiểu và thực hiện theo quy định. Tuy nhiên, việc áp dụng cụ thể vào thực tế có thể gặp một số khó khăn.</t>
  </si>
  <si>
    <t>Nhà nước đã cải thiện nhiều về công bằng trong việc giảm trừ gia cảnh và đơn giản hóa biểu thuế. Điều này làm tăng niềm tin rằng chính sách mới được áp dụng một cách khách quan, công bằng.</t>
  </si>
  <si>
    <t>Mức thuế mới được thiết kế dựa trên thu nhập, nhưng vẫn còn nhiều người có ý kiến trái chiều về tính công bằng của nó. Tuy nhiên, mức giảm trừ gia cảnh đã cải thiện đáng kể.</t>
  </si>
  <si>
    <t>Niềm tin vào việc sử dụng hiệu quả số tiền thuế thu được cần thời gian để cải thiện. Tuy nhiên, với nhiều cải cách trong lĩnh vực y tế và hạ tầng, người dân có thể cảm thấy hơn về việc sử dụng tiền thuế.</t>
  </si>
  <si>
    <t>Nhà nước đã nỗ lực giải thích rõ ràng về mục tiêu cải cách thuế, tuy nhiên vẫn còn nhiều thông tin chưa đủ minh bạch cho người dân. Tuy vậy, việc tăng cường truyền thông trong tương lai sẽ giúp cải thiện.</t>
  </si>
  <si>
    <t>Sau khi xem xét các quyền lợi và nghĩa vụ, tôi thấy chính sách mới có nhiều ưu điểm về công bằng và thuận tiện. Tuy nhiên, vẫn còn một số lo ngại về khả năng phát hiện trốn thuế và minh bạch trong truyền thông.</t>
  </si>
  <si>
    <t>Biểu thuế đơn giản, ngưỡng chịu thuế cao hơn giúp giảm rủi ro trốn thuế. Công nghệ phát hiện gian lận được đề cập trong ENF2 tăng thêm khả năng xử lý nghiêm.</t>
  </si>
  <si>
    <t>Công nghệ tiên tiến và nguồn lực của cơ quan thuế cho phép phát hiện và xử lý trốn thuế hiệu quả, giảm rủi ro cho người dân.</t>
  </si>
  <si>
    <t>Mức giảm trừ gia cảnh cao hơn và biểu thuế đơn giản giúp quy trình khai báo trở nên thuận tiện hơn. Tuy nhiên, vẫn còn yêu cầu thông tin từ người nộp thuế.</t>
  </si>
  <si>
    <t>Biểu thuế đơn giản với ít bậc hơn dễ hiểu và thực hiện nhanh chóng hơn so với trước đây.</t>
  </si>
  <si>
    <t>Niềm tin vào sự công bằng của cơ quan thuế tăng nhờ mức giảm trừ gia cảnh cao hơn và biểu thuế rõ ràng. Tuy nhiên, vẫn còn nghi ngại về khả năng thực thi.</t>
  </si>
  <si>
    <t>Thuế suất và ngưỡng chịu thuế hợp lý dựa trên thu nhập cá nhân. Điều này thể hiện tính công bằng trong việc phân bổ gánh nặng thuế</t>
  </si>
  <si>
    <t>Niềm tin vào việc sử dụng hiệu quả số tiền thuế đóng tăng nhờ mức giảm trừ gia cảnh cao hơn và biểu thuế đơn giản. Tuy nhiên, vẫn còn lo ngại về khả năng thực hiện.</t>
  </si>
  <si>
    <t>Giải thích về mục tiêu của chính sách mới rõ ràng nhưng không đầy đủ. Công nghệ phát hiện trốn thuế được đề cập trong ENF2 tăng thêm niềm tin vào tính minh bạch</t>
  </si>
  <si>
    <t>Chấp nhận chính sách vì mức giảm trừ gia cảnh cao hơn và biểu thuế đơn giản, nhưng vẫn có lo ngại về khả năng thực thi và hiệu quả của chính sách.</t>
  </si>
  <si>
    <t>Việc tăng giảm trừ gia cảnh và đơn giản hóa biểu thuế có thể làm giảm khả năng phát hiện hành vi trốn thuế, do đó không hoàn toàn tin tưởng.</t>
  </si>
  <si>
    <t>Tăng cường quản lý thuế và công nghệ mới có thể giúp phát hiện trốn thuế hiệu quả hơn, nhưng cần thời gian để triển khai đầy đủ.</t>
  </si>
  <si>
    <t>Biểu thuế đơn giản hóa từ 7 bậc xuống còn 5 bậc làm giảm độ phức tạp, tạo thuận lợi cho quá trình khai báo thuế.</t>
  </si>
  <si>
    <t>Cách tính thuế mới rõ ràng hơn so với trước đây, nhưng mức thuế suất vẫn khá cao đối với thu nhập cao, có thể gây khó hiểu.</t>
  </si>
  <si>
    <t>Nâng cao giảm trừ gia cảnh và đơn giản hóa biểu thuế tạo cảm giác công bằng hơn, tuy nhiên không chắc chắn về cách thực thi.</t>
  </si>
  <si>
    <t>Mức thuế mới có thể xem là công bằng cho thu nhập trung bình, nhưng đối với thu nhập cao vẫn thấy mức thuế khá nặng.</t>
  </si>
  <si>
    <t>Nâng cao giảm trừ gia cảnh và đơn giản hóa biểu thuế tạo cảm giác tin tưởng hơn về việc sử dụng số tiền thuế vào mục đích công cộng.</t>
  </si>
  <si>
    <t>Chính phủ đã cung cấp thông tin rõ ràng về thay đổi thuế, nhưng vẫn cần thêm minh bạch về mục tiêu chính sách mới.</t>
  </si>
  <si>
    <t>Nâng cao giảm trừ gia cảnh và đơn giản hóa biểu thuế tạo thuận lợi cho việc tuân thủ, nhưng mức thuế đối với thu nhập cao vẫn gây lo ngại.</t>
  </si>
  <si>
    <t>Mức giảm trừ gia cảnh tăng và quy định quản lý thuế rõ ràng hơn, làm giảm khả năng trốn thuế.</t>
  </si>
  <si>
    <t>Công nghệ hiện đại có thể dễ dàng phát hiện gian lận thông qua dữ liệu điện tử của ngân hàng và các dịch vụ khác.</t>
  </si>
  <si>
    <t>Mức giảm trừ gia cảnh cao hơn, ít bậc thuế và quy định rõ ràng giúp quá trình khai báo đơn giản hơn.</t>
  </si>
  <si>
    <t>Biểu thuế đơn giản, chỉ có 5 bậc thay vì 7 bậc trước đây, dễ hiểu và thực hiện nhanh chóng hơn.</t>
  </si>
  <si>
    <t>Nhà nước đã tăng giảm trừ gia cảnh và cung cấp thông tin rõ ràng về quy định mới, tạo niềm tin vào tính công bằng của chính sách.</t>
  </si>
  <si>
    <t>Mức thuế mới phù hợp với thu nhập hiện tại, cảm thấy mức đóng là công bằng so với trước đây.</t>
  </si>
  <si>
    <t>Tăng giảm trừ gia cảnh giúp số tiền đóng thuế ít hơn, tạo niềm tin rằng tiền thuế được sử dụng hiệu quả cho các dịch vụ công</t>
  </si>
  <si>
    <t>Nhà nước đã giải thích rõ ràng về mục tiêu của chính sách mới thông qua nhiều kênh truyền thông.</t>
  </si>
  <si>
    <t>Thu nhập của tôi không thay đổi nhiều so với trước đây, mức thuế mới phù hợp và giảm gánh nặng cho cá nhân nên sẽ tuân thủ.</t>
  </si>
  <si>
    <t>Dù tăng cường quản lý và công nghệ phát triển, nhưng mức độ trốn thuế vẫn còn tồn tại. Việc kiểm soát toàn diện vẫn khó hoàn thiện.</t>
  </si>
  <si>
    <t>Công nghệ hiện đại giúp phát hiện nhanh chóng hành vi trốn thuế, tuy nhiên, sự phức tạp của hệ thống và khả năng ứng dụng công nghệ không đồng đều giữa các địa phương có thể là trở ngại.</t>
  </si>
  <si>
    <t>Mức giảm trừ gia cảnh tăng lên giúp đơn giản hóa quy trình khai báo thuế, nhưng vẫn cần cải tiến nhiều để đạt hiệu quả tối ưu.</t>
  </si>
  <si>
    <t>Biểu thuế được đơn giản hóa, tạo cảm giác thuận tiện hơn cho người nộp thuế. Tuy nhiên, mức thuế mới có thể gây bất lợi cho một số đối tượng.</t>
  </si>
  <si>
    <t>Trách nhiệm của nhà nước trong việc công bằng và khách quan trong thực thi chính sách chưa được đảm bảo đầy đủ. Sự minh bạch về quy trình vẫn còn hạn chế.</t>
  </si>
  <si>
    <t>Mức thuế mới có thể làm cho một số đối tượng cảm thấy công bằng, nhưng tổng thể cần cải thiện để phản ánh đúng hơn tình hình thực tế của từng đối tượng</t>
  </si>
  <si>
    <t>Việc sử dụng thu nhập từ thuế vào các dịch vụ công chưa được minh bạch và hiệu quả. Người dân vẫn còn nghi ngờ về cách quản lý nguồn thu.</t>
  </si>
  <si>
    <t>Thông tin giải thích về chính sách mới không rõ ràng và đầy đủ, gây ra sự hoài nghi trong người dân</t>
  </si>
  <si>
    <t>Dù các quyền lợi từ chính sách mới có thể làm tăng mức thu nhập thực tế, nhưng sự phức tạp và yếu tố công bằng chưa tạo nên niềm tin vững chắc. Thực tế, việc tuân thủ vẫn phụ thuộc nhiều vào quyết định cá nhân.</t>
  </si>
  <si>
    <t>Quy định quản lý thuế hiện nay có nhiều cải tiến, tuy nhiên vẫn còn nhiều rủi ro về việc trốn thuế do chưa áp dụng công nghệ tiên tiến.</t>
  </si>
  <si>
    <t>Công nghệ hiện đại như AI và Big Data đã được ứng dụng trong quản lý thuế, tăng khả năng phát hiện hành vi gian lận.</t>
  </si>
  <si>
    <t>So với trước đây, quy trình khai báo thuế đơn giản hơn do rút gọn biểu thuế, tuy nhiên vẫn còn một số thủ tục cần cải tiến.</t>
  </si>
  <si>
    <t>Nâng cao mức giảm trừ gia cảnh sẽ tạo cảm giác công bằng đối với nhiều người nộp thuế.</t>
  </si>
  <si>
    <t>Mức thuế mới có thể được xem là công bằng so với thu nhập hiện tại, tuy nhiên vẫn cần đánh giá thêm về hiệu quả thực tế.</t>
  </si>
  <si>
    <t>Hiệu quả sử dụng số tiền thuế đóng vào dịch vụ công chưa rõ ràng enough, nhưng có xu hướng tích cực.</t>
  </si>
  <si>
    <t>Nhà nước đã cải thiện thông tin minh bạch về chính sách mới, tuy nhiên vẫn cần làm rõ hơn mục tiêu và lý do của việc sửa đổi thuế.</t>
  </si>
  <si>
    <t>Tăng mức giảm trừ gia cảnh tạo lợi ích cho bản thân, do đó có xu hướng ủng hộ. Tuy nhiên, chưa hoàn toàn chắc chắn về các quyền lợi dài hạn và khả năng thực thi chính sách mới.</t>
  </si>
  <si>
    <t>Tăng cường mức giảm trừ gia cảnh và đơn giản hóa biểu thuế có thể làm giảm cơ hội trốn thuế, nhưng vẫn cần công nghệ phát hiện.</t>
  </si>
  <si>
    <t>Công nghệ phát triển mạnh mẽ ngày nay cho phép phát hiện hành vi trốn thuế hiệu quả hơn, mặc dù vẫn còn khó khăn.</t>
  </si>
  <si>
    <t>Biểu thuế được đơn giản hóa từ 7 bậc xuống 5 bậc, thủ tục khai báo trở nên dễ dàng hơn.</t>
  </si>
  <si>
    <t>Cách tính thuế mới rõ ràng và dễ hiểu hơn so với trước đây, nhưng vẫn cần thời gian để làm quen.</t>
  </si>
  <si>
    <t>Giảm trừ gia cảnh tăng lên cho cả bản thân và người phụ thuộc, mang lại cảm giác công bằng trong việc đóng thuế.</t>
  </si>
  <si>
    <t>Mức thuế mới được thiết kế để phù hợp với thu nhập cá nhân hiện tại, nhưng vẫn có sự nghi ngờ về tính công bằng.</t>
  </si>
  <si>
    <t>Thuế đóng góp vào cải thiện dịch vụ công là cần thiết và hợp lý, nhưng hiệu quả thực tế còn phụ thuộc nhiều yếu tố khác.</t>
  </si>
  <si>
    <t>Thông tin về chính sách mới được cung cấp đầy đủ, nhưng vẫn có sự nghi ngờ về mức độ minh bạch trong quá trình thực thi.</t>
  </si>
  <si>
    <t>Mức thuế giảm và quyền lợi cá nhân tăng lên làm gia tăng ủng hộ, nhưng vẫn cần thời gian để tin tưởng hoàn toàn vào chính sách mới.</t>
  </si>
  <si>
    <t>Mức giảm trừ gia cảnh tăng lên, nhưng không rõ công nghệ phát hiện gian lận có cải thiện hay không.</t>
  </si>
  <si>
    <t>Công nghệ phát hiện trốn thuế cần thời gian xây dựng và áp dụng, chưa thể đánh giá cao ngay lúc này.</t>
  </si>
  <si>
    <t>Mức giảm trừ gia cảnh tăng lên, thủ tục đơn giản hơn nhưng vẫn có các bước cần tuân thủ.</t>
  </si>
  <si>
    <t>Biểu thuế được rút gọn, dễ hiểu hơn so với trước đây.</t>
  </si>
  <si>
    <t>Giảm trừ gia cảnh tăng lên, nhưng chưa rõ cách thực thi chính sách mới sẽ công bằng như thế nào.</t>
  </si>
  <si>
    <t>Mức thuế mới được đánh giá là hợp lý cho thu nhập của mình.</t>
  </si>
  <si>
    <t>Hiểu rằng thuế đóng góp vào dịch vụ công, nhưng chưa rõ hiệu quả sử dụng nguồn ngân sách.</t>
  </si>
  <si>
    <t>Thông tin về mục tiêu cải cách thuế được cung cấp đầy đủ nhưng việc thực hiện cần thời gian để đánh giá.</t>
  </si>
  <si>
    <t>Thu nhập tăng lên, mức giảm trừ gia cảnh cao hơn nên ủng hộ chính sách mới. Tuy nhiên, vẫn có sự thận trọng về hiệu quả thực thi.</t>
  </si>
  <si>
    <t>Cải cách thuế lần này không có thông tin cụ thể về công nghệ phát hiện trốn thuế, nhưng với mức giảm trừ gia cảnh và đơn giản hóa biểu thuế, khả năng phát hiện gian lận được cải thiện. Tuy nhiên, vẫn cần thêm nguồn lực và công nghệ để đảm bảo hiệu quả.</t>
  </si>
  <si>
    <t>Với cải cách về giảm trừ gia cảnh và đơn giản hóa biểu thuế, khả năng phát hiện trốn thuế được nâng cao. Công nghệ mới có thể giúp tăng cường khả năng này. Tuy nhiên, vẫn cần thêm nguồn lực để tối ưu hiệu quả.</t>
  </si>
  <si>
    <t>Biểu thuế đơn giản hơn và giảm trừ gia cảnh cao hơn làm cho việc khai báo thuế trở nên dễ dàng hơn. Quy trình làm việc với cơ quan thuế cũng được cải thiện, tạo thuận lợi cho người nộp thuế.</t>
  </si>
  <si>
    <t>Các bậc thuế mới đơn giản và rõ ràng hơn so với trước đây, giảm bớt sự phức tạp đối với người nộp thuế. Cách tính thuế trở nên dễ hiểu và thực hiện thuận tiện hơn.</t>
  </si>
  <si>
    <t>Mức giảm trừ gia cảnh cao hơn và số bậc thuế đơn giản hóa tạo cảm giác công bằng trong việc phân phối gánh nặng thuế. Tuy nhiên, vẫn cần thêm minh bạch về cách sử dụng tiền thuế để tăng niềm tin.</t>
  </si>
  <si>
    <t>Với mức giảm trừ gia cảnh cao hơn và số bậc thuế đơn giản hóa, tôi thấy gánh nặng thuế của mình là công bằng. Tuy nhiên, cần thêm minh bạch về cách sử dụng tiền thuế để tăng niềm tin.</t>
  </si>
  <si>
    <t>Mức giảm trừ gia cảnh cao hơn và số bậc thuế đơn giản hóa tạo cảm giác rằng tiền thuế tôi đóng sẽ được sử dụng hiệu quả. Tuy nhiên, cần thêm minh bạch về cách sử dụng tiền thuế để tăng niềm tin.</t>
  </si>
  <si>
    <t>Cải cách thuế không có thông tin cụ thể về việc giải thích rõ ràng và minh bạch về lý do và mục tiêu. Tuy nhiên, với mức giảm trừ gia cảnh cao hơn và số bậc thuế đơn giản hóa, tôi thấy quyết định của Nhà nước là hợp lý.</t>
  </si>
  <si>
    <t>Tăng cường về giảm trừ gia cảnh và đơn giản hóa biểu thuế tạo cảm giác rằng chính sách mới là có lợi cho người dân. Tuy nhiên, cần thêm minh bạch về cách sử dụng tiền thuế để tăng sự ủng hộ.</t>
  </si>
  <si>
    <t>Cải cách thuế TNCN chỉ tập trung vào việc đơn giản hóa thủ tục và giảm trừ gia cảnh, không rõ liệu công nghệ phát hiện gian lận có được cải thiện hay không.</t>
  </si>
  <si>
    <t>Việc tăng mức giảm trừ gia cảnh và đơn giản hóa biểu thuế có thể làm giảm hành vi trốn thuế nhưng không chắc chắn về khả năng phát hiện</t>
  </si>
  <si>
    <t>Bậc thuế được rút gọn từ 7 xuống còn 5, thủ tục khai báo và quy trình làm việc với cơ quan thuế trở nên đơn giản hơn.</t>
  </si>
  <si>
    <t>Biểu thuế mới có ít bậc hơn so với trước, do đó việc tính toán thu nhập chịu thuế và mức thuế suất áp dụng cho từng mức thu nhập cũng đơn giản hơn.</t>
  </si>
  <si>
    <t>Mức giảm trừ gia cảnh tăng lên có thể tạo cảm giác công bằng nhưng chưa rõ liệu cơ quan thuế có thực thi chính sách một cách khách quan, công tâm và bình đẳng với mọi người nộp thuế.</t>
  </si>
  <si>
    <t>Nhìn chung mức thuế mới được thiết kế nhằm tạo sự công bằng giữa các nhóm thu nhập nhưng chưa rõ ràng về mục tiêu chính sách</t>
  </si>
  <si>
    <t>Tăng mức giảm trừ gia cảnh có thể tạo cảm giác tin tưởng vào việc sử dụng số tiền thuế để cải thiện dịch vụ công, tuy nhiên còn phụ thuộc vào thực tế</t>
  </si>
  <si>
    <t>Cải cách thuế TNCN chưa rõ ràng về mục tiêu chính sách và lý do thay đổi, tạo cảm giác nghi ngờ về việc giải thích minh bạch của Nhà nước.</t>
  </si>
  <si>
    <t>Điểm số trên được dựa trên lợi ích tài chính từ cải cách thuế (tăng giảm trừ gia cảnh) và thủ tục đơn giản hóa, nhưng chưa rõ ràng về thực thi công bằng và mục tiêu chính sách</t>
  </si>
  <si>
    <t>Mức giảm trừ gia cảnh tăng đáng kể, nhưng vẫn có khả năng các hành vi trốn thuế được phát hiện nếu công nghệ và quản lý tốt. Công nghệ tiên tiến giúp phát hiện dễ dàng hơn.</t>
  </si>
  <si>
    <t>Nhà nước đã đầu tư vào công nghệ để giám sát gian lận, nhưng vẫn phụ thuộc vào sự tuân thủ của cá nhân và doanh nghiệp. Công nghệ là một yếu tố quan trọng trong việc phát hiện trốn thuế.</t>
  </si>
  <si>
    <t>Bậc thuế được đơn giản hóa từ 7 thành 5, giảm bớt các quy định phức tạp và thủ tục làm việc với cơ quan thuế trở nên nhanh chóng hơn. Điều này mang lại thuận tiện cho người dân.</t>
  </si>
  <si>
    <t>Cách tính thuế đơn giản hóa từ nhiều bậc xuống còn 5, dễ hiểu và thực hiện một cách dễ dàng hơn so với trước đây.</t>
  </si>
  <si>
    <t>Giảm trừ gia cảnh tăng đáng kể, thể hiện sự công bằng trong việc áp dụng thuế. Tuy nhiên, mức độ tin tưởng còn phụ thuộc vào quản lý và thực thi của cơ quan thuế.</t>
  </si>
  <si>
    <t>Thuế suất được điều chỉnh theo thu nhập, thể hiện tính công bằng trong việc đóng góp cho Nhà nước. Tuy nhiên, mức độ tin tưởng còn phụ thuộc vào quản lý và thực thi của cơ quan thuế.</t>
  </si>
  <si>
    <t>Giảm trừ gia cảnh tăng đáng kể, thể hiện sự công bằng trong việc đóng góp cho Nhà nước. Tuy nhiên, mức độ tin tưởng còn phụ thuộc vào quản lý và thực thi của cơ quan thuế.</t>
  </si>
  <si>
    <t>Thu nhập của tôi giảm do mức giảm trừ gia cảnh tăng, nhưng thủ tục khai báo thuế đơn giản hơn. Tuy nhiên, mức độ tin tưởng còn phụ thuộc vào quản lý và thực thi của cơ quan thuế.</t>
  </si>
  <si>
    <t>Dựa trên các cải cách mới về thuế, mức giảm trừ gia cảnh tăng và quy định quản lý thuế có thể giúp phát hiện hành vi trốn thuế.</t>
  </si>
  <si>
    <t>Công nghệ tiên tiến ngày càng phát triển, khả năng phát hiện trốn thuế của cơ quan thuế cũng được cải thiện đáng kể.</t>
  </si>
  <si>
    <t>Mức giảm trừ gia cảnh tăng và số bậc thuế đơn giản hóa có thể làm thủ tục khai báo thuế dễ dàng hơn.</t>
  </si>
  <si>
    <t>Biểu thuế đơn giản hóa từ 7 bậc thành 5 bậc, giúp việc tính thuế trở nên dễ hiểu và thực hiện nhanh chóng hơn.</t>
  </si>
  <si>
    <t>Nhu cầu quản lý thuế chặt chẽ hơn có thể khiến tôi tin rằng chính sách mới sẽ được áp dụng công bằng cho tất cả người nộp thuế.</t>
  </si>
  <si>
    <t>Mức thuế mới dựa trên thu nhập, nên tôi thấy chúng hợp lý và công bằng.</t>
  </si>
  <si>
    <t>Dự án cải cách thuế có mục tiêu cải thiện chất lượng dịch vụ công, làm tăng niềm tin vào việc sử dụng tiền thuế hiệu quả.</t>
  </si>
  <si>
    <t>Thông điệp về cải cách thuế được truyền tải rõ ràng hơn, giúp tôi hiểu lý do và mục tiêu của nó.</t>
  </si>
  <si>
    <t>Niềm tin và cảm giác công bằng cao khiến tôi sẵn sàng tuân thủ chính sách mới.</t>
  </si>
  <si>
    <t>Thuế TNCN có nhiều quy định quản lý, tăng giảm trừ gia cảnh và đơn giản hóa biểu thuế. Điều này giúp giảm gian lận.</t>
  </si>
  <si>
    <t>Công nghệ hiện đại như AI, Big Data được sử dụng trong phát hiện trốn thuế.</t>
  </si>
  <si>
    <t>Mức giảm trừ gia cảnh tăng và biểu thuế đơn giản hơn. Điều này làm thủ tục khai báo thuận tiện hơn.</t>
  </si>
  <si>
    <t>Biểu thuế được đơn giản hóa từ 7 bậc xuống còn 5, dễ hiểu và thực hiện nhanh chóng hơn.</t>
  </si>
  <si>
    <t>Giảm trừ gia cảnh tăng và mức thuế có thể công bằng hơn với thu nhập cá nhân. Cơ quan thuế được coi là minh bạch hơn.</t>
  </si>
  <si>
    <t>Mức thuế mới có thể phù hợp với thu nhập cá nhân, cảm thấy công bằng hơn so với trước đây.</t>
  </si>
  <si>
    <t>Thuế đóng góp vào các dịch vụ công như y tế và đường xá. Điều này tạo niềm tin rằng thuế được sử dụng hiệu quả.</t>
  </si>
  <si>
    <t>Thông tin về việc cải cách thuế được giải thích công khai, minh bạch hơn so với trước đây.</t>
  </si>
  <si>
    <t>Thu nhập cá nhân tăng do giảm trừ gia cảnh và mức thuế phù hợp. Điều này làm tăng khả năng ủng hộ và tuân thủ chính sách mới.</t>
  </si>
  <si>
    <t>Nguyên tắc quản lý thuế hiện nay đã được cải thiện, đặc biệt là với mức giảm trừ gia cảnh tăng lên. Đây giúp giảm khả năng trốn thuế.</t>
  </si>
  <si>
    <t>Công nghệ hiện đại và quy định rõ ràng về quản lý thuế sẽ làm giảm thiểu các hành vi trốn thuế, tuy nhiên không hoàn toàn loại bỏ được nguy cơ.</t>
  </si>
  <si>
    <t>Mức giảm trừ gia cảnh tăng lên và đơn giản hóa biểu thuế giúp quá trình khai báo trở nên thuận tiện hơn. Tuy nhiên, quy trình làm việc với cơ quan thuế vẫn chưa hoàn toàn dễ dàng.</t>
  </si>
  <si>
    <t>Biểu thuế mới đơn giản hơn so với trước đây, nhưng mức độ dễ hiểu và thực hiện còn phụ thuộc vào từng trường hợp cụ thể.</t>
  </si>
  <si>
    <t>Nhà nước đã cải thiện mức giảm trừ gia cảnh và đơn giản hóa biểu thuế, tạo cảm giác công bằng hơn trong việc đánh thuế. Tuy nhiên, vẫn còn nghi ngờ về cách thực thi chính sách.</t>
  </si>
  <si>
    <t>Mức thu nhập chịu thuế mới được điều chỉnh một cách hợp lý theo các bậc thuế, tạo cảm giác mức thuế đóng là công bằng. Tuy nhiên, vẫn có sự khác biệt giữa kỳ vọng và thực tế.</t>
  </si>
  <si>
    <t>Việc sử dụng số tiền thuế thu được để cải thiện dịch vụ công như y tế, đường xá... mang lại niềm tin vào việc sử dụng hiệu quả nguồn thu. Tuy nhiên, vẫn cần thời gian để thấy kết quả.</t>
  </si>
  <si>
    <t>Quy định về thuế mới đã được giải thích rõ ràng hơn so với trước đây, tạo niềm tin về mục tiêu và lý do của chính sách. Tuy nhiên, vẫn có sự nghi ngờ về mức độ minh bạch.</t>
  </si>
  <si>
    <t>Sau khi cân nhắc các quyền lợi và nghĩa vụ, quyết định ủng hộ chính sách mới. Mặc dù vẫn còn lo ngại về thực thi nhưng nhận thấy những cải tiến đã được thực hiện.</t>
  </si>
  <si>
    <t>Chính sách mới có mức giảm trừ gia cảnh cao hơn và đơn giản hóa quy trình, nhưng khả năng phát hiện trốn thuế phụ thuộc nhiều vào công nghệ và nguồn lực của cơ quan thuế.</t>
  </si>
  <si>
    <t>Công nghệ ngày càng phát triển, việc giám sát và xử lý các hành vi trốn thuế sẽ trở nên dễ dàng hơn với sự hỗ trợ từ dữ liệu lớn và hệ thống thông tin quản lý thuế hiện đại.</t>
  </si>
  <si>
    <t>Mức giảm trừ gia cảnh cao hơn và số bậc thuế đơn giản hóa giúp quy trình khai báo thuế trở nên dễ dàng, nhưng việc nộp thuế vẫn cần thời gian và công sức.</t>
  </si>
  <si>
    <t>Biểu thuế được đơn giản hóa từ 7 bậc xuống còn 5 bậc, điều này khiến cách tính thuế trở nên rõ ràng hơn và dễ hiểu hơn so với trước đây.</t>
  </si>
  <si>
    <t>Chính sách mới mang lại nhiều lợi ích về mặt tài chính cho người dân thông qua mức giảm trừ gia cảnh cao hơn, điều này tăng niềm tin vào sự công bằng trong việc áp dụng thuế.</t>
  </si>
  <si>
    <t>Mức thuế theo phương án mới được thiết kế để phù hợp với thu nhập trung bình của người dân, tạo ra cảm giác công bằng khi nộp thuế.</t>
  </si>
  <si>
    <t>Người dân tin rằng số tiền thuế đóng sẽ được sử dụng hiệu quả cho mục đích phát triển cơ sở hạ tầng và các dịch vụ công khác, tăng niềm tin vào việc sử dụng nguồn thu từ thuế một cách minh bạch.</t>
  </si>
  <si>
    <t>Chính phủ đã nỗ lực giải thích về lý do và mục tiêu của việc sửa đổi thuế nhưng vẫn cần cải thiện hơn nữa để tăng độ tin cậy trong thông điệp truyền đạt.</t>
  </si>
  <si>
    <t>Sau khi cân nhắc các quyền lợi tài chính và sự đơn giản hóa quy trình, tôi có xu hướng ủng hộ chính sách mới. Tuy nhiên, vẫn cần thời gian để quen với việc áp dụng mới.</t>
  </si>
  <si>
    <t>Việc tăng mức giảm trừ gia cảnh sẽ giúp giảm gian lận thuế, nhưng vẫn cần sự phát triển công nghệ để phát hiện trốn thuế.</t>
  </si>
  <si>
    <t>Công nghệ ngày càng tiên tiến, nên khả năng phát hiện và xử lý nghiêm các hành vi trốn thuế đã tốt hơn.</t>
  </si>
  <si>
    <t>Mức giảm trừ gia cảnh cao hơn và đơn giản hóa biểu thuế tạo thuận lợi cho việc khai báo thuế.</t>
  </si>
  <si>
    <t>Biểu thuế được đơn giản hóa từ 7 bậc xuống còn 5 bậc, giúp dễ hiểu và dễ thực hiện hơn.</t>
  </si>
  <si>
    <t>Nhìn chung mức giảm trừ gia cảnh cao hơn tạo niềm tin vào sự công bằng trong việc áp dụng thuế.</t>
  </si>
  <si>
    <t>Các bậc thuế mới có thể phù hợp với thu nhập của tôi, nhưng vẫn cần thời gian để đánh giá liệu mức thuế này có thực sự công bằng hay không.</t>
  </si>
  <si>
    <t>Ngay cả khi mức giảm trừ gia cảnh cao hơn, tôi vẫn nghi ngờ về việc số tiền thuế đóng sẽ được sử dụng hiệu quả cho dịch vụ công.</t>
  </si>
  <si>
    <t>Công bố thông tin chưa đầy đủ, cần thêm minh bạch và giải thích rõ ràng lý do của chính sách mới.</t>
  </si>
  <si>
    <t>Mặc dù thuận lợi hơn nhưng tôi vẫn lo ngại về khả năng phát hiện trốn thuế và việc sử dụng hiệu quả số tiền đóng thuế.</t>
  </si>
  <si>
    <t>Các quy định quản lý thuế hiện nay có nhiều cải tiến, như tăng giảm trừ gia cảnh và đơn giản hóa biểu thuế. Điều này làm giảm khả năng trốn thuế và nâng cao sự công bằng. Đồng thời, với sự phát triển của công nghệ, việc phát hiện hành vi gian lận trở nên dễ dàng hơn.</t>
  </si>
  <si>
    <t>Nhà nước đã đầu tư vào công nghệ để giám sát và xử lý nghiêm các hành vi trốn thuế. Điều này thể hiện cam kết trong việc bảo vệ lợi ích chung của người nộp thuế.</t>
  </si>
  <si>
    <t>Thủ tục khai báo thuế đã đơn giản hơn với nhiều bước giảm đi, giúp tiết kiệm thời gian và công sức cho người dân. Quy trình làm việc với cơ quan thuế cũng trở nên dễ dàng hơn.</t>
  </si>
  <si>
    <t>Cách tính thuế mới đã đơn giản hóa với số bậc giảm từ 7 xuống còn 5, giúp người nộp thuế dễ hiểu và áp dụng hơn. Điều này làm tăng độ tiện lợi trong quá trình thực hiện.</t>
  </si>
  <si>
    <t>Các quy định mới đã giảm gánh nặng thuế cho nhiều cá nhân, tạo ra một môi trường công bằng hơn. Người nộp thuế được hưởng những ưu đãi cần thiết và giảm trừ gia cảnh tăng lên.</t>
  </si>
  <si>
    <t>Mức thuế mới có thể coi là hợp lý đối với thu nhập hiện tại của tôi, mặc dù việc đánh giá công bằng vẫn phụ thuộc vào nhiều yếu tố khác như chi phí sống và lợi ích thực tế từ chính sách.</t>
  </si>
  <si>
    <t>Tôi tin rằng số tiền thuế đóng sẽ được sử dụng hiệu quả cho các dịch vụ công. Tuy nhiên, việc cải cách cần thời gian để chứng minh sự hiệu quả này.</t>
  </si>
  <si>
    <t>Nhà nước đã giải thích rõ ràng về mục tiêu của chính sách mới, như tăng giảm trừ gia cảnh và đơn giản hóa biểu thuế. Điều này giúp người dân hiểu rõ hơn về lý do thay đổi.</t>
  </si>
  <si>
    <t>Sau khi xem xét các quyền lợi từ chính sách mới và gánh nặng thuế, tôi thấy rằng việc tuân thủ sẽ mang lại nhiều lợi ích cho bản thân. Tuy nhiên, sự đa nghi về hiệu quả thực tế của cải cách vẫn tồn tại.</t>
  </si>
  <si>
    <t>Dựa trên cải cách thuế mới, mức giảm trừ gia cảnh và đơn giản hóa biểu thuế có thể làm giảm rủi ro cho người nộp thuế trốn thuế. Công nghệ hiện đại cũng hỗ trợ việc phát hiện hành vi gian lận.</t>
  </si>
  <si>
    <t>Việc áp dụng công nghệ tiên tiến và quy định quản lý thuế chặt chẽ giúp tăng khả năng phát hiện và xử lý nghiêm các hành vi trốn thuế.</t>
  </si>
  <si>
    <t>Biểu thuế đơn giản hơn và mức giảm trừ gia cảnh cao hơn có thể làm cho việc khai báo trở nên dễ dàng hơn, nhưng vẫn còn phức tạp đối với những người không quen thuộc.</t>
  </si>
  <si>
    <t>Các bậc thuế mới đơn giản hóa quy trình tính thuế và làm giảm rủi ro phải trả thuế quá cao hoặc thấp so với thu nhập thực tế của mình.</t>
  </si>
  <si>
    <t>Chính sách mới có thể tạo ra sự công bằng hơn đối với người nộp thuế thông qua mức giảm trừ gia cảnh và đơn giản hóa biểu thuế, tăng niềm tin vào việc thực thi chính sách một cách công bằng.</t>
  </si>
  <si>
    <t>Với mức thuế mới được điều chỉnh phù hợp với thu nhập cá nhân, người nộp thuế có thể cảm thấy rằng họ đóng góp đúng mức cho xã hội.</t>
  </si>
  <si>
    <t>Nhìn chung, mức giảm trừ gia cảnh và đơn giản hóa biểu thuế mới tạo điều kiện cho việc sử dụng tiền thuế hiệu quả hơn để cải thiện dịch vụ công. Tuy nhiên, vẫn cần thời gian để đánh giá thực tế.</t>
  </si>
  <si>
    <t>Thông tin về chính sách mới được cung cấp rõ ràng và minh bạch, giúp người nộp thuế hiểu hơn về mục tiêu của việc cải cách này. Tuy nhiên, vẫn có một số bất đồng giữa lý thuyết và thực tế.</t>
  </si>
  <si>
    <t>Dựa trên mức giảm trừ gia cảnh và đơn giản hóa biểu thuế mới, tôi thấy mình sẽ tuân thủ chính sách mới, mặc dù vẫn còn lo ngại về việc áp dụng thực tế trong quá trình quản lý thuế.</t>
  </si>
  <si>
    <t>Các quy định quản lý thuế hiện nay có nhiều cải tiến, tuy nhiên khả năng phát hiện trốn thuế còn phụ thuộc vào sự tuân thủ của cá nhân và cơ quan. Tăng mức giảm trừ gia cảnh cũng giúp giảm gian lận.</t>
  </si>
  <si>
    <t>Công nghệ ngày càng tiên tiến, tuy nhiên việc phát hiện trốn thuế vẫn cần nguồn lực con người và quy trình làm việc hiệu quả. Việc tăng mức giảm trừ gia cảnh cũng nâng cao tính công bằng.</t>
  </si>
  <si>
    <t>Biểu thuế được đơn giản hóa, giảm số bậc từ 7 xuống còn 5, giúp quá trình khai báo trở nên dễ dàng hơn. Tuy nhiên, quy trình làm việc với cơ quan thuế vẫn cần cải thiện.</t>
  </si>
  <si>
    <t>Cách tính thuế và các bậc thuế trong phương án mới đơn giản hóa từ 7 bậc xuống còn 5, dễ hiểu hơn. Tuy nhiên, việc thực hiện vẫn cần thêm thời gian để quen thuộc.</t>
  </si>
  <si>
    <t>Nhà nước đã tăng mức giảm trừ gia cảnh và đơn giản hóa biểu thuế, nâng cao tính công bằng cho người nộp thuế. Tuy nhiên, việc thực thi chính sách vẫn cần sự minh bạch.</t>
  </si>
  <si>
    <t>Lệ phí mới được thiết kế sao cho phù hợp với thu nhập cá nhân, tuy nhiên mức thuế cụ thể còn phụ thuộc vào từng trường hợp cụ thể. Tăng giảm trừ gia cảnh làm tăng cảm giác công bằng.</t>
  </si>
  <si>
    <t>Tăng mức giảm trừ gia cảnh giúp cải thiện dịch vụ công và nâng cao chất lượng cuộc sống. Tuy nhiên, việc sử dụng tiền thuế hiệu quả phụ thuộc vào quản lý tài chính của nhà nước.</t>
  </si>
  <si>
    <t>Nhà nước đã tăng mức giảm trừ gia cảnh và đơn giản hóa biểu thuế, nâng cao minh bạch. Tuy nhiên, việc giải thích đầy đủ về mục tiêu cải cách chưa rõ ràng.</t>
  </si>
  <si>
    <t>Tăng mức giảm trừ gia cảnh và đơn giản hóa biểu thuế giúp tôi thấy hài lòng hơn với chính sách mới. Tuy nhiên, quyết định tuân thủ vẫn cần cân nhắc giữa lợi ích cá nhân và nghĩa vụ.</t>
  </si>
  <si>
    <t>Cải cách thuế TNCN có thể tăng cường quản lý và phát hiện gian lận, nhưng khả năng thực thi phụ thuộc vào công nghệ và nguồn lực của cơ quan thuế. Công nghệ hiện đại giúp cải thiện đáng kể.</t>
  </si>
  <si>
    <t>Công nghệ ngày càng tiên tiến, giúp phát hiện gian lận nhanh chóng và chính xác hơn. Tuy nhiên, hiệu quả vẫn phụ thuộc vào sự ứng dụng hợp lý của công nghệ này.</t>
  </si>
  <si>
    <t>Nguyên tắc đơn giản hóa quy định thuế có thể làm các thủ tục khai báo trở nên dễ dàng hơn. Tuy nhiên, thực tế việc thực hiện vẫn phụ thuộc vào độ hiểu biết và tuân thủ của người dân.</t>
  </si>
  <si>
    <t>Biểu thuế đơn giản hóa có thể giúp người nộp thuế dễ hiểu và tính toán nhanh chóng hơn. Tuy nhiên, mức giảm trừ gia cảnh cao hơn có thể làm cho quy trình trở nên phức tạp hơn đối với một số cá nhân.</t>
  </si>
  <si>
    <t>Mức độ tin tưởng vào sự công bằng của cơ quan thuế phụ thuộc nhiều vào thực tế. Mức giảm trừ gia cảnh tăng có thể tạo cảm giác công bằng, nhưng vẫn cần sự minh bạch trong quản lý.</t>
  </si>
  <si>
    <t>Mức thuế mới được thiết kế nhằm đảm bảo tính công bằng. Tuy nhiên, việc đánh giá mức thuế công bằng hay không còn phụ thuộc vào thu nhập của cá nhân.</t>
  </si>
  <si>
    <t>Giảm trừ gia cảnh tăng và các bậc thuế mới có thể tạo cảm giác số tiền đóng góp của mình được sử dụng hiệu quả. Tuy nhiên, hiệu suất sử dụng nguồn lực phụ thuộc vào thực tế quản lý.</t>
  </si>
  <si>
    <t>Giải thích về mục tiêu và lý do thay đổi thuế rõ ràng có thể tạo niềm tin. Tuy nhiên, sự minh bạch cần được duy trì để giữ mức độ tin tưởng của người dân.</t>
  </si>
  <si>
    <t>Các cải cách mang lại lợi ích tài chính và thuận tiện cho một số cá nhân, nhưng vẫn cần cân nhắc giữa quyền lợi và nghĩa vụ. Mức độ ủng hộ tuân thủ phụ thuộc vào mức độ hiểu biết và tin tưởng.</t>
  </si>
  <si>
    <t>Các quy định quản lý thuế hiện nay có nhiều cải tiến, nhưng vẫn còn khó khăn trong việc phát hiện trốn thuế. Cơ quan thuế cần thêm công nghệ hỗ trợ.</t>
  </si>
  <si>
    <t>Nhà nước và cơ quan thuế đã đầu tư vào công nghệ để phát hiện gian lận, tăng cường khả năng xử lý nghiêm các hành vi trốn thuế.</t>
  </si>
  <si>
    <t>Thủ tục khai báo thuế và quy trình làm việc với cơ quan thuế đã đơn giản hơn so với trước đây. Điều này tạo cảm giác thuận tiện cho người nộp thuế.</t>
  </si>
  <si>
    <t>Cách tính thuế mới đơn giản, dễ hiểu và dễ thực hiện hơn so với trước đây, giúp người dân nắm bắt nhanh chóng.</t>
  </si>
  <si>
    <t>Nhà nước và cơ quan thuế đã thể hiện khách quan và công bằng trong việc áp dụng chính sách mới. Các quy định rõ ràng, minh bạch hơn.</t>
  </si>
  <si>
    <t>Mức thuế mới được thiết kế công bằng cho người thu nhập tương tự như tôi, giúp tạo cảm giác công bằng về hệ thống thuế hiện tại.</t>
  </si>
  <si>
    <t>Số tiền thuế đóng sẽ được sử dụng hiệu quả để cải thiện dịch vụ công, tạo niềm tin vào việc đầu tư của nhà nước.</t>
  </si>
  <si>
    <t>Nhà nước đã giải thích rõ ràng về lý do và mục tiêu của việc sửa đổi thuế. Thông điệp truyền đạt minh bạch và thuyết phục.</t>
  </si>
  <si>
    <t>Sau khi xem xét các quyền lợi và nghĩa vụ, tôi ủng hộ chính sách mới vì nó mang lại nhiều thuận tiện hơn và công bằng hơn so với trước đây.</t>
  </si>
  <si>
    <t>Tăng giảm trừ gia cảnh và đơn giản hóa biểu thuế có thể làm giảm rủi ro trốn thuế, nhưng khả năng phát hiện vẫn phụ thuộc vào công nghệ và nguồn lực của cơ quan thuế.</t>
  </si>
  <si>
    <t>Nếu áp dụng công nghệ tiên tiến như AI, blockchain, hệ thống giám sát số hóa có thể tăng cường hiệu quả trong việc phát hiện trốn thuế, nhưng cần thời gian để triển khai.</t>
  </si>
  <si>
    <t xml:space="preserve">Thay đổi giảm trừ gia cảnh và đơn giản hóa biểu thuế làm thủ tục trở nên dễ dàng hơn, đặc biệt đối với người thu nhập thấp. </t>
  </si>
  <si>
    <t>Biểu thuế được rút gọn từ 7 bậc xuống còn 5 bậc có thể giúp việc tính toán và hiểu rõ hơn về mức thuế.</t>
  </si>
  <si>
    <t xml:space="preserve">Tăng giảm trừ gia cảnh làm giảm gánh nặng thuế, nhưng người đa nghi vẫn lo ngại về việc thực thi công bằng. </t>
  </si>
  <si>
    <t>Mức thuế mới được thiết kế dựa trên thu nhập, nên tôi thấy hợp lý đối với thu nhập của mình.</t>
  </si>
  <si>
    <t>Giảm trừ gia cảnh tăng lên có thể làm tăng niềm tin vào việc sử dụng tiền thuế hiệu quả cho dịch vụ công</t>
  </si>
  <si>
    <t>Các thông cáo ban hành về cải cách thuế đã được giải thích rõ ràng, nhưng tôi vẫn cần thời gian để đánh giá toàn diện.</t>
  </si>
  <si>
    <t xml:space="preserve">Nhìn chung, các thay đổi mang lại lợi ích tài chính và thủ tục đơn giản hơn, nên tôi có thể chấp nhận việc này. </t>
  </si>
  <si>
    <t>Theo quy định mới, mức giảm trừ gia cảnh cao hơn trước và số bậc thuế giảm từ 7 xuống 5, giảm gian lận. Công nghệ phát hiện trốn thuế được cải thiện.</t>
  </si>
  <si>
    <t>Công nghệ hiện đại giúp nhà nước theo dõi dễ dàng hơn hành vi trốn thuế và có khả năng xử lý nghiêm minh.</t>
  </si>
  <si>
    <t>Thu nhập chịu thuế dưới 30 triệu chỉ còn 2 bậc, giảm bớt thủ tục khai báo. Quy trình làm việc với cơ quan thuế đơn giản hơn.</t>
  </si>
  <si>
    <t>Phần trăm thuế suất giảm từ 7 xuống 5, dễ dàng tính toán và thực hiện hơn so với trước đây.</t>
  </si>
  <si>
    <t>Giảm trừ gia cảnh tăng cao, người dân có nhiều ưu đãi. Nhà nước công bố rõ ràng về chính sách mới.</t>
  </si>
  <si>
    <t>Mức thuế mới được thiết kế dựa trên thu nhập cá nhân, cho thấy tính công bằng trong việc đánh giá mức thuế phải đóng.</t>
  </si>
  <si>
    <t>Giảm trừ gia cảnh và số bậc thuế giảm tạo cơ hội sử dụng tiền thuế hiệu quả hơn vào các dịch vụ công</t>
  </si>
  <si>
    <t>Thông tin về chính sách mới được truyền thông rõ ràng, minh bạch với người dân.</t>
  </si>
  <si>
    <t>Tổng hợp từ các điểm trên, tôi thấy chính sách mới có lợi cho người dân và công bằng hơn. Tuân thủ sẽ giúp ích cho việc cải thiện dịch vụ công</t>
  </si>
  <si>
    <t>Các quy định quản lý thuế hiện nay bao gồm nhiều biện pháp phát hiện gian lận, tuy nhiên khả năng thực thi còn phụ thuộc vào nguồn lực và công nghệ của cơ quan thuế. Với mức giảm trừ gia cảnh tăng lên, số người phải khai báo tăng cũng tạo áp lực cho hệ thống quản lý.</t>
  </si>
  <si>
    <t>Ngoài việc tăng cường quy định quản lý, việc ứng dụng công nghệ trong phát hiện trốn thuế như AI và big data có thể giúp cải thiện hiệu quả. Tuy nhiên, vẫn cần nguồn lực để triển khai.</t>
  </si>
  <si>
    <t>Mức giảm trừ gia cảnh tăng lên cùng với việc đơn giản hóa biểu thuế tạo thuận lợi hơn trong khai báo thuế. Tuy nhiên, quy trình làm việc với cơ quan thuế vẫn còn phức tạp và chưa hiệu quả.</t>
  </si>
  <si>
    <t>Biểu thuế mới có số bậc giảm đi từ 7 xuống 5, tạo sự đơn giản hóa trong quá trình tính thuế. Tuy nhiên, việc áp dụng cần thời gian để người dân nắm bắt và thực hiện.</t>
  </si>
  <si>
    <t>Nhà nước đã cải thiện quy định về giảm trừ gia cảnh, tạo lợi ích cho người nộp thuế. Việc công bố thông tin minh bạch cũng tăng sự tin tưởng trong quá trình quản lý thuế.</t>
  </si>
  <si>
    <t>Mức thuế mới được thiết kế dựa trên cơ sở thu nhập cá nhân, tạo cảm giác công bằng cho người nộp thuế. Tuy nhiên, mức thuế vẫn còn phức tạp và cần thời gian để hiểu rõ.</t>
  </si>
  <si>
    <t>Thuê mới được cải thiện về giảm trừ gia cảnh, tạo lợi ích cho người nộp thuế. Tuy nhiên, việc sử dụng số tiền thuế vào các dịch vụ công vẫn còn phụ thuộc vào hiệu quả quản lý.</t>
  </si>
  <si>
    <t>Nhà nước đã giải thích rõ ràng về mục tiêu cải cách thuế, tạo sự minh bạch. Tuy nhiên, việc thực thi chính sách cần thời gian để mọi người hiểu và đánh giá.</t>
  </si>
  <si>
    <t>Sau khi xem xét các quyền lợi mới, tôi thấy có nhiều điểm cải tiến nhưng vẫn còn phức tạp. Tôi sẽ ủng hộ chính sách mới với điều kiện nguồn lực được đảm bảo để thực thi hiệu quả.</t>
  </si>
  <si>
    <t>Cải cách thuế không chỉ tăng giảm trừ gia cảnh mà còn đơn giản hóa quy trình, khiến việc phát hiện trốn thuế trở nên khó khăn hơn. Công nghệ hiện đại có thể hỗ trợ nhưng vẫn cần sự giám sát hiệu quả từ phía nhà nước.</t>
  </si>
  <si>
    <t>Nhà nước đã đầu tư vào công nghệ và đào tạo nguồn lực để phát hiện trốn thuế, tuy nhiên, quy định quản lý thuế hiện tại có thể chưa hoàn thiện. Công nghệ giúp cải thiện đáng kể khả năng giám sát.</t>
  </si>
  <si>
    <t>Mức giảm trừ gia cảnh tăng và số bậc thuế giảm đi làm đơn giản hóa quá trình khai báo, nhưng vẫn cần thời gian để người dân quen thuộc với quy định mới. Quy trình làm việc với cơ quan thuế cũng được cải thiện.</t>
  </si>
  <si>
    <t>Các bậc thuế đơn giản hơn và rõ ràng hơn so với trước đây, nhưng cần thời gian để người dân nắm bắt và áp dụng. Phương án mới giúp giảm bớt sự phức tạp cho người nộp thuế.</t>
  </si>
  <si>
    <t>Nhà nước đã tăng mức giảm trừ gia cảnh và đơn giản hóa quy định, nhưng chưa rõ ràng về việc đối xử công bằng giữa các nhóm thu nhập. Tăng cường minh bạch sẽ giúp cải thiện niềm tin.</t>
  </si>
  <si>
    <t>Mức thuế mới có thể hợp lý với thu nhập hiện tại của tôi, tuy nhiên, không rõ ràng về việc áp dụng công bằng cho các nhóm thu nhập khác. Sự minh bạch trong giải thích mục tiêu cải cách sẽ tăng niềm tin.</t>
  </si>
  <si>
    <t>Nhà nước đã công bố các thông tin cần thiết, nhưng không rõ ràng về việc giải thích lý do và mục tiêu của cải cách. Tăng cường minh bạch sẽ giúp người dân hiểu rõ hơn về quy định mới.</t>
  </si>
  <si>
    <t>Nhìn chung, các thay đổi có lợi cho tôi với mức thuế giảm và giảm trừ gia cảnh tăng. Quy trình khai báo cũng đơn giản hơn. Tuy nhiên, sự minh bạch trong giải thích mục tiêu cải cách cần được cải thiện.</t>
  </si>
  <si>
    <t>Mức thuế được đơn giản hóa và các biện pháp quản lý mới có thể làm giảm nguy cơ trốn thuế, nhưng vẫn cần thêm công nghệ để phát hiện gian lận.</t>
  </si>
  <si>
    <t>Việc áp dụng công nghệ tiên tiến trong quản lý thuế đã tăng cường khả năng phát hiện và xử lý gian lận, tạo môi trường minh bạch hơn.</t>
  </si>
  <si>
    <t>Bậc thuế ít hơn và giảm trừ gia cảnh cao hơn có thể làm quá trình khai báo đơn giản hơn, nhưng vẫn cần cải thiện trong việc cung cấp thông tin cho người dân.</t>
  </si>
  <si>
    <t>Cách tính thuế mới đơn giản hóa các bậc thuế, nhưng sự phức tạp của biểu thuế cũ có thể khiến người dân khó hiểu hơn trước đây.</t>
  </si>
  <si>
    <t>Những thay đổi về mức giảm trừ gia cảnh và cách tính thuế có thể làm tăng niềm tin vào hệ thống quản lý thuế, nhưng cần thêm minh bạch trong thực thi.</t>
  </si>
  <si>
    <t>Mức thuế mới có thể xem là công bằng so với thu nhập hiện tại của tôi, nhưng sự thay đổi này chưa hoàn toàn thuyết phục được tôi về tính công bằng của hệ thống.</t>
  </si>
  <si>
    <t>Niềm tin vào việc sử dụng hiệu quả số tiền thuế doanh nghiệp đóng để cải thiện dịch vụ công đang tăng lên, nhưng cần thêm thông tin về cách quản lý và đầu tư nguồn lực.</t>
  </si>
  <si>
    <t>Các giải thích về thay đổi thuế đã được cung cấp đầy đủ hơn so với trước đây, nhưng sự minh bạch trong việc thực hiện các biện pháp mới vẫn còn hạn chế.</t>
  </si>
  <si>
    <t>Sau khi cân nhắc, tôi thấy lợi ích tài chính từ chính sách mới đáng để tuân thủ, mặc dù có một số nghi ngờ về cách thức áp dụng.</t>
  </si>
  <si>
    <t>Theo thay đổi thuế, mức giảm trừ gia cảnh tăng lên, điều này giúp người dân ít bị gian lận. Công nghệ phát triển cũng giúp cơ quan thuế dễ dàng hơn trong việc phát hiện trốn thuế.</t>
  </si>
  <si>
    <t>Công nghệ tiên tiến như AI và blockchain có thể giúp phát hiện trốn thuế hiệu quả, kết hợp với quy định quản lý chặt chẽ từ Nhà nước.</t>
  </si>
  <si>
    <t>Mức giảm trừ gia cảnh tăng lên tạo thuận lợi cho người nộp thuế. Quy trình khai báo thuế đơn giản hơn so với trước đây.</t>
  </si>
  <si>
    <t>Biểu thuế đơn giản hơn, số bậc giảm từ 7 xuống còn 5, làm việc tính toán và khai báo thuế dễ dàng hơn.</t>
  </si>
  <si>
    <t>Niềm tin vào sự công bằng của Nhà nước tăng cao do mức giảm trừ gia cảnh rõ ràng và minh bạch. Cơ quan thuế có nhiều khả năng thực thi chính sách một cách khách quan.</t>
  </si>
  <si>
    <t>Mức thuế mới được thiết kế sao cho hợp lý dựa trên thu nhập cá nhân, tạo cảm giác công bằng.</t>
  </si>
  <si>
    <t>Niềm tin vào việc sử dụng hiệu quả số tiền thuế đóng của người dân tăng cao nhờ mức giảm trừ gia cảnh rõ ràng và minh bạch. Nhà nước có nhiều chính sách cải thiện dịch vụ công.</t>
  </si>
  <si>
    <t>Nhà nước đã cung cấp thông tin về thay đổi thuế một cách minh bạch, giúp người dân hiểu rõ lý do và mục tiêu của việc sửa đổi.</t>
  </si>
  <si>
    <t>Sau khi cân nhắc các quyền lợi từ giảm trừ gia cảnh và quy trình khai báo đơn giản hơn, tôi thấy mình có thể ủng hộ và tuân thủ chính sách mới này.</t>
  </si>
  <si>
    <t>Theo thông tin cải cách thuế, không có nâng cấp công nghệ hay tăng cường quản lý rõ ràng. Việc tăng mức giảm trừ gia cảnh và đơn giản hóa biểu thuế không liên quan trực tiếp đến khả năng phát hiện trốn thuế.</t>
  </si>
  <si>
    <t>Công nghệ hiện đại giúp cải thiện quản lý thuế, nhưng thông tin chưa rõ ràng về việc áp dụng công nghệ trong thực tế. Tăng mức giảm trừ gia cảnh có thể làm giảm số lượng đơn vị cần theo dõi.</t>
  </si>
  <si>
    <t>Biểu thuế được rút gọn từ 7 bậc xuống còn 5, tạo cảm giác đơn giản hơn cho người nộp thuế. Tuy nhiên, không có thông tin về cải thiện quy trình khai báo cụ thể.</t>
  </si>
  <si>
    <t>Các bậc thuế mới được đơn giản hóa và giảm số lượng, nên dễ hiểu hơn so với trước đây. Điều này giúp người dân nắm bắt nhanh chóng hơn.</t>
  </si>
  <si>
    <t>Mức tăng giảm trừ gia cảnh làm giảm gánh nặng thuế cho cá nhân. Tuy nhiên, thông tin về việc thực thi chính sách công bằng chưa rõ ràng.</t>
  </si>
  <si>
    <t>Thu nhập dưới 60 triệu đồng chịu thuế suất thấp hơn trước đây, tạo cảm giác mức thuế mới là công bằng. Tuy nhiên, không có thông tin về cách giải thích rõ ràng mục tiêu của cải cách.</t>
  </si>
  <si>
    <t>Tăng mức giảm trừ gia cảnh giúp số tiền đóng thuế giảm đi đáng kể. Điều này làm tăng niềm tin vào việc sử dụng hiệu quả số tiền đã đóng cho công chúng. Tuy nhiên, thông tin về việc chi tiêu cụ thể chưa đầy đủ.</t>
  </si>
  <si>
    <t>Thông tin cải cách thuế không được giải thích rõ ràng và minh bạch. Tuy nhiên, mức giảm trừ gia cảnh tăng lên giúp người dân cảm thấy mức thuế mới là công bằng.</t>
  </si>
  <si>
    <t>Mức giảm trừ gia cảnh tăng lên làm giảm gánh nặng thuế cho cá nhân. Tuy nhiên, thông tin về cách thực thi chính sách chưa đầy đủ khiến quyết định tuân thủ không mạnh mẽ như trước đây.</t>
  </si>
  <si>
    <t>Dựa trên các quy định quản lý thuế hiện nay, tôi cho rằng hành vi gian lận hoặc trốn thuế sẽ dễ dàng bị phát hiện. Các biện pháp kiểm soát và xử lý nghiêm minh của cơ quan thuế cũng tăng cường niềm tin vào thực thi công bằng.</t>
  </si>
  <si>
    <t>Công nghệ ngày càng phát triển, tôi tin rằng Nhà nước có đủ khả năng để phát hiện các hành vi trốn thuế và xử lý nghiêm minh. Việc sử dụng công nghệ sẽ giúp tăng cường hiệu quả quản lý.</t>
  </si>
  <si>
    <t>Các thủ tục khai báo thuế trở nên đơn giản hơn, giảm bớt những rắc rối trước đây. Quy trình làm việc với cơ quan thuế cũng trở nên nhanh chóng và tiện lợi hơn.</t>
  </si>
  <si>
    <t>Cách tính thuế mới đã được đơn giản hóa, từ 7 bậc xuống còn 5 bậc, giúp người dân dễ hiểu và thực hiện. Điều này tạo cảm giác thuận tiện trong việc tuân thủ chính sách.</t>
  </si>
  <si>
    <t>Tôi tin rằng Nhà nước sẽ thực thi chính sách một cách công bằng đối với mọi người nộp thuế, không phân biệt ai được ưu đãi hơn. Mức giảm trừ gia cảnh cũng tăng lên, tạo niềm tin vào việc đối xử công bằng.</t>
  </si>
  <si>
    <t>Những thay đổi về mức thu nhập chịu thuế và bậc thuế mới giúp tôi cảm thấy mức thuế đóng là công bằng. Mức độ giảm trừ gia cảnh cũng tăng lên, tạo cảm giác rằng việc đóng thuế đang được cân nhắc kỹ lưỡng.</t>
  </si>
  <si>
    <t>Tôi tin rằng số tiền thuế đóng sẽ được sử dụng hiệu quả để cải thiện dịch vụ công. Việc đơn giản hóa biểu thuế và tăng mức giảm trừ gia cảnh cũng tạo niềm tin vào việc đầu tư công được quản lý tốt.</t>
  </si>
  <si>
    <t>Nhà nước đã giải thích rõ ràng về mục tiêu của việc sửa đổi thuế, mặc dù vẫn có một số khó hiểu nhưng tôi nhận thấy thông điệp chính là nhằm tạo thuận lợi cho người dân. Điều này tăng niềm tin vào sự minh bạch.</t>
  </si>
  <si>
    <t>Sau khi xem xét các quyền lợi và nghĩa vụ, tôi ủng hộ chính sách mới vì nó mang lại nhiều thuận lợi hơn so với trước đây. Tuy nhiên, vẫn còn một số lo ngại về việc thực thi nên quyết định tuân thủ là có điều kiện.</t>
  </si>
  <si>
    <t>Dự luật mới tăng mức giảm trừ gia cảnh và đơn giản hóa biểu thuế, làm giảm gánh nặng tài chính cho người dân. Tuy nhiên, không có thông tin về công nghệ phát hiện trốn thuế cụ thể.</t>
  </si>
  <si>
    <t>Dự luật mới đơn giản hóa biểu thuế từ 7 bậc xuống còn 5 bậc, dễ hiểu hơn và làm giảm gánh nặng quản lý cho người dân.</t>
  </si>
  <si>
    <t>So với trước đây, cách tính thuế và các bậc thuế trong phương án mới đơn giản, dễ hiểu và dễ thực hiện hơn.</t>
  </si>
  <si>
    <t>Dự luật mới tăng mức giảm trừ gia cảnh và đơn giản hóa biểu thuế, làm giảm gánh nặng tài chính cho người dân. Tuy nhiên, không có thông tin cụ thể về việc thực thi công bằng.</t>
  </si>
  <si>
    <t>Mức thuế mới phù hợp với thu nhập của tôi, nhưng không có thông tin rõ ràng về việc sử dụng số tiền thuế thu được.</t>
  </si>
  <si>
    <t>Dự luật mới tăng mức giảm trừ gia cảnh và đơn giản hóa biểu thuế, làm giảm gánh nặng tài chính cho người dân. Tuy nhiên, không có thông tin cụ thể về việc sử dụng số tiền thuế.</t>
  </si>
  <si>
    <t>Chưa có thông tin rõ ràng về sự giải thích minh bạch từ Nhà nước về lý do và mục tiêu của việc sửa đổi thuế lần này.</t>
  </si>
  <si>
    <t>Dự luật mới tăng mức giảm trừ gia cảnh, đơn giản hóa biểu thuế, nhưng không có thông tin rõ ràng về thực thi công bằng và minh bạch từ Nhà nước.</t>
  </si>
  <si>
    <t>Thuật toán phát hiện trốn thuế dựa trên công nghệ tiên tiến, tăng cường quản lý, giảm khả năng gian lận.</t>
  </si>
  <si>
    <t>Công nghệ và hệ thống quản lý thuế mới giúp Nhà nước có thể theo dõi hiệu quả hơn các hành vi trốn thuế.</t>
  </si>
  <si>
    <t>Mức giảm trừ gia cảnh tăng, đơn giản hóa biểu thuế, thủ tục khai báo thuế dễ dàng hơn so với trước đây.</t>
  </si>
  <si>
    <t>Số bậc thuế ít đi, cách tính thuế rõ ràng hơn, thuận tiện cho người nộp thuế trong việc quản lý thu nhập và thuế phải đóng.</t>
  </si>
  <si>
    <t>Ngưỡng chịu thuế được điều chỉnh theo hướng khách quan, công bằng đối với các mức thu nhập khác nhau.</t>
  </si>
  <si>
    <t>Mức thuế mới có thể cân đối hơn với thu nhập hiện tại của tôi, tạo cảm giác việc đóng thuế là công bằng.</t>
  </si>
  <si>
    <t>Giảm trừ gia cảnh và mức thuế suất mới có thể được sử dụng hiệu quả để cải thiện các dịch vụ công</t>
  </si>
  <si>
    <t>Những thông tin về lý do thay đổi thuế đã được giải thích rõ ràng, nhưng vẫn chưa hoàn toàn thuyết phục tôi.</t>
  </si>
  <si>
    <t>Đối với tôi, việc giảm gánh nặng tài chính và đơn giản hóa quy trình khai báo thuế tạo cảm giác ủng hộ hơn là phản đối.</t>
  </si>
  <si>
    <t>Trong bối cảnh hiện nay, các quy định quản lý thuế đã được cải thiện và công nghệ phát triển giúp việc phát hiện hành vi gian lận hoặc trốn thuế trở nên dễ dàng hơn. Điều này tạo cảm giác an tâm cho người nộp thuế.</t>
  </si>
  <si>
    <t>Nhà nước và cơ quan thuế đã đầu tư vào công nghệ, nâng cao năng lực phát hiện và xử lý nghiêm các hành vi trốn thuế. Tuy nhiên, vẫn cần cải thiện hơn nữa để đảm bảo hiệu quả.</t>
  </si>
  <si>
    <t>Các thủ tục khai báo thuế đã đơn giản hơn so với trước đây, giúp người nộp thuế dễ dàng thực hiện và nhanh chóng hơn. Điều này làm tăng sự thuận tiện cho quá trình giao dịch với cơ quan thuế.</t>
  </si>
  <si>
    <t>Cách tính thuế và bậc thuế trong phương án mới đã được đơn giản hóa, dễ hiểu và thực hiện dễ dàng hơn. Điều này làm tăng cảm giác thuận tiện cho người nộp thuế.</t>
  </si>
  <si>
    <t>Nhà nước và cơ quan thuế đang cố gắng thực thi chính sách một cách công bằng và khách quan, tạo cảm giác tin tưởng cho người nộp thuế. Tuy nhiên, vẫn cần cải thiện thêm để đảm bảo sự bình đẳng.</t>
  </si>
  <si>
    <t>Mức thuế mới được thiết kế dựa trên thu nhập cá nhân, tạo cảm giác công bằng. Người có thu nhập như tôi đã đóng mức thuế này là hợp lý.</t>
  </si>
  <si>
    <t>Dù chưa hoàn toàn tin tưởng nhưng tôi thấy số tiền thuế đóng sẽ được sử dụng hiệu quả để cải thiện dịch vụ công, tạo cảm giác trách nhiệm và giá trị của việc nộp thuế.</t>
  </si>
  <si>
    <t>Nhà nước đã giải thích về lý do và mục tiêu sửa đổi thuế một cách rõ ràng. Điều này giúp tôi hiểu hơn về chính sách mới và tăng niềm tin vào quyết định này.</t>
  </si>
  <si>
    <t>Sau khi cân nhắc các quyền lợi và nghĩa vụ, tôi thấy việc ủng hộ và tuân thủ chính sách mới là hợp lý. Các cải cách đã mang lại nhiều thuận tiện và công bằng hơn cho người nộp thuế.</t>
  </si>
  <si>
    <t>Các quy định quản lý thuế hiện tại có nhiều cải tiến, nhưng vẫn còn phức tạp. Tăng giảm trừ gia cảnh giúp người dân ít bị gian lận hơn.</t>
  </si>
  <si>
    <t>Như đã đề cập ở ENF1, công nghệ phát triển giúp Nhà nước dễ dàng kiểm soát và xử lý các hành vi trốn thuế. Công nghệ hiện đại giúp cải thiện đáng kể so với trước đây.</t>
  </si>
  <si>
    <t>Thủ tục khai báo thuế đơn giản hơn, đặc biệt là việc giảm số bậc thuế, làm cho quy trình nhanh chóng và dễ dàng hơn. Điều này giúp người dân tiết kiệm thời gian và công sức.</t>
  </si>
  <si>
    <t>Cách tính thuế mới đơn giản hóa bậc thuế, tạo cảm giác rõ ràng và minh bạch cho người nộp thuế. Điều này giúp việc hiểu và thực hiện nghĩa vụ thuế trở nên dễ dàng hơn.</t>
  </si>
  <si>
    <t>Nhà nước đã cải tiến quy định quản lý thuế theo hướng khách quan, công bằng hơn. Tăng giảm trừ gia cảnh và đơn giản hóa biểu thuế góp phần tạo niềm tin cho người dân.</t>
  </si>
  <si>
    <t>Mức thuế mới được thiết kế sao cho phù hợp với thu nhập cá nhân trung bình, tạo cảm giác công bằng. Tuy nhiên, do tôi là người đa nghi về các chính sách, nên điểm số không cao.</t>
  </si>
  <si>
    <t>Thuế mới được sử dụng cho mục đích cải thiện dịch vụ công, như y tế và giao thông. Tuy nhiên, do tôi chưa thấy kết quả cụ thể từ việc sử dụng thuế một cách hiệu quả, nên điểm số không cao.</t>
  </si>
  <si>
    <t>Nhà nước đã giải thích các thay đổi về thuế một cách công khai và minh bạch. Tuy nhiên, do tôi là người đa nghi, nên mức độ thuyết phục chưa đủ mạnh mẽ để tăng điểm.</t>
  </si>
  <si>
    <t>Tăng giảm trừ gia cảnh và đơn giản hóa biểu thuế tạo lợi ích cho tôi. Tôi sẽ tuân thủ chính sách mới vì lợi ích cá nhân và niềm tin vào sự công bằng của Nhà nước.</t>
  </si>
  <si>
    <t>Nguyên tắc quản lý thuế hiện nay khá chặt chẽ, nhưng tăng mức giảm trừ gia cảnh có thể làm giảm cơ hội phát hiện hành vi trốn thuế.</t>
  </si>
  <si>
    <t>Công nghệ hiện đại giúp phát hiện gian lận, nhưng mức độ công khai và minh bạch về quy định quản lý cần được cải thiện hơn.</t>
  </si>
  <si>
    <t>Biểu thuế đơn giản hóa có thể làm các thủ tục trở nên tiện lợi hơn, đặc biệt với những người thu nhập thấp.</t>
  </si>
  <si>
    <t>Cách tính thuế mới rõ ràng hơn, nhưng cần thêm thời gian để quen thuộc và hiểu rõ về hệ thống mới.</t>
  </si>
  <si>
    <t>Nhà nước đã tăng mức giảm trừ gia cảnh, đây là một dấu hiệu của sự công bằng trong việc phân chia gánh nặng thuế</t>
  </si>
  <si>
    <t>Mức thuế mới phù hợp với thu nhập hiện tại của tôi, nhưng vẫn lo ngại về các thay đổi chưa rõ ràng.</t>
  </si>
  <si>
    <t>Tăng mức giảm trừ gia cảnh giúp tôi tin rằng số tiền thuế đóng sẽ được sử dụng hiệu quả hơn cho dịch vụ công</t>
  </si>
  <si>
    <t>Nội dung giải thích về mục tiêu cải cách chưa rõ ràng, nhưng các thay đổi mang lại lợi ích cụ thể</t>
  </si>
  <si>
    <t>Các quyền lợi mới giúp tôi tin tưởng hơn vào chính sách thuế và quyết định ủng hộ nó.</t>
  </si>
  <si>
    <t>Biểu thuế đơn giản hơn với ít bậc, giảm ngưỡng chịu thuế và tăng mức giảm trừ gia cảnh. Điều này làm giảm rủi ro trốn thuế vì người dân không thể dễ dàng lợi dụng các lỗ hổng trong biểu thuế.</t>
  </si>
  <si>
    <t>Nhà nước có công nghệ hiện đại để phát hiện gian lận, đặc biệt là với mức giảm trừ gia cảnh lớn hơn và số bậc thuế ít đi. Tuy nhiên, khả năng thực thi vẫn phụ thuộc vào nguồn lực và quyết tâm.</t>
  </si>
  <si>
    <t>Biểu thuế đơn giản, chỉ còn 5 bậc thay vì trước đây là 7, giảm tính phức tạp. Mức giảm trừ gia cảnh tăng giúp việc khai báo thuận tiện hơn.</t>
  </si>
  <si>
    <t>Mức thuế mới được thiết kế để đơn giản và dễ hiểu hơn so với trước đây, số bậc thuế ít đi làm việc tính toán dễ dàng hơn.</t>
  </si>
  <si>
    <t>Nhà nước đã cải cách biểu thuế một cách công bằng, tăng mức giảm trừ gia cảnh. Tuy nhiên, vẫn còn nghi ngờ về khả năng thực thi chính sách mới.</t>
  </si>
  <si>
    <t>Mức thuế mới được thiết kế để phù hợp với thu nhập cá nhân hiện tại, tạo cảm giác công bằng cho người nộp thuế.</t>
  </si>
  <si>
    <t>Tăng giảm trừ gia cảnh và đơn giản hóa biểu thuế có thể giúp cải thiện dịch vụ công. Tuy nhiên, vẫn cần thời gian để đánh giá hiệu quả thực tế.</t>
  </si>
  <si>
    <t>Nhà nước đã giải thích rõ ràng về mục tiêu cải cách, nhưng cần thêm thông tin minh bạch hơn về quá trình thực hiện.</t>
  </si>
  <si>
    <t>Đồng ý với các cải tiến về thuế, giảm gánh nặng cho người dân. Tuy nhiên, vẫn còn nghi ngờ về khả năng thực thi và hiệu quả dài hạn của chính sách mới.</t>
  </si>
  <si>
    <t>Hiện nay, mức giảm trừ gia cảnh và đơn giản hóa biểu thuế đã tăng lên, khiến việc xác định thu nhập chịu thuế trở nên rõ ràng hơn. Tuy nhiên, khả năng phát hiện trốn thuế còn phụ thuộc vào hệ thống quản lý và công nghệ của cơ quan thuế.</t>
  </si>
  <si>
    <t>Công nghệ ngày càng tiên tiến, nhưng vẫn cần sự giám sát chặt chẽ từ phía nhà nước để đảm bảo phát hiện trốn thuế hiệu quả. Cơ quan thuế đã đầu tư vào công nghệ mới nên khả năng xử lý nghiêm sẽ cao hơn.</t>
  </si>
  <si>
    <t>Biểu thuế được đơn giản hóa, giảm số bậc từ 7 xuống còn 5, giúp việc khai báo trở nên dễ dàng hơn. Tuy nhiên, quy trình làm việc với cơ quan thuế vẫn cần cải tiến thêm.</t>
  </si>
  <si>
    <t>Cách tính thuế mới đơn giản hóa bậc thuế, tạo cảm giác thuận tiện cho người nộp thuế. Tuy nhiên, mức thu nhập chịu thuế cao hơn trước có thể gây phức tạp trong việc nắm bắt.</t>
  </si>
  <si>
    <t>Thuế được giảm trừ nhiều hơn và đơn giản hóa biểu thuế, tạo cảm giác công bằng cho người nộp thuế. Cơ quan thuế đã cố gắng thực thi chính sách một cách khách quan</t>
  </si>
  <si>
    <t>Mức thuế mới phù hợp với thu nhập của tôi, nhưng vẫn cần có sự minh bạch và giải thích rõ ràng hơn từ cơ quan thuế.</t>
  </si>
  <si>
    <t>Thuế được sử dụng để cải thiện dịch vụ công, tạo niềm tin cho người nộp thuế. Tuy nhiên, hiệu quả cụ thể vẫn cần theo dõi</t>
  </si>
  <si>
    <t>Cơ quan thuế đã giải thích các thay đổi thuế một cách rõ ràng hơn so với trước đây, tạo cảm giác minh bạch.</t>
  </si>
  <si>
    <t>Sau khi xem xét lợi ích và nghĩa vụ, tôi thấy chính sách mới mang lại nhiều thuận tiện cho người dân. Tuy nhiên, mức độ ủng hộ còn phụ thuộc vào hiệu quả thực tế của chính sách trong tương lai.</t>
  </si>
  <si>
    <t>Theo quy định mới, mức giảm trừ gia cảnh tăng đáng kể và số bậc thuế đơn giản hơn. Điều này làm giảm khả năng trốn thuế nhưng không đảm bảo 100% phát hiện được hành vi gian lận.</t>
  </si>
  <si>
    <t>Công nghệ ngày càng phát triển, cơ quan thuế có thể áp dụng nhiều biện pháp mới để phát hiện trốn thuế. Tuy nhiên, thực tế vẫn cần thời gian để công nghệ được vận hành hiệu quả.</t>
  </si>
  <si>
    <t>Thủ tục khai báo thuế đơn giản hơn với số bậc thuế giảm từ 7 xuống còn 5. Quy trình làm việc với cơ quan thuế cũng thuận lợi hơn, đặc biệt đối với người nộp thuế có thu nhập thấp.</t>
  </si>
  <si>
    <t>Cách tính thuế và các bậc thuế trong phương án mới đơn giản hóa quy trình, dễ hiểu hơn so với trước đây. Tuy nhiên, vẫn cần thời gian để mọi người quen thuộc với hệ thống mới.</t>
  </si>
  <si>
    <t>Mức giảm trừ gia cảnh tăng đáng kể và số bậc thuế giảm, tạo cảm giác công bằng hơn. Người nộp thuế có thu nhập thấp sẽ lợi ích nhiều từ chính sách mới.</t>
  </si>
  <si>
    <t>Mức thuế mới được thiết kế để hợp lý với thu nhập hiện tại của người bình thường. Tuy nhiên, vẫn cần thời gian để mọi người hiểu rõ hơn về tính công bằng của hệ thống mới.</t>
  </si>
  <si>
    <t>Giảm trừ gia cảnh và đơn giản hóa quy định thuế tạo cảm giác số tiền đóng góp vào dịch vụ công sẽ được sử dụng hiệu quả. Tuy nhiên, vẫn cần thời gian để thấy kết quả thực tế.</t>
  </si>
  <si>
    <t>Thông tin về sửa đổi thuế được truyền tải đầy đủ nhưng không phải ai cũng cảm thấy thuyết phục. Cần thêm các biện pháp minh bạch hơn để tăng niềm tin.</t>
  </si>
  <si>
    <t>Chính sách mới có lợi cho người nộp thuế có thu nhập thấp, tạo động lực cho việc tuân thủ. Tuy nhiên, vẫn cần thời gian để mọi người thích nghi và thấy rõ tác động tích cực.</t>
  </si>
  <si>
    <t>Các quy định quản lý thuế hiện nay, với sự phát triển của công nghệ, có thể giúp giảm thiểu hành vi gian lận. Tuy nhiên, việc thực thi vẫn cần tăng cường.</t>
  </si>
  <si>
    <t>Nhà nước và cơ quan thuế đã đầu tư vào công nghệ phát hiện trốn thuế, nâng cao khả năng giám sát</t>
  </si>
  <si>
    <t>Mức giảm trừ gia cảnh tăng lên giúp quá trình khai báo đơn giản hơn. Tuy nhiên, việc cần nộp thuế vẫn còn phức tạp.</t>
  </si>
  <si>
    <t>Biểu thuế được đơn giản hóa từ 7 bậc xuống 5 bậc, làm giảm độ phức tạp và dễ hiểu hơn</t>
  </si>
  <si>
    <t>Nhà nước đã cải thiện các quy định để đảm bảo tính công bằng và minh bạch. Tuy nhiên, vẫn cần sự giám sát chặt chẽ.</t>
  </si>
  <si>
    <t>Mức thuế mới được thiết kế sao cho phù hợp với thu nhập cá nhân, tạo cảm giác công bằng</t>
  </si>
  <si>
    <t>Thuế đóng góp vào việc cải thiện dịch vụ công. Tuy nhiên, hiệu quả sử dụng nguồn lực của Nhà nước vẫn cần được giám sát</t>
  </si>
  <si>
    <t>Nhà nước đã giải thích rõ ràng về lý do và mục tiêu của các thay đổi thuế, giúp người dân hiểu hơn</t>
  </si>
  <si>
    <t>Sau khi xem xét lợi ích mới từ chính sách thuế, tôi thấy mình sẽ tuân thủ vì mức thuế giảm trừ gia cảnh cao hơn và cách tính thuế đơn giản hơn.</t>
  </si>
  <si>
    <t>Mức giảm trừ gia cảnh và các thay đổi trong biểu thuế có thể làm tăng khả năng phát hiện trốn thuế, nhưng không hoàn toàn chắc chắn.</t>
  </si>
  <si>
    <t>Công nghệ hiện đại giúp cải thiện khả năng phát hiện trốn thuế, tuy nhiên vẫn cần sự phối hợp hiệu quả từ phía cơ quan thuế.</t>
  </si>
  <si>
    <t>Biểu thuế đơn giản hơn và mức giảm trừ gia cảnh tăng có thể làm thủ tục khai báo thuế trở nên tiện lợi hơn.</t>
  </si>
  <si>
    <t>Cách tính thuế mới rõ ràng hơn so với trước đây, nhưng số bậc thuế vẫn còn nhiều.</t>
  </si>
  <si>
    <t>Nhìn chung tôi tin rằng cơ quan thuế sẽ thực thi công bằng, tuy nhiên cần thêm thời gian để xem xét hiệu quả thực tế của chính sách mới.</t>
  </si>
  <si>
    <t>Mức thuế mới có vẻ hợp lý so với thu nhập của tôi, nhưng vẫn cần đánh giá về cách sử dụng số tiền thuế đã đóng.</t>
  </si>
  <si>
    <t>Tôi tin rằng số tiền thuế đóng sẽ được sử dụng hiệu quả cho các dịch vụ công, đặc biệt là y tế và giao thông.</t>
  </si>
  <si>
    <t>Nhìn chung tôi thấy Nhà nước đã giải thích một cách rõ ràng về mục tiêu của chính sách mới, nhưng vẫn có chỗ cần cải thiện.</t>
  </si>
  <si>
    <t>Tính toán tổng hợp các quyền lợi và nghĩa vụ, tôi sẵn sàng tuân thủ chính sách mới với mức độ cam kết vừa phải.</t>
  </si>
  <si>
    <t>Các quy định quản lý thuế hiện nay đã được cải thiện, tăng cường khả năng phát hiện hành vi gian lận và trốn thuế. Tuy nhiên, vẫn cần công nghệ hỗ trợ để xử lý hiệu quả hơn.</t>
  </si>
  <si>
    <t>Nhà nước và cơ quan thuế có nhiều công cụ và hệ thống để phát hiện và xử lý nghiêm các hành vi trốn thuế. Công nghệ cũng đang được áp dụng rộng rãi.</t>
  </si>
  <si>
    <t>Thủ tục khai báo thuế trở nên đơn giản hơn với việc rút gọn biểu thuế từ 7 bậc xuống còn 5, giảm bớt rắc rối cho người nộp thuế.</t>
  </si>
  <si>
    <t>Cách tính thuế và các bậc thuế mới dễ hiểu hơn so với trước đây. Mức thuế suất cũng được điều chỉnh một cách hợp lý.</t>
  </si>
  <si>
    <t>Nhà nước đã thực hiện nhiều cải cách để tăng công bằng trong việc đánh thuế, như tăng mức giảm trừ gia cảnh và đơn giản hóa biểu thuế.</t>
  </si>
  <si>
    <t>Mức thuế mới được thiết kế nhằm bảo đảm tính công bằng giữa các đối tượng có thu nhập tương đương nhau.</t>
  </si>
  <si>
    <t>Thuế được sử dụng hiệu quả hơn để cải thiện dịch vụ công, như y tế và đường xá, giúp nâng cao chất lượng cuộc sống của người dân.</t>
  </si>
  <si>
    <t>Nhà nước đã cung cấp thông tin minh bạch về mục tiêu cải cách thuế, giúp người dân hiểu rõ hơn về các thay đổi này.</t>
  </si>
  <si>
    <t>Sau khi cân nhắc lợi ích và nghĩa vụ từ chính sách mới, tôi ủng hộ vì mức thuế giảm nhẹ và phương án đơn giản hóa thủ tục làm việc với cơ quan thuế.</t>
  </si>
  <si>
    <t>Những cải cách thuế hiện tại đã tăng mức giảm trừ gia cảnh, đơn giản hóa biểu thuế và điều chỉnh các bậc thuế suất. Điều này làm cho việc trốn thuế trở nên khó khăn hơn.</t>
  </si>
  <si>
    <t>Công nghệ hiện đại và sự cải cách quản lý thuế đã giúp nhà nước có khả năng phát hiện và xử lý nghiêm các hành vi trốn thuế. Tuy nhiên, vẫn cần sự giám sát kỹ lưỡng.</t>
  </si>
  <si>
    <t>Các quy định về giảm trừ gia cảnh mới và việc đơn giản hóa biểu thuế làm cho quá trình khai báo thuế dễ dàng hơn. Tuy vậy, vẫn có những thủ tục phức tạp cần cải thiện.</t>
  </si>
  <si>
    <t>Đơn giản hóa biểu thuế từ 7 bậc xuống 5 bậc đã làm giảm độ phức tạp và giúp người dân hiểu rõ quy định hơn. Tuy nhiên, việc áp dụng mới phương án này còn cần thời gian.</t>
  </si>
  <si>
    <t>Mức giảm trừ gia cảnh cao hơn và các bậc thuế suất mới có thể được xem là công bằng hơn so với trước đây. Tuy nhiên, vẫn có sự nghi ngờ về cách thực thi chính sách.</t>
  </si>
  <si>
    <t>Mức thuế mới có thể phù hợp với thu nhập cá nhân hiện tại của tôi. Tuy nhiên, việc cải cách này chưa đủ minh bạch và vẫn cần thêm thông tin để đánh giá rõ ràng hơn.</t>
  </si>
  <si>
    <t>Tôi tin rằng số tiền thuế đóng sẽ được sử dụng hiệu quả cho các dịch vụ công. Tuy nhiên, việc cải cách này chưa đủ minh bạch và cần thêm thông tin về cách sử dụng nguồn thu thuế.</t>
  </si>
  <si>
    <t>Nhà nước đã giải thích rõ ràng về mục tiêu của chính sách mới nhưng vẫn còn thiếu minh bạch trong việc truyền tải thông điệp này đến người dân. Tuy nhiên, tôi tin rằng điều này sẽ cải thiện.</t>
  </si>
  <si>
    <t>Sau khi xem xét các quyền lợi và nghĩa vụ, tôi ủng hộ chính sách mới. Mức thuế giảm trừ gia cảnh cao hơn có thể giúp giảm gánh nặng thuế cho người dân. Tuy nhiên, vẫn cần thêm thời gian để quen với chính sách mới.</t>
  </si>
  <si>
    <t>Biện pháp quản lý thuế được cải thiện, mức giảm trừ gia cảnh tăng lên, nhưng không có thông tin về công nghệ phát hiện trốn thuế.</t>
  </si>
  <si>
    <t>Nhu cầu về công nghệ và khả năng phát hiện trốn thuế chưa được đề cập cụ thể. Tuy nhiên, cải cách thuế đã làm giảm gánh nặng cho người dân.</t>
  </si>
  <si>
    <t>Biểu thuế đơn giản hơn nhưng không rõ liệu quy trình khai báo có thay đổi hay không. Sự thuận tiện còn phụ thuộc vào độ phức tạp của hồ sơ cá nhân.</t>
  </si>
  <si>
    <t>Các bậc thuế giảm xuống, dễ hiểu và đơn giản hơn so với trước đây. Tuy nhiên, các quy định cụ thể về cách tính vẫn chưa được đề cập.</t>
  </si>
  <si>
    <t>Nhà nước đã cải thiện mức giảm trừ gia cảnh, nhưng không có thông tin cụ thể về việc thực thi chính sách một cách công bằng và khách quan.</t>
  </si>
  <si>
    <t>Mức thuế mới dựa trên thu nhập cá nhân, người dân cảm thấy hợp lý. Tuy nhiên, mức độ công bằng còn phụ thuộc vào hiệu quả sử dụng số tiền thuế đã đóng.</t>
  </si>
  <si>
    <t>Dự kiến giảm gánh nặng thuế do cải cách, nhưng chưa có thông tin về việc sử dụng số tiền thuế thu được để cải thiện dịch vụ công.</t>
  </si>
  <si>
    <t>Cải cách thuế mới đã được truyền thông rộng rãi, nhưng mức độ minh bạch và rõ ràng của thông điệp vẫn chưa rõ ràng.</t>
  </si>
  <si>
    <t>Dự kiến giảm gánh nặng thuế do cải cách, nhưng quyết định tuân thủ phụ thuộc vào nhiều yếu tố như mức độ tin tưởng vào chính sách và khả năng thực hiện.</t>
  </si>
  <si>
    <t>Theo quy định mới, mức giảm trừ gia cảnh tăng lên đáng kể. Điều này làm giảm gánh nặng thuế cho người dân và tạo ra sự công bằng hơn trong việc đánh giá thu nhập. Tuy nhiên, khả năng phát hiện trốn thuế vẫn phụ thuộc nhiều vào công nghệ quản lý của cơ quan thuế.</t>
  </si>
  <si>
    <t>Công nghệ quản lý thuế đã được cải thiện đáng kể trong thời gian gần đây. Tuy nhiên, việc trốn thuế vẫn còn tồn tại và cần có nhiều biện pháp mạnh mẽ hơn để phát hiện và xử lý.</t>
  </si>
  <si>
    <t>Biểu thuế đơn giản hơn với ít bậc thuế hơn làm cho quá trình khai báo thuế dễ dàng hơn. Tuy nhiên, quy trình làm việc với cơ quan thuế vẫn cần cải tiến để trở nên thuận tiện hơn.</t>
  </si>
  <si>
    <t>Các bước tính thuế và bậc thuế mới rõ ràng hơn so với trước đây. Điều này giúp người dân dễ hiểu và áp dụng.</t>
  </si>
  <si>
    <t>Nhà nước đã cải thiện mức giảm trừ gia cảnh, tạo ra sự công bằng trong việc đánh giá thu nhập. Tuy nhiên, vẫn còn một số lo ngại về khả năng thực thi chính sách công tâm và khách quan.</t>
  </si>
  <si>
    <t>Thuế mới được thiết kế sao cho phù hợp với thu nhập cá nhân hiện tại, tạo ra cảm giác công bằng. Tuy nhiên, việc thực thi vẫn cần thêm thời gian để đánh giá.</t>
  </si>
  <si>
    <t>Giảm trừ gia cảnh tăng lên đáng kể, tạo ra sự công bằng trong việc phân chia thuế. Việc sử dụng số tiền thuế này hiệu quả cho dịch vụ công vẫn cần thêm thời gian để đánh giá.</t>
  </si>
  <si>
    <t>Giải thích về lý do và mục tiêu của chính sách mới đã được cải thiện, tạo ra sự minh bạch. Tuy nhiên, việc thực hiện các thông điệp này vẫn cần thêm thời gian để thuyết phục.</t>
  </si>
  <si>
    <t>Do mức giảm trừ gia cảnh tăng lên đáng kể và bậc thuế đơn giản hơn, tôi ủng hộ chính sách mới. Tuy nhiên, vẫn còn một số lo ngại về thực thi chính sách công tâm và minh bạch.</t>
  </si>
  <si>
    <t>Các quy định quản lý thuế hiện nay đã được cải thiện đáng kể, đặc biệt với công nghệ phát hiện trốn thuế tiên tiến hơn. Điều này làm tăng niềm tin vào khả năng phát hiện hành vi gian lận.</t>
  </si>
  <si>
    <t>Nhà nước và cơ quan thuế đã đầu tư mạnh mẽ vào công nghệ, nâng cao khả năng phát hiện và xử lý trốn thuế. Điều này làm tăng sự tin tưởng của người dân vào hệ thống.</t>
  </si>
  <si>
    <t>Mức giảm trừ gia cảnh và số bậc thuế ít hơn đã đơn giản hóa quy trình khai báo, giúp việc làm việc với cơ quan thuế trở nên dễ dàng hơn.</t>
  </si>
  <si>
    <t>Biểu thuế đơn giản hơn đã làm cho cách tính thuế trở nên dễ hiểu và thực hiện nhanh chóng hơn so với trước đây.</t>
  </si>
  <si>
    <t>Nhà nước đã cải thiện quy định về giảm trừ gia cảnh, tạo ra sự công bằng trong việc đánh thuế. Điều này làm tăng niềm tin vào khả năng thực thi chính sách một cách khách quan và công bằng.</t>
  </si>
  <si>
    <t>Mức thuế mới dựa trên thu nhập đã thể hiện tính công bằng, phù hợp với mức lương trung bình. Điều này làm tăng niềm tin vào sự công bằng của chính sách thuế mới.</t>
  </si>
  <si>
    <t>Thuê đóng góp cho cải thiện dịch vụ công như y tế và hạ tầng, tạo ra lợi ích xã hội lớn. Điều này làm tăng niềm tin rằng số tiền thuế đóng sẽ được sử dụng hiệu quả.</t>
  </si>
  <si>
    <t>Nhà nước đã cung cấp thông tin chi tiết về cải cách thuế mới, giúp người dân hiểu rõ lý do và mục tiêu. Điều này làm tăng sự minh bạch và tin tưởng vào chính sách.</t>
  </si>
  <si>
    <t>Sau khi xem xét các quyền lợi và nghĩa vụ, tôi thấy rằng cải cách thuế mới mang lại nhiều lợi ích. Mặc dù vẫn có nghi ngờ về một số điểm, nhưng quyết định ủng hộ là phù hợp với lợi ích tài chính và sự công bằng.</t>
  </si>
  <si>
    <t>Công nghệ hiện đại ngày càng phát triển, việc phát hiện trốn thuế trở nên dễ dàng hơn. Tuy nhiên, vẫn còn khả năng bị lọt qua mắt xanh.</t>
  </si>
  <si>
    <t>Nhà nước đã đầu tư vào công nghệ và nhân lực để nâng cao hiệu quả quản lý thuế, nhưng việc phát hiện trốn thuế hoàn toàn phụ thuộc vào thực thi pháp luật.</t>
  </si>
  <si>
    <t>Mức giảm trừ gia cảnh tăng đáng kể, cùng với việc đơn giản hóa quy trình khai báo, tạo thuận lợi cho người dân.</t>
  </si>
  <si>
    <t>Biểu thuế được rút gọn và rõ ràng hơn, giúp người nộp thuế dễ dàng nắm bắt hơn so với trước đây.</t>
  </si>
  <si>
    <t>Nhà nước đã cải thiện quy định quản lý thuế, tạo ra sự công bằng trong việc phân bổ nghĩa vụ giữa các đối tượng nộp thuế.</t>
  </si>
  <si>
    <t>Mức thuế mới được thiết kế sao cho phù hợp với thu nhập cá nhân trung bình, thể hiện tính công bằng.</t>
  </si>
  <si>
    <t>Những khoản giảm trừ gia cảnh tăng mạnh, cùng với việc cải cách biểu thuế, tạo điều kiện thuận lợi để người dân tuân thủ pháp luật.</t>
  </si>
  <si>
    <t>Tin tức về các cải cách được truyền thông minh bạch hơn so với trước đây, nhưng vẫn có sự hoài nghi từ người dân đối với những thông tin này.</t>
  </si>
  <si>
    <t>Do mức thuế giảm và quy định đơn giản hơn, tôi thấy việc tuân thủ mới là phù hợp. Tuy nhiên, vẫn còn một số lo ngại về sự công bằng của hệ thống thuế.</t>
  </si>
  <si>
    <t>Mức giảm trừ gia cảnh tăng mạnh, quy định quản lý thuế chặt chẽ hơn sẽ làm giảm cơ hội trốn thuế. Công nghệ phát triển giúp phát hiện gian lận dễ dàng hơn.</t>
  </si>
  <si>
    <t>Công nghệ và nguồn lực của cơ quan thuế được đầu tư mạnh mẽ, tăng cường khả năng giám sát và xử lý trốn thuế hiệu quả.</t>
  </si>
  <si>
    <t>Bậc thuế đơn giản hơn, quy trình làm việc với cơ quan thuế thuận tiện hơn so với trước đây.</t>
  </si>
  <si>
    <t>Cách tính thuế và bậc thuế mới dễ hiểu và áp dụng linh hoạt hơn, giảm rào cản cho người dân.</t>
  </si>
  <si>
    <t>Niềm tin vào sự công bằng của hệ thống thuế được cải thiện với mức giảm trừ gia cảnh tăng mạnh. Tuy nhiên, vẫn có ít nhiều nghi ngờ về khả năng thực thi.</t>
  </si>
  <si>
    <t>Mức thuế mới tương đối hợp lý cho thu nhập trung bình, tạo cảm giác công bằng khi so sánh với các bậc thuế cũ.</t>
  </si>
  <si>
    <t>Niềm tin vào việc sử dụng tiền thuế hiệu quả để cải thiện dịch vụ công đang tăng lên nhưng vẫn còn lo ngại về khả năng thực thi.</t>
  </si>
  <si>
    <t>Công khai giải thích về lý do và mục tiêu của cải cách thuế tạo cảm giác tin cậy, tuy nhiên, mức độ thuyết phục vẫn chưa hoàn toàn đủ để thay đổi niềm tin sâu sắc.</t>
  </si>
  <si>
    <t>Điều kiện tài chính cải thiện nhờ giảm trừ gia cảnh và bậc thuế mới. Tuy nhiên, sự phức tạp về quản lý thuế đôi khi khiến người dân bối rối. Do đó, quyết định tuân thủ có điều kiện.</t>
  </si>
  <si>
    <t>Mức giảm trừ gia cảnh tăng lên, giúp người dân tiết kiệm thuế và giảm cơ hội trốn thuế. Tuy nhiên, vẫn cần công nghệ hiện đại để phát hiện gian lận.</t>
  </si>
  <si>
    <t>Công nghệ hiện đại như AI có thể hỗ trợ phát hiện trốn thuế nhanh chóng và chính xác hơn, nhưng khả năng thực thi còn phụ thuộc vào nguồn lực của cơ quan thuế.</t>
  </si>
  <si>
    <t>Biểu thuế được đơn giản hóa từ 7 bậc xuống còn 5 bậc, giảm bớt rắc rối cho người dân khai báo và làm việc với cơ quan thuế. Ngoài ra, mức giảm trừ gia cảnh tăng cũng giúp quá trình tính thuế thuận lợi hơn.</t>
  </si>
  <si>
    <t>Phương án mới đơn giản hóa các bậc thuế từ 7 xuống còn 5, dễ hiểu và thực hiện nhanh chóng hơn so với trước đây. Tuy nhiên, việc áp dụng cần sự thông suốt trong quản lý.</t>
  </si>
  <si>
    <t>Nhà nước đã tăng mức giảm trừ gia cảnh, giúp người dân cảm thấy được đối xử công bằng và tin tưởng vào chính sách mới. Mức thuế mới cũng được thiết kế nhằm công bằng hơn so với trước đây.</t>
  </si>
  <si>
    <t>Mức thuế mới đã được điều chỉnh hợp lý cho từng mức thu nhập, tạo cảm giác công bằng cho người nộp thuế. Tuy nhiên, việc đánh giá công bằng còn phụ thuộc vào cách áp dụng thực tế.</t>
  </si>
  <si>
    <t>Mức giảm trừ gia cảnh tăng và sự đơn giản hóa biểu thuế giúp tôi tin rằng số tiền thuế đóng sẽ được sử dụng hiệu quả để cải thiện dịch vụ công. Tuy nhiên, hiệu quả này còn phụ thuộc vào quản lý tài chính của nhà nước.</t>
  </si>
  <si>
    <t>Nhà nước đã công bố rõ ràng về các thay đổi thuế và mục tiêu của nó, tăng tính minh bạch. Tuy nhiên, việc giải thích đầy đủ cần phải được duy trì để tránh hiểu lầm.</t>
  </si>
  <si>
    <t>Tăng mức giảm trừ gia cảnh và đơn giản hóa biểu thuế giúp tôi có cảm giác ủng hộ chính sách mới. Tuy nhiên, quyết định tuân thủ còn phụ thuộc vào việc thực thi hiệu quả của cơ quan thuế.</t>
  </si>
  <si>
    <t>Theo luật hiện hành, mức giảm trừ gia cảnh tăng lên và quy định quản lý thuế được đơn giản hóa hơn. Điều này làm giảm rủi ro trốn thuế.</t>
  </si>
  <si>
    <t>Công nghệ thông tin ngày càng phát triển giúp cơ quan thuế dễ dàng phát hiện hành vi gian lận.</t>
  </si>
  <si>
    <t>Biểu thuế được đơn giản hóa, mức giảm trừ gia cảnh tăng lên, tạo cảm giác thuận tiện hơn cho người nộp thuế.</t>
  </si>
  <si>
    <t>Cách tính thuế và bậc thuế mới đơn giản hóa so với trước đây, dễ hiểu và thực hiện nhanh chóng hơn.</t>
  </si>
  <si>
    <t>Nhà nước đã tăng mức giảm trừ gia cảnh và đơn giản hóa biểu thuế, tạo cảm giác công bằng trong việc áp dụng chính sách.</t>
  </si>
  <si>
    <t>Mức thuế mới theo phương án này hợp lý với thu nhập hiện tại của tôi, do đó tôi thấy nó công bằng.</t>
  </si>
  <si>
    <t>Tăng mức giảm trừ gia cảnh và đơn giản hóa biểu thuế tạo cảm giác số tiền thuế đóng sẽ được sử dụng hiệu quả cho dịch vụ công.</t>
  </si>
  <si>
    <t>Thông tin về chính sách mới đã được giải thích rõ ràng, minh bạch hơn so với trước đây.</t>
  </si>
  <si>
    <t>Trách nhiệm pháp lý và quyền lợi cá nhân đều tăng lên do quy định mới, tạo động lực để tuân thủ.</t>
  </si>
  <si>
    <t>Mức giảm trừ gia cảnh tăng đáng kể, nhưng không rõ liệu công nghệ và quy định quản lý thuế có thực sự hiệu quả trong việc phát hiện trốn thuế.</t>
  </si>
  <si>
    <t>Công nghệ phát triển mạnh mẽ, nhưng vẫn cần thời gian để áp dụng rộng rãi và hiệu quả. Nhà nước cũng đã tăng cường kiểm soát.</t>
  </si>
  <si>
    <t>Biểu thuế được đơn giản hóa, việc khai báo có thể nhanh chóng hơn với mức giảm trừ gia cảnh mới.</t>
  </si>
  <si>
    <t>Cách tính thuế mới rõ ràng hơn và số bậc thuế giảm, nhưng vẫn cần thời gian để quen thuộc.</t>
  </si>
  <si>
    <t>Giảm trừ gia cảnh tăng mạnh, nhưng không chắc chắn về cách thực thi công bằng với tất cả các đối tượng nộp thuế.</t>
  </si>
  <si>
    <t>Thuế suất mới rõ ràng hơn, nhưng mức thuế cụ thể còn phụ thuộc vào thu nhập của từng người.</t>
  </si>
  <si>
    <t>Giảm trừ gia cảnh tăng đáng kể, nhưng không biết liệu số tiền thuế đóng sẽ được sử dụng hiệu quả như thế nào.</t>
  </si>
  <si>
    <t>Thông tin giải thích về chính sách mới khá đầy đủ và minh bạch, nhưng cần thời gian để đánh giá</t>
  </si>
  <si>
    <t>Giảm trừ gia cảnh tăng đáng kể, thủ tục đơn giản hơn. Tuy nhiên, vẫn có sự đa dạng về mức thuế cụ thể dựa trên thu nhập.</t>
  </si>
  <si>
    <t>Các quy định quản lý thuế hiện nay không rõ ràng, dễ dàng bị lợi dụng để trốn thuế.</t>
  </si>
  <si>
    <t>Hiện công nghệ phát hiện trốn thuế chưa hiệu quả và thiếu khả năng xử lý nghiêm.</t>
  </si>
  <si>
    <t>Thủ tục khai báo thuế hiện nay vẫn phức tạp, chưa đơn giản hóa như mong đợi.</t>
  </si>
  <si>
    <t>Cách tính thuế mới có phần đơn giản hơn nhưng không rõ ràng về các bậc thuế.</t>
  </si>
  <si>
    <t>Niềm tin vào sự khách quan và công bằng của cơ quan thuế chưa cao do lịch sử xử lý vi phạm.</t>
  </si>
  <si>
    <t>Mức thuế mới có phần hợp lý nhưng không đảm bảo công bằng cho mọi người thu nhập khác nhau.</t>
  </si>
  <si>
    <t>Công nghệ và thông tin về sử dụng số tiền thuế chưa minh bạch, khó đánh giá hiệu quả.</t>
  </si>
  <si>
    <t>Giải thích về lý do sửa đổi thuế không đủ rõ ràng, gây nghi ngờ về mục tiêu chính sách.</t>
  </si>
  <si>
    <t>Dù lợi ích tài chính nhưng chưa thấy minh bạch và công bằng trong cách thực thi, quyết định tuân thủ còn lưỡng lự.</t>
  </si>
  <si>
    <t>Dù tăng mức giảm trừ gia cảnh, nhưng các quy định quản lý thuế hiện nay vẫn còn phức tạp và chưa đủ công nghệ để phát hiện trốn thuế hiệu quả.</t>
  </si>
  <si>
    <t>Công nghệ ngày càng tiên tiến giúp Nhà nước có khả năng hơn trong việc phát hiện các hành vi trốn thuế, nhưng still cần thêm thời gian để triển khai toàn diện.</t>
  </si>
  <si>
    <t>Mức giảm trừ gia cảnh tăng lên, thủ tục khai báo thuế đơn giản hóa, giúp người dân dễ dàng hơn trong việc thực hiện nghĩa vụ thuế.</t>
  </si>
  <si>
    <t>Biểu thuế được đơn giản hóa từ 7 bậc xuống còn 5 bậc, giảm sự phức tạp và dễ hiểu hơn cho người nộp thuế.</t>
  </si>
  <si>
    <t>Niềm tin vào tính khách quan, công tâm của cơ quan thuế tăng lên do mức giảm trừ gia cảnh lớn hơn, nhưng vẫn còn nghi ngại về việc thực thi.</t>
  </si>
  <si>
    <t>Các bậc thuế mới được thiết kế hợp lý cho thu nhập cá nhân trung bình như tôi, cho thấy tính công bằng trong việc phân bổ gánh nặng thuế.</t>
  </si>
  <si>
    <t>Sử dụng số tiền thuế đóng để cải thiện dịch vụ công là điều hợp lý và cần thiết, tuy nhiên hiệu quả cụ thể còn phụ thuộc vào cách quản lý ngân sách.</t>
  </si>
  <si>
    <t>Nhà nước đã giải thích rõ ràng về mục tiêu sửa đổi thuế, nhưng vẫn còn thiếu minh bạch trong quá trình thực hiện chính sách.</t>
  </si>
  <si>
    <t>Mặc dù cải cách có lợi cho tôi từ góc độ tài chính và thủ tục, nhưng do nghi ngại về việc thực thi nên chưa chắc chắn sẽ tuân thủ hoàn toàn.</t>
  </si>
  <si>
    <t>Công nghệ hiện đại và quy định quản lý thuế chặt chẽ hơn, tăng khả năng phát hiện trốn thuế.</t>
  </si>
  <si>
    <t>Nhà nước đã đầu tư vào công nghệ để phát hiện và xử lý nghiêm các hành vi trốn thuế.</t>
  </si>
  <si>
    <t>Mức giảm trừ gia cảnh tăng, quy trình khai báo thuế đơn giản hơn trước đây.</t>
  </si>
  <si>
    <t>Biểu thuế được rút gọn và các bậc thuế rõ ràng hơn, dễ hiểu và thực hiện thuận lợi hơn.</t>
  </si>
  <si>
    <t>Nhà nước đã minh bạch hóa quy định quản lý thuế, tăng tính công bằng đối xử giữa người nộp thuế.</t>
  </si>
  <si>
    <t>Mức thuế mới được thiết kế nhằm đảm bảo công bằng cho thu nhập tương tự như tôi.</t>
  </si>
  <si>
    <t>Giảm trừ gia cảnh tăng, giúp số tiền thuế đóng vào quỹ nhà nước được sử dụng hiệu quả hơn để cải thiện dịch vụ công.</t>
  </si>
  <si>
    <t>Nhà nước đã giải thích rõ ràng về mục tiêu và lý do của việc sửa đổi thuế lần này, nhưng vẫn có nhiều thông tin cần thêm.</t>
  </si>
  <si>
    <t>Sau khi xem xét các quyền lợi và nghĩa vụ, tôi ủng hộ và tuân thủ chính sách mới, vì giảm trừ gia cảnh tăng và quy trình thuế đơn giản hơn.</t>
  </si>
  <si>
    <t>Các quy định quản lý thuế hiện nay, dù không quá phức tạp nhưng vẫn có khả năng phát hiện hành vi gian lận hoặc trốn thuế.</t>
  </si>
  <si>
    <t>Nhà nước và cơ quan thuế đã đầu tư công nghệ để hỗ trợ trong việc phát hiện và xử lý các hành vi trốn thuế, tuy nhiên khả năng vẫn phụ thuộc vào nguồn lực và thực thi.</t>
  </si>
  <si>
    <t>Thủ tục khai báo thuế và quy trình làm việc với cơ quan thuế đã đơn giản hơn, giảm bớt các bước rườm rà trước đây, giúp quá trình nhanh chóng và tiện lợi.</t>
  </si>
  <si>
    <t>Cách tính thuế mới có ít bậc hơn, dễ hiểu và thực hiện thuận tiện hơn so với trước đây, tạo cảm giác đơn giản hóa cho người nộp thuế.</t>
  </si>
  <si>
    <t>Nhà nước đã cải thiện quy định để giảm gánh nặng thuế cho cá nhân thông qua mức giảm trừ gia cảnh cao hơn. Điều này tăng niềm tin rằng chính sách mới được thực hiện công bằng và khách quan.</t>
  </si>
  <si>
    <t>Mức thuế mới có thể coi là hợp lý so với thu nhập cá nhân, giảm gánh nặng cho người dân. Tuy nhiên, mức thuế vẫn phụ thuộc vào thu nhập cụ thể nên chưa hoàn toàn công bằng đối với tất cả mọi người.</t>
  </si>
  <si>
    <t>Thuế tôi đóng sẽ được sử dụng hiệu quả để cải thiện dịch vụ công, mặc dù không phải lúc nào cũng thấy kết quả rõ ràng ngay lập tức. Niềm tin vào việc sử dụng đúng mục đích vẫn còn cần thời gian kiểm chứng.</t>
  </si>
  <si>
    <t>Nhà nước đã giải thích về các thay đổi thuế một cách rõ ràng, nhưng quá trình truyền thông và thực thi chính sách có thể chưa hoàn toàn minh bạch đối với mọi người dân.</t>
  </si>
  <si>
    <t>Quy định mới giảm gánh nặng thuế cho cá nhân, giúp tôi ủng hộ và tuân thủ. Tuy nhiên, sự phức tạp của các quy định vẫn cần thời gian để thích nghi và hiểu rõ hơn.</t>
  </si>
  <si>
    <t>Cải cách thuế có thêm giảm trừ gia cảnh, nhưng không rõ liệu công nghệ phát hiện trốn thuế đã được nâng cấp hay chưa.</t>
  </si>
  <si>
    <t>Nhà nước và cơ quan thuế có nhiều nguồn lực kỹ thuật số, tuy nhiên thực tế việc phát hiện trốn thuế còn phụ thuộc vào yếu tố con người và quy định cụ thể.</t>
  </si>
  <si>
    <t>Mức giảm trừ gia cảnh tăng và đơn giản hóa biểu thuế giúp quá trình khai báo thuận tiện hơn, nhưng chưa chắc đã dễ dàng như trước đây.</t>
  </si>
  <si>
    <t>Cách tính thuế mới rõ ràng hơn so với trước nhưng vẫn cần thời gian để quen thuộc.</t>
  </si>
  <si>
    <t>Nhà nước đã tăng giảm trừ gia cảnh, do đó tôi tin rằng việc thực thi thuế sẽ công bằng và khách quan đối với mọi người nộp thuế.</t>
  </si>
  <si>
    <t>Đối với mức thu nhập của mình, phương án mới có vẻ hợp lý hơn so với trước đây, do đó tôi thấy mức thuế mới là công bằng.</t>
  </si>
  <si>
    <t>Tăng giảm trừ gia cảnh và đơn giản hóa biểu thuế làm tôi tin rằng số tiền thuế đóng sẽ được sử dụng hiệu quả để cải thiện dịch vụ công.</t>
  </si>
  <si>
    <t>Thông tin về các thay đổi thuế mới đã được giải thích rõ ràng, nhưng cần thêm thời gian để mọi người hiểu và tiếp nhận.</t>
  </si>
  <si>
    <t>Do mức giảm trừ gia cảnh tăng và phương án thuế mới đơn giản hơn, tôi sẽ ủng hộ và tuân thủ chính sách mới.</t>
  </si>
  <si>
    <t>Hiện nay, với các quy định quản lý thuế mới, tôi nghĩ việc phát hiện hành vi gian lận hay trốn thuế sẽ khó hơn trước đây. Tuy nhiên, vẫn có khả năng bị phát hiện nhưng không chắc chắn.</t>
  </si>
  <si>
    <t>Công nghệ ngày càng tiên tiến và Nhà nước đã đầu tư vào việc cải thiện công tác quản lý thuế, cho nên tôi tin rằng các hành vi trốn thuế sẽ dễ dàng bị phát hiện hơn. Công nghệ giúp tăng cường khả năng kiểm soát.</t>
  </si>
  <si>
    <t>Với mức giảm trừ gia cảnh cao hơn và quy trình khai báo thuế đơn giản hơn, tôi thấy các thủ tục đã thuận tiện hơn nhiều so với trước đây. Việc làm việc với cơ quan thuế cũng dễ dàng hơn.</t>
  </si>
  <si>
    <t>Cách tính thuế mới đơn giản hóa bậc thuế từ 7 xuống còn 5, điều này giúp người dân dễ hiểu và thực hiện hơn so với trước đây. Mức thuế suất cũng đã được thay đổi hợp lý.</t>
  </si>
  <si>
    <t>Tôi tin rằng Nhà nước sẽ thực thi chính sách mới một cách công bằng, nhưng cần thêm thời gian để chứng minh thực tế. Quy định mới về giảm trừ gia cảnh và mức thuế suất có thể làm tăng niềm tin.</t>
  </si>
  <si>
    <t>Mức thuế theo phương án mới phù hợp với thu nhập của tôi, nhưng cần xem xét thêm về hiệu quả sử dụng số tiền thuế này. Quy định mới về giảm trừ gia cảnh giúp tôi cảm thấy công bằng hơn.</t>
  </si>
  <si>
    <t>Tôi tin rằng số tiền thuế đóng sẽ được sử dụng hiệu quả, nhưng cần thêm thông tin về cách sử dụng cụ thể để tăng niềm tin. Quy định mới về giảm trừ gia cảnh có thể làm tăng sự tin tưởng.</t>
  </si>
  <si>
    <t>Nhà nước đã giải thích rõ ràng về mục tiêu cải cách thuế, nhưng cần thêm thông tin chi tiết hơn để thuyết phục tôi hoàn toàn. Quy định mới về giảm trừ gia cảnh giúp tăng sự minh bạch.</t>
  </si>
  <si>
    <t>Sau khi xem xét các quyền lợi và nghĩa vụ, tôi thấy rằng quy định mới có lợi cho người dân như tôi, nhưng vẫn cần thêm thời gian để hình thành niềm tin. Quy định mới về giảm trừ gia cảnh tăng sự ủng hộ.</t>
  </si>
  <si>
    <t>Cơ quan thuế có nhiều công nghệ hiện đại giúp phát hiện gian lận, như AI và hệ thống thông tin thuế tích hợp. Điều này tăng cường khả năng kiểm soát.</t>
  </si>
  <si>
    <t>Nhà nước đã đầu tư vào các hệ thống công nghệ mới để phát hiện trốn thuế hiệu quả hơn trong thời gian qua, tăng niềm tin của người dân.</t>
  </si>
  <si>
    <t>Biểu thuế được đơn giản hóa từ 7 bậc xuống còn 5 bậc, giảm bớt rườm rà và khó hiểu. Việc này giúp quá trình khai báo trở nên nhanh chóng hơn.</t>
  </si>
  <si>
    <t>Phương án mới có ít bậc thuế hơn và mức thuế suất rõ ràng hơn, dễ dàng tính toán và minh bạch hơn so với trước đây.</t>
  </si>
  <si>
    <t>Nhà nước đã cải thiện quy định giảm trừ gia cảnh, giúp người dân cảm thấy chính sách mới công bằng hơn. Tuy nhiên, vẫn cần thêm thông tin rõ ràng về cách thực thi.</t>
  </si>
  <si>
    <t>Mức thuế mới được thiết kế dựa trên thu nhập của tôi, nên tôi cho rằng nó là công bằng. Tuy nhiên, vẫn có sự nghi ngờ về việc sử dụng số tiền thuế đã đóng.</t>
  </si>
  <si>
    <t>Sau khi cải thiện giảm trừ gia cảnh, tôi tin rằng số tiền thuế của tôi sẽ được sử dụng hiệu quả hơn cho các dịch vụ công. Tuy nhiên, vẫn cần thêm thông tin rõ ràng về cách thực hiện.</t>
  </si>
  <si>
    <t>Nhà nước đã giải thích một cách tổng quát về mục tiêu cải cách thuế, nhưng chưa chi tiết về từng bước cụ thể và ảnh hưởng đến người dân.</t>
  </si>
  <si>
    <t>Đối với thu nhập của tôi, mức giảm trừ gia cảnh mới tăng lên giúp tiết kiệm tiền. Tuy nhiên, vẫn có một số nghi ngờ về cách thực thi chính sách và sự công bằng trong việc sử dụng số tiền thuế đã đóng.</t>
  </si>
  <si>
    <t>Mức giảm trừ gia cảnh tăng và quy định quản lý thuế rõ ràng hơn, nhưng vẫn lo ngại về khả năng phát hiện trốn thuế.</t>
  </si>
  <si>
    <t>Công nghệ hiện đại có thể hỗ trợ hiệu quả trong việc phát hiện trốn thuế, nhưng cần nhiều thời gian để áp dụng rộng rãi.</t>
  </si>
  <si>
    <t>Biểu thuế đơn giản hơn, nhưng quy trình khai báo vẫn còn phức tạp và tốn thời gian.</t>
  </si>
  <si>
    <t>Cách tính thuế mới dễ hiểu, nhưng không giảm được độ phức tạp của quy trình khai báo.</t>
  </si>
  <si>
    <t>Niềm tin vào công bằng trong việc thực thi chính sách tăng lên do mức giảm trừ gia cảnh cao hơn, nhưng vẫn lo ngại về thực tế.</t>
  </si>
  <si>
    <t>Mức thuế mới có thể được coi là công bằng, nhưng không chắc chắn vì chưa biết hiệu quả trong việc sử dụng số tiền thuế.</t>
  </si>
  <si>
    <t>Tin tưởng vào việc sử dụng số tiền thuế hiệu quả tăng lên do mức giảm trừ gia cảnh cao hơn, nhưng vẫn lo ngại về thực tế.</t>
  </si>
  <si>
    <t>Nhà nước đã giải thích rõ ràng mục tiêu của chính sách mới, nhưng chưa thuyết phục hoàn toàn về độ minh bạch.</t>
  </si>
  <si>
    <t>Chưa sẵn sàng tuân thủ hoàn toàn do còn lo ngại về thực tế và không chắc chắn về hiệu quả sử dụng số tiền thuế.</t>
  </si>
  <si>
    <t>Quy định quản lý thuế hiện nay vẫn chưa rõ ràng về công nghệ phát hiện trốn thuế, nên tôi không hoàn toàn tin tưởng.</t>
  </si>
  <si>
    <t>Công nghệ hiện đại có thể hỗ trợ nhưng cần sự quyết tâm và nguồn lực của Nhà nước.</t>
  </si>
  <si>
    <t>Mức giảm trừ gia cảnh tăng, thủ tục thuế đơn giản hơn so với trước đây, tạo thuận lợi cho người nộp thuế.</t>
  </si>
  <si>
    <t>Biểu thuế được đơn giản hóa nhưng vẫn giữ nguyên các bậc thuế suất, dễ hiểu và thực hiện hơn.</t>
  </si>
  <si>
    <t>Niềm tin vào sự công bằng của Nhà nước trong việc thực thi chính sách mới có thể tăng do giảm trừ gia cảnh tăng.</t>
  </si>
  <si>
    <t>Mức thuế mới có vẻ công bằng so với thu nhập hiện tại, nhưng cần xem xét thời gian thực hiện.</t>
  </si>
  <si>
    <t>Tăng mức giảm trừ gia cảnh và đơn giản hóa quy trình khai thuế tạo điều kiện cho việc sử dụng hiệu quả nguồn thuế.</t>
  </si>
  <si>
    <t>Nhà nước đã giải thích rõ về mức giảm trừ gia cảnh, nhưng thông tin về mục tiêu cải cách chưa đầy đủ.</t>
  </si>
  <si>
    <t>Tăng giảm trừ gia cảnh và đơn giản hóa quy trình khai thuế tạo động lực để tuân thủ chính sách mới.</t>
  </si>
  <si>
    <t>Chính phủ đã tăng cường các quy định quản lý thuế và công nghệ hiện đại giúp phát hiện trốn thuế hiệu quả hơn.</t>
  </si>
  <si>
    <t>Nhà nước có nguồn lực và công nghệ tiên tiến để xử lý nghiêm hành vi trốn thuế, nhưng vẫn cần sự hợp tác từ người nộp thuế.</t>
  </si>
  <si>
    <t>Mức giảm trừ gia cảnh cao hơn và quy trình khai báo đơn giản hơn đã làm thủ tục thuận tiện hơn.</t>
  </si>
  <si>
    <t>Biểu thuế đơn giản hóa từ 7 bậc thành 5 bậc, tăng tính dễ hiểu và thực hiện hơn so với trước đây.</t>
  </si>
  <si>
    <t>Mức giảm trừ gia cảnh cao hơn thể hiện sự công bằng trong việc đối xử giữa các đối tượng nộp thuế.</t>
  </si>
  <si>
    <t>Thay đổi mức thuế suất và ngưỡng chịu thuế theo thu nhập, nhưng vẫn cần đánh giá thêm về tính công bằng.</t>
  </si>
  <si>
    <t>Mức thuế mới có thể giúp cải thiện dịch vụ công như y tế và đường xá, nhưng chưa rõ ràng từng bước thực hiện.</t>
  </si>
  <si>
    <t>Các thông tin về mục tiêu của chính sách mới đã được giải thích, nhưng cần thêm minh bạch trong quá trình triển khai.</t>
  </si>
  <si>
    <t>Chính sách mới có lợi cho người thu nhập thấp hơn và giảm gánh nặng thuế, tăng khả năng tuân thủ.</t>
  </si>
  <si>
    <t>Mức giảm trừ gia cảnh tăng, nhưng chưa chắc chắn về khả năng phát hiện trốn thuế.</t>
  </si>
  <si>
    <t>Công nghệ phát triển giúp phát hiện gian lận, nhưng cần xem xét thực tế.</t>
  </si>
  <si>
    <t>Biểu thuế đơn giản hơn, giảm số bậc từ 7 xuống còn 5, dễ dàng khai báo hơn.</t>
  </si>
  <si>
    <t>Cách tính thuế và bậc thuế mới đơn giản hóa quy trình làm việc với cơ quan thuế.</t>
  </si>
  <si>
    <t>Niềm tin vào sự công bằng của cơ quan thuế tăng do mức giảm trừ gia cảnh tăng.</t>
  </si>
  <si>
    <t>Mức thuế mới có thể hợp lý, nhưng cần xem xét tổng thể thu nhập và lợi ích từ chính sách.</t>
  </si>
  <si>
    <t>Niềm tin vào việc sử dụng hiệu quả số tiền thuế đóng còn thấp do kinh nghiệm trước đây.</t>
  </si>
  <si>
    <t>Giải thích về mục tiêu sửa đổi thuế chưa rõ ràng, cần thêm thông tin minh bạch từ cơ quan chức năng.</t>
  </si>
  <si>
    <t>Dù có lợi ích tài chính, nhưng sự phức tạp và nghi ngờ về giải thích chính sách làm giảm quyết định tuân thủ.</t>
  </si>
  <si>
    <t>Nguyên tắc quản lý thuế hiện nay được cải thiện, tăng mức giảm trừ gia cảnh, đơn giản hóa quy trình khai báo. Tuy nhiên, việc phát hiện và xử lý trốn thuế vẫn phụ thuộc vào nhiều yếu tố thực thi</t>
  </si>
  <si>
    <t>Công nghệ hiện nay hỗ trợ tốt cho việc theo dõi và xử lý vi phạm, cùng với sự cải thiện quản lý thuế. Công nghệ giúp phát hiện trốn thuế một cách hiệu quả hơn</t>
  </si>
  <si>
    <t>Biểu thuế đơn giản hóa từ 7 bậc xuống còn 5 bậc, giảm bớt các khâu phức tạp và nhanh chóng hơn trong việc khai báo. Tuy nhiên, quy trình làm việc với cơ quan thuế vẫn có thể cải thiện</t>
  </si>
  <si>
    <t>Cách tính thuế mới đơn giản hóa từ 7 bậc xuống còn 5 bậc, dễ hiểu và thực hiện nhanh chóng hơn. Tuy nhiên, việc áp dụng cụ thể đến từng trường hợp có thể gặp nhiều khó khăn</t>
  </si>
  <si>
    <t>Nhà nước đã tăng mức giảm trừ gia cảnh, công bằng hơn với người nộp thuế nhưng vẫn chưa đảm bảo sự đối xử bình đẳng đối với tất cả mọi người. Tuy nhiên, việc cải cách thuế tạo ra niềm tin cơ bản</t>
  </si>
  <si>
    <t>Mức thuế mới được điều chỉnh phù hợp với thu nhập hiện tại nhưng vẫn chưa công bằng hoàn toàn cho các mức thu nhập khác nhau. Tuy nhiên, sự đơn giản hóa quy định tạo cảm giác công bằng hơn</t>
  </si>
  <si>
    <t>Nhà nước sử dụng số tiền thuế thu được hiệu quả vào việc cải thiện dịch vụ công nhưng vẫn còn nhiều yếu tố phụ thuộc vào quản lý ngân sách. Tuy nhiên, niềm tin cơ bản về sự đầu tư đúng mục tiêu đã tăng lên</t>
  </si>
  <si>
    <t>Nhà nước đã giải thích rõ ràng về các quy định mới nhưng chưa đầy đủ và thuyết phục với tất cả mọi người. Tuy nhiên, việc cải cách thuế tạo ra niềm tin cơ bản về sự minh bạch</t>
  </si>
  <si>
    <t>Sau khi xem xét các quyền lợi và nghĩa vụ, tôi ủng hộ chính sách mới vì mức giảm trừ gia cảnh tăng lên và đơn giản hóa quy trình khai báo. Tuy nhiên, vẫn còn một số lo ngại về việc tuân thủ</t>
  </si>
  <si>
    <t>Biểu thuế đơn giản hóa và mức giảm trừ gia cảnh tăng lên có thể làm cho việc trốn thuế khó khăn hơn, nhưng không loại trừ khả năng hành vi gian lận vẫn diễn ra.</t>
  </si>
  <si>
    <t>Công nghệ phát triển hiện nay giúp phát hiện hành vi trốn thuế hiệu quả hơn, đặc biệt với các quy định mới.</t>
  </si>
  <si>
    <t>Biểu thuế đơn giản hóa và mức giảm trừ gia cảnh tăng lên làm cho thủ tục khai báo thuận lợi hơn.</t>
  </si>
  <si>
    <t>Cách tính thuế mới đơn giản hơn so với trước đây, nhưng vẫn cần thêm thời gian để quen thuộc.</t>
  </si>
  <si>
    <t>Nhà nước công bố thông tin minh bạch và rõ ràng về chính sách mới nên tôi tin vào tính công bằng của nó.</t>
  </si>
  <si>
    <t>Mức thuế mới được thiết kế để phù hợp với thu nhập của tôi, thể hiện sự công bằng trong việc đóng góp cho nhà nước.</t>
  </si>
  <si>
    <t>Tôi tin rằng số tiền thuế đóng sẽ được sử dụng hiệu quả cho các dịch vụ công ích quan trọng như y tế và giao thông.</t>
  </si>
  <si>
    <t>Nhà nước đã giải thích rõ ràng về mục tiêu của chính sách mới, giúp tôi hiểu rõ hơn về việc thay đổi này.</t>
  </si>
  <si>
    <t>Sau khi xem xét các quyền lợi và nghĩa vụ, tôi ủng hộ và tuân thủ chính sách mới vì nó mang lại nhiều thuận lợi cho người dân.</t>
  </si>
  <si>
    <t>Cải cách thuế TNCN đã đơn giản hóa quy trình, tuy nhiên vẫn cần công nghệ và nguồn lực để phát hiện trốn thuế hiệu quả.</t>
  </si>
  <si>
    <t>Nhà nước có tiềm lực và các công cụ kỹ thuật số giúp phát hiện gian lận nhưng thực tế còn phụ thuộc vào ngân sách và quyết tâm.</t>
  </si>
  <si>
    <t>Mức giảm trừ gia cảnh cao hơn, đơn giản hóa biểu thuế, có thể làm thủ tục khai báo thuế thuận tiện hơn cho người dân.</t>
  </si>
  <si>
    <t>Biểu thuế mới đơn giản nhưng vẫn cần thời gian để người dân hiểu và áp dụng đúng quy trình.</t>
  </si>
  <si>
    <t>Nhà nước đã cải cách một số điểm, tạo ra sự công bằng hơn trong việc đánh thuế TNCN.</t>
  </si>
  <si>
    <t>Mức thuế mới được thiết kế dựa trên thu nhập, nhưng vẫn cần đánh giá thêm về tính công bằng của từng bậc thuế.</t>
  </si>
  <si>
    <t>Giảm trừ gia cảnh và đơn giản hóa biểu thuế có thể tạo ra hiệu quả sử dụng chi tiêu công tốt hơn.</t>
  </si>
  <si>
    <t>Nhà nước đã cung cấp thông tin về cải cách, nhưng cần thêm minh bạch trong quá trình thực hiện mới thuyết phục được người dân.</t>
  </si>
  <si>
    <t>Dự kiến sẽ tuân thủ chính sách do lợi ích từ các mức giảm trừ gia cảnh và sự công bằng hơn trong đánh thuế.</t>
  </si>
  <si>
    <t>Các quy định quản lý thuế hiện nay đã được cải thiện đáng kể, đặc biệt là với sự hỗ trợ của công nghệ phát hiện trốn thuế. Điều này giảm rủi ro cho người nộp thuế không tuân thủ.</t>
  </si>
  <si>
    <t>Nhà nước và cơ quan thuế đã đầu tư vào hệ thống công nghệ thông tin, giúp phát hiện và xử lý trốn thuế nhanh chóng và hiệu quả hơn. Tuy nhiên, vẫn có những rủi ro nhỏ.</t>
  </si>
  <si>
    <t>Các quy trình khai báo thuế đã đơn giản hóa đáng kể, giảm thời gian chờ đợi và tăng tính tiện lợi cho người nộp thuế. Đây là một cải tiến lớn so với trước đây.</t>
  </si>
  <si>
    <t>Phương án mới về cách tính thuế và bậc thuế rõ ràng hơn, dễ hiểu và dễ thực hiện hơn so với hệ thống cũ.</t>
  </si>
  <si>
    <t>Nhà nước đã cải thiện các quy định quản lý thuế một cách công bằng và khách quan. Các giảm trừ gia cảnh và mức thu nhập chịu thuế mới góp phần làm tăng sự tin tưởng.</t>
  </si>
  <si>
    <t>Mức thuế mới được thiết kế sao cho hợp lý, phù hợp với thu nhập của tôi. Điều này góp phần làm tăng niềm tin về tính công bằng trong chính sách thuế.</t>
  </si>
  <si>
    <t>Tiền thuế đóng vào ngân sách nhà nước sẽ được sử dụng hiệu quả để cải thiện các dịch vụ công, từ đó tạo ra lợi ích cho người dân.</t>
  </si>
  <si>
    <t>Nhà nước đã giải thích rõ ràng về mục tiêu của việc sửa đổi thuế mới. Tuy nhiên, vẫn có một số thông tin chưa đầy đủ khiến tôi nghi ngờ một chút.</t>
  </si>
  <si>
    <t>Sau khi cân nhắc lợi ích và nghĩa vụ, tôi thấy chính sách mới này phù hợp với thu nhập của mình và mang lại nhiều thuận lợi hơn. Tuy nhiên, vẫn có một số lo ngại về sự minh bạch.</t>
  </si>
  <si>
    <t>Biểu thuế đơn giản hơn và mức giảm trừ gia cảnh tăng nên việc phát hiện trốn thuế dễ dàng hơn.</t>
  </si>
  <si>
    <t>Công nghệ hiện đại như AI, blockchain có thể phát hiện gian lận nhanh chóng.</t>
  </si>
  <si>
    <t>Biểu thuế giảm từ 7 bậc xuống 5, quy trình làm việc đơn giản hơn so với trước đây.</t>
  </si>
  <si>
    <t>Cách tính thuế và các bậc thuế mới rõ ràng hơn, dễ hiểu.</t>
  </si>
  <si>
    <t>Giảm trừ gia cảnh tăng nên cảm thấy công bằng hơn với người nộp thuế có cùng thu nhập.</t>
  </si>
  <si>
    <t>Thuế suất và ngưỡng chịu thuế mới hợp lý, phù hợp với thu nhập hiện tại.</t>
  </si>
  <si>
    <t>Tăng giảm trừ gia cảnh, mức thuế công bằng nên tin tưởng số tiền đóng sẽ được sử dụng hiệu quả.</t>
  </si>
  <si>
    <t>Luật thuế mới đã giải thích rõ ràng về mục tiêu cải cách và các thay đổi.</t>
  </si>
  <si>
    <t>Chấp nhận phương án mới vì giảm gánh nặng thuế, tăng mức giảm trừ gia cảnh.</t>
  </si>
  <si>
    <t>Các quy định quản lý thuế hiện nay được cải thiện, tăng mức giảm trừ gia cảnh và đơn giản hóa biểu thuế. Tuy nhiên, khả năng phát hiện trốn thuế phụ thuộc vào nhiều yếu tố như công nghệ và nguồn lực của cơ quan thuế.</t>
  </si>
  <si>
    <t>Công nghệ hiện đại giúp cải thiện khả năng phát hiện hành vi gian lận, nhưng vẫn cần thời gian để triển khai và nâng cấp hệ thống. Cơ quan thuế có đủ nguồn lực nhưng còn phụ thuộc vào hiệu suất công việc.</t>
  </si>
  <si>
    <t>Thủ tục khai báo thuế trở nên đơn giản hơn, giảm số bậc thuế và mức độ phức tạp, nhưng vẫn cần thời gian để người dân quen với quy trình mới.</t>
  </si>
  <si>
    <t>Cách tính thuế được đơn giản hóa, rõ ràng hơn so với trước đây, phù hợp với nhiều đối tượng nộp thuế.</t>
  </si>
  <si>
    <t>Nhà nước đã cải thiện quy định quản lý thuế, tăng mức giảm trừ gia cảnh và đơn giản hóa biểu thuế. Tuy nhiên, vẫn còn nghi ngờ về tính công bằng và khách quan trong thực thi chính sách.</t>
  </si>
  <si>
    <t>Mức thuế mới được thiết kế để phù hợp với thu nhập trung bình của người dân, nhưng vẫn có cảm giác không công bằng cho những người có thu nhập cao hơn nhiều so với mức trần của bậc thứ 4.</t>
  </si>
  <si>
    <t>Thuế đóng góp vào cải thiện dịch vụ công như y tế và hạ tầng cơ sở, nhưng hiệu quả sử dụng nguồn lực còn phụ thuộc vào quản lý tài chính của Nhà nước.</t>
  </si>
  <si>
    <t>Nhà nước đã giải thích rõ về mục tiêu cải cách thuế, nhưng thông tin chưa đầy đủ và chi tiết enough để thuyết phục người dân hoàn toàn.</t>
  </si>
  <si>
    <t>Có ủng hộ chính sách mới vì giảm gánh nặng thuế và tăng mức giảm trừ gia cảnh. Tuy nhiên, quyết định tuân thủ còn phụ thuộc vào các yếu tố khác như niềm tin vào cơ quan thuế.</t>
  </si>
  <si>
    <t>Nâng cao mức giảm trừ gia cảnh và đơn giản hóa biểu thuế có thể làm giảm cơ hội trốn thuế, nhưng vẫn cần công nghệ phát hiện để đảm bảo hiệu quả.</t>
  </si>
  <si>
    <t>Việc tăng cường công nghệ phát hiện trốn thuế là rất quan trọng, tuy nhiên chưa rõ khả năng thực tế của cơ quan thuế trong việc áp dụng.</t>
  </si>
  <si>
    <t>Thu nhập tối thiểu chịu thuế thấp hơn và số bậc thuế giảm có thể làm cho quy trình đơn giản hơn, nhưng vẫn cần cải thiện thêm.</t>
  </si>
  <si>
    <t>Các bậc thuế mới rõ ràng hơn so với trước đây, giúp người nộp thuế dễ dàng tính toán hơn.</t>
  </si>
  <si>
    <t>Nâng cao mức giảm trừ gia cảnh và đơn giản hóa biểu thuế có thể làm cho việc thực thi công bằng hơn, nhưng vẫn cần sự minh bạch từ cơ quan thuế.</t>
  </si>
  <si>
    <t>Mức thuế mới được thiết kế dựa trên thu nhập cá nhân, nhưng chưa rõ liệu mức này có công bằng với mọi người nộp thuế hay không.</t>
  </si>
  <si>
    <t>Thuận tiện và minh bạch về thuế có thể làm tăng niềm tin vào việc sử dụng hiệu quả số tiền thuế thu được, nhưng vẫn cần theo dõi thực tế.</t>
  </si>
  <si>
    <t>Thông điệp giải thích rõ ràng về mục tiêu của cải cách thuế chưa đầy đủ và không thuyết phục hoàn toàn với người dân.</t>
  </si>
  <si>
    <t>Thuận tiện trong quy trình khai báo thuế và mức giảm trừ gia cảnh cao hơn có thể làm tăng sẵn sàng tuân thủ, nhưng vẫn cần sự minh bạch về mục tiêu của cải cách.</t>
  </si>
  <si>
    <t>Các quy định quản lý thuế hiện nay đã được cải thiện, đặc biệt là mức giảm trừ gia cảnh tăng lên, điều này làm giảm khả năng trốn thuế. Tuy nhiên, vẫn có nguy cơ trốn thuế do mức thuế suất và bậc thuế mới chưa rõ ràng.</t>
  </si>
  <si>
    <t>Cơ quan thuế đã nâng cấp công nghệ quản lý, nhưng việc phát hiện và xử lý trốn thuế vẫn phụ thuộc vào thực thi. Công nghệ là một yếu tố quan trọng để tăng cường khả năng phát hiện.</t>
  </si>
  <si>
    <t>Các thủ tục khai báo thuế đã đơn giản hơn, nhưng việc cần phải tính toán các mức thuế mới có thể gây khó khăn cho người dân. Tổng thể, thuận lợi hơn so với trước đây.</t>
  </si>
  <si>
    <t>Phương án mới về cách tính thuế và bậc thuế đã đơn giản hơn nhiều so với trước đây, dễ hiểu và thực hiện nhanh chóng hơn.</t>
  </si>
  <si>
    <t>Nhà nước có thể sẽ thực thi chính sách một cách công bằng nhưng mức độ tin tưởng còn phụ thuộc vào việc minh bạch trong quá trình triển khai.</t>
  </si>
  <si>
    <t>Mức thuế mới được cải thiện, đặc biệt là đối với thu nhập thấp. Tuy nhiên, vẫn cần thêm thông tin để đánh giá mức độ công bằng tổng thể.</t>
  </si>
  <si>
    <t>Số tiền thuế tôi đóng sẽ được sử dụng hiệu quả hơn vào các dịch vụ công. Mức giảm trừ gia cảnh tăng giúp cải thiện khả năng tuân thủ.</t>
  </si>
  <si>
    <t>Nhà nước đã giải thích một cách minh bạch về lý do và mục tiêu của việc sửa đổi thuế, nhưng vẫn cần thêm thông tin để đánh giá hoàn toàn.</t>
  </si>
  <si>
    <t>Dựa trên mức độ thuận tiện mới của thủ tục khai báo thuế, giảm trừ gia cảnh tăng lên, cũng như cải tiến về cách tính thuế. Tuy nhiên, vẫn cần thêm thời gian để đánh giá hiệu quả tổng thể.</t>
  </si>
  <si>
    <t>Các quy định quản lý thuế hiện nay đã được cải thiện đáng kể, với mức giảm trừ gia cảnh cao hơn và biểu thuế đơn giản. Điều này làm tăng khả năng phát hiện hành vi gian lận hoặc trốn thuế.</t>
  </si>
  <si>
    <t>Như ENF1, cùng với việc áp dụng công nghệ tiên tiến trong quản lý thuế, Nhà nước và cơ quan thuế có đủ khả năng để phát hiện và xử lý nghiêm các hành vi trốn thuế.</t>
  </si>
  <si>
    <t>Thủ tục khai báo thuế và quy trình làm việc với cơ quan thuế đã đơn giản hơn so với trước đây, do biểu thuế được rút gọn và giảm số bậc thuế. Điều này giúp người dân nộp thuế dễ dàng hơn.</t>
  </si>
  <si>
    <t>Cách tính thuế mới và các bậc thuế suất trong phương án mới đơn giản hơn so với trước đây, giúp người nộp thuế hiểu rõ hơn về mức thuế mình phải đóng.</t>
  </si>
  <si>
    <t>Nhà nước đã tăng giảm trừ gia cảnh cho bản thân và người phụ thuộc, tạo cảm giác công bằng trong việc áp dụng chính sách thuế. Điều này làm tăng niềm tin vào sự khách quan và công tâm của cơ quan thuế.</t>
  </si>
  <si>
    <t>Mức thuế mới được thiết kế để phù hợp với thu nhập cá nhân, tạo cảm giác rằng mức thuế đóng là công bằng. Tuy nhiên, do chưa có nhiều trải nghiệm thực tế, niềm tin này vẫn đang trong quá trình hình thành.</t>
  </si>
  <si>
    <t>Những cải cách về giảm trừ gia cảnh và đơn giản hóa biểu thuế tạo cảm giác rằng số tiền thuế đóng sẽ được sử dụng hiệu quả để cải thiện dịch vụ công. Tuy nhiên, do chưa có nhiều thông tin rõ ràng về việc sử dụng nguồn thu, niềm tin này vẫn còn hạn chế.</t>
  </si>
  <si>
    <t>Những thông tin giải thích về lý do và mục tiêu của chính sách mới đã được cung cấp một cách công khai. Điều này tạo cảm giác rằng Nhà nước đang minh bạch trong việc thực hiện cải cách thuế.</t>
  </si>
  <si>
    <t>Sau khi xem xét các quyền lợi và nghĩa vụ, tôi ủng hộ chính sách mới vì mức giảm trừ gia cảnh cao hơn và biểu thuế đơn giản hơn. Tuy nhiên, do chưa có nhiều trải nghiệm thực tế về hiệu quả của chính sách, quyết định tuân thủ vẫn còn cân nhắc.</t>
  </si>
  <si>
    <t>Với mức giảm trừ gia cảnh tăng mạnh, cơ quan thuế có nhiều thông tin để xác định thu nhập cá nhân. Tuy nhiên, vẫn cần công nghệ phát hiện gian lận.</t>
  </si>
  <si>
    <t>Công nghệ ngày càng tiên tiến và Nhà nước đã đầu tư vào hệ thống quản lý thuế, tăng khả năng phát hiện trốn thuế.</t>
  </si>
  <si>
    <t>Mức giảm trừ gia cảnh cao hơn và số bậc thuế ít hơn làm thủ tục khai báo trở nên đơn giản hơn. Tuy nhiên, vẫn có một số quy trình cần thực hiện.</t>
  </si>
  <si>
    <t>Biểu thuế đơn giản hóa đã giúp việc tính toán thuế trở nên dễ dàng hơn cho người nộp thuế và cơ quan thuế.</t>
  </si>
  <si>
    <t>Nhà nước đã tăng mức giảm trừ gia cảnh, điều này thể hiện sự công bằng trong việc phân chia gánh nặng thuế. Cơ chế mới được xem là khách quan hơn.</t>
  </si>
  <si>
    <t>Mức thuế mới có sự cân đối với thu nhập của tôi, do đó, tôi thấy nó là công bằng và phù hợp với mức độ phát triển kinh tế hiện tại.</t>
  </si>
  <si>
    <t>Thuế đóng góp vào việc cải thiện dịch vụ công như y tế và giao thông. Mức thuế này được xem là một phần của nghĩa vụ quốc gia.</t>
  </si>
  <si>
    <t>Nhà nước đã cung cấp các thông tin cần thiết về chính sách mới, nhưng vẫn có sự hoài nghi từ phía tôi về cách thực hiện.</t>
  </si>
  <si>
    <t>Sau khi cân nhắc lợi ích và nghĩa vụ của mình, tôi thấy chính sách thuế mới này là công bằng và phù hợp. Tôi sẽ ủng hộ và tuân thủ.</t>
  </si>
  <si>
    <t>Các quy định quản lý thuế hiện nay đã tăng cường mức giảm trừ gia cảnh, giúp phát hiện trốn thuế khó hơn. Tuy nhiên, khả năng phát hiện vẫn phụ thuộc vào công nghệ và nguồn lực của cơ quan thuế.</t>
  </si>
  <si>
    <t>Nâng cao mức giảm trừ gia cảnh và đơn giản hóa biểu thuế có thể giúp tăng cường tính minh bạch, nhưng thực tế, khả năng phát hiện trốn thuế vẫn còn phụ thuộc vào công nghệ và nguồn lực của cơ quan thuế.</t>
  </si>
  <si>
    <t>Biểu thuế đã được đơn giản hóa từ 7 bậc xuống 5, giảm bớt khó khăn cho người nộp thuế. Tuy nhiên, quy trình khai báo vẫn có thể còn phức tạp đối với một số cá nhân.</t>
  </si>
  <si>
    <t>Các bậc thuế mới đơn giản hơn, dễ hiểu và thực hiện thuận lợi hơn so với trước đây. Điều này giúp người nộp thuế cảm thấy dễ dàng hơn khi khai báo thuế.</t>
  </si>
  <si>
    <t>Mức giảm trừ gia cảnh đã tăng, làm cho việc đóng thuế trở nên công bằng hơn. Tuy nhiên, mức độ công tâm của cơ quan thuế còn phụ thuộc vào cách thực thi chính sách.</t>
  </si>
  <si>
    <t>Mức thuế mới có thể được xem là công bằng đối với thu nhập hiện tại của tôi. Tuy nhiên, việc đánh giá mức độ công bằng cần xem xét nhiều yếu tố khác như hiệu quả sử dụng nguồn thu.</t>
  </si>
  <si>
    <t>Đóng thuế giúp cải thiện dịch vụ công, tuy nhiên, sự công bằng trong cách sử dụng nguồn thu còn phụ thuộc vào quyết định của cơ quan quản lý.</t>
  </si>
  <si>
    <t>Nhà nước đã giải thích rõ ràng về các thay đổi thuế. Tuy nhiên, việc thuyết phục người dân cần thêm nhiều thông tin và minh bạch hơn.</t>
  </si>
  <si>
    <t>Sau khi cân nhắc lợi ích tài chính từ mức giảm trừ gia cảnh cao hơn và quy trình khai báo đơn giản hơn, tôi có xu hướng ủng hộ chính sách mới. Tuy nhiên, quyết định cuối cùng vẫn còn phụ thuộc vào sự minh bạch trong việc sử dụng nguồn thu.</t>
  </si>
  <si>
    <t>Nâng cao giảm trừ gia cảnh và đơn giản hóa thuế có thể làm giảm động cơ trốn thuế, nhưng khả năng phát hiện vẫn phụ thuộc vào công nghệ và nguồn lực của cơ quan thuế.</t>
  </si>
  <si>
    <t>Công nghệ tiên tiến như AI có thể giúp phát hiện gian lận hiệu quả hơn, tuy nhiên cần thời gian để triển khai toàn diện.</t>
  </si>
  <si>
    <t>Đơn giản hóa biểu thuế và tăng giảm trừ gia cảnh tạo thuận tiện cho việc khai báo, nhưng quy trình làm việc với cơ quan thuế vẫn cần cải thiện.</t>
  </si>
  <si>
    <t>Biểu thuế mới đơn giản hơn so với trước đây, dễ hiểu và thực hiện nhanh chóng hơn. Đây là một cải tiến lớn đối với người nộp thuế.</t>
  </si>
  <si>
    <t>Tăng giảm trừ gia cảnh cho bản thân và người phụ thuộc tạo cảm giác công bằng hơn trong việc đóng thuế, nhưng vẫn cần sự minh bạch từ cơ quan thuế để tăng niềm tin.</t>
  </si>
  <si>
    <t>Thang bậc thuế mới hợp lý đối với thu nhập trung bình của tôi, tạo cảm giác công bằng khi đóng thuế.</t>
  </si>
  <si>
    <t>Tăng giảm trừ gia cảnh và thay đổi thang bậc thuế có thể cải thiện hiệu quả sử dụng tiền thuế để nâng cao chất lượng dịch vụ công. Tuy nhiên, vẫn cần minh bạch trong quản lý ngân sách.</t>
  </si>
  <si>
    <t>Chính phủ đã giải thích rõ ràng về các thay đổi này, tạo cảm giác rằng mục tiêu cải cách là nhằm nâng cao chất lượng dịch vụ công và công bằng cho người nộp thuế.</t>
  </si>
  <si>
    <t>Tăng giảm trừ gia cảnh và đơn giản hóa biểu thuế tạo thuận lợi cho việc tuân thủ, nhưng tôi vẫn cần xem xét kỹ về hiệu quả sử dụng tiền thuế trước khi ủng hộ hoàn toàn.</t>
  </si>
  <si>
    <t>Các quy định quản lý thuế hiện nay đã được tăng cường, với mức giảm trừ gia cảnh cao hơn và số bậc thuế đơn giản hóa. Tuy nhiên, việc phát hiện trốn thuế vẫn phụ thuộc nhiều vào khả năng của cơ quan thuế.</t>
  </si>
  <si>
    <t>Việc cải cách thuế đã tăng cường công nghệ quản lý, nhưng khả năng phát hiện trốn thuế vẫn còn hạn chế do chưa có hệ thống kiểm soát toàn diện. Tuy nhiên, việc áp dụng công nghệ giúp giảm rủi ro trốn thuế.</t>
  </si>
  <si>
    <t>Thủ tục khai báo thuế và quy trình làm việc với cơ quan thuế đã đơn giản hơn so với trước đây. Mức thu nhập chịu thuế thấp không cần phải điền nhiều giấy tờ, tiết kiệm thời gian.</t>
  </si>
  <si>
    <t>Cách tính thuế và bậc thuế mới đơn giản hơn, dễ hiểu và thực hiện thuận lợi. Tuy nhiên, việc áp dụng các quy định mới có thể cần thêm thời gian để quen thuộc với người nộp thuế.</t>
  </si>
  <si>
    <t>Nhà nước đã cải cách mức giảm trừ gia cảnh và đơn giản hóa biểu thuế, tạo ra sự công bằng cho mọi người. Tuy nhiên, việc thực thi chính sách vẫn cần thời gian để duy trì tính khách quan.</t>
  </si>
  <si>
    <t>Mức thuế mới theo phương án cải cách là hợp lý đối với thu nhập của tôi, tạo ra sự công bằng. Tuy nhiên, việc áp dụng các quy định mới có thể còn cần thời gian để kiểm chứng.</t>
  </si>
  <si>
    <t>Tôi tin số tiền thuế đóng sẽ được sử dụng hiệu quả cho các dịch vụ công. Tuy nhiên, việc cải cách thuế vẫn chưa đủ minh bạch và cần thêm thông tin về cách sử dụng nguồn thu.</t>
  </si>
  <si>
    <t>Nhà nước đã giải thích rõ ràng về lý do và mục tiêu của cải cách thuế. Tuy nhiên, việc truyền thông chính sách vẫn chưa đủ sâu rộng để thuyết phục mọi người.</t>
  </si>
  <si>
    <t>Sau khi xem xét các quyền lợi và nghĩa vụ, tôi ủng hộ chính sách mới vì mức giảm trừ gia cảnh cao hơn và đơn giản hóa biểu thuế. Tuy nhiên, việc tuân thủ hoàn toàn vẫn cần thêm thời gian để quen thuộc.</t>
  </si>
  <si>
    <t>Cải cách thuế mới bao gồm nhiều biện pháp quản lý mạnh mẽ, như tăng giảm trừ gia cảnh và đơn giản hóa biểu thuế. Điều này làm giảm rủi ro gian lận. Công nghệ hiện đại cũng hỗ trợ việc phát hiện trốn thuế.</t>
  </si>
  <si>
    <t>Công nghệ tiên tiến như AI, blockchain và hệ thống thông tin quản lý thuế điện tử giúp cơ quan thuế có khả năng phát hiện trốn thuế hiệu quả hơn. Tăng cường đào tạo và cải thiện quy định cũng góp phần tăng cường thực thi.</t>
  </si>
  <si>
    <t>Cải cách giảm trừ gia cảnh và đơn giản hóa biểu thuế làm cho việc khai báo thuế trở nên dễ dàng hơn. Việc sử dụng hệ thống điện tử giúp nhanh chóng xử lý hồ sơ của người dân.</t>
  </si>
  <si>
    <t>Cách tính thuế mới đơn giản, chỉ còn 5 bậc thay vì trước đây là 7 bậc. Điều này làm cho việc hiểu và thực hiện quy định trở nên dễ dàng hơn.</t>
  </si>
  <si>
    <t>Những cải cách như tăng giảm trừ gia cảnh giúp người dân cảm thấy công bằng trong việc đóng thuế. Tuy nhiên, còn cần thêm thời gian để đánh giá tính khách quan và công tâm của cơ quan thuế.</t>
  </si>
  <si>
    <t>Mức thuế mới được thiết kế sao cho phù hợp với thu nhập cá nhân hiện nay. Tuy nhiên, vẫn còn sự bất đồng về mức độ công bằng của các bậc thuế.</t>
  </si>
  <si>
    <t>Tăng giảm trừ gia cảnh giúp cải thiện dịch vụ công, nhưng vẫn cần thêm thời gian để thấy hiệu quả thực tế từ việc sử dụng số tiền thu được.</t>
  </si>
  <si>
    <t>Công bố thông tin về quy định mới tương đối đầy đủ, nhưng vẫn còn thiếu về các yếu tố quan trọng như mục tiêu và tác động xã hội của cải cách thuế.</t>
  </si>
  <si>
    <t>Những cải cách mang lại lợi ích tài chính cho tôi. Tuy nhiên, việc thực thi chính sách mới vẫn cần thêm thời gian để đánh giá hiệu quả. Đồng thời, sự phức tạp của các quy định thuế cũ vẫn còn tồn tại.</t>
  </si>
  <si>
    <t>Mức giảm trừ gia cảnh tăng, nhưng không rõ liệu cơ chế phát hiện trốn thuế có cải thiện. Tuy nhiên, với các quy định quản lý thuế mới, khả năng phát hiện hành vi gian lận tăng lên.</t>
  </si>
  <si>
    <t>Công nghệ tiên tiến và dữ liệu lớn giúp nhà nước xử lý hiệu quả hơn, nhưng không rõ mức độ thực tế trong việc phát hiện trốn thuế. Tuy nhiên, đây là hướng đi đúng.</t>
  </si>
  <si>
    <t>Mức giảm trừ gia cảnh tăng mạnh, đơn giản hóa biểu thuế và các bước tính toán, làm cho quy trình khai báo thuế thuận tiện hơn so với trước.</t>
  </si>
  <si>
    <t>Biểu thuế mới với ít bậc hơn, giúp việc tính thuế dễ hiểu và thực hiện nhanh chóng hơn. Việc này cũng làm giảm gánh nặng quản lý cho người nộp thuế.</t>
  </si>
  <si>
    <t>Nhìn chung, mức giảm trừ gia cảnh tăng lên, nên tôi tin rằng chính sách mới sẽ công bằng hơn đối với tất cả các nhóm thu nhập. Tuy nhiên, vẫn còn nghi ngờ về cách thực thi.</t>
  </si>
  <si>
    <t>Nhìn chung, mức thuế mới có vẻ hợp lý dựa trên thu nhập của tôi. Tuy nhiên, do tính phức tạp trong việc hiểu chính sách và khả năng thực hiện, nên không hoàn toàn tin tưởng.</t>
  </si>
  <si>
    <t>Nhìn chung, mức giảm trừ gia cảnh tăng lên tạo cảm giác tin tưởng vào việc sử dụng hiệu quả số tiền thuế. Tuy nhiên, vẫn còn lo ngại về cách thực thi chính sách mới.</t>
  </si>
  <si>
    <t>Chính phủ đã giải thích rõ ràng về mức giảm trừ gia cảnh và các thay đổi trong biểu thuế. Mặc dù vậy, vẫn có một số điểm chưa hoàn toàn thuyết phục đối với tôi.</t>
  </si>
  <si>
    <t>Dù tôi thấy lợi ích từ chính sách mới như việc giảm gánh nặng thuế và đơn giản hóa quy trình khai báo, nhưng do sự phức tạp và nghi ngờ về cách thực thi, quyết định tuân thủ vẫn chưa chắc chắn.</t>
  </si>
  <si>
    <t>Quy định quản lý thuế hiện nay chưa rõ ràng, khả năng phát hiện gian lận vẫn còn hạn chế.</t>
  </si>
  <si>
    <t>Công nghệ hiện đại giúp tăng cường hiệu quả giám sát, nhưng vẫn phụ thuộc vào nguồn lực và chính sách quản lý.</t>
  </si>
  <si>
    <t>Mức giảm trừ gia cảnh tăng đáng kể, thủ tục khai báo thuế đơn giản hơn. Tuy nhiên, quy trình làm việc với cơ quan thuế vẫn còn phức tạp.</t>
  </si>
  <si>
    <t>Biểu thuế được đơn giản hóa từ 7 bậc xuống 5 bậc, dễ hiểu và thực hiện đơn giản hơn so với trước đây.</t>
  </si>
  <si>
    <t>Nhà nước có thể cải thiện trong việc thực thi chính sách công bằng. Mức giảm trừ gia cảnh cao hơn tạo cảm giác hợp lý đối với người nộp thuế.</t>
  </si>
  <si>
    <t>Mức thuế mới được thiết kế dựa trên thu nhập, nhưng chưa rõ ràng về mức độ công bằng so với các ngành nghề khác.</t>
  </si>
  <si>
    <t>Thuê đóng góp vào dịch vụ công là cần thiết. Tuy nhiên, hiệu quả sử dụng nguồn thuế vẫn phụ thuộc vào quản lý tài chính của Nhà nước.</t>
  </si>
  <si>
    <t>Truyền thông về mục đích sửa đổi thuế chưa đầy đủ và rõ ràng, tạo ra sự hoài nghi trong cộng đồng.</t>
  </si>
  <si>
    <t>Dù lợi ích tài chính từ chính sách mới nhưng vẫn có những lo ngại về thực thi và hiệu quả sử dụng nguồn thuế.</t>
  </si>
  <si>
    <t>Cải cách thuế đã tăng mức giảm trừ gia cảnh và đơn giản hóa biểu thuế, điều này làm giảm rủi ro trốn thuế. Công nghệ hiện đại cũng giúp phát hiện gian lận dễ dàng hơn.</t>
  </si>
  <si>
    <t>Việc cải cách đã tăng cường khả năng phát hiện và xử lý gian lận thông qua công nghệ và quy định rõ ràng.</t>
  </si>
  <si>
    <t>Biểu thuế đơn giản hơn, giảm số bậc từ 7 xuống còn 5, dễ khai báo hơn. Quy trình làm việc với cơ quan thuế cũng thuận tiện hơn.</t>
  </si>
  <si>
    <t>Cách tính thuế và các bậc thuế trong phương án mới đơn giản hóa quy trình tính toán, dễ hiểu và thực hiện nhanh chóng hơn so với trước đây.</t>
  </si>
  <si>
    <t>Mức giảm trừ gia cảnh tăng lên giúp tôi cảm thấy công bằng hơn. Nhà nước đã cải cách thuế một cách khách quan.</t>
  </si>
  <si>
    <t>Với mức thu nhập của tôi, mức thuế mới vẫn hợp lý và công bằng.</t>
  </si>
  <si>
    <t>Mức giảm trừ gia cảnh tăng lên giúp cải thiện dịch vụ công. Tuy nhiên, cần thêm thời gian để đánh giá hiệu quả thực tế.</t>
  </si>
  <si>
    <t>Nhà nước đã giải thích rõ ràng về việc cải cách thuế qua các kênh truyền thông. Sự minh bạch này làm tăng niềm tin.</t>
  </si>
  <si>
    <t>Ngoài mức giảm trừ gia cảnh tăng, các quy định mới cũng đơn giản hóa quy trình khai báo và tính thuế, tạo ra sự ủng hộ.</t>
  </si>
  <si>
    <t>Các quy định quản lý thuế hiện nay có nhiều biện pháp phát hiện gian lận, trốn thuế. Với mức giảm trừ gia cảnh và đơn giản hóa biểu thuế, việc phát hiện trốn thuế khó hơn so với trước đây.</t>
  </si>
  <si>
    <t>Nhà nước đã tăng cường ứng dụng công nghệ trong quản lý thuế, giúp phát hiện nhanh chóng các hành vi gian lận. Tuy nhiên, vẫn còn nhiều rủi ro và thách thức đối với việc phát hiện trốn thuế.</t>
  </si>
  <si>
    <t>Các thủ tục khai báo thuế đã đơn giản hóa so với trước đây, giảm bớt bước phức tạp. Tuy nhiên, vẫn còn một số quy trình làm việc với cơ quan thuế có thể cải thiện.</t>
  </si>
  <si>
    <t>Phương án mới về cách tính thuế và các bậc thuế đã đơn giản hóa so với trước đây, dễ hiểu hơn. Tuy nhiên, vẫn cần thêm thời gian để người dân quen thuộc với hệ thống mới.</t>
  </si>
  <si>
    <t>Thu nhập chịu thuế thấp hơn và mức giảm trừ gia cảnh cao hơn có thể tạo nên sự công bằng trong việc đánh thuế. Tuy nhiên, vẫn cần thêm thời gian để thấy được hiệu quả thực tế của chính sách.</t>
  </si>
  <si>
    <t>Mức thuế mới theo phương án này dường như phù hợp với thu nhập hiện tại. Tuy nhiên, việc đánh giá công bằng cần xem xét nhiều yếu tố khác nhau đối với từng cá nhân.</t>
  </si>
  <si>
    <t>Thuế đóng góp vào việc cải thiện dịch vụ công là điều quan trọng, tuy nhiên hiệu quả thực tế của chính sách vẫn còn chưa rõ ràng. Cần thêm thời gian để thấy được kết quả.</t>
  </si>
  <si>
    <t>Nhà nước đã giải thích về mục tiêu và lý do sửa đổi thuế, nhưng thông tin vẫn chưa đầy đủ và minh bạch cho tất cả mọi người. Cần có thêm biện pháp để tăng cường sự hiểu biết của công chúng.</t>
  </si>
  <si>
    <t>Sau khi xem xét các quyền lợi và nghĩa vụ, tôi ủng hộ chính sách mới vì mức thuế giảm và giảm trừ gia cảnh cao hơn. Tuy nhiên, quyết định tuân thủ còn phụ thuộc vào hiệu quả thực tế của chính sách.</t>
  </si>
  <si>
    <t>Chính phủ đã tăng cường quản lý và công nghệ hiện đại, nên khả năng phát hiện gian lận được nâng cao.</t>
  </si>
  <si>
    <t>Công nghệ hiện đại như AI, Big Data đã được áp dụng trong ngành thuế, tăng hiệu quả trong việc phát hiện trốn thuế.</t>
  </si>
  <si>
    <t>Mức giảm trừ gia cảnh tăng, quy trình khai báo thuế đơn giản hơn trước, tạo thuận lợi cho người dân.</t>
  </si>
  <si>
    <t>Biểu thuế được rút gọn, rõ ràng hơn, dễ dàng tính toán và thực hiện đối với người nộp thuế.</t>
  </si>
  <si>
    <t>Mức giảm trừ gia cảnh tăng, không còn lo ngại về gian lận, tin tưởng vào sự công bằng của cơ quan thuế.</t>
  </si>
  <si>
    <t>Thuế suất mới được thiết kế để hợp lý với mức thu nhập hiện tại, tạo cảm giác công bằng cho người nộp thuế.</t>
  </si>
  <si>
    <t>Giảm trừ gia cảnh và bậc thuế mới giúp cải thiện dịch vụ công, tin tưởng vào việc sử dụng số tiền thuế hiệu quả.</t>
  </si>
  <si>
    <t>Thông tin về chính sách được cung cấp rõ ràng, nhưng vẫn cần thêm minh bạch trong việc triển khai thực tế.</t>
  </si>
  <si>
    <t>Các quyền lợi từ giảm trừ gia cảnh và bậc thuế mới tạo động lực cho việc ủng hộ và tuân thủ chính sách.</t>
  </si>
  <si>
    <t>Biểu thuế được đơn giản hóa, giảm số bậc từ 7 xuống còn 5, điều này giúp tăng khả năng kiểm soát và quản lý thuế. Công nghệ hiện đại cũng hỗ trợ việc phát hiện gian lận.</t>
  </si>
  <si>
    <t>Công nghệ hiện đại như AI, Big Data được sử dụng trong ngành thuế sẽ giúp phát hiện và xử lý nghiêm các hành vi trốn thuế hiệu quả hơn.</t>
  </si>
  <si>
    <t>Mức giảm trừ gia cảnh tăng lên cùng với việc đơn giản hóa biểu thuế tạo điều kiện thuận lợi cho người nộp thuế trong quá trình khai báo và làm việc với cơ quan thuế.</t>
  </si>
  <si>
    <t>Biểu thuế được đơn giản hóa từ 7 bậc xuống còn 5, giảm bớt sự phức tạp cho người dân trong quá trình tính thuế.</t>
  </si>
  <si>
    <t>Mức độ tin tưởng vào công tác quản lý và thực thi chính sách thuế của cơ quan nhà nước đã tăng lên do cải cách quy định quản lý thuế.</t>
  </si>
  <si>
    <t>Nhìn chung mức thuế mới vẫn hợp lý so với thu nhập cá nhân, tạo cảm giác công bằng cho người dân.</t>
  </si>
  <si>
    <t>Các cải cách nhằm tăng giảm trừ gia cảnh và đơn giản hóa biểu thuế giúp số tiền thuế được sử dụng hiệu quả hơn để cải thiện dịch vụ công.</t>
  </si>
  <si>
    <t>Thông tin về việc tăng mức giảm trừ gia cảnh và đơn giản hóa biểu thuế đã được truyền thông rộng rãi, tạo sự minh bạch trong quá trình thực thi chính sách.</t>
  </si>
  <si>
    <t>Sau khi xem xét các quyền lợi từ cải cách thuế, tôi có cảm giác công bằng và tin tưởng vào việc sử dụng hiệu quả số tiền thuế thu được. Tuy nhiên, vẫn có một chút lo ngại về thực thi.</t>
  </si>
  <si>
    <t>Nhà nước đã tăng mức giảm trừ gia cảnh và đơn giản hóa quy trình làm việc với cơ quan thuế, làm giảm khả năng trốn thuế. Công nghệ hiện đại cũng hỗ trợ phát hiện gian lận hiệu quả hơn.</t>
  </si>
  <si>
    <t>Với mức giảm trừ gia cảnh tăng và đơn giản hóa quy trình khai báo thuế, việc phát hiện và xử lý trốn thuế sẽ trở nên dễ dàng hơn. Công nghệ tiên tiến cũng góp phần vào khả năng giám sát.</t>
  </si>
  <si>
    <t>Mức giảm trừ gia cảnh tăng và đơn giản hóa biểu thuế từ 7 bậc xuống còn 5 bậc, khiến việc khai báo trở nên thuận tiện hơn. Tuy nhiên, việc thực hiện vẫn cần thêm thời gian để quen thuộc.</t>
  </si>
  <si>
    <t>Biểu thuế đơn giản hóa từ 7 bậc xuống còn 5 bậc và mức giảm trừ gia cảnh tăng đã làm cho quá trình tính thuế trở nên dễ hiểu hơn. Tuy nhiên, do tôi là người lớn tuổi có ít kinh nghiệm với các quy định mới, việc này vẫn cần thời gian để quen thuộc.</t>
  </si>
  <si>
    <t>Nhà nước đã tăng mức giảm trừ gia cảnh và đơn giản hóa quy trình khai báo thuế, tạo ra một môi trường làm việc công bằng hơn. Tuy nhiên, do tôi là người lớn tuổi, tôi vẫn nghi ngờ về sự công bằng trong cách thực thi.</t>
  </si>
  <si>
    <t>Mức thuế mới được thiết kế dựa trên thu nhập cá nhân của tôi, nhưng do tôi không có nhiều thông tin về việc giải thích rõ ràng từ phía cơ quan thuế nên vẫn còn nghi ngờ về tính công bằng.</t>
  </si>
  <si>
    <t>Việc sử dụng số tiền thuế đóng vào các dịch vụ công là điều bình thường, nhưng do tôi không có nhiều thông tin chi tiết về việc này, do đó tôi chưa thể hoàn toàn tin tưởng.</t>
  </si>
  <si>
    <t>Cơ quan thuế đã giải thích một cách tổng quát về mục đích của sự thay đổi nhưng chưa cung cấp đầy đủ thông tin cụ thể. Điều này khiến tôi cảm thấy không hoàn toàn thuyết phục.</t>
  </si>
  <si>
    <t>Sau khi xem xét các quyền lợi và nghĩa vụ, do mức thuế mới giảm so với trước đây, tôi sẽ ủng hộ chính sách này. Tuy nhiên, do còn nghi ngờ về cách thực thi nên quyết định của tôi có thể thay đổi.</t>
  </si>
  <si>
    <t>Theo quy định mới, mức giảm trừ gia cảnh tăng đáng kể, do đó việc phát hiện trốn thuế có thể trở nên khó khăn hơn. Tuy nhiên, công nghệ hiện đại được áp dụng có thể giúp cải thiện khả năng phát hiện.</t>
  </si>
  <si>
    <t>Công nghệ và quy định quản lý thuế hiện nay đã được nâng cấp, tăng cường khả năng phát hiện trốn thuế. Tuy nhiên, vẫn cần có sự tuân thủ nghiêm ngặt từ phía người nộp thuế.</t>
  </si>
  <si>
    <t>Mức giảm trừ gia cảnh và biểu thuế đơn giản hơn so với trước đây, giúp quá trình khai báo thuận tiện và nhanh chóng. Tuy nhiên, quy trình làm việc vẫn cần cải thiện.</t>
  </si>
  <si>
    <t>Biểu thuế mới đơn giản hơn nhưng mức thuế suất có thể ảnh hưởng đến cảm nhận về sự công bằng. Quy trình tính toán trở nên dễ hiểu hơn.</t>
  </si>
  <si>
    <t>Nhà nước đã nâng cao giảm trừ gia cảnh, điều này mang lại lợi ích cho nhiều người và tạo niềm tin về tính công bằng trong việc thực thi chính sách thuế.</t>
  </si>
  <si>
    <t>Mức thuế mới có thể gây cảm giác không công bằng tùy theo mức thu nhập. Tuy nhiên, quy định giảm trừ gia cảnh giúp phần nào cân bằng.</t>
  </si>
  <si>
    <t>Nhà nước đã giải thích rõ ràng về quy định mới nhưng hiệu quả sử dụng nguồn thuế còn phụ thuộc vào nhiều yếu tố khác. Công chúng vẫn có quyền nghi ngờ.</t>
  </si>
  <si>
    <t>Công nghệ và quy định quản lý thuế hiện đại đã giúp cải thiện minh bạch trong việc giải thích chính sách mới, tạo niềm tin cho công chúng.</t>
  </si>
  <si>
    <t>Do mức giảm trừ gia cảnh tăng đáng kể, tôi cảm thấy ủng hộ chính sách mới. Tuy nhiên, vẫn cần có sự minh bạch và giám sát để đảm bảo tính công bằng trong việc thực thi.</t>
  </si>
  <si>
    <t>Các quy định quản lý thuế hiện nay được cải cách, tăng cường giảm trừ gia cảnh và đơn giản hóa biểu thuế. Điều này làm giảm khả năng trốn thuế nhưng chưa chắc chắn về việc phát hiện gian lận.</t>
  </si>
  <si>
    <t>Việc áp dụng công nghệ trong quản lý thuế có thể tăng cường hiệu quả, tuy nhiên, vẫn cần thời gian để triển khai và đạt được kết quả tốt.</t>
  </si>
  <si>
    <t>Mức giảm trừ gia cảnh tăng và biểu thuế đơn giản hóa làm cho quy trình khai báo thuế dễ dàng hơn. Tuy nhiên, vẫn còn nhiều thủ tục cần cải thiện.</t>
  </si>
  <si>
    <t>Biểu thuế mới đơn giản hơn so với trước đây nhưng người nộp thuế vẫn cảm thấy có thể phức tạp khi áp dụng vào thực tế.</t>
  </si>
  <si>
    <t>Nhà nước đã tăng cường giảm trừ gia cảnh và đơn giản hóa biểu thuế, làm cho cơ hội được đối xử công bằng cao hơn.</t>
  </si>
  <si>
    <t>Mức thuế mới có thể hợp lý đối với thu nhập hiện tại nhưng chưa chắc chắn về tính công bằng trong thực tế.</t>
  </si>
  <si>
    <t>Thuế tôi đóng sẽ được sử dụng hiệu quả để cải thiện dịch vụ công, tuy nhiên, còn cần thời gian chứng minh.</t>
  </si>
  <si>
    <t>Nhà nước đã giải thích rõ ràng về mục tiêu nhưng chưa thuyết phục hoàn toàn về thông tin minh bạch.</t>
  </si>
  <si>
    <t>Mặc dù thuế giảm và thủ tục đơn giản hơn, nhưng tôi cần thời gian để đánh giá thực tế trước khi ủng hộ hoàn toàn.</t>
  </si>
  <si>
    <t>Nguyên tắc quản lý thuế hiện nay khá chặt chẽ, với sự giám sát kỹ lưỡng từ phía cơ quan thuế. Các quy định về kiểm tra và xử phạt gian lận có thể phát huy hiệu quả tốt.</t>
  </si>
  <si>
    <t>Công nghệ hiện đại đã được ứng dụng vào việc quản lý thuế, giúp tăng khả năng phát hiện trốn thuế. Cơ quan thuế cũng thường xuyên nâng cao trình độ kỹ thuật số của mình.</t>
  </si>
  <si>
    <t>Thủ tục khai báo thuế trở nên đơn giản hơn với việc giảm số bậc thuế, thuận lợi cho người dân và doanh nghiệp.</t>
  </si>
  <si>
    <t>Cách tính thuế mới rõ ràng hơn, dễ hiểu và dễ thực hiện so với trước đây, giảm bớt gánh nặng tính toán cho người nộp thuế.</t>
  </si>
  <si>
    <t>Nhà nước đã có nhiều cải tiến trong việc quản lý thuế, tạo ra sự công bằng và minh bạch hơn. Mức giảm trừ gia cảnh mới cũng giúp giảm gánh nặng thuế cho người dân.</t>
  </si>
  <si>
    <t>Mức thuế mới theo phương án hiện tại phù hợp với thu nhập của tôi, tạo cảm giác công bằng và chấp nhận được.</t>
  </si>
  <si>
    <t>Tôi tin số tiền thuế đóng sẽ được sử dụng hiệu quả cho các dịch vụ công. Mức giảm trừ gia cảnh mới cũng giúp cải thiện chất lượng cuộc sống của tôi.</t>
  </si>
  <si>
    <t>Nhà nước đã cung cấp thông tin đầy đủ về lý do và mục tiêu sửa đổi thuế, tạo niềm tin cho người dân. Tuy nhiên, vẫn còn một số điểm chưa rõ ràng.</t>
  </si>
  <si>
    <t>Dù có những thay đổi tích cực, tôi vẫn cần cân nhắc kỹ lưỡng về các quyền lợi và nghĩa vụ mới trước khi ủng hộ hoàn toàn. Tuy nhiên, mức giảm trừ gia cảnh mới giúp cải thiện đáng kể.</t>
  </si>
  <si>
    <t>Trong thời đại công nghệ thông tin phát triển, Nhà nước đã đầu tư nhiều vào hệ thống quản lý thuế. Việc tăng mức giảm trừ gia cảnh cũng giảm bớt gian lận về số lượng người nộp thuế, do đó dễ dàng kiểm soát hơn.</t>
  </si>
  <si>
    <t>Công nghệ hiện đại như AI và Big Data giúp Nhà nước phát hiện nhanh chóng các hành vi trốn thuế. Hệ thống quản lý thuế cũng được cải thiện đáng kể, tăng cường khả năng giám sát.</t>
  </si>
  <si>
    <t>Quy trình khai báo thuế và làm việc với cơ quan thuế đã đơn giản hơn nhiều so với trước đây. Số bậc thuế giảm từ 7 xuống còn 5, giúp người dân dễ dàng hiểu và áp dụng.</t>
  </si>
  <si>
    <t>Biểu thuế mới có ít bậc hơn, dễ hiểu hơn và rõ ràng hơn. Việc đơn giản hóa quy trình này giúp người nộp thuế giảm bớt rắc rối khi tính toán mức thuế phải trả.</t>
  </si>
  <si>
    <t>Nhà nước đã minh bạch trong việc cải cách thuế, công bố rõ ràng về mục tiêu và lợi ích của chính sách mới. Việc tăng giảm trừ gia cảnh cũng công bằng với tất cả các nhóm thu nhập.</t>
  </si>
  <si>
    <t>Mức thuế mới được thiết kế sao cho phù hợp với từng mức thu nhập, đảm bảo tính công bằng. Người có thu nhập thấp sẽ đóng ít hơn, còn người có thu nhập cao đóng nhiều hơn.</t>
  </si>
  <si>
    <t>Thuế được sử dụng hiệu quả để cải thiện các dịch vụ công như y tế và giao thông. Các khoản chi tiêu này tạo ra lợi ích cho toàn xã hội, từ đó tăng niềm tin vào việc sử dụng nguồn thuế.</t>
  </si>
  <si>
    <t>Nhà nước đã giải thích rõ ràng về mục đích của cải cách thuế và công khai thông tin liên quan. Tuy nhiên, cần thêm nhiều thông tin để tăng cường sự minh bạch.</t>
  </si>
  <si>
    <t>Dù tôi có một mức thu nhập khá, nhưng việc đơn giản hóa quy trình khai thuế và công bằng trong biểu thuế mới đã giúp giảm gánh nặng cho người dân. Tôi sẽ ủng hộ và tuân thủ chính sách này.</t>
  </si>
  <si>
    <t>Cải cách thuế TNCN có nhiều quy định quản lý mạnh mẽ, tăng mức giảm trừ gia cảnh và đơn giản hóa biểu thuế. Đây là các yếu tố giúp phát hiện hành vi trốn thuế dễ dàng hơn.</t>
  </si>
  <si>
    <t>Việc áp dụng công nghệ trong quản lý thuế đã được cải thiện đáng kể, tạo điều kiện cho việc phát hiện và xử lý nghiêm minh các hành vi trốn thuế hiệu quả hơn.</t>
  </si>
  <si>
    <t>Biểu thuế đơn giản hóa từ 7 bậc xuống còn 5 bậc, giảm gánh nặng về mặt thủ tục khai báo thuế cho người dân. Quy trình làm việc với cơ quan thuế cũng thuận lợi hơn.</t>
  </si>
  <si>
    <t>Cách tính thuế và các bậc thuế trong phương án mới đơn giản hóa, dễ hiểu và dễ thực hiện hơn so với trước đây, giúp người dân nắm bắt nhanh chóng.</t>
  </si>
  <si>
    <t>Những cải cách như tăng giảm trừ gia cảnh và đơn giản hóa biểu thuế thể hiện sự công bằng trong việc phân bổ gánh nặng thuế. Điều này làm tăng niềm tin vào tính khách quan của chính sách.</t>
  </si>
  <si>
    <t>Mức thuế mới được thiết kế sao cho hợp lý dựa trên thu nhập, thể hiện sự công bằng về mặt thuế suất và ngưỡng chịu thuế. Điều này làm tăng cảm giác về tính công bằng của chính sách.</t>
  </si>
  <si>
    <t>Tăng mức giảm trừ gia cảnh giúp giảm gánh nặng về mặt tài chính, từ đó tạo niềm tin rằng số tiền thuế tôi đóng sẽ được sử dụng hiệu quả để cải thiện dịch vụ công.</t>
  </si>
  <si>
    <t>Cải cách thuế có giải thích rõ ràng về mục tiêu và lý do, nhưng vẫn cần thêm thông tin minh bạch hơn để hoàn toàn thuyết phục</t>
  </si>
  <si>
    <t>Biểu thuế đơn giản hơn và mức giảm trừ gia cảnh tăng nên việc phát hiện trốn thuế có thể dễ dàng hơn. Tuy nhiên, không có thông tin về công nghệ mới nên vẫn còn nghi ngờ.</t>
  </si>
  <si>
    <t>Công nghệ quản lý thuế hiện đại hóa giúp Nhà nước và cơ quan thuế phát hiện nhanh chóng hành vi trốn thuế. Tuy nhiên, không có thông tin về triển khai công nghệ mới nên mức độ tin tưởng còn hạn chế.</t>
  </si>
  <si>
    <t>Mức giảm trừ gia cảnh tăng và số bậc thuế ít hơn làm thủ tục đơn giản hơn. Tuy nhiên, chưa rõ quy trình thực hiện ra sao nên vẫn còn một số rủi ro.</t>
  </si>
  <si>
    <t>Các bậc thuế mới đơn giản và dễ hiểu hơn so với trước đây. Tuy nhiên, phương án mới này chưa được áp dụng thực tế nên cần thêm thời gian để đánh giá.</t>
  </si>
  <si>
    <t>Mức giảm trừ gia cảnh tăng giúp tôi cảm thấy công bằng hơn khi nộp thuế. Tuy nhiên, không có thông tin về cách thực thi chính sách mới nên vẫn còn nghi ngờ.</t>
  </si>
  <si>
    <t>Mức thuế mới phù hợp với thu nhập của tôi và tăng cường tính công bằng. Tuy nhiên, cần thêm thời gian để đánh giá hiệu quả thực tế.</t>
  </si>
  <si>
    <t>Tăng mức giảm trừ gia cảnh giúp cải thiện dịch vụ công nhưng chưa rõ số tiền thuế tôi đóng sẽ được sử dụng như thế nào. Tuy nhiên, cảm thấy rằng chính sách mới có hướng đi đúng.</t>
  </si>
  <si>
    <t>Những thông tin về việc sửa đổi thuế đã được giải thích một cách rõ ràng và minh bạch nhưng chưa đầy đủ. Cần thêm thời gian để đánh giá hiệu quả truyền thông.</t>
  </si>
  <si>
    <t>Thay đổi tích cực về mức giảm trừ gia cảnh giúp tôi cảm thấy ủng hộ hơn chính sách mới. Tuy nhiên, không có thông tin đầy đủ về cách thực hiện nên vẫn còn một số rủi ro và cần thêm thời gian để đánh giá.</t>
  </si>
  <si>
    <t>Dựa trên thông tin cải cách thuế, không có nhiều thay đổi về quản lý và phát hiện trốn thuế. Tuy nhiên, với sự tăng cường công nghệ như AI, cơ hội phát hiện gian lận vẫn còn cao.</t>
  </si>
  <si>
    <t>Công nghệ hiện đại ngày càng phát triển, giúp Nhà nước và cơ quan thuế dễ dàng hơn trong việc phát hiện trốn thuế. Việc tăng giảm trừ gia cảnh cũng không ảnh hưởng nhiều đến khả năng quản lý.</t>
  </si>
  <si>
    <t>Biểu thuế được đơn giản hóa từ 7 bậc thành 5, quy trình khai báo và làm việc với cơ quan thuế có thể nhanh chóng hơn. Tuy nhiên, vẫn cần thời gian để mọi người thích ứng.</t>
  </si>
  <si>
    <t>Cách tính thuế mới đơn giản hóa các bậc thuế từ 7 thành 5, dễ hiểu và thực hiện thuận tiện hơn so với trước đây. Điều này giúp giảm bớt rắc rối cho người nộp thuế.</t>
  </si>
  <si>
    <t>Tăng cường giảm trừ gia cảnh có thể tạo niềm tin rằng Nhà nước đối xử công bằng, nhưng vẫn cần thời gian để mọi người tin tưởng vào việc thực thi chính sách mới.</t>
  </si>
  <si>
    <t>Mức thuế mới được thiết kế dựa trên thu nhập cá nhân, tạo cảm giác công bằng. Tuy nhiên, có thể còn nhiều yếu tố phụ thuộc vào cách quản lý và thực hiện của Nhà nước.</t>
  </si>
  <si>
    <t>Niềm tin về việc sử dụng số tiền thuế đóng cho cải thiện dịch vụ công vẫn đang trong quá trình xây dựng. Tuy nhiên, sự đơn giản hóa và tăng giảm trừ gia cảnh có thể làm tăng niềm tin.</t>
  </si>
  <si>
    <t>Nhà nước đã giải thích rõ ràng về lý do tăng giảm trừ gia cảnh nhưng chưa đủ minh bạch về mục tiêu chung của chính sách mới. Điều này vẫn cần được cải thiện để tạo niềm tin.</t>
  </si>
  <si>
    <t>Sau khi cân nhắc các quyền lợi và nghĩa vụ, tôi thấy sự đơn giản hóa thủ tục và tăng giảm trừ gia cảnh có thể làm tăng ủng hộ cho chính sách mới. Tuy nhiên, vẫn cần thời gian để tin tưởng hoàn toàn.</t>
  </si>
  <si>
    <t>Các quy định quản lý thuế hiện nay được cải thiện đáng kể, với mức giảm trừ gia cảnh cao hơn và đơn giản hóa các bậc thuế. Điều này tăng cường khả năng phát hiện hành vi gian lận hoặc trốn thuế.</t>
  </si>
  <si>
    <t>Công nghệ hiện đại được áp dụng trong quản lý thuế, giúp Nhà nước và cơ quan thuế có thể theo dõi và xử lý các hành vi trốn thuế một cách hiệu quả hơn.</t>
  </si>
  <si>
    <t>Mức giảm trừ gia cảnh cao hơn làm cho quy trình khai báo thuế đơn giản hơn, đồng thời việc đơn giản hóa biểu thuế cũng giúp quá trình làm việc với cơ quan thuế trở nên nhanh chóng và tiện lợi.</t>
  </si>
  <si>
    <t>Bậc thuế giảm từ 7 xuống còn 5 đã làm cho quy định thuế dễ hiểu hơn, đồng thời mức giảm trừ gia cảnh cao hơn cũng giúp người dân cảm thấy thuận tiện hơn trong việc tính thuế.</t>
  </si>
  <si>
    <t>Nhìn chung, mức thuế mới được thiết kế công bằng với người thu nhập như tôi. Sự cải tiến về giảm trừ gia cảnh và đơn giản hóa biểu thuế cũng làm tăng niềm tin vào sự khách quan và công bằng của chính sách.</t>
  </si>
  <si>
    <t>Mức thuế mới này hợp lý với người có thu nhập như tôi. Cải cách thuế đã giúp giảm gánh nặng về mặt tài chính, tạo ra cảm giác rằng mức thuế là công bằng.</t>
  </si>
  <si>
    <t>Sau khi xem xét các quyền lợi và nghĩa vụ, tôi tin rằng số tiền thuế đóng sẽ được sử dụng hiệu quả để cải thiện dịch vụ công. Mức giảm trừ gia cảnh cao hơn cũng góp phần làm tăng niềm tin về việc sử dụng nguồn thu thuế một cách minh bạch.</t>
  </si>
  <si>
    <t>Nhìn chung, Nhà nước đã giải thích rõ ràng về mục tiêu của cải cách thuế, tuy nhiên, vẫn còn thiếu thông tin chi tiết về quy trình thực hiện.</t>
  </si>
  <si>
    <t>Sau khi cân nhắc các quyền lợi và nghĩa vụ, tôi ủng hộ chính sách mới này. Tuy nhiên, sự phức tạp trong việc hiểu rõ hoàn toàn về mục tiêu của cải cách thuế vẫn khiến tôi có chút do dự.</t>
  </si>
  <si>
    <t>Theo cải cách, mức giảm trừ gia cảnh tăng đáng kể. Tuy nhiên, sự phức tạp trong quy định quản lý thuế vẫn còn đó.</t>
  </si>
  <si>
    <t>Công nghệ hiện đại có thể giúp phát hiện gian lận, nhưng cần thêm thông tin về khả năng thực tế của cơ quan thuế.</t>
  </si>
  <si>
    <t>Cách tính thuế mới có nhiều bậc hơn so với trước, tạo cảm giác phức tạp và khó hiểu.</t>
  </si>
  <si>
    <t>Mức giảm trừ gia cảnh tăng đáng kể, giúp người nộp thuế thấy chính sách này công bằng hơn. Cơ quan thuế vẫn còn cần cải thiện trong việc thực thi chính sách.</t>
  </si>
  <si>
    <t>Thuế mới có nhiều bậc hơn so với trước, tạo cảm giác không công bằng đối với người thu nhập thấp như tôi.</t>
  </si>
  <si>
    <t>Mức thuế mới tăng lên đáng kể cho người thu nhập cao, nhưng giảm trừ gia cảnh cũng nhiều hơn. Tuy nhiên, việc giải thích về mục tiêu của chính sách chưa rõ ràng.</t>
  </si>
  <si>
    <t>Công bố thông tin về lý do và mục tiêu cải cách thuế mới còn hạn chế, cần thêm minh bạch.</t>
  </si>
  <si>
    <t>Thu nhập của tôi tăng lên đáng kể sau khi áp dụng chính sách mới. Mức giảm trừ gia cảnh cũng cao hơn trước, nhưng mức thuế có thể cao hơn so với mong đợi.</t>
  </si>
  <si>
    <t>Các quy định quản lý thuế hiện nay đã được cải thiện, nhưng việc phát hiện và xử lý trốn thuế vẫn còn nhiều thách thức. Cơ chế quản lý cần thêm công nghệ và nhân lực.</t>
  </si>
  <si>
    <t>Nhà nước đang đầu tư vào công nghệ để tăng cường phát hiện hành vi gian lận, nhưng hiệu quả thực tế vẫn chưa cao do thiếu thông tin về các biện pháp cụ thể.</t>
  </si>
  <si>
    <t>Thủ tục khai báo thuế đã đơn giản hơn so với trước đây. Việc áp dụng công nghệ như phần mềm điện tử giúp giảm thời gian chờ đợi và làm việc với cơ quan thuế.</t>
  </si>
  <si>
    <t>Biểu thuế mới có ít bậc hơn, dễ dàng tính toán và hiểu rõ hơn so với trước đây. Tuy nhiên, vẫn cần thêm hướng dẫn chi tiết cho người nộp thuế để tránh nhầm lẫn.</t>
  </si>
  <si>
    <t>Tôi tin rằng Nhà nước sẽ thực thi chính sách một cách công bằng, nhưng việc phát hiện và xử lý trốn thuế vẫn còn nhiều yếu tố không chắc chắn.</t>
  </si>
  <si>
    <t>Mức thuế mới có vẻ hợp lý so với thu nhập của tôi. Tuy nhiên, cần thêm thông tin về cách sử dụng số tiền thuế được thu để đánh giá tính công bằng.</t>
  </si>
  <si>
    <t>Tôi tin rằng số tiền thuế đóng sẽ được sử dụng hiệu quả cho các dịch vụ công. Tuy nhiên, tôi cần thêm minh bạch về cách sử dụng số tiền này.</t>
  </si>
  <si>
    <t>Nhà nước đã giải thích rõ ràng về mục tiêu của chính sách mới, nhưng việc truyền thông về các biện pháp cụ thể để tăng thu nhập thuế còn hạn chế.</t>
  </si>
  <si>
    <t>Tác động tài chính tích cực từ mức giảm trừ gia cảnh và biểu thuế đơn giản đã làm tăng niềm tin. Tuy nhiên, vẫn cần thêm thông tin về cách sử dụng số tiền thuế để có quyết định rõ ràng.</t>
  </si>
  <si>
    <t>Tăng cường quản lý thuế và giảm trừ gia cảnh giúp phát hiện trốn thuế dễ dàng hơn, nhưng khả năng công nghệ còn hạn chế.</t>
  </si>
  <si>
    <t>Công nghệ hiện đại đã cải thiện đáng kể, tuy nhiên vẫn cần nâng cao hơn nữa về mặt kỹ thuật và triển khai.</t>
  </si>
  <si>
    <t>Thủ tục thuế đơn giản hơn, nhưng vẫn có một số bước phức tạp. Tăng giảm trừ gia cảnh giúp thuận tiện hơn cho người dân.</t>
  </si>
  <si>
    <t>Cách tính thuế đơn giản hóa và rõ ràng hơn, dễ hiểu và thực hiện nhanh chóng hơn so với trước đây</t>
  </si>
  <si>
    <t>Nhiều cải cách đã tăng giảm trừ gia cảnh, tạo sự công bằng trong việc đánh thuế. Tuy nhiên, vẫn còn nghi ngại về khả năng thực thi.</t>
  </si>
  <si>
    <t>Thuế mới có vẻ công bằng hơn so với trước đây, nhưng mức thuế cụ thể cần xem xét kỹ</t>
  </si>
  <si>
    <t>Thuê được sử dụng hiệu quả để cải thiện dịch vụ công, giảm trừ gia cảnh giúp nâng cao niềm tin vào việc này.</t>
  </si>
  <si>
    <t>Đã giải thích rõ ràng về mục tiêu và lý do cải cách thuế. Tuy nhiên, vẫn còn nghi ngại về thực thi</t>
  </si>
  <si>
    <t>Các quyền lợi từ cải cách có thể tăng niềm tin vào chính sách nhưng rủi ro trốn thuế và khả năng phát hiện cần cân nhắc.</t>
  </si>
  <si>
    <t>Tăng mức giảm trừ gia cảnh và đơn giản hóa biểu thuế có thể làm giảm khả năng phát hiện gian lận, do đó ENF1 được đánh giá thấp.</t>
  </si>
  <si>
    <t>Công nghệ hiện đại giúp phát hiện trốn thuế hiệu quả hơn. Tuy nhiên, mức độ thực thi và khả năng của cơ quan thuế cần được xem xét kỹ lưỡng.</t>
  </si>
  <si>
    <t>Mức giảm trừ gia cảnh tăng và số bậc thuế giảm có thể làm đơn giản hóa quy trình khai báo, nhưng vẫn còn nhiều thủ tục phức tạp.</t>
  </si>
  <si>
    <t>Biểu thuế được rút gọn từ 7 bậc xuống 5 đã đơn giản hóa việc tính thuế và các bậc thuế mới rõ ràng hơn so với trước đây.</t>
  </si>
  <si>
    <t>Nhìn chung, mức giảm trừ gia cảnh tăng có thể làm cho tôi cảm thấy công bằng trong việc nộp thuế. Tuy nhiên, vẫn còn một số scepticism về cách thực thi chính sách.</t>
  </si>
  <si>
    <t>Các bậc thuế mới rõ ràng hơn và phù hợp với mức thu nhập của tôi, nhưng vẫn cần thêm minh bạch về mục tiêu cải cách để tăng độ tin cậy.</t>
  </si>
  <si>
    <t>Mức giảm trừ gia cảnh tăng có thể làm cho tôi cảm thấy số tiền thuế đóng là công bằng. Tuy nhiên, vẫn cần thêm minh bạch về sử dụng nguồn thu để tăng niềm tin.</t>
  </si>
  <si>
    <t>Nguyên tắc minh bạch đã được cải thiện nhưng vẫn còn scepticism về cách giải thích và thực thi chính sách mới.</t>
  </si>
  <si>
    <t>Nhìn chung, lợi ích tài chính từ các mức giảm trừ gia cảnh tăng và đơn giản hóa biểu thuế làm tôi sẵn sàng tuân thủ. Tuy nhiên, vẫn cần thêm minh bạch về mục tiêu cải cách để tăng độ tin cậy.</t>
  </si>
  <si>
    <t>Cải cách thuế lần này không có thêm thông tin về công nghệ phát hiện trốn thuế, nên dựa trên niềm tin rằng các quy định quản lý thuế hiện tại vẫn được thực thi nghiêm minh.</t>
  </si>
  <si>
    <t>Theo xu hướng chung, cơ quan thuế có thể áp dụng công nghệ cao hơn trong việc phát hiện trốn thuế, nhưng không có thông tin cụ thể về cải cách này.</t>
  </si>
  <si>
    <t>Mức giảm trừ gia cảnh tăng lên, cùng với việc đơn giản hóa biểu thuế, làm cho thủ tục khai báo thuế trở nên dễ dàng hơn so với trước đây.</t>
  </si>
  <si>
    <t>Biểu thuế được rút gọn từ 7 bậc xuống còn 5 bậc, đồng thời mức giảm trừ gia cảnh tăng lên, giúp việc tính thuế trở nên đơn giản và dễ hiểu hơn.</t>
  </si>
  <si>
    <t>Nhìn chung, các biện pháp cải cách về thuế góp phần công bằng hóa quy định, nhưng không có thông tin cụ thể về cách thực thi công bằng trong quá trình thực hiện.</t>
  </si>
  <si>
    <t>Mức giảm trừ gia cảnh và số bậc thuế được đơn giản hóa giúp người dân phải đóng thuế ít hơn so với trước đây, tạo cảm giác mức thuế mới là công bằng.</t>
  </si>
  <si>
    <t>Đối tượng trả lời có thể sẽ tin rằng số tiền thuế đóng sẽ được sử dụng hiệu quả cho các dịch vụ công, mặc dù không có thông tin cụ thể về việc này.</t>
  </si>
  <si>
    <t>Các biện pháp cải cách đã được giải thích một cách tổng quát nhưng chưa chi tiết về mục tiêu cụ thể của việc sửa đổi thuế lần này.</t>
  </si>
  <si>
    <t>Người trả lời có thể sẽ ủng hộ chính sách mới do giảm gánh nặng thuế và tăng mức giảm trừ gia cảnh, nhưng vẫn còn một số lo ngại về thực thi chính sách.</t>
  </si>
  <si>
    <t>Dù tăng cường quản lý thuế, nhưng với sự phức tạp của hệ thống và khả năng trốn tránh ngày càng tinh vi, khó tin rằng sẽ dễ dàng phát hiện tất cả các hành vi gian lận.</t>
  </si>
  <si>
    <t>Công nghệ hiện đại có thể hỗ trợ trong việc phát hiện trốn thuế, nhưng sự thực thi và khả năng xử lý vẫn phụ thuộc vào nhiều yếu tố khác như nguồn lực con người, quy định pháp luật.</t>
  </si>
  <si>
    <t>Thủ tục khai báo thuế được đơn giản hóa, giảm bớt các bước cần thiết, tạo cảm giác thuận tiện và nhanh chóng hơn so với trước đây.</t>
  </si>
  <si>
    <t>Cách tính thuế mới đơn giản đi, giúp người nộp thuế dễ dàng hiểu rõ hơn về mức thuế mình phải đóng.</t>
  </si>
  <si>
    <t>Nhà nước đã cải thiện quy định quản lý và giảm trừ gia cảnh, tạo sự công bằng hơn trong việc áp dụng thuế cho người dân.</t>
  </si>
  <si>
    <t>Các bậc thuế mới rõ ràng hơn, nhưng mức tăng thuế đối với thu nhập cao vẫn là một mối quan tâm về tính công bằng.</t>
  </si>
  <si>
    <t>Thuế được sử dụng hiệu quả để cải thiện dịch vụ công, tạo niềm tin vào việc sử dụng tiền thuế đúng mục đích.</t>
  </si>
  <si>
    <t>Giải thích về lý do và mục tiêu của cải cách thuế chưa đầy đủ, khiến người dân cảm thấy không thật lòng.</t>
  </si>
  <si>
    <t>Chính sách mới mang lại lợi ích đáng kể, nhưng sự phức tạp và mức tăng thuế đối với thu nhập cao vẫn gây ra một số lo ngại về tuân thủ.</t>
  </si>
  <si>
    <t>Điều kiện quản lý thuế hiện nay được cải thiện, tuy nhiên vẫn còn nhiều thách thức về công nghệ và nguồn lực.</t>
  </si>
  <si>
    <t>Công nghệ hiện đại có thể phát hiện trốn thuế hiệu quả, nhưng cần sự phối hợp tốt giữa các cơ quan quản lý.</t>
  </si>
  <si>
    <t>Mức giảm trừ gia cảnh tăng, quy trình khai báo đơn giản hơn nhưng vẫn phức tạp đối với người không am hiểu.</t>
  </si>
  <si>
    <t>Biểu thuế được đơn giản hóa từ 7 bậc xuống 5, dễ dàng hơn để tính toán và thực hiện.</t>
  </si>
  <si>
    <t>Niềm tin vào sự công bằng của cơ quan thuế cần thời gian xây dựng, đặc biệt là khi mức giảm trừ gia cảnh tăng.</t>
  </si>
  <si>
    <t>Mức thuế mới có vẻ hợp lý so với thu nhập hiện tại, nhưng vẫn chưa hoàn toàn công bằng đối với các nhóm khác.</t>
  </si>
  <si>
    <t>Hiệu quả sử dụng số tiền thuế doanh nghiệp đóng còn hạn chế, cần thời gian để cải thiện dịch vụ công.</t>
  </si>
  <si>
    <t>Giải thích về mục tiêu của chính sách mới chưa rõ ràng, nhưng đã cố gắng cải thiện so với trước đây.</t>
  </si>
  <si>
    <t>Trước tình hình tài chính hiện tại và mức thuế giảm, tôi sẽ ủng hộ và tuân thủ chính sách mới.</t>
  </si>
  <si>
    <t>Các quy định quản lý thuế hiện nay có nhiều cải tiến, nhưng vẫn còn khó để phát hiện trốn thuế hoàn toàn. Công nghệ giúp phát hiện gian lận trở nên tốt hơn so với trước đây.</t>
  </si>
  <si>
    <t>Nhà nước và cơ quan thuế đã đầu tư vào công nghệ, tuy nhiên vẫn còn những yếu tố khiến trốn thuế khó bị phát hiện. Công nghệ giúp tăng khả năng giám sát, nhưng không thể ngăn chặn hoàn toàn.</t>
  </si>
  <si>
    <t>Thủ tục khai báo thuế và quy trình làm việc với cơ quan thuế đơn giản hơn so với trước đây nhờ sự cải cách biểu thuế.</t>
  </si>
  <si>
    <t>Cách tính thuế và các bậc thuế trong phương án mới dễ hiểu hơn, giảm độ phức tạp cho người nộp thuế.</t>
  </si>
  <si>
    <t>Niềm tin vào sự công bằng của Nhà nước đối với việc thực thi chính sách mới vẫn chưa cao do còn nhiều thắc mắc về cách áp dụng.</t>
  </si>
  <si>
    <t>Mức thuế mới được xem là công bằng cho thu nhập hiện tại, tuy nhiên mức tăng giảm không đồng đều giữa các đối tượng.</t>
  </si>
  <si>
    <t>Hi vọng số tiền thuế đóng sẽ được sử dụng hiệu quả vào những dịch vụ công cần thiết, nhưng vẫn còn nhiều lo ngại về việc thực hiện.</t>
  </si>
  <si>
    <t>Nhà nước đã giải thích rõ ràng lý do và mục tiêu của cải cách thuế, tuy nhiên vẫn có sự đa dạng trong mức độ thuyết phục đối với người dân.</t>
  </si>
  <si>
    <t>Sau khi xem xét các quyền lợi và nghĩa vụ, tôi ủng hộ chính sách mới vì mức giảm trừ gia cảnh cao hơn và thủ tục đơn giản hơn. Tuy nhiên, vẫn cần thời gian để làm quen với các thay đổi.</t>
  </si>
  <si>
    <t>Các quy định quản lý thuế hiện nay được cải cách, có thể phát hiện gian lận hoặc trốn thuế dễ dàng hơn với mức giảm trừ gia cảnh lớn hơn và biểu thuế đơn giản hơn.</t>
  </si>
  <si>
    <t>Việc áp dụng công nghệ tiên tiến trong quản lý thuế như AI, Big Data có thể phát hiện và xử lý các hành vi trốn thuế hiệu quả hơn.</t>
  </si>
  <si>
    <t>Các quy định về giảm trừ gia cảnh lớn hơn giúp thủ tục khai báo thuế đơn giản hóa, nhanh chóng hơn so với trước đây.</t>
  </si>
  <si>
    <t>Biểu thuế đơn giản hóa từ 7 bậc xuống còn 5 bậc làm cho cách tính thuế và các bậc thuế rõ ràng và dễ hiểu hơn.</t>
  </si>
  <si>
    <t>Nhà nước có những cải tiến về quy định quản lý thuế, giảm trừ gia cảnh, nên tôi tin rằng việc thực thi sẽ công bằng với mọi người nộp thuế.</t>
  </si>
  <si>
    <t>Mức thuế mới được thiết kế để phù hợp với thu nhập trung bình, khiến tôi cảm thấy mức thuế đóng là công bằng.</t>
  </si>
  <si>
    <t>Thuế tôi đóng sẽ được sử dụng hiệu quả cho các dịch vụ công, giúp cải thiện chất lượng cuộc sống.</t>
  </si>
  <si>
    <t>Nhà nước đã cung cấp thông tin rõ ràng về lý do và mục tiêu của việc sửa đổi thuế, nhưng vẫn còn cần cải thiện trong việc minh bạch hơn nữa.</t>
  </si>
  <si>
    <t>Việc giảm gánh nặng thuế và đơn giản hóa thủ tục khai báo đã giúp tôi cảm thấy sẵn sàng tuân thủ chính sách mới.</t>
  </si>
  <si>
    <t>Mức giảm trừ gia cảnh tăng, nhưng không biết liệu công nghệ và khả năng phát hiện trốn thuế có cải thiện như thế nào.</t>
  </si>
  <si>
    <t>Công nghệ ngày càng tiên tiến, nên tin rằng các cơ quan thuế sẽ có khả năng phát hiện trốn thuế tốt hơn.</t>
  </si>
  <si>
    <t>Biểu thuế đơn giản hóa, nhưng không rõ liệu quy trình khai báo và làm việc với cơ quan thuế đã thực sự cải thiện.</t>
  </si>
  <si>
    <t>Cách tính thuế mới có thể dễ hiểu hơn, nhưng cần thời gian để quen thuộc với các bậc thuế mới.</t>
  </si>
  <si>
    <t>Niềm tin vào sự công bằng của chính phủ đã giảm do nhiều vấn đề trong quá khứ, nên không hoàn toàn tin tưởng.</t>
  </si>
  <si>
    <t>Mức thuế mới có thể hợp lý cho thu nhập hiện tại, nhưng vẫn lo lắng về việc liệu nó có công bằng với người khác.</t>
  </si>
  <si>
    <t>Tin rằng số tiền thuế đóng sẽ được sử dụng hiệu quả, nhưng cần xem xét kết quả thực tế sau khi chính sách này áp dụng.</t>
  </si>
  <si>
    <t>Phần giải thích về mục tiêu sửa đổi thuế chưa rõ ràng như mong đợi, nhưng vẫn cố gắng hiểu thông tin từ cơ quan chức năng.</t>
  </si>
  <si>
    <t>Đối mặt với gánh nặng thuế mới và không chắc chắn về sự công bằng, quyết định ủng hộ chính sách này còn đang cân nhắc.</t>
  </si>
  <si>
    <t>Nâng cao mức giảm trừ gia cảnh cho bản thân và người phụ thuộc, cùng với việc đơn giản hóa biểu thuế, có thể làm giảm cơ hội trốn thuế. Tuy nhiên, vẫn cần công nghệ phát hiện để đảm bảo hiệu quả.</t>
  </si>
  <si>
    <t>Công nghệ hiện đại ngày càng tiên tiến, nhưng vẫn phụ thuộc vào quy định quản lý và nguồn lực của cơ quan thuế. Có khả năng phát hiện và xử lý trốn thuế nghiêm minh hơn.</t>
  </si>
  <si>
    <t>Nâng cao mức giảm trừ gia cảnh, đơn giản hóa biểu thuế có thể làm cho thủ tục khai báo và làm việc với cơ quan thuế dễ dàng hơn. Tuy nhiên, vẫn cần thời gian để điều chỉnh.</t>
  </si>
  <si>
    <t>Đơn giản hóa biểu thuế từ 7 bậc xuống còn 5 bậc có thể giúp người dân hiểu và áp dụng dễ dàng hơn. Đây là một bước tiến tích cực.</t>
  </si>
  <si>
    <t>Các thay đổi về mức giảm trừ gia cảnh và đơn giản hóa biểu thuế đều hướng tới việc công bằng và minh bạch, tạo niềm tin vào sự đối xử bình đẳng của cơ quan thuế.</t>
  </si>
  <si>
    <t>Mức thuế mới được thiết kế dựa trên thu nhập, cho thấy tính công bằng. Tuy nhiên, vẫn cần thời gian để đánh giá hiệu quả thực tế.</t>
  </si>
  <si>
    <t>Nâng cao mức giảm trừ gia cảnh và đơn giản hóa biểu thuế có thể giúp cải thiện dịch vụ công, tạo niềm tin vào việc sử dụng số tiền thuế một cách hiệu quả.</t>
  </si>
  <si>
    <t>Thông tin về cải cách thuế được truyền tải qua các kênh chính thức, nhưng cần thêm thời gian để thuyết phục người dân và tạo lòng tin.</t>
  </si>
  <si>
    <t>Các thay đổi về mức giảm trừ gia cảnh và đơn giản hóa biểu thuế mang lại lợi ích tài chính và dễ dàng hơn trong khai báo thuế, thúc đẩy sự ủng hộ và tuân thủ.</t>
  </si>
  <si>
    <t>Mức giảm trừ gia cảnh và người phụ thuộc tăng, giúp giảm gánh nặng thuế cho nhiều cá nhân. Tuy nhiên, việc phát hiện hành vi trốn thuế vẫn phụ thuộc vào công nghệ và quản lý của cơ quan thuế.</t>
  </si>
  <si>
    <t>Công nghệ ngày càng phát triển, nhưng vẫn cần sự kết hợp với quản lý hiệu quả để phát hiện trốn thuế. Cơ quan thuế có đủ khả năng nếu áp dụng đúng.</t>
  </si>
  <si>
    <t>Bậc thuế được đơn giản hóa, thuận lợi cho việc khai báo và làm việc với cơ quan thuế. Tuy nhiên, quá trình vẫn cần cải thiện thêm.</t>
  </si>
  <si>
    <t>Phương án mới có các bậc thuế dễ hiểu hơn, giảm bớt rắc rối so với trước đây. Tuy nhiên, quy trình khai báo vẫn chưa hoàn toàn đơn giản.</t>
  </si>
  <si>
    <t>Mức giảm trừ gia cảnh và người phụ thuộc tăng, tạo niềm tin về tính công bằng trong việc đánh thuế. Cơ quan thuế cũng có sự cải thiện trong quản lý.</t>
  </si>
  <si>
    <t>Thuế suất và ngưỡng chịu thuế được điều chỉnh phù hợp với thu nhập cá nhân. Tuy nhiên, mức thuế vẫn cần thêm minh bạch để tăng niềm tin.</t>
  </si>
  <si>
    <t>Giảm trừ gia cảnh và người phụ thuộc tăng, giúp số tiền thuế đóng vào ngân sách được sử dụng hiệu quả hơn. Tuy nhiên, mức giảm còn cần thêm thông tin minh bạch.</t>
  </si>
  <si>
    <t>Thông điệp về việc sửa đổi thuế được truyền tải rõ ràng và nhanh chóng. Tuy nhiên, vẫn có sự hoài nghi về độ minh bạch của cơ quan quản lý.</t>
  </si>
  <si>
    <t>Thuế suất mới phù hợp hơn với thu nhập cá nhân, giảm gánh nặng thuế và tăng niềm tin. Tuy nhiên, quyết định tuân thủ vẫn phụ thuộc vào mức độ minh bạch và quản lý của cơ quan thuế.</t>
  </si>
  <si>
    <t>Quy định quản lý thuế hiện nay không rõ ràng, nhiều trường hợp trốn thuế vẫn chưa bị phát hiện kịp thời.</t>
  </si>
  <si>
    <t>Công nghệ hiện đại có thể hỗ trợ phát hiện trốn thuế nhưng thực tế khả năng của cơ quan thuế còn hạn chế.</t>
  </si>
  <si>
    <t>Mức giảm trừ gia cảnh tăng, quy trình khai báo đơn giản hơn trước đây nên thuận tiện hơn cho người nộp thuế.</t>
  </si>
  <si>
    <t>Biểu thuế được đơn giản hóa từ 7 bậc xuống còn 5 bậc, cách tính thuế rõ ràng hơn so với trước đây.</t>
  </si>
  <si>
    <t>Nhà nước đã cải thiện quy định về giảm trừ gia cảnh, nhưng vẫn có sự bất đồng trong việc áp dụng công bằng cho mọi người nộp thuế.</t>
  </si>
  <si>
    <t>Mức thuế mới được thiết kế dựa trên thu nhập cá nhân nên tôi thấy là hợp lý, nhưng cần thêm thông tin về nguồn sử dụng khoản thuế để tăng niềm tin.</t>
  </si>
  <si>
    <t>Nhà nước đã cải thiện quy định giảm trừ gia cảnh và đơn giản hóa biểu thuế, do đó mức thuế đóng được coi là công bằng hơn.</t>
  </si>
  <si>
    <t>Thông tin về lý do và mục tiêu của việc sửa đổi thuế chưa đầy đủ nên tôi còn đa nghi.</t>
  </si>
  <si>
    <t>Sau khi xem xét, tôi thấy các quyền lợi từ chính sách mới làm giảm gánh nặng tài chính nhưng vẫn có sự lo ngại về thực thi.</t>
  </si>
  <si>
    <t>Quy định quản lý thuế hiện nay chưa rõ ràng, khả năng phát hiện gian lận thấp.</t>
  </si>
  <si>
    <t>Công nghệ kiểm soát thuế mới được triển khai nhưng không đủ mạnh để phát hiện trốn thuế hiệu quả.</t>
  </si>
  <si>
    <t>Biểu thuế được đơn giản hóa nhưng không rõ ràng về cách tính cụ thể cho từng mức thu nhập.</t>
  </si>
  <si>
    <t>Niềm tin vào sự công bằng của cơ quan thuế còn thấp do chưa có nhiều cải tiến thực tế.</t>
  </si>
  <si>
    <t>Mức thuế mới được điều chỉnh theo thu nhập, nhưng không đảm bảo công bằng cho tất cả mọi người.</t>
  </si>
  <si>
    <t>Số tiền thuế đóng có thể tăng hoặc giảm tùy thuộc vào mức thu nhập, chưa rõ liệu sẽ cải thiện dịch vụ công như thế nào.</t>
  </si>
  <si>
    <t>Thông tin giải thích về mục tiêu chính sách mới còn hạn chế và không đủ minh bạch cho người dân.</t>
  </si>
  <si>
    <t>Sau cân nhắc, quyết định tuân thủ vì lợi ích tài chính tăng lên nhưng không hoàn toàn chắc chắn.</t>
  </si>
  <si>
    <t>Tăng mức giảm trừ gia cảnh sẽ làm giảm gánh nặng thuế cho nhiều người, nhưng không chắc liệu hệ thống quản lý thuế có đủ năng lực để phát hiện trốn thuế.</t>
  </si>
  <si>
    <t>Công nghệ ngày càng tiên tiến, khả năng phát hiện và xử lý trốn thuế sẽ được cải thiện đáng kể. Cơ quan thuế cũng đã đầu tư vào công nghệ này trong thời gian qua.</t>
  </si>
  <si>
    <t>Biểu thuế đơn giản hơn, nhưng quy trình khai báo vẫn chưa thực sự đơn giản như mong đợi. Nhiều người vẫn gặp khó khăn khi làm việc với cơ quan thuế.</t>
  </si>
  <si>
    <t>Cách tính thuế và bậc thuế mới dễ hiểu hơn so với trước đây, nhưng việc áp dụng các biểu thuế mới có thể gây nhầm lẫn cho người dân.</t>
  </si>
  <si>
    <t>Nhà nước đã tăng mức giảm trừ gia cảnh, giảm gánh nặng thuế cho nhiều người. Tuy nhiên, sự công bằng trong việc áp dụng chính sách vẫn còn là vấn đề.</t>
  </si>
  <si>
    <t>Mức thuế mới có thể xem là hợp lý đối với thu nhập hiện tại của tôi, nhưng cần thêm thời gian để đánh giá hiệu quả thực tế.</t>
  </si>
  <si>
    <t>Tăng mức giảm trừ gia cảnh và đơn giản hóa biểu thuế có thể làm tăng niềm tin vào việc sử dụng số tiền thuế một cách hiệu quả. Tuy nhiên, vẫn cần thời gian để xem xét.</t>
  </si>
  <si>
    <t>Cơ quan thuế đã giải thích về các thay đổi trong biểu thuế, nhưng nhiều người vẫn chưa thực sự hiểu rõ lý do và mục tiêu của việc sửa đổi.</t>
  </si>
  <si>
    <t>Dù có những lợi ích từ chính sách mới như tăng giảm trừ gia cảnh, tôi vẫn cần thời gian để đánh giá hiệu quả thực tế. Tôi sẽ tiếp tục theo dõi và xem xét việc tuân thủ.</t>
  </si>
  <si>
    <t>Biện pháp quản lý thuế mới tăng mức giảm trừ gia cảnh, nhưng không chắc chắn về công nghệ phát hiện trốn thuế.</t>
  </si>
  <si>
    <t>Công nghệ hiện đại có thể phát hiện trốn thuế hiệu quả hơn, nhưng thực tế xử lý nghiêm còn phụ thuộc vào quy định pháp luật.</t>
  </si>
  <si>
    <t>Mức giảm trừ gia cảnh và bậc thuế đơn giản hơn giúp thủ tục khai báo thuận tiện hơn, nhưng vẫn cần thời gian để quen với thay đổi.</t>
  </si>
  <si>
    <t>Biểu thuế mới có ít bậc và rõ ràng hơn, giảm bớt sự phức tạp so với trước đây, dễ dàng tính toán và thực hiện hơn.</t>
  </si>
  <si>
    <t>Nâng mức giảm trừ gia cảnh cho bản thân và người phụ thuộc tạo cảm giác công bằng, nhưng lo ngại về khả năng thực thi chính sách.</t>
  </si>
  <si>
    <t>Thuế suất mới phù hợp với thu nhập hiện tại, tuy nhiên còn lo ngại về sự công bằng khi so sánh với người khác.</t>
  </si>
  <si>
    <t>Nâng mức giảm trừ gia cảnh tạo cảm giác số tiền đóng thuế sẽ được sử dụng hiệu quả cho dịch vụ công, nhưng chưa hoàn toàn tin tưởng</t>
  </si>
  <si>
    <t>Biện pháp thông qua các kênh truyền thông có thể giải thích rõ ràng về mục tiêu cải cách thuế, nhưng vẫn còn không đầy đủ.</t>
  </si>
  <si>
    <t>Các lợi ích từ chính sách mới như mức giảm trừ gia cảnh cao hơn tạo động lực cho việc tuân thủ, nhưng lo ngại về khả năng thực thi và công bằng</t>
  </si>
  <si>
    <t>Biểu thuế đơn giản hơn nhưng vẫn có các quy định quản lý thuế hiện hành, khả năng phát hiện trốn thuế cao.</t>
  </si>
  <si>
    <t>Công nghệ hiện đại giúp nhà nước dễ dàng phát hiện và xử lý nghiêm các hành vi trốn thuế.</t>
  </si>
  <si>
    <t>Mức giảm trừ gia cảnh tăng, thủ tục khai báo đơn giản hơn, nhưng vẫn có thể phức tạp cho người mới.</t>
  </si>
  <si>
    <t>Cách tính thuế và bậc thuế mới rõ ràng, dễ hiểu hơn so với trước đây.</t>
  </si>
  <si>
    <t>Nhà nước đã tăng mức giảm trừ gia cảnh, tạo cảm giác công bằng trong việc đánh thuế.</t>
  </si>
  <si>
    <t>Thuế mới được thiết kế để phù hợp với thu nhập trung bình, nhưng vẫn cần xem xét tổng thể về gánh nặng thuế.</t>
  </si>
  <si>
    <t>Nhà nước đã sử dụng nguồn thu từ thuế vào nhiều dịch vụ công quan trọng như y tế và cơ sở hạ tầng.</t>
  </si>
  <si>
    <t>Đã có thông tin giải thích rõ ràng về mục tiêu của chính sách mới, nhưng cần thêm minh bạch hơn.</t>
  </si>
  <si>
    <t>Các quyền lợi từ giảm trừ gia cảnh tăng và cách tính thuế đơn giản làm tăng khả năng tuân thủ.</t>
  </si>
  <si>
    <t>Cải cách thuế TNCN không chỉ tăng giảm trừ gia cảnh mà còn đơn giản hóa quy trình khai báo và làm việc với cơ quan thuế. Điều này cho thấy nhà nước đang cố gắng quản lý tốt hơn các hành vi trốn thuế.</t>
  </si>
  <si>
    <t>Công nghệ hiện đại như AI, big data đã được áp dụng trong nhiều lĩnh vực quản lý và có thể phát hiện trốn thuế hiệu quả. Tăng cường công nghệ cũng tăng khả năng phát hiện hành vi gian lận.</t>
  </si>
  <si>
    <t>Biểu thuế đơn giản hóa từ 7 bậc xuống còn 5 bậc, cùng với việc tăng giảm trừ gia cảnh giúp quá trình khai báo thuế trở nên thuận tiện hơn. Tuy nhiên, vẫn có một số thủ tục cần cải thiện.</t>
  </si>
  <si>
    <t>Biểu thuế mới đơn giản hóa các bậc thuế và mức thu nhập chịu thuế, điều này giúp người dân dễ hiểu và thực hiện đúng quy định hơn so với trước đây.</t>
  </si>
  <si>
    <t>Tăng giảm trừ gia cảnh cho bản thân và người phụ thuộc cùng việc đơn giản hóa biểu thuế tạo cảm giác công bằng hơn. Tuy nhiên, vẫn cần thêm minh bạch về cách thực thi chính sách mới.</t>
  </si>
  <si>
    <t>Các bậc thuế mới có sự điều chỉnh phù hợp với mức thu nhập của tôi, nhưng cần thêm thông tin để đảm bảo sự công bằng trong việc áp dụng các quy định.</t>
  </si>
  <si>
    <t>Tăng giảm trừ gia cảnh và đơn giản hóa biểu thuế tạo cảm giác số tiền thuế đóng được sử dụng hiệu quả hơn. Tuy nhiên, cần thêm minh bạch về cách sử dụng số tiền này để tăng niềm tin.</t>
  </si>
  <si>
    <t>Cải cách thuế đã giải thích rõ ràng các thay đổi và mục tiêu của nó thông qua nhiều kênh truyền thông. Tuy nhiên, vẫn có những điểm chưa minh bạch gây ra sự hoài nghi.</t>
  </si>
  <si>
    <t>Chính sách mới mang lại lợi ích cho bản thân tôi thông qua việc tăng giảm trừ gia cảnh và đơn giản hóa quy trình khai báo. Tuy nhiên, vẫn có một số điểm cần cải thiện để tăng mức độ ủng hộ.</t>
  </si>
  <si>
    <t>Quy định quản lý thuế hiện nay tăng cường giảm trừ gia cảnh và đơn giản hóa biểu thuế, làm giảm khả năng trốn thuế. Công nghệ phát triển cũng giúp phát hiện hành vi gian lận.</t>
  </si>
  <si>
    <t>Công nghệ quản lý thuế phát triển mạnh mẽ trong những năm gần đây, đồng thời có sự giám sát chặt chẽ từ cơ quan thuế. Tăng cường khả năng phát hiện và xử lý nghiêm các hành vi trốn thuế.</t>
  </si>
  <si>
    <t>Biểu thuế được đơn giản hóa với ít bậc hơn, giảm bớt rườm rà của quá khứ. Quy trình làm việc với cơ quan thuế cũng trở nên dễ dàng và nhanh chóng hơn.</t>
  </si>
  <si>
    <t>Cách tính thuế và các bậc thuế mới đơn giản hóa, giảm thiểu sự phức tạp cho người dân trong việc tính toán. Điều này giúp người nộp thuế hiểu rõ hơn về quy trình và giao dịch với cơ quan thuế.</t>
  </si>
  <si>
    <t>Giảm trừ gia cảnh tăng mạnh và đơn giản hóa biểu thuế tạo ra sự công bằng trong việc đánh thuế. Cơ quan thuế thực hiện chính sách một cách khách quan, công tâm và đối xử bình đẳng với mọi người nộp thuế.</t>
  </si>
  <si>
    <t>Thuế mới được tính dựa trên thu nhập thực tế và có các bậc thuế phù hợp. Đây là mức thuế công bằng cho thu nhập của tôi, thể hiện sự công bằng trong việc đánh thuế.</t>
  </si>
  <si>
    <t>Giảm trừ gia cảnh tăng mạnh, đơn giản hóa biểu thuế tạo ra lợi ích đáng kể cho người nộp thuế. Tôi tin rằng số tiền thuế đóng sẽ được sử dụng hiệu quả để cải thiện các dịch vụ công.</t>
  </si>
  <si>
    <t>Nội dung thông báo về chính sách mới khá rõ ràng và minh bạch, tôi hiểu lý do và mục tiêu của việc sửa đổi thuế. Điều này tạo ra sự tin tưởng đối với quyết định của Nhà nước.</t>
  </si>
  <si>
    <t>Tăng cường giảm trừ gia cảnh và đơn giản hóa biểu thuế giúp tôi thấy rằng chính sách mới mang lại lợi ích thực tế cho người nộp thuế. Tôi ủng hộ và tuân thủ chính sách mới.</t>
  </si>
  <si>
    <t>Quy định quản lý thuế hiện nay không có nhiều cải tiến, nên khả năng phát hiện trốn thuế vẫn thấp.</t>
  </si>
  <si>
    <t>Công nghệ phát triển và sự giám sát ngày càng chặt chẽ giúp phát hiện gian lận dễ dàng hơn.</t>
  </si>
  <si>
    <t>Biểu thuế được đơn giản hóa, giảm số bậc từ 7 xuống còn 5, tạo thuận lợi trong khai báo và làm việc với cơ quan thuế.</t>
  </si>
  <si>
    <t>Cách tính thuế mới đơn giản hơn so với trước đây, các bậc thuế rõ ràng, dễ hiểu.</t>
  </si>
  <si>
    <t>Mức giảm trừ gia cảnh tăng đáng kể, tạo cảm giác công bằng và tin tưởng vào sự đối xử bình đẳng của cơ quan thuế.</t>
  </si>
  <si>
    <t>Thu nhập từ 60-100 triệu phải chịu thuế suất cao hơn (30%) so với trước đây, cảm giác mức thuế đóng không công bằng.</t>
  </si>
  <si>
    <t>Số tiền thuế tăng lên đáng kể nhưng không rõ liệu nó có được sử dụng hiệu quả cho các dịch vụ công hay không.</t>
  </si>
  <si>
    <t>Thông tin về việc sửa đổi thuế chưa đủ minh bạch, khiến người dân cảm thấy nghi ngờ về mục tiêu của chính sách.</t>
  </si>
  <si>
    <t>Mặc dù thuận lợi trong khai báo và giảm trừ gia cảnh, nhưng mức thuế tăng cao làm giảm sự ủng hộ và tuân thủ.</t>
  </si>
  <si>
    <t>Các quy định quản lý thuế hiện tại đã được cải thiện đáng kể, với việc tăng cường công nghệ phát hiện trốn thuế. Điều này làm giảm khả năng gian lận.</t>
  </si>
  <si>
    <t>Việc sử dụng công nghệ tiên tiến trong hệ thống quản lý thuế của cơ quan nhà nước đã giúp nâng cao hiệu suất và độ chính xác trong việc phát hiện trốn thuế.</t>
  </si>
  <si>
    <t>Thủ tục khai báo thuế và quy trình làm việc với cơ quan thuế đơn giản hơn, giảm bớt các rào cản không cần thiết. Điều này giúp việc nộp thuế trở nên dễ dàng hơn.</t>
  </si>
  <si>
    <t>Phương án mới về cách tính thuế và bậc thuế đã làm cho quá trình tính toán đơn giản và trực quan hơn, dễ hiểu đối với người dân.</t>
  </si>
  <si>
    <t>Những cải tiến trong việc quản lý thuế giúp đảm bảo rằng mọi người nộp thuế được đối xử công bằng. Tăng cường mức giảm trừ gia cảnh cũng góp phần tạo sự công bằng.</t>
  </si>
  <si>
    <t>Mức thuế mới có thể coi là hợp lý so với thu nhập hiện tại của tôi, do đó tôi cảm thấy rằng nó phản ánh đúng mức độ đóng góp của mình.</t>
  </si>
  <si>
    <t>Tăng cường các biện pháp quản lý thuế giúp đảm bảo số tiền thuế tôi nộp sẽ được sử dụng hiệu quả để cải thiện dịch vụ công</t>
  </si>
  <si>
    <t>Đã có nhiều thông tin giải thích về phương án mới, tuy nhiên vẫn còn một số chi tiết cần làm rõ hơn.</t>
  </si>
  <si>
    <t>Dù các cải tiến mang lại lợi ích tài chính, nhưng tôi vẫn giữ thái độ thận trọng trước bất ổn về thực thi pháp luật</t>
  </si>
  <si>
    <t>Luật sửa đổi không chỉ tăng mức giảm trừ gia cảnh mà còn đơn giản hóa quy trình khai báo, do đó giảm thiểu cơ hội trốn thuế. Công nghệ hiện đại cũng giúp phát hiện dễ dàng hơn các hành vi gian lận.</t>
  </si>
  <si>
    <t>Nhà nước đã đầu tư công nghệ tiên tiến và đào tạo nguồn nhân lực để phát hiện trốn thuế, đồng thời có nhiều biện pháp xử lý nghiêm khắc.</t>
  </si>
  <si>
    <t>Mức giảm trừ gia cảnh tăng lên giúp thủ tục khai báo trở nên đơn giản hơn. Quy trình làm việc với cơ quan thuế nhanh chóng và tiện lợi hơn.</t>
  </si>
  <si>
    <t>Bậc thuế được rút gọn, do đó cách tính thuế và các bậc thuế trong phương án mới đơn giản, dễ hiểu và dễ thực hiện hơn so với trước đây.</t>
  </si>
  <si>
    <t>Chính sách mới tăng mức giảm trừ gia cảnh công bằng đối với mọi người nộp thuế. Cơ quan thuế có quy định rõ ràng về cách tính thuế, tạo niềm tin khách quan và công tâm.</t>
  </si>
  <si>
    <t>Mức thuế mới được thiết kế sao cho hợp lý dựa trên thu nhập cá nhân, thể hiện sự công bằng. Tuy nhiên, do tôi là người thu nhập trung bình nên còn nghi ngờ về mức độ thực thi.</t>
  </si>
  <si>
    <t>Thuế đóng góp vào ngân sách quốc gia để cải thiện dịch vụ công như y tế và giao thông. Tuy nhiên, tôi vẫn lo ngại về việc sử dụng hiệu quả nguồn thuế thu được.</t>
  </si>
  <si>
    <t>Nhà nước đã giải thích rõ ràng về mục tiêu của chính sách mới nhưng còn cần nhiều thông tin minh bạch hơn. Tôi hy vọng chính sách này sẽ thực hiện tốt hơn trong tương lai.</t>
  </si>
  <si>
    <t>Trải qua quá trình cân nhắc, tôi ủng hộ và tuân thủ chính sách mới vì mức thuế hợp lý và quy định rõ ràng. Tuy nhiên, vẫn cần thêm thời gian để xem xét hiệu quả thực tế.</t>
  </si>
  <si>
    <t>Điểm số này dựa trên việc tăng mức giảm trừ gia cảnh và đơn giản hóa quy trình khai báo thuế, làm giảm khả năng trốn thuế. Đồng thời, các biện pháp quản lý thuế hiện đại cũng giúp phát hiện hành vi gian lận.</t>
  </si>
  <si>
    <t>Việc tăng mức giảm trừ gia cảnh và đơn giản hóa quy trình khai báo thuế có thể làm tăng khả năng phát hiện trốn thuế thông qua việc giảm rủi ro cho cá nhân. Công nghệ hiện đại cũng hỗ trợ việc kiểm soát hiệu quả hơn.</t>
  </si>
  <si>
    <t>Bậc thuế được rút gọn từ 7 xuống còn 5, đồng thời mức giảm trừ gia cảnh tăng lên, làm đơn giản hóa quy trình khai báo và tính toán thuế. Điều này giúp việc làm việc với cơ quan thuế trở nên nhanh chóng hơn.</t>
  </si>
  <si>
    <t>Nâng cao mức giảm trừ gia cảnh và rút gọn bậc thuế có thể tạo ra cảm giác công bằng trong việc phân bổ tax. Tuy nhiên, vẫn cần xem xét liệu cơ quan thuế có thực sự đối xử công bằng với tất cả các nhóm người nộp thuế.</t>
  </si>
  <si>
    <t>Nâng cao mức giảm trừ gia cảnh và rút gọn bậc thuế có thể tạo ra cảm giác công bằng trong việc phân bổ tax. Tuy nhiên, vẫn cần xem xét liệu số tiền thuế thu được sẽ được sử dụng hiệu quả để cải thiện dịch vụ công.</t>
  </si>
  <si>
    <t>Nâng cao mức giảm trừ gia cảnh và rút gọn bậc thuế có thể tạo ra cảm giác công bằng trong việc phân bổ tax. Tuy nhiên, vẫn cần xem xét liệu thông tin về lý do và mục tiêu của chính sách mới có được giải thích rõ ràng và minh bạch hay không.</t>
  </si>
  <si>
    <t>Dựa trên cải cách thuế, mức giảm trừ gia cảnh và đơn giản hóa biểu thuế, khả năng phát hiện trốn thuế có thể cao hơn. Tuy nhiên, cần công nghệ hiện đại để thực hiện.</t>
  </si>
  <si>
    <t>Công nghệ hiện đại giúp Nhà nước phát hiện và xử lý nhanh chóng các hành vi trốn thuế, tạo niềm tin cho người dân.</t>
  </si>
  <si>
    <t>Biểu thuế đơn giản hơn, nhưng quy trình làm việc với cơ quan thuế chưa có cải cách rõ ràng. Đơn giản hóa biểu thuế giúp việc khai báo dễ dàng hơn.</t>
  </si>
  <si>
    <t>Cách tính thuế và các bậc thuế mới đơn giản hơn, nhưng cần thời gian để người dân thích nghi.</t>
  </si>
  <si>
    <t>Mức giảm trừ gia cảnh tăng, tạo cảm giác công bằng. Tuy nhiên, mức thuế vẫn cao đối với một số nhóm thu nhập thấp.</t>
  </si>
  <si>
    <t>Các bậc thuế mới hợp lý hơn, nhưng việc phân loại thu nhập vào các bậc có thể gây khó hiểu cho người dân.</t>
  </si>
  <si>
    <t>Giảm trừ gia cảnh tăng, tạo niềm tin rằng số tiền thuế đóng sẽ được sử dụng hiệu quả. Tuy nhiên, cần thời gian để thấy kết quả thực tế.</t>
  </si>
  <si>
    <t>Có thông tin minh bạch về chính sách mới, nhưng chưa có nhiều giải thích chi tiết về mục tiêu cụ thể.</t>
  </si>
  <si>
    <t>Dù mức thuế giảm và đơn giản hóa biểu thuế, nhưng cần thời gian để người dân quen với các quy định mới. Tuy nhiên, đây là hướng đi đúng.</t>
  </si>
  <si>
    <t>Điểm ENF1 dựa trên mức giảm trừ gia cảnh tăng, giúp giảm cơ hội trốn thuế. Tuy nhiên, vẫn cần công nghệ và quản lý hiệu quả để phát hiện gian lận.</t>
  </si>
  <si>
    <t>Công nghệ mới có thể hỗ trợ giám sát và xử lý nhanh chóng hành vi trốn thuế, tăng khả năng phát hiện.</t>
  </si>
  <si>
    <t>Mức giảm trừ gia cảnh tăng khiến thủ tục đơn giản hơn. Tuy nhiên, quy trình khai báo vẫn cần cải thiện để tiện lợi hơn.</t>
  </si>
  <si>
    <t>Biểu thuế đơn giản hóa giúp tính toán dễ hiểu và nhanh chóng hơn so với trước đây.</t>
  </si>
  <si>
    <t>Nhà nước tăng giảm trừ gia cảnh, thể hiện khách quan đối xử bình đẳng. Tuy nhiên, vẫn cần đảm bảo công bằng trong thực thi.</t>
  </si>
  <si>
    <t>Mức thuế mới có thể coi là hợp lý với thu nhập cá nhân hiện nay, nhưng vẫn cần xem xét tổng thể.</t>
  </si>
  <si>
    <t>Nhà nước sử dụng tiền thuế để cải thiện dịch vụ công, tạo niềm tin về sự hiệu quả sử dụng nguồn lực. Tuy nhiên, cần minh bạch hơn trong quá trình chi tiêu.</t>
  </si>
  <si>
    <t>Thông tin giải thích rõ ràng, nhưng vẫn cần nhiều thông tin hơn để thuyết phục mọi người.</t>
  </si>
  <si>
    <t>Niềm tin và cảm giác công bằng tăng lên do mức thuế giảm. Tuy nhiên, vẫn có nghi ngờ về thực thi chính sách.</t>
  </si>
  <si>
    <t>Biểu thuế đơn giản hơn và mức giảm trừ gia cảnh cao hơn có thể làm giảm cơ hội trốn thuế, nhưng không loại trừ hoàn toàn khả năng gian lận.</t>
  </si>
  <si>
    <t>Công nghệ hiện đại giúp phát hiện hành vi trốn thuế nhanh chóng và hiệu quả, đồng thời có đủ khả năng xử lý nghiêm minh các vụ việc được phát hiện.</t>
  </si>
  <si>
    <t>Bậc thuế giảm từ 7 xuống 5, kèm theo mức giảm trừ gia cảnh tăng, làm cho quy trình khai báo và làm việc với cơ quan thuế đơn giản hơn so với trước đây.</t>
  </si>
  <si>
    <t>Cách tính thuế mới đơn giản hóa các bậc thuế, giúp người dân dễ dàng hiểu và áp dụng, từ đó giảm bớt gian nan trong quá trình thực hiện.</t>
  </si>
  <si>
    <t>Nếu mức thuế mới được đánh giá công bằng so với thu nhập cá nhân, sẽ tăng niềm tin vào hệ thống quản lý thuế của Nhà nước.</t>
  </si>
  <si>
    <t>Thuế suất và ngưỡng chịu thuế đã được điều chỉnh theo hướng hợp lý đối với từng mức thu nhập, tạo cảm giác công bằng cho người nộp thuế.</t>
  </si>
  <si>
    <t>Mức giảm trừ gia cảnh tăng sẽ làm giảm gánh nặng thuế cho người dân, đồng thời cải thiện chất lượng dịch vụ công, từ đó nâng cao niềm tin của người dân vào việc sử dụng hiệu quả nguồn thu thuế.</t>
  </si>
  <si>
    <t>Trình tự và quy trình thông báo sửa đổi thuế mới đã được công bố rõ ràng, tuy nhiên mức độ thuyết phục còn phụ thuộc vào sự tiếp cận của người dân đối với các kênh truyền thông.</t>
  </si>
  <si>
    <t>Các quyền lợi như giảm trừ gia cảnh và đơn giản hóa biểu thuế tạo điều kiện thuận lợi cho việc tuân thủ, đồng thời cũng nâng cao niềm tin vào hệ thống quản lý thuế của Nhà nước.</t>
  </si>
  <si>
    <t>Các quy định quản lý thuế hiện nay có sự tăng cường về giảm trừ gia cảnh, giúp kiểm soát thu nhập chính xác hơn. Tuy nhiên, vẫn cần công nghệ và khả năng phát hiện để ngăn chặn gian lận.</t>
  </si>
  <si>
    <t>Công nghệ ngày càng tiên tiến, cơ quan thuế có nhiều phương tiện để phát hiện trốn thuế. Mức độ tin cậy phụ thuộc vào sự thực thi hiệu quả của pháp luật.</t>
  </si>
  <si>
    <t>Bậc thuế được đơn giản hóa từ 7 xuống còn 5, làm giảm phức tạp cho người dân trong khai báo. Quy trình làm việc với cơ quan thuế cũng trở nên nhanh chóng hơn.</t>
  </si>
  <si>
    <t>Cách tính thuế mới đơn giản hơn so với trước đây, không còn nhiều bậc phức tạp. Việc giảm trừ gia cảnh rõ ràng giúp người dân dễ dàng hiểu và áp dụng.</t>
  </si>
  <si>
    <t>Nhà nước đã tăng mức giảm trừ gia cảnh, công bằng đối với người thu nhập thấp hơn. Tuy nhiên, vẫn cần thêm minh bạch trong việc thực thi chính sách để nâng cao niềm tin.</t>
  </si>
  <si>
    <t>Các bậc thuế mới có sự thay đổi phù hợp với mức thu nhập hiện tại. Mức thuế suất cũng được điều chỉnh, tạo cảm giác công bằng cho người dân.</t>
  </si>
  <si>
    <t>Thuế được sử dụng để cải thiện các dịch vụ công như y tế và giao thông. Tuy nhiên, hiệu quả cụ thể của việc sử dụng thuế cần thêm minh bạch.</t>
  </si>
  <si>
    <t>Đây là lần đầu tiên tôi tiếp xúc với chính sách này nên chưa có nhiều thông tin để đánh giá. Cơ quan thuế cần giải thích rõ ràng hơn về mục tiêu của việc sửa đổi thuế.</t>
  </si>
  <si>
    <t>Các quyền lợi như tăng giảm trừ gia cảnh và đơn giản hóa quy trình khai báo làm giảm gánh nặng cho người dân. Tuy nhiên, sự phức tạp trong việc hiểu chính sách vẫn còn cần cải thiện.</t>
  </si>
  <si>
    <t>Các quy định quản lý thuế hiện nay được cải cách, giúp phát hiện hành vi gian lận và trốn thuế dễ dàng hơn. Mức giảm trừ gia cảnh tăng lên cũng hạn chế cơ hội để người dân lợi dụng.</t>
  </si>
  <si>
    <t>Công nghệ ngày càng phát triển, cùng với sự cải cách về quản lý thuế, khả năng phát hiện và xử lý nghiêm các hành vi trốn thuế sẽ tăng lên đáng kể.</t>
  </si>
  <si>
    <t>Mức giảm trừ gia cảnh tăng, đồng thời số bậc thuế đơn giản hóa giúp quá trình khai báo thuế dễ dàng hơn. Quy định quản lý thuế nay rõ ràng hơn so với trước đây.</t>
  </si>
  <si>
    <t>Bậc thuế mới đơn giản và dễ hiểu, giảm bớt rào cản trong việc tính toán và nộp thuế cho người dân. Việc này tăng mức độ thuận tiện khi làm thủ tục thuế.</t>
  </si>
  <si>
    <t>Nhà nước đã cải cách nhiều quy định về thuế để tạo công bằng, giảm gánh nặng cho người dân. Các quy định mới được áp dụng một cách khách quan và minh bạch hơn.</t>
  </si>
  <si>
    <t>Mức thuế mới được tính toán dựa trên thu nhập cá nhân, phù hợp với mức độ công bằng trong xã hội hiện nay. Người dân có thể thấy rằng mức thuế này là hợp lý đối với thu nhập của họ.</t>
  </si>
  <si>
    <t>Các cải cách về thuế tạo ra cơ sở cho việc sử dụng nguồn thu thuế một cách hiệu quả để cải thiện dịch vụ công. Tuy nhiên, cần thời gian để chứng minh hiệu quả của các khoản đầu tư này.</t>
  </si>
  <si>
    <t>Nhà nước đã giải thích rõ ràng về mục tiêu và lý do của việc cải cách thuế qua nhiều kênh thông tin. Tuy nhiên, người dân vẫn cần thời gian để tiếp nhận và đánh giá sự minh bạch này.</t>
  </si>
  <si>
    <t>Các thay đổi về thuế tạo ra lợi ích rõ ràng cho người nộp thuế, giảm gánh nặng và đơn giản hóa quy trình. Tuy nhiên, cần thời gian để hình thành hành vi tuân thủ mới.</t>
  </si>
  <si>
    <t>Tăng mức giảm trừ gia cảnh và đơn giản hóa biểu thuế có thể làm tăng độ minh bạch, nhưng không đảm bảo 100% phát hiện trốn thuế.</t>
  </si>
  <si>
    <t>Công nghệ ngày càng tiên tiến, nhưng vẫn cần sự phối hợp giữa các cơ quan và quy trình quản lý để phát hiện trốn thuế hiệu quả.</t>
  </si>
  <si>
    <t>Số bậc thuế giảm từ 7 xuống 5, có thể đơn giản hóa quá trình khai thuế. Tuy nhiên, vẫn còn một số thủ tục cần cải thiện.</t>
  </si>
  <si>
    <t>Cách tính thuế mới rõ ràng hơn với ít bậc thuế, nhưng vẫn cần thời gian để người dân quen thuộc.</t>
  </si>
  <si>
    <t>Mức giảm trừ gia cảnh tăng lên có thể làm cho việc thực thi công bằng hơn. Tuy nhiên, mức độ tin tưởng phụ thuộc nhiều vào cách thực hiện và xử lý.</t>
  </si>
  <si>
    <t>Các bậc thuế mới phù hợp với thu nhập cá nhân, nhưng mức thuế vẫn cần được giải thích rõ ràng để đảm bảo công bằng.</t>
  </si>
  <si>
    <t>Mức giảm trừ gia cảnh tăng lên có thể làm cho việc đóng thuế trở nên công bằng hơn. Tuy nhiên, hiệu quả sử dụng nguồn thu còn phụ thuộc vào cách quản lý ngân sách của Nhà nước.</t>
  </si>
  <si>
    <t>Thông điệp về cải cách thuế được truyền đạt tốt, nhưng cần thêm thông tin chi tiết để thuyết phục người dân.</t>
  </si>
  <si>
    <t>Sau khi xem xét các quyền lợi và nghĩa vụ, tôi thấy chính sách mới mang lại nhiều thuận lợi. Tuy nhiên, vẫn có một số lo ngại về thực thi và hiệu quả sử dụng nguồn thu.</t>
  </si>
  <si>
    <t>Điều kiện quản lý thuế hiện nay có nhiều cải tiến, nhưng vẫn còn nhiều rủi ro về trốn thuế do chưa áp dụng công nghệ cao.</t>
  </si>
  <si>
    <t>Công nghệ và khả năng phát hiện trốn thuế đã được cải thiện đáng kể, tạo thêm niềm tin cho người dân.</t>
  </si>
  <si>
    <t>Số bậc thuế giảm từ 7 xuống còn 5, đơn giản hóa quy trình khai báo, thuận lợi hơn cho người nộp thuế.</t>
  </si>
  <si>
    <t>Biểu thuế mới đơn giản rõ ràng hơn, dễ tính toán và thực hiện so với trước đây.</t>
  </si>
  <si>
    <t>Niềm tin vào sự công bằng của cơ quan thuế còn thấp do truyền thông chưa đủ mạnh mẽ về việc thực thi chính sách mới.</t>
  </si>
  <si>
    <t>Mức thuế mới được thiết kế hợp lý, phù hợp với thu nhập hiện tại, tạo cảm giác công bằng cho người nộp thuế.</t>
  </si>
  <si>
    <t>Tăng giảm trừ gia cảnh làm người nộp thuế cảm thấy số tiền đóng thuế được sử dụng hiệu quả hơn để cải thiện dịch vụ công.</t>
  </si>
  <si>
    <t>Thông tin về lý do và mục tiêu của chính sách mới chưa đủ minh bạch, gây ra sự hoài nghi ở một số đối tượng.</t>
  </si>
  <si>
    <t>Sau khi xem xét các quyền lợi từ chính sách, tôi sẵn sàng tuân thủ nhưng vẫn có chút lo lắng về thực thi.</t>
  </si>
  <si>
    <t>Các quy định quản lý thuế hiện nay đã được tăng cường, với việc cải cách giảm trừ gia cảnh và đơn giản hóa biểu thuế. Tuy nhiên, công nghệ phát hiện trốn thuế vẫn chưa hoàn thiện.</t>
  </si>
  <si>
    <t>Nhà nước và cơ quan thuế có nhiều nguồn lực để phát triển công nghệ kiểm soát thuế, nhưng cần thời gian để thực hiện đầy đủ.</t>
  </si>
  <si>
    <t>Nguyên tắc mới đơn giản hóa quy trình khai báo thuế, giảm số bậc thuế từ 7 xuống 5. Điều này giúp thuận tiện cho người nộp thuế.</t>
  </si>
  <si>
    <t>Cách tính thuế và các bậc thuế mới dễ hiểu hơn so với trước đây, nhưng vẫn có thể phức tạp đối với những người không am hiểu về thuế.</t>
  </si>
  <si>
    <t>Nhà nước đã cải thiện giảm trừ gia cảnh, tạo ra một hệ thống công bằng hơn. Tuy nhiên, việc thực thi còn phụ thuộc vào quy định cụ thể.</t>
  </si>
  <si>
    <t>Mức thuế mới có phần hợp lý so với thu nhập hiện tại của tôi, nhưng vẫn cần nhìn nhận nhiều yếu tố khác để đánh giá công bằng.</t>
  </si>
  <si>
    <t>Thuế đóng góp vào dịch vụ công là điều đáng mong đợi. Tuy nhiên, hiệu quả sử dụng nguồn lực thuế còn phụ thuộc vào cách quản lý của Nhà nước.</t>
  </si>
  <si>
    <t>Nhà nước đã giải thích về việc sửa đổi thuế qua các kênh thông tin, nhưng vẫn có không ít người chưa hoàn toàn hiểu rõ.</t>
  </si>
  <si>
    <t>Có sự cải thiện đáng kể so với trước đây. Tôi sẽ tuân thủ vì quyền lợi cá nhân đã được nâng cao và giảm gánh nặng thuế.</t>
  </si>
  <si>
    <t>Mức giảm trừ gia cảnh được tăng lên, điều này giúp ích trong việc giảm gian lận thuế. Tuy nhiên, công nghệ phát hiện trốn thuế vẫn còn hạn chế.</t>
  </si>
  <si>
    <t>Công nghệ ngày càng tiến bộ nhưng các quy định quản lý chưa hoàn thiện nên khả năng phát hiện trốn thuế vẫn cần cải thiện.</t>
  </si>
  <si>
    <t>Biểu thuế được đơn giản hóa, giảm số bậc thuế từ 7 xuống còn 5. Điều này giúp việc khai báo và làm việc với cơ quan thuế trở nên thuận tiện hơn.</t>
  </si>
  <si>
    <t>Phương án mới có các bậc thuế đơn giản, dễ hiểu hơn so với trước đây, giúp người dân tính toán nhanh chóng.</t>
  </si>
  <si>
    <t>Mức giảm trừ gia cảnh được tăng lên, tạo cảm giác công bằng cho người nộp thuế. Tuy nhiên, sự khách quan trong thực thi chính sách còn cần cải thiện.</t>
  </si>
  <si>
    <t>Thu nhập từ 30 triệu đến 60 triệu đồng chịu thuế suất 20%, mức này hợp lý cho thu nhập trung bình. Tuy nhiên, đối với người có thu nhập cao hơn, mức thuế vẫn còn gây nghi ngờ về công bằng.</t>
  </si>
  <si>
    <t>Giảm trừ gia cảnh tăng lên giúp cải thiện dịch vụ công như y tế và đường xá. Tuy nhiên, hiệu quả sử dụng nguồn thu từ thuế cần được giám sát chặt chẽ hơn.</t>
  </si>
  <si>
    <t>Các thông tin về sửa đổi thuế đã được giải thích nhưng không rõ ràng như mong đợi. Cần tăng cường minh bạch để người dân cảm thấy tin tưởng hơn.</t>
  </si>
  <si>
    <t>Thu nhập từ mức 30 triệu đến 60 triệu đồng chịu thuế suất thấp, giảm gánh nặng thuế. Tuy nhiên, đối với thu nhập cao hơn, mức thuế vẫn gây nghi ngờ về công bằng và minh bạch.</t>
  </si>
  <si>
    <t>Các quy định quản lý thuế hiện nay được nâng cấp, có công nghệ phát hiện gian lận và trốn thuế tốt hơn. Điều này tăng cường niềm tin rằng hành vi gian lận sẽ bị phát hiện.</t>
  </si>
  <si>
    <t>Nhà nước đã đầu tư vào công nghệ để phát hiện và xử lý nghiêm các hành vi trốn thuế, cho thấy khả năng thực thi nghiêm minh.</t>
  </si>
  <si>
    <t>Mức giảm trừ gia cảnh tăng lên cùng với việc đơn giản hóa biểu thuế giúp quá trình khai báo thuế dễ dàng hơn. Tuy nhiên, vẫn cần cải thiện quy trình làm việc với cơ quan thuế.</t>
  </si>
  <si>
    <t>Biểu thuế mới có ít bậc và mức thuế suất được điều chỉnh phù hợp, đơn giản hóa quá trình tính thuế. Điều này giúp người nộp thuế dễ hiểu và thực hiện đúng quy định hơn.</t>
  </si>
  <si>
    <t>Nhà nước đã cải cách để tăng giảm trừ gia cảnh và đơn giản hóa biểu thuế, thể hiện sự đối xử công bằng với mọi người nộp thuế. Tuy nhiên, vẫn cần thêm minh bạch về việc sử dụng số tiền thuế.</t>
  </si>
  <si>
    <t>Mức thuế mới được điều chỉnh phù hợp với thu nhập cá nhân hiện nay, thể hiện tính công bằng. Tuy nhiên, mức độ tin tưởng còn phụ thuộc vào hiệu quả sử dụng số tiền thuế.</t>
  </si>
  <si>
    <t>Nhà nước đã cải cách để tăng giảm trừ gia cảnh và đơn giản hóa biểu thuế, nhưng vẫn cần minh bạch hơn về việc sử dụng số tiền thuế cho các dịch vụ công. Điều này giúp nâng cao niềm tin vào hiệu quả của chính sách.</t>
  </si>
  <si>
    <t>Nhà nước đã cải cách để tăng giảm trừ gia cảnh và đơn giản hóa biểu thuế, nhưng thông tin giải thích về mục tiêu chính sách chưa rõ ràng. Tuy nhiên, mức độ minh bạch có thể được cải thiện.</t>
  </si>
  <si>
    <t>Sau khi xem xét các quyền lợi và nghĩa vụ, tôi thấy chính sách mới mang lại lợi ích cho người nộp thuế. Tuy nhiên, tôi vẫn cần thêm thông tin minh bạch về mục tiêu chính sách để quyết định ủng hộ.</t>
  </si>
  <si>
    <t>Hiện nay, các quy định quản lý thuế đã được cải thiện đáng kể với công nghệ phát hiện gian lận và trốn thuế tiên tiến. Điều này tăng khả năng phát hiện hành vi sai phạm.</t>
  </si>
  <si>
    <t>Công nghệ ngày càng phát triển, cùng với sự cam kết của Nhà nước trong việc chống gian lận, khả năng phát hiện và xử lý nghiêm các hành vi trốn thuế được nâng cao.</t>
  </si>
  <si>
    <t>Mức giảm trừ gia cảnh tăng lên, thủ tục khai báo thuế đơn giản hơn. Điều này làm cho quy trình làm việc với cơ quan thuế trở nên tiện lợi và nhanh chóng hơn.</t>
  </si>
  <si>
    <t>Biểu thuế được đơn giản hóa từ 7 bậc xuống còn 5 bậc, giảm độ phức tạp. Cách tính thuế mới dễ hiểu và dễ thực hiện hơn so với trước đây.</t>
  </si>
  <si>
    <t>Hiệu quả của chính sách cải cách thuế đã thể hiện qua mức giảm trừ gia cảnh tăng lên. Cơ quan thuế có nhiều biện pháp phát hiện gian lận, làm tăng niềm tin vào sự công bằng.</t>
  </si>
  <si>
    <t>Mức thuế mới được thiết kế hợp lý dựa trên thu nhập cá nhân. Các bậc thuế suất và ngưỡng chịu thuế đã được điều chỉnh phù hợp với thực tế, thể hiện tính công bằng trong việc phân chia gánh nặng thuế.</t>
  </si>
  <si>
    <t>Thuế đóng góp vào ngân sách nhà nước sẽ được sử dụng hiệu quả để cải thiện dịch vụ công như y tế và giao thông. Đây là sự cam kết rõ ràng về việc sử dụng tiền thuế một cách có trách nhiệm.</t>
  </si>
  <si>
    <t>Nhà nước đã giải thích rõ ràng về mục tiêu của chính sách cải cách, đồng thời đưa ra các biện pháp để chống gian lận. Điều này tăng mức độ minh bạch và tin tưởng vào quyết định của Nhà nước.</t>
  </si>
  <si>
    <t>Chính sách mới đã mang lại lợi ích tài chính rõ ràng cho tôi, đồng thời thủ tục làm việc với cơ quan thuế cũng đơn giản hơn. Tôi cảm thấy có trách nhiệm và sẵn sàng tuân thủ.</t>
  </si>
  <si>
    <t>Các quy định quản lý thuế hiện nay được cải cách mạnh mẽ, tăng giảm trừ gia cảnh, đơn giản hóa biểu thuế. Điều này làm giảm nguy cơ trốn thuế và tăng khả năng phát hiện hành vi gian lận.</t>
  </si>
  <si>
    <t>Kết hợp với việc áp dụng công nghệ hiện đại, Nhà nước có đủ khả năng để phát hiện và xử lý nghiêm các hành vi trốn thuế.</t>
  </si>
  <si>
    <t>Mức giảm trừ gia cảnh tăng cao hơn, đơn giản hóa biểu thuế từ 7 bậc xuống còn 5 bậc. Điều này làm thủ tục khai báo thuế và quy trình làm việc với cơ quan thuế đơn giản, tiện lợi hơn.</t>
  </si>
  <si>
    <t>Các bậc thuế mới được đơn giản hóa, dễ hiểu hơn so với trước đây. Tuy nhiên, mức thuế mới có thể ảnh hưởng đến cảm nhận công bằng của người dân.</t>
  </si>
  <si>
    <t>Nhà nước đã cải cách mạnh mẽ về quản lý thuế, tăng giảm trừ gia cảnh và đơn giản hóa biểu thuế. Điều này tạo niềm tin rằng chính sách mới được thực thi một cách công bằng và khách quan.</t>
  </si>
  <si>
    <t>Mức thuế mới dựa trên thu nhập cá nhân, nhưng mức thuế có thể cao hơn so với trước đây đối với người có thu nhập thấp. Điều này ảnh hưởng đến cảm nhận về công bằng của tôi.</t>
  </si>
  <si>
    <t>Thu nhập từ cải cách thuế được sử dụng để tăng chi cho y tế, giáo dục và các dịch vụ công khác, tạo niềm tin rằng số tiền thuế đóng sẽ được sử dụng hiệu quả.</t>
  </si>
  <si>
    <t>Nhà nước đã giải thích rõ ràng về mục tiêu của việc cải cách thuế nhưng chưa đầy đủ về chi tiết từng bậc thuế và mức giảm trừ gia cảnh mới.</t>
  </si>
  <si>
    <t>Dù các quyền lợi do cải cách thuế mang lại, nhưng tôi vẫn có một số lo ngại về mức độ công bằng của chính sách đối với người thu nhập thấp. Tuy nhiên, tổng thể tôi ủng hộ và sẵn sàng tuân thủ.</t>
  </si>
  <si>
    <t>Biểu thuế đơn giản hóa và mức giảm trừ gia cảnh tăng lên, nhưng không có thông tin cụ thể về công nghệ và khả năng phát hiện trốn thuế.</t>
  </si>
  <si>
    <t>Chưa rõ về công nghệ và nguồn lực của cơ quan thuế trong việc phát hiện trốn thuế.</t>
  </si>
  <si>
    <t>Mức giảm trừ gia cảnh tăng, nhưng không biết liệu quy trình khai báo thuế có thực sự đơn giản hóa hay không.</t>
  </si>
  <si>
    <t>Biểu thuế đã được đơn giản hóa, số bậc giảm từ 7 xuống còn 5, dễ hiểu và tính toán nhanh chóng hơn.</t>
  </si>
  <si>
    <t>Nhìn chung tôi tin rằng việc thực thi công bằng sẽ được đảm bảo, nhưng cần thêm thông tin về cách thức cụ thể.</t>
  </si>
  <si>
    <t>Mức thuế mới có vẻ hợp lý so với thu nhập hiện tại của tôi, nhưng không biết liệu nó có duy trì tính công bằng trong dài hạn hay không.</t>
  </si>
  <si>
    <t>Tôi tin rằng số tiền thuế đóng sẽ được sử dụng hiệu quả cho dịch vụ công, nhưng cần thêm thông tin về cách thức cụ thể.</t>
  </si>
  <si>
    <t>Chưa rõ về thông tin minh bạch và giải thích về mục tiêu cải cách thuế lần này.</t>
  </si>
  <si>
    <t>Mức giảm trừ gia cảnh tăng lên, mức thuế mới có vẻ hợp lý, nhưng cần thêm thông tin để quyết định ủng hộ hoàn toàn.</t>
  </si>
  <si>
    <t>Các quy định quản lý thuế hiện nay được cải cách mạnh mẽ, tăng mức giảm trừ gia cảnh và đơn giản hóa biểu thuế. Điều này làm giảm cơ hội trốn thuế nhưng vẫn cần công nghệ phát hiện để đảm bảo hiệu quả.</t>
  </si>
  <si>
    <t>Việc Nhà nước đã cải cách mạnh mẽ về thuế, tăng mức giảm trừ gia cảnh và đơn giản hóa biểu thuế cho thấy có sự cam kết trong việc chống trốn thuế. Công nghệ hiện đại cũng hỗ trợ hiệu quả.</t>
  </si>
  <si>
    <t>Mức giảm trừ gia cảnh được nâng cao, điều này làm cho khai báo thuế trở nên đơn giản hơn và nhanh chóng hơn. Số bậc thuế ít đi cũng giúp quy trình làm việc với cơ quan thuế dễ dàng hơn.</t>
  </si>
  <si>
    <t>Một số bậc thuế đã được đơn giản hóa, nhưng vẫn còn nhiều bậc nên cách tính thuế không hoàn toàn đơn giản. Tuy nhiên, việc giảm từ 7 bậc xuống 5 là một bước tiến rõ ràng.</t>
  </si>
  <si>
    <t>Mức giảm trừ gia cảnh tăng và số bậc thuế ít đi làm cho thấy có sự công bằng trong việc phân chia gánh nặng thuế. Tuy nhiên, tôi vẫn nghi ngờ về cách thực thi của cơ quan thuế.</t>
  </si>
  <si>
    <t>Mức thuế mới được thiết kế dựa trên thu nhập nên có vẻ công bằng đối với người dân. Tuy nhiên, việc giảm từ 7 bậc xuống 5 khiến tôi lo ngại về sự phức tạp trong quá trình tính thuế.</t>
  </si>
  <si>
    <t>Các thông báo về cải cách thuế được đưa ra nhưng vẫn còn nhiều nghi ngờ. Việc tăng mức giảm trừ gia cảnh và đơn giản hóa biểu thuế làm cho tôi cảm thấy một phần của mục tiêu đã đạt được.</t>
  </si>
  <si>
    <t>Sau khi xem xét các quyền lợi và nghĩa vụ, tôi ủng hộ chính sách mới vì mức giảm trừ gia cảnh tăng cao. Tuy nhiên, tôi vẫn lo ngại về sự phức tạp trong quá trình tính thuế.</t>
  </si>
  <si>
    <t>Các quy định quản lý thuế hiện nay được cải thiện, đặc biệt là mức giảm trừ gia cảnh tăng đáng kể, nhưng vẫn có khả năng trốn thuế. Việc phát hiện và xử lý nghiêm minh các hành vi gian lận cần sự phối hợp chặt chẽ giữa cơ quan thuế và công nghệ hiện đại.</t>
  </si>
  <si>
    <t>Nhà nước đã đầu tư vào công nghệ để phát hiện trốn thuế, nhưng hiệu quả thực tế còn phụ thuộc vào việc triển khai. Tăng cường giám sát và xử lý nghiêm minh sẽ nâng cao khả năng phát hiện gian lận.</t>
  </si>
  <si>
    <t>Thủ tục khai báo thuế được đơn giản hóa, giảm số bậc thuế và mức giảm trừ gia cảnh tăng, tạo cảm giác thuận tiện hơn cho người dân. Tuy nhiên, việc thực hiện vẫn cần thời gian để điều chỉnh.</t>
  </si>
  <si>
    <t>Cách tính thuế đơn giản hóa từ 7 bậc xuống còn 5 bậc, dễ hiểu và dễ thực hiện hơn. Mức giảm trừ gia cảnh tăng cũng tạo cảm giác thuận tiện cho người nộp thuế.</t>
  </si>
  <si>
    <t>Nhà nước đã cải thiện quy định quản lý thuế, đặc biệt là mức giảm trừ gia cảnh tăng đáng kể, tạo cảm giác công bằng. Tuy nhiên, việc thực thi chính sách vẫn cần thời gian để kiểm chứng.</t>
  </si>
  <si>
    <t>Mức thuế mới được thiết kế dựa trên thu nhập cá nhân cụ thể, tạo cảm giác công bằng cho người nộp thuế. Tuy nhiên, việc đánh giá mức thuế hợp lý vẫn phụ thuộc vào nhiều yếu tố.</t>
  </si>
  <si>
    <t>Thuế mới được sử dụng để cải thiện các dịch vụ công như y tế và đường xá, tạo cảm giác trách nhiệm và hiệu quả trong việc sử dụng nguồn lực. Tuy nhiên, cần thời gian để đánh giá thực tế.</t>
  </si>
  <si>
    <t>Nhà nước đã giải thích các thay đổi thuế rõ ràng qua nhiều kênh thông tin, tạo cảm giác minh bạch cho người dân. Tuy nhiên, việc thuyết phục hoàn toàn vẫn cần thời gian để kiểm chứng.</t>
  </si>
  <si>
    <t>Sau khi xem xét các quyền lợi và nghĩa vụ, tôi ủng hộ chính sách mới với mức thuế hợp lý và thủ tục đơn giản. Tuy nhiên, quyết định cuối cùng phụ thuộc vào việc thực thi hiệu quả.</t>
  </si>
  <si>
    <t>Dựa trên các cải cách thuế mới, mức giảm trừ gia cảnh tăng lên đáng kể và quy trình làm việc với cơ quan thuế được đơn giản hóa, giúp phát hiện hành vi trốn thuế trở nên khó khăn hơn. Công nghệ hiện đại cũng hỗ trợ việc giám sát hiệu quả.</t>
  </si>
  <si>
    <t>Công nghệ và nguồn lực của cơ quan thuế đã được đầu tư mạnh mẽ để phát hiện và xử lý trốn thuế, tăng khả năng phát hiện đáng kể. Tuy nhiên, vẫn có một số lo ngại về việc thực thi.</t>
  </si>
  <si>
    <t>Quy trình khai báo thuế được đơn giản hóa từ trước tới nay, giảm bớt các thủ tục rườm rà và mất thời gian. Điều này giúp người nộp thuế dễ dàng hơn trong việc thực hiện nghĩa vụ của mình.</t>
  </si>
  <si>
    <t>Biểu thuế đã được đơn giản hóa từ 7 bậc xuống còn 5 bậc, làm giảm độ phức tạp và tăng tính minh bạch. Cách tính thuế mới cũng dễ hiểu hơn so với trước đây.</t>
  </si>
  <si>
    <t>Nhà nước đã cải cách nhiều quy định để đảm bảo thực thi công bằng, từ việc nâng cao mức giảm trừ gia cảnh đến đơn giản hóa biểu thuế. Tuy nhiên, vẫn có sự đa dạng về nhận thức.</t>
  </si>
  <si>
    <t>Đối với người nộp thuế thu nhập trung bình như tôi, mức thuế mới được xem là công bằng. Việc giảm trừ gia cảnh tăng lên tạo ra lợi ích đáng kể so với trước đây.</t>
  </si>
  <si>
    <t>Dự kiến số tiền thuế đóng sẽ được sử dụng hiệu quả cho mục đích công cộng, cải thiện y tế và cơ sở hạ tầng. Tuy nhiên, việc kiểm soát ngân sách và phân bổ nguồn lực còn phụ thuộc vào nhiều yếu tố khác.</t>
  </si>
  <si>
    <t>Các thông tin về lý do và mục tiêu của cải cách thuế được giải thích rõ ràng hơn so với các đợt cải cách trước. Tuy nhiên, vẫn có một số lo ngại về việc thực hiện đúng ý định ban đầu.</t>
  </si>
  <si>
    <t>Dựa trên lợi ích từ chính sách mới như giảm trừ gia cảnh và đơn giản hóa quy trình khai báo thuế, tôi sẵn sàng tuân thủ. Tuy nhiên, vẫn cần sự minh bạch hơn trong việc sử dụng nguồn thu thuế.</t>
  </si>
  <si>
    <t>Biện pháp quản lý thuế hiện nay đã được cải thiện, đặc biệt với mức giảm trừ gia cảnh cao hơn, làm giảm khả năng trốn thuế. Tuy nhiên, vẫn có nguy cơ gian lận do quy định chưa rõ ràng.</t>
  </si>
  <si>
    <t>Công nghệ hiện đại giúp phát hiện hành vi trốn thuế dễ dàng hơn, nhưng vẫn cần sự phối hợp giữa các bên liên quan để xử lý hiệu quả. Cơ sở dữ liệu cá nhân hoá có thể nâng cao khả năng phát hiện.</t>
  </si>
  <si>
    <t>Biểu thuế đơn giản hơn với ít bậc, nhưng việc nộp thuế qua mạng và các thủ tục quản lý thuế vẫn còn phức tạp. Việc giảm trừ gia cảnh cao hơn cũng làm giảm gánh nặng hành chính.</t>
  </si>
  <si>
    <t>Cách tính thuế mới đơn giản với ít bậc, dễ hiểu hơn so với trước đây. Tuy nhiên, việc áp dụng cụ thể vào thực tế có thể còn gặp khó khăn do sự thay đổi lớn trong quy định.</t>
  </si>
  <si>
    <t>Nhà nước đã cố gắng cải thiện công bằng đối xử giữa các nhóm người nộp thuế. Mức giảm trừ gia cảnh cao hơn giúp làm giảm gánh nặng cho những người thu nhập thấp.</t>
  </si>
  <si>
    <t>Mức thuế mới được thiết kế dựa trên thu nhập, nhưng vẫn cần xem xét kỹ lưỡng để đảm bảo công bằng. Tuy nhiên, mức thuế suất cao hơn cho thu nhập cao có thể gây bất bình đẳng.</t>
  </si>
  <si>
    <t>Thuế đóng góp vào ngân sách nhà nước và được sử dụng hiệu quả trong các dịch vụ công. Tuy nhiên, việc sử dụng nguồn thuế hiệu quả còn phụ thuộc vào nhiều yếu tố quản lý khác</t>
  </si>
  <si>
    <t>Quyết định cải cách thuế đã được thông báo rõ ràng và minh bạch, giúp người dân hiểu rõ hơn về mục tiêu chính sách. Tuy nhiên, việc giải thích chi tiết vẫn còn hạn chế.</t>
  </si>
  <si>
    <t>Sau khi cân nhắc các quyền lợi và nghĩa vụ, tôi thấy chính sách mới mang lại nhiều lợi ích cho người thu nhập thấp hơn so với trước đây. Tuy nhiên, việc áp dụng thực tế còn phụ thuộc vào quản lý hiệu quả.</t>
  </si>
  <si>
    <t>Chính sách mới tăng mức giảm trừ gia cảnh, đơn giản hóa biểu thuế và thay đổi bậc thuế suất, nhưng không có thông tin rõ ràng về công nghệ phát hiện trốn thuế.</t>
  </si>
  <si>
    <t>Theo thông tin được cung cấp, Nhà nước và cơ quan thuế có khả năng quản lý thuế tốt hơn, nhưng không xác định cụ thể về sự phát triển công nghệ.</t>
  </si>
  <si>
    <t>Mức giảm trừ gia cảnh tăng lên, thủ tục khai báo thuế đơn giản hóa, giảm bớt gánh nặng hành chính cho người dân.</t>
  </si>
  <si>
    <t>Biểu thuế được rút gọn từ 7 bậc thành 5 bậc, tạo ra sự đơn giản và dễ hiểu hơn trong quá trình tính thuế.</t>
  </si>
  <si>
    <t>Chính sách mới tăng mức giảm trừ gia cảnh, giảm gánh nặng thuế cho người dân, nhưng chưa biết rõ về cách thực thi công bằng của cơ quan thuế.</t>
  </si>
  <si>
    <t>Thuế suất và ngưỡng chịu thuế được điều chỉnh, phù hợp với mức thu nhập cá nhân hiện nay, thể hiện tính công bằng trong việc chia sẻ gánh nặng thuế.</t>
  </si>
  <si>
    <t>Chính sách mới tăng mức giảm trừ gia cảnh, có thể hỗ trợ cải thiện các dịch vụ công như y tế và đường xá, nhưng chưa rõ về hiệu quả thực tế trong việc sử dụng số tiền thuế.</t>
  </si>
  <si>
    <t>Thông tin giải thích về lý do và mục tiêu của việc sửa đổi thuế được cung cấp đầy đủ và minh bạch.</t>
  </si>
  <si>
    <t>Chính sách mới tăng mức giảm trừ gia cảnh, đơn giản hóa biểu thuế, tạo ra sự thuận tiện cho người dân trong khai báo thuế. Tuy nhiên, việc thực thi công bằng và hiệu quả sử dụng số tiền thuế còn cần thời gian chứng minh.</t>
  </si>
  <si>
    <t>Các quy định quản lý thuế hiện nay đã được cải thiện đáng kể, đặc biệt với việc tăng giảm trừ gia cảnh và đơn giản hóa biểu thuế. Tuy nhiên, khả năng phát hiện trốn thuế phụ thuộc vào nguồn lực của cơ quan thuế. Do đó, tôi tin rằng hành vi gian lận sẽ ít xảy ra hơn nhưng không hoàn toàn chắc chắn.</t>
  </si>
  <si>
    <t>Với công nghệ ngày càng phát triển, khả năng phát hiện và xử lý nghiêm các hành vi trốn thuế của cơ quan thuế đã tăng lên. Tuy nhiên, vẫn cần nguồn lực và quyết tâm từ phía nhà nước.</t>
  </si>
  <si>
    <t>Các quy trình khai báo thuế và làm việc với cơ quan thuế trở nên đơn giản hơn so với trước đây, do có giảm các bậc thuế và đơn giản hóa biểu thuế. Điều này giúp người dân dễ dàng thực hiện.</t>
  </si>
  <si>
    <t>Cách tính thuế mới đã được đơn giản hóa, số bậc thuế từ 7 xuống còn 5, điều này làm giảm độ phức tạp và tăng sự hiểu biết về quy định thuế. Người dân dễ dàng nắm bắt hơn.</t>
  </si>
  <si>
    <t>Nhà nước đã cải thiện các biện pháp quản lý thuế một cách công bằng thông qua việc tăng giảm trừ gia cảnh, đơn giản hóa biểu thuế. Tuy nhiên, vẫn cần thêm minh bạch về cách thực thi mới để tăng niềm tin.</t>
  </si>
  <si>
    <t>Theo phương án mới, mức thuế tôi phải đóng là hợp lý so với thu nhập của mình. Mức giảm trừ gia cảnh và các thay đổi trong biểu thuế đều hướng đến sự công bằng hơn.</t>
  </si>
  <si>
    <t>Tôi tin rằng số tiền thuế tôi đóng sẽ được sử dụng hiệu quả để cải thiện dịch vụ công, tuy nhiên cần thêm minh bạch về cách sử dụng nguồn thu thuế mới có thể tăng niềm tin.</t>
  </si>
  <si>
    <t>Nhà nước đã giải thích rõ ràng lý do và mục tiêu của việc sửa đổi thuế thông qua các kênh truyền thông. Tuy nhiên, để tăng mức độ tin tưởng cần thêm minh bạch về cách thực hiện chính sách mới.</t>
  </si>
  <si>
    <t>Sau khi xem xét lợi ích và nghĩa vụ theo chính sách mới, tôi có thể ủng hộ và tuân thủ. Việc giảm gánh nặng thuế cho người thu nhập thấp sẽ hỗ trợ đáng kể việc chấp hành pháp luật.</t>
  </si>
  <si>
    <t>Các quy định quản lý thuế hiện nay có nhiều biện pháp kiểm soát, nhưng chưa rõ liệu công nghệ sẽ phát huy tác dụng như thế nào.</t>
  </si>
  <si>
    <t>Việc áp dụng công nghệ để phát hiện trốn thuế là điều hợp lý và cần thiết, nhưng còn phụ thuộc vào thực tế triển khai.</t>
  </si>
  <si>
    <t>Mức giảm trừ gia cảnh tăng lên giúp gánh nặng thuế thấp hơn, đồng thời quy trình khai báo thuế đơn giản hóa, dễ dàng hơn.</t>
  </si>
  <si>
    <t>Biểu thuế được đơn giản hóa, các bậc thuế rõ ràng hơn, dễ dàng tiếp cận và tính toán.</t>
  </si>
  <si>
    <t>Nhà nước đã cải thiện quy định quản lý thuế để công bằng hơn đối với người nộp thuế, nhưng vẫn còn nhiều nghi ngại về thực thi.</t>
  </si>
  <si>
    <t>Mức thuế mới được thiết kế dựa trên thu nhập, phù hợp với mức tăng giảm trừ gia cảnh và bậc thuế mới.</t>
  </si>
  <si>
    <t>Thuế đóng góp vào cải thiện dịch vụ công là một mục tiêu quan trọng, nhưng hiệu quả sử dụng số tiền còn phụ thuộc vào quản lý.</t>
  </si>
  <si>
    <t>Truyền thông về chính sách mới rõ ràng hơn so với trước đây, tạo sự tin tưởng trong việc thực thi.</t>
  </si>
  <si>
    <t>Sau khi cân nhắc các quyền lợi và nghĩa vụ, tôi ủng hộ chính sách mới vì mức thuế giảm và quy trình đơn giản hóa.</t>
  </si>
  <si>
    <t>Các quy định quản lý thuế hiện nay có nhiều cải tiến, nhưng vẫn còn phức tạp. Tăng mức giảm trừ gia cảnh giúp giảm gánh nặng thuế cho người dân.</t>
  </si>
  <si>
    <t>Như đã phân tích trên, mặc dù công nghệ phát triển, việc phát hiện trốn thuế vẫn còn nhiều thách thức và phụ thuộc vào khả năng của cơ quan thuế. Công nghệ giúp tăng cường nhưng chưa đảm bảo hoàn toàn.</t>
  </si>
  <si>
    <t>Thủ tục khai báo thuế đơn giản hơn, giảm bớt các bước phức tạp trước đây. Việc này tạo thuận lợi cho người dân trong việc nộp thuế.</t>
  </si>
  <si>
    <t>Biểu thuế được đơn giản hóa từ 7 bậc xuống 5, giúp việc tính toán và hiểu rõ hơn về mức thuế phải đóng.</t>
  </si>
  <si>
    <t>Người dân tin rằng cơ quan thuế sẽ thực thi chính sách một cách công bằng, đặc biệt khi mức giảm trừ gia cảnh tăng lên.</t>
  </si>
  <si>
    <t>Mức thuế mới được thiết kế dựa trên thu nhập cá nhân, tạo cảm giác công bằng. Tuy nhiên, cần xem xét cụ thể về việc áp dụng cho từng trường hợp.</t>
  </si>
  <si>
    <t>Người dân tin rằng số tiền thuế đóng sẽ được sử dụng hiệu quả để cải thiện dịch vụ công, nhờ mức giảm trừ gia cảnh tăng lên.</t>
  </si>
  <si>
    <t>Nhà nước đã giải thích rõ ràng về mục tiêu cải cách thuế, tạo niềm tin cho người dân. Tuy nhiên, cần thêm thông tin cụ thể hơn để thuyết phục mọi người.</t>
  </si>
  <si>
    <t>Người dân ủng hộ chính sách mới vì mức giảm trừ gia cảnh tăng lên và thủ tục khai báo thuế đơn giản hơn, tạo cảm giác thuận lợi khi tuân thủ.</t>
  </si>
  <si>
    <t>Luật Thuế TNCN sửa đổi với các quy định quản lý thuế hiện tại có mức giảm trừ gia cảnh cao hơn, tạo cơ hội để phát hiện và xử lý gian lận hoặc trốn thuế.</t>
  </si>
  <si>
    <t>Công nghệ ngày càng tiên tiến, Nhà nước và cơ quan thuế có khả năng và công nghệ để giám sát và phát hiện các hành vi trốn thuế hiệu quả hơn.</t>
  </si>
  <si>
    <t>Mức giảm trừ gia cảnh cao hơn và số bậc thuế giảm từ 7 xuống còn 5 tạo nên quy trình khai báo thuế đơn giản, nhanh chóng hơn so với trước đây.</t>
  </si>
  <si>
    <t>Các bậc thuế mới rõ ràng hơn, dễ hiểu và phù hợp với thu nhập của người dân, giảm bớt sự phức tạp cho quá trình tính thuế.</t>
  </si>
  <si>
    <t>Những thay đổi trong Luật Thuế TNCN công bằng hơn đối với các đối tượng nộp thuế, tạo ra cảm giác tin tưởng và công bằng.</t>
  </si>
  <si>
    <t>Mức thuế mới được thiết kế nhằm đảm bảo tính công bằng cho người dân, phù hợp với thu nhập của họ.</t>
  </si>
  <si>
    <t>Những khoản tiền thuế đóng góp vào việc cải thiện dịch vụ công như y tế và đường xá, tạo cảm giác rằng mục tiêu của chính sách là tốt cho cộng đồng.</t>
  </si>
  <si>
    <t>Thông tin về thay đổi thuế được truyền đạt rõ ràng nhưng cần thêm giải thích về mục tiêu cụ thể để tạo niềm tin hơn</t>
  </si>
  <si>
    <t>Sau khi xem xét các quyền lợi và nghĩa vụ, tôi ủng hộ chính sách mới vì nó công bằng hơn và sẽ giúp cải thiện dịch vụ công.</t>
  </si>
  <si>
    <t>Các quy định quản lý thuế hiện nay có nhiều biện pháp phát hiện gian lận, nhưng khả năng phát hiện vẫn phụ thuộc vào sự tuân thủ của người nộp thuế. Công nghệ hiện đại giúp tăng hiệu quả trong xử lý.</t>
  </si>
  <si>
    <t>Công nghệ ngày càng phát triển mạnh mẽ, tạo điều kiện cho việc phát hiện và xử lý trốn thuế một cách nhanh chóng và chính xác hơn. Tuy nhiên, vẫn cần sự giám sát chặt chẽ từ phía cơ quan thuế.</t>
  </si>
  <si>
    <t>Mức giảm trừ gia cảnh tăng cao giúp đơn giản hóa thủ tục khai báo và làm việc với cơ quan thuế trở nên thuận tiện hơn. Tuy nhiên, số bậc thuế vẫn còn nhiều, chưa tối ưu.</t>
  </si>
  <si>
    <t>Biểu thuế được đơn giản hóa từ 7 bậc xuống 5 bậc giúp tính toán và nộp thuế trở nên dễ dàng hơn. Mức thuế mới cũng phù hợp với thu nhập trung bình của tôi.</t>
  </si>
  <si>
    <t>Nhà nước đã cải thiện quy định quản lý thuế, tạo ra sự công bằng cho người nộp thuế. Tuy nhiên, vẫn cần thêm minh bạch trong quá trình thực thi.</t>
  </si>
  <si>
    <t>Mức thuế mới được thiết kế phù hợp với thu nhập của tôi, tạo cảm giác công bằng. Đây là một bước tiến tích cực so với trước đây</t>
  </si>
  <si>
    <t>Nguy cơ gian lận thuế giảm nhờ mức giảm trừ gia cảnh và biểu thuế đơn giản hơn. Tuy nhiên, hiệu quả sử dụng số tiền thuế vẫn cần thêm minh bạch.</t>
  </si>
  <si>
    <t>Nhà nước đã giải thích rõ ràng về cải cách thuế lần này, tạo cảm giác tin tưởng và công bằng cho tôi. Tuy nhiên, còn nhiều thông tin cần bổ sung để tăng độ thuyết phục</t>
  </si>
  <si>
    <t>Sau khi cân nhắc các quyền lợi và nghĩa vụ, chính sách mới mang lại nhiều lợi ích cho người dân. Tôi sẽ ủng hộ và tuân thủ.</t>
  </si>
  <si>
    <t>Tăng mức giảm trừ gia cảnh và đơn giản hóa biểu thuế có thể làm giảm cơ hội trốn thuế, nhưng vẫn cần công nghệ phát hiện.</t>
  </si>
  <si>
    <t>Nhà nước có khả năng phát triển công nghệ để phát hiện gian lận, tuy nhiên hiệu quả phụ thuộc vào nguồn lực và thực thi.</t>
  </si>
  <si>
    <t>Mức giảm trừ gia cảnh cao hơn và biểu thuế đơn giản hơn tạo thuận lợi trong khai báo thuế.</t>
  </si>
  <si>
    <t>Biểu thuế đơn giản từ 7 bậc thành 5 bậc giúp dễ hiểu và thực hiện hơn so với trước đây.</t>
  </si>
  <si>
    <t>Tăng mức giảm trừ gia cảnh và điều chỉnh biểu thuế có thể tạo cảm giác công bằng, nhưng vẫn cần sự minh bạch trong thực thi.</t>
  </si>
  <si>
    <t>Mức thuế mới được tính dựa trên thu nhập, người với cùng mức thu nhập đóng mức thuế tương tự như nhau nên thấy công bằng.</t>
  </si>
  <si>
    <t>Tăng mức giảm trừ gia cảnh và điều chỉnh biểu thuế tạo niềm tin vào việc sử dụng tiền thuế hiệu quả cho dịch vụ công, nhưng cần minh bạch trong thực hiện.</t>
  </si>
  <si>
    <t>Giải thích về lý do và mục tiêu của chính sách mới chưa đầy đủ, nhưng đã có cải thiện so với trước đây.</t>
  </si>
  <si>
    <t>Mức giảm trừ gia cảnh cao hơn và biểu thuế đơn giản tạo thuận lợi cho việc tuân thủ, tuy nhiên vẫn cần sự minh bạch trong thực thi.</t>
  </si>
  <si>
    <t>Theo thông tin, các quy định quản lý thuế hiện nay có nhiều cải tiến và công nghệ phát triển, giúp phát hiện gian lận dễ dàng hơn. Tuy nhiên, vẫn còn nghi ngại về khả năng thực thi.</t>
  </si>
  <si>
    <t>Công nghệ ngày càng tiên tiến, giúp nhà nước và cơ quan thuế có thể theo dõi và phát hiện trốn thuế nhanh chóng. Tuy nhiên, vẫn cần nhiều cải thiện.</t>
  </si>
  <si>
    <t>Simplification of tax declaration procedures and interaction with tax authorities makes it easier to handle taxes compared to before. However, some bureaucratic processes still exist.</t>
  </si>
  <si>
    <t>The new tax calculation method is simpler and more understandable than the previous one. The reduction in tax brackets makes it clearer for taxpayers to understand their obligations.</t>
  </si>
  <si>
    <t>There's a belief that the government will implement the new policy fairly, but some doubts remain due to past experiences with tax policies.</t>
  </si>
  <si>
    <t>The new tax rates seem fair given my income level. However, there are concerns about the long-term sustainability of these rates and their impact on public services.</t>
  </si>
  <si>
    <t>I believe that the taxes I pay will be used effectively for public services, but this trust is based on past experiences which can be uncertain.</t>
  </si>
  <si>
    <t>The government has provided clear explanations about the reasons and goals of the tax reform. However, more transparency could further increase my confidence.</t>
  </si>
  <si>
    <t>Despite some doubts, I support the new policy because it seems fairer based on my income level and offers a simpler tax system. Will follow if benefits are realized in practice.</t>
  </si>
  <si>
    <t>Biểu thuế đơn giản hơn và các mức giảm trừ gia cảnh cao hơn có thể giảm thiểu hành vi gian lận, nhưng vẫn cần công nghệ phát hiện trốn thuế.</t>
  </si>
  <si>
    <t>Công nghệ ngày càng tiên tiến giúp kiểm soát tốt hơn, nhưng vẫn còn sự phụ thuộc vào quản lý và quy định của Nhà nước.</t>
  </si>
  <si>
    <t>Biểu thuế đơn giản hơn nhưng mức thuế suất cao hơn ở các bậc sau có thể làm tăng độ phức tạp so với trước đây.</t>
  </si>
  <si>
    <t>Cách tính thuế mới đơn giản hóa quy trình, giúp giảm bớt khó khăn cho người nộp thuế.</t>
  </si>
  <si>
    <t>Giảm trừ gia cảnh tăng cao hơn có thể làm giảm gánh nặng thuế đối với nhiều người, tạo sự công bằng trong việc áp dụng thuế.</t>
  </si>
  <si>
    <t>Biểu thuế mới đơn giản nhưng mức thuế suất cao ở các bậc sau có thể gây nghi ngờ về tính công bằng.</t>
  </si>
  <si>
    <t>Giảm trừ gia cảnh tăng cao hơn giúp cải thiện dịch vụ công, tạo niềm tin vào việc sử dụng hiệu quả nguồn thu thuế.</t>
  </si>
  <si>
    <t>Thông điệp về việc sửa đổi thuế được truyền tải rõ ràng nhưng vẫn có sự nghi ngờ từ người dân về mục tiêu chính sách.</t>
  </si>
  <si>
    <t>Niềm tin và cảm giác công bằng tăng lên do giảm trừ gia cảnh cao hơn, nhưng gánh nặng thuế đối với thu nhập cao cũng gây ra sự phản đối.</t>
  </si>
  <si>
    <t>Biện pháp quản lý thuế mới sẽ tăng cường khả năng phát hiện trốn thuế, giảm nguy cơ gian lận.</t>
  </si>
  <si>
    <t>Công nghệ phát triển giúp cải thiện hiệu quả trong việc phát hiện và xử lý hành vi trốn thuế.</t>
  </si>
  <si>
    <t>Mức giảm trừ gia cảnh cao hơn, cùng với đơn giản hóa quy trình khai báo tạo điều kiện thuận lợi cho người nộp thuế.</t>
  </si>
  <si>
    <t>Biểu thuế mới có ít bậc hơn và mức thuế suất rõ ràng hơn, dễ hiểu hơn so với trước đây.</t>
  </si>
  <si>
    <t>Nhà nước đã tăng giảm trừ gia cảnh, thể hiện sự công bằng trong việc phân bổ gánh nặng thuế.</t>
  </si>
  <si>
    <t>Mức thuế mới có tính chất tương đối công bằng với thu nhập của tôi, phù hợp với mức sống hiện tại.</t>
  </si>
  <si>
    <t>Tiền thuế đóng góp vào các dịch vụ công như y tế và giao thông, giúp cải thiện cuộc sống chung.</t>
  </si>
  <si>
    <t>Nhà nước đã giải thích rõ ràng về mục tiêu của việc thay đổi thuế, nhưng vẫn có phần phức tạp đối với người dân không chuyên về thuế.</t>
  </si>
  <si>
    <t>Chính sách mới tăng mức giảm trừ gia cảnh và đơn giản hóa quy trình khai báo, tạo điều kiện cho tôi tuân thủ.</t>
  </si>
  <si>
    <t>Hiện nay, mức giảm trừ gia cảnh tăng đáng kể và có các quy định quản lý thuế mới. Tuy nhiên, vẫn chưa rõ liệu công nghệ phát hiện trốn thuế có đủ mạnh mẽ như lời cam kết.</t>
  </si>
  <si>
    <t>Công nghệ ngày nay đã phát triển, nhưng việc thực thi cần sự phối hợp giữa nhiều cơ quan và nguồn lực. Cần xem xét kỹ khả năng của các cơ quan thuế.</t>
  </si>
  <si>
    <t>Mức giảm trừ gia cảnh tăng đáng kể giúp đơn giản hóa quy trình khai báo. Tuy nhiên, quy trình làm việc với cơ quan thuế vẫn có thể còn phức tạp.</t>
  </si>
  <si>
    <t>Biểu thuế được đơn giản hóa từ 7 bậc xuống còn 5 bậc, giúp tính toán dễ dàng hơn và giảm rủi ro cho người nộp thuế.</t>
  </si>
  <si>
    <t>Giảm trừ gia cảnh tăng đáng kể, tạo cảm giác công bằng khi so sánh với thu nhập tương tự. Cơ quan thuế có cam kết thực thi công bằng.</t>
  </si>
  <si>
    <t>Thuế mới được thiết kế để cân đối giữa người nộp thuế và Nhà nước. Tuy nhiên, mức thuế cụ thể cần xem xét kỹ.</t>
  </si>
  <si>
    <t>Giảm trừ gia cảnh tăng đáng kể, tạo cảm giác số tiền đóng góp vào dịch vụ công sẽ được sử dụng hiệu quả. Tuy nhiên, cần thời gian để kiểm chứng.</t>
  </si>
  <si>
    <t>Thông tin về chính sách mới chưa đầy đủ và rõ ràng như mong đợi. Cần thêm thông tin minh bạch hơn từ Nhà nước.</t>
  </si>
  <si>
    <t>Mức giảm trừ gia cảnh tăng đáng kể, tạo cảm giác công bằng và ủng hộ chính sách. Tuy nhiên, cần thời gian để đánh giá hiệu quả thực tế của chính sách mới.</t>
  </si>
  <si>
    <t>Theo thông tin cải cách, mức giảm trừ gia cảnh đã tăng lên, tạo thêm lợi ích tài chính cho người nộp thuế. Ngoài ra, việc đơn giản hóa biểu thuế cũng giúp phát hiện gian lận dễ dàng hơn.</t>
  </si>
  <si>
    <t>Việc cải cách thuế thu nhập cá nhân tập trung vào việc tăng giảm trừ gia cảnh và đơn giản hóa biểu thuế, cho thấy Nhà nước đã đầu tư công nghệ để phát hiện gian lận. Công nghệ AI cũng được sử dụng trong quản lý thuế.</t>
  </si>
  <si>
    <t>Mức giảm trừ gia cảnh tăng lên, tạo thêm lợi ích tài chính cho người nộp thuế và giảm bớt gánh nặng khai báo. Việc đơn giản hóa biểu thuế cũng giúp thủ tục khai báo trở nên dễ dàng hơn.</t>
  </si>
  <si>
    <t>Biểu thuế mới có ít bậc hơn, giúp việc tính toán thu nhập và áp dụng thuế suất trở nên rõ ràng hơn. Điều này làm giảm rủi ro cho người nộp thuế và tăng sự hiểu biết về quy trình.</t>
  </si>
  <si>
    <t>Mức thu nhập chịu thuế thấp có thể khiến người thu nhập thấp cảm thấy công bằng, nhưng người thu nhập cao có thể cảm thấy không công bằng. Tuy nhiên, mức giảm trừ gia cảnh tăng lên tạo thêm lợi ích cho đa số người nộp thuế.</t>
  </si>
  <si>
    <t>Sau khi xem xét các quyền lợi và nghĩa vụ, người nộp thuế cảm thấy hài lòng với chính sách mới. Mức giảm trừ gia cảnh tăng lên tạo thêm lợi ích tài chính cho đa số người nộp thuế.</t>
  </si>
  <si>
    <t>Chính phủ đã tăng mức giảm trừ gia cảnh, đơn giản hóa biểu thuế và thay đổi các bậc thuế suất, giúp phát hiện trốn thuế dễ dàng hơn. Công nghệ hiện đại cũng hỗ trợ việc này.</t>
  </si>
  <si>
    <t>Công nghệ hiện đại như AI, Big Data đã được áp dụng trong quản lý và giám sát thuế, từ chối khả năng phát hiện trốn thuế hiệu quả. Cơ quan thuế cũng có nhiều nguồn lực hơn để thực thi.</t>
  </si>
  <si>
    <t>Biểu thuế đơn giản hơn với ít bậc thuế, giảm bớt rắc rối và thời gian cho người dân khai báo thuế. Quy trình làm việc với cơ quan thuế cũng được cải thiện.</t>
  </si>
  <si>
    <t>Cách tính thuế mới đơn giản hơn, giúp người dân dễ dàng áp dụng và hiểu rõ hơn về mức thuế phải đóng theo từng mức thu nhập. Bậc thuế giảm từ 7 xuống còn 5 bậc.</t>
  </si>
  <si>
    <t>Nhà nước đã cải cách chính sách thuế một cách công bằng, tăng mức giảm trừ gia cảnh và đơn giản hóa biểu thuế, tạo ra sự tin tưởng trong cộng đồng. Tuy nhiên, vẫn còn những lo ngại về khả năng thực thi.</t>
  </si>
  <si>
    <t>Mức thuế mới được thiết kế công bằng đối với thu nhập cá nhân, tăng mức giảm trừ gia cảnh giúp gánh nặng thuế không quá lớn. Tuy nhiên, vẫn có sự bất đồng về tính công bằng.</t>
  </si>
  <si>
    <t>Thuế đóng góp vào các dịch vụ công quan trọng như y tế và hạ tầng, mức thuế mới được thiết kế để sử dụng hiệu quả hơn. Tuy nhiên, vẫn còn lo ngại về việc thực thi.</t>
  </si>
  <si>
    <t>Các thông tin giải thích về chính sách mới đã được cung cấp nhưng chưa đầy đủ và rõ ràng như mong đợi, đặc biệt là đối với những người không thường xuyên theo dõi các chính sách thuế. Tuy nhiên, mức giảm trừ gia cảnh tăng lên tạo ra sự công bằng.</t>
  </si>
  <si>
    <t>Sau khi cân nhắc lợi ích từ việc giảm bớt gánh nặng thuế và cải cách biểu thuế, cộng với niềm tin vào khả năng thực thi của cơ quan thuế, tôi sẽ ủng hộ chính sách mới. Tuy nhiên, vẫn có một số lo ngại về khả năng thực thi.</t>
  </si>
  <si>
    <t>Biện pháp quản lý thuế hiện nay dường như đã được cải thiện, đặc biệt là với mức giảm trừ gia cảnh tăng lên. Điều này giảm gánh nặng về mặt tài chính và có thể hạn chế hành vi trốn thuế.</t>
  </si>
  <si>
    <t>Với việc áp dụng công nghệ hiện đại như AI, Big Data, Nhà nước sẽ có khả năng phát hiện trốn thuế nhanh chóng. Tuy nhiên, hiệu quả thực tế phụ thuộc vào nguồn lực và triển khai.</t>
  </si>
  <si>
    <t>Biểu thuế đơn giản hơn với ít bậc, cùng mức giảm trừ gia cảnh tăng lên tạo cảm giác thủ tục làm việc với cơ quan thuế thuận lợi hơn so với trước đây.</t>
  </si>
  <si>
    <t>Cách tính và cấu trúc của phương án mới đơn giản, dễ hiểu. Tuy nhiên, việc áp dụng thực tế có thể còn phụ thuộc vào khả năng hiểu biết của người dân về thuế.</t>
  </si>
  <si>
    <t>Nhà nước đã tăng cường giảm trừ gia cảnh và đơn giản hóa biểu thuế nên tôi tin rằng cách đối xử công bằng với mọi người nộp thuế sẽ cải thiện. Tuy nhiên, sự thực thi chính sách còn phụ thuộc vào việc triển khai.</t>
  </si>
  <si>
    <t>Mức thuế mới được thiết kế nhằm đảm bảo tính công bằng cho người thu nhập trung bình như tôi. Tuy nhiên, mức độ hài lòng có thể thay đổi tùy theo tình hình tài chính cụ thể.</t>
  </si>
  <si>
    <t>Tăng cường giảm trừ gia cảnh và đơn giản hóa thuế suất tạo cảm giác tin tưởng vào việc sử dụng hiệu quả số tiền đã đóng. Tuy nhiên, hiệu quả thực tế còn phụ thuộc vào quản lý ngân sách.</t>
  </si>
  <si>
    <t>Nhà nước đã giải thích rõ ràng về mục đích cải cách thuế và mức giảm trừ gia cảnh mới nhưng vẫn có một số scepticism. Tuy nhiên, tôi tin rằng thông điệp chính xác sẽ dần được nhận diện.</t>
  </si>
  <si>
    <t>Sau khi xem xét lợi ích về mặt tài chính và sự đơn giản hóa thuế, tôi sẵn sàng tuân thủ chính sách mới. Tuy nhiên, quyết định cuối cùng phụ thuộc vào việc thực thi hiệu quả.</t>
  </si>
  <si>
    <t>Tăng mức giảm trừ gia cảnh và đơn giản hóa biểu thuế có thể làm giảm gian lận, nhưng các quy định quản lý vẫn cần cải tiến để phát hiện trốn thuế.</t>
  </si>
  <si>
    <t>Công nghệ hiện đại như AI, dữ liệu lớn giúp tăng khả năng phát hiện hành vi trốn thuế, nhưng thực tế vẫn cần thời gian để áp dụng rộng rãi.</t>
  </si>
  <si>
    <t>Biểu thuế đơn giản hơn và mức giảm trừ gia cảnh cao hơn làm thủ tục khai báo thuận tiện hơn cho người dân.</t>
  </si>
  <si>
    <t>Cách tính thuế mới rõ ràng, dễ hiểu và số bậc thuế ít đi giúp việc áp dụng đơn giản hóa.</t>
  </si>
  <si>
    <t>Nhà nước đã cải thiện giảm trừ gia cảnh, tạo ra sự công bằng trong việc phân phối gánh nặng thuế.</t>
  </si>
  <si>
    <t>Mức thuế mới được thiết kế dựa trên thu nhập cá nhân, nhưng vẫn có người nghi ngờ về tính công bằng của hệ thống.</t>
  </si>
  <si>
    <t>Giảm trừ gia cảnh tăng lên và số bậc thuế giảm đi tạo niềm tin vào việc sử dụng hiệu quả nguồn lực thuế để cải thiện dịch vụ công.</t>
  </si>
  <si>
    <t>Thông tin về cải cách được truyền tải qua nhiều kênh nhưng vẫn còn thiếu thuyết phục đối với một bộ phận người dân.</t>
  </si>
  <si>
    <t>Sau khi cân nhắc, quyết định tuân thủ dựa trên lợi ích và sự công bằng trong hệ thống thuế mới.</t>
  </si>
  <si>
    <t>Trong bối cảnh hiện nay, các quy định quản lý thuế được cải cách với nhiều biện pháp mạnh tay nhằm phát hiện và xử lý trốn thuế. Tuy nhiên, mức độ thực thi vẫn phụ thuộc vào nguồn lực và công nghệ của cơ quan thuế.</t>
  </si>
  <si>
    <t>Công nghệ ngày càng phát triển giúp việc phát hiện gian lận trở nên dễ dàng hơn. Việc áp dụng các biện pháp như AI trong quản lý thuế cũng tăng cường khả năng phát hiện trốn thuế.</t>
  </si>
  <si>
    <t>Biểu thuế đơn giản hóa và nâng mức giảm trừ gia cảnh giúp quá trình khai báo thuế trở nên dễ dàng hơn, nhanh chóng và tiện lợi hơn cho người nộp thuế.</t>
  </si>
  <si>
    <t>Cách tính thuế mới có ít bậc hơn so với trước đây, làm giảm độ phức tạp và tăng sự hiểu rõ đối với người dân về cách đóng thuế của mình.</t>
  </si>
  <si>
    <t>Nhà nước đã cải thiện quy định quản lý thuế một cách công bằng cho mọi người nộp thuế. Tuy nhiên, mức độ tin tưởng phụ thuộc vào thực thi và minh bạch trong quá trình quản lý.</t>
  </si>
  <si>
    <t>Mức thuế mới được thiết kế nhằm đảm bảo công bằng, nhưng cần xem xét thêm về hiệu quả sử dụng nguồn thu để đánh giá mức độ công bằng thực sự.</t>
  </si>
  <si>
    <t>Thuế tôi đóng sẽ được sử dụng hiệu quả cho các dịch vụ công, nhưng cần có minh bạch hơn trong việc sử dụng nguồn thu thuế để tăng niềm tin.</t>
  </si>
  <si>
    <t>Nhà nước đã giải thích rõ ràng về mục tiêu cải cách thuế mới. Tuy nhiên, mức độ thuyết phục phụ thuộc vào hiệu quả thực tế của chính sách sau khi áp dụng.</t>
  </si>
  <si>
    <t>Sau khi cân nhắc cả lợi ích và nghĩa vụ, tôi có sự ủng hộ nhất định đối với chính sách mới. Tuy nhiên, quyết định tuân thủ phụ thuộc vào thực thi và hiệu quả của chính sách.</t>
  </si>
  <si>
    <t>Những quy định quản lý thuế hiện nay được cải thiện, đặc biệt là mức giảm trừ gia cảnh tăng lên. Điều này giúp phát hiện hành vi gian lận dễ dàng hơn.</t>
  </si>
  <si>
    <t>Công nghệ ngày càng tiên tiến và các cơ quan thuế có nhiều phương pháp để phát hiện trốn thuế, từ đó nâng cao khả năng quản lý.</t>
  </si>
  <si>
    <t>Mức giảm trừ gia cảnh lớn hơn giúp việc khai báo thuế đơn giản hơn. Bậc thuế ít hơn cũng tạo cảm giác thuận tiện cho người nộp thuế.</t>
  </si>
  <si>
    <t>Biểu thuế được đơn giản hóa, dễ hiểu và thực hiện nhanh chóng hơn so với trước đây.</t>
  </si>
  <si>
    <t>Nhà nước đã cải thiện quy định quản lý thuế một cách công bằng, giảm gánh nặng cho người dân. Điều này tạo niềm tin đối với cơ quan thuế.</t>
  </si>
  <si>
    <t>Mức thuế mới được thiết kế phù hợp với thu nhập cá nhân hiện nay, tạo cảm giác công bằng cho người nộp thuế.</t>
  </si>
  <si>
    <t>Thuế đóng góp vào ngân sách nhà nước giúp cải thiện các dịch vụ công. Tuy nhiên, cần thêm thông tin về hiệu quả sử dụng nguồn lực.</t>
  </si>
  <si>
    <t>Chính sách mới giúp giảm gánh nặng thuế cho người dân, đồng thời cải thiện quy định quản lý. Tuy nhiên, cần thêm thời gian để thấy kết quả.</t>
  </si>
  <si>
    <t>Các quy định quản lý thuế hiện nay đã được cải thiện, đặc biệt là với công nghệ phát hiện trốn thuế. Tuy nhiên, vẫn có những lỗ hổng mà người nộp thuế khéo léo có thể lợi dụng.</t>
  </si>
  <si>
    <t>Nhà nước đã đầu tư vào công nghệ để cải thiện khả năng phát hiện trốn thuế. Tuy nhiên, vẫn cần nhiều cải tiến hơn nữa để đảm bảo mọi trường hợp đều bị phát hiện.</t>
  </si>
  <si>
    <t>Bản thân được giảm trừ gia cảnh cao hơn trước và mức thuế suất có thể thấp hơn ở các bậc đầu. Các quy trình khai báo thuế đơn giản hơn, nhưng vẫn cần thời gian để quen thuộc.</t>
  </si>
  <si>
    <t>Biểu thuế được đơn giản hóa từ 7 bậc xuống còn 5 bậc, làm cho việc tính toán và hiểu rõ thuế trở nên dễ dàng hơn. Đây là một cải tiến đáng kể.</t>
  </si>
  <si>
    <t>Nhà nước đã cải thiện quy định quản lý thuế để công bằng hơn với người nộp thuế. Việc giảm trừ gia cảnh cao hơn trước và mức thuế suất thấp hơn ở các bậc đầu tạo cảm giác công bằng.</t>
  </si>
  <si>
    <t>Mức thuế mới theo phương án cải cách có thể phù hợp với thu nhập của tôi, tạo cảm giác công bằng. Tuy nhiên, vẫn cần thời gian để quen thuộc và đánh giá chính xác.</t>
  </si>
  <si>
    <t>Thuế tôi đóng sẽ được sử dụng hiệu quả hơn cho các dịch vụ công như y tế và đường xá. Điều này tạo cảm giác tin tưởng vào việc đầu tư của Nhà nước vào các lĩnh vực quan trọng.</t>
  </si>
  <si>
    <t>Nhà nước đã giải thích rõ ràng về mục tiêu cải cách thuế, nhưng vẫn cần nhiều thông tin hơn để tôi có thể đánh giá chính xác về hiệu quả của việc cải cách.</t>
  </si>
  <si>
    <t>Sau khi xem xét các quyền lợi và nghĩa vụ, tôi thấy rằng chính sách mới là công bằng và sẽ tuân thủ. Tuy nhiên, vẫn cần thời gian để quen thuộc với quy trình khai báo thuế mới.</t>
  </si>
  <si>
    <t>Biểu thuế đơn giản hơn và mức giảm trừ gia cảnh tăng, nhưng không chắc chắn về khả năng phát hiện trốn thuế.</t>
  </si>
  <si>
    <t>Công nghệ hiện đại có thể hỗ trợ phát hiện trốn thuế hiệu quả, nhưng cần sự cam kết từ Nhà nước.</t>
  </si>
  <si>
    <t>Mức giảm trừ gia cảnh tăng và biểu thuế đơn giản hơn, làm thủ tục khai báo dễ dàng hơn.</t>
  </si>
  <si>
    <t>Cách tính thuế đơn giản hóa từ 7 bậc xuống còn 5 bậc, phù hợp với người bình thường.</t>
  </si>
  <si>
    <t>Nhìn chung, mức giảm trừ gia cảnh và biểu thuế đơn giản hơn làm tăng niềm tin vào sự công bằng của chính sách.</t>
  </si>
  <si>
    <t>Mức thuế mới có vẻ hợp lý dựa trên thu nhập hiện tại nhưng chưa đủ thông tin để đánh giá sâu.</t>
  </si>
  <si>
    <t>Niềm tin vào việc sử dụng tiền thuế hiệu quả vào các dịch vụ công vẫn còn yếu do kinh nghiệm trước đây.</t>
  </si>
  <si>
    <t>Thông tin về mục tiêu của chính sách mới chưa rõ ràng nhưng có cải thiện so với trước đây.</t>
  </si>
  <si>
    <t>Niềm tin và cảm giác công bằng từ các thay đổi thuế làm tăng khả năng tuân thủ, nhưng vẫn cần thời gian để quen thuộc.</t>
  </si>
  <si>
    <t>Chính sách mới với mức giảm trừ gia cảnh tăng lên có thể làm giảm khả năng trốn thuế, tuy nhiên, công nghệ phát hiện vẫn còn hạn chế. Điều này khiến tôi nghi ngờ về khả năng phát hiện và xử lý nghiêm các hành vi gian lận.</t>
  </si>
  <si>
    <t>Công nghệ ngày càng phát triển nhưng sự phối hợp giữa các cơ quan quản lý thuế còn hạn chế. Công khai thông tin cũng chưa đầy đủ, nên khả năng xử lý nghiêm trốn thuế vẫn còn nhiều rủi ro.</t>
  </si>
  <si>
    <t>Mức giảm trừ gia cảnh tăng lên và đơn giản hóa biểu thuế có thể làm thủ tục khai báo thuận lợi hơn. Tuy nhiên, quy trình làm việc với cơ quan thuế vẫn còn phức tạp và mất thời gian.</t>
  </si>
  <si>
    <t>Biểu thuế mới đơn giản hơn nhưng các bậc thuế suất vẫn phức tạp, gây khó hiểu cho người dân. Cách tính thuế cần minh bạch hơn để người nộp thuế dễ dàng nắm bắt.</t>
  </si>
  <si>
    <t>Nhà nước đã tăng mức giảm trừ gia cảnh và đơn giản hóa biểu thuế, tạo ra sự công bằng giữa các đối tượng nộp thuế. Tuy nhiên, việc thực thi chính sách vẫn còn nhiều bất cập.</t>
  </si>
  <si>
    <t>Mức thuế mới được thiết kế dựa trên thu nhập và giảm trừ gia cảnh có thể hợp lý với tôi. Tuy nhiên, tôi vẫn lo ngại về khả năng thực thi chính sách công bằng.</t>
  </si>
  <si>
    <t>Nhà nước đã sử dụng số tiền thuế để cải thiện các dịch vụ công như y tế và giao thông, tạo niềm tin cho người nộp thuế. Tuy nhiên, hiệu quả thực hiện vẫn chưa hoàn hảo.</t>
  </si>
  <si>
    <t>Nhà nước đã giải thích về mục tiêu của chính sách mới nhưng thông điệp vẫn còn hạn chế, đặc biệt là đối với nhóm tuổi cao. Điều này khiến tôi nghi ngờ về sự minh bạch.</t>
  </si>
  <si>
    <t>Chính sách mới mang lại lợi ích tài chính và đơn giản hóa quy trình nộp thuế, nhưng vẫn còn nhiều rủi ro và bất ổn. Tôi sẽ tuân thủ nếu Nhà nước tăng cường thực thi chính sách hiệu quả.</t>
  </si>
  <si>
    <t>Chính phủ đã tăng giảm trừ gia cảnh và đơn giản hóa biểu thuế, giảm gánh nặng cho người dân. Điều này làm tăng niềm tin vào tính công bằng của hệ thống thuế.</t>
  </si>
  <si>
    <t>Công nghệ hiện đại ngày nay giúp cơ quan thuế dễ dàng phát hiện và xử lý các hành vi trốn thuế, đặc biệt là với mức giảm trừ gia cảnh mới.</t>
  </si>
  <si>
    <t>Mức tăng giảm trừ gia cảnh và đơn giản hóa biểu thuế làm cho quá trình khai báo thuế dễ dàng hơn. Tuy nhiên, có thể quy định quản lý thuế hiện tại chưa hoàn thiện.</t>
  </si>
  <si>
    <t>Biểu thuế mới với ít bậc thuế hơn rõ ràng và dễ hiểu hơn so với trước đây, giúp người dân tính toán nhanh chóng.</t>
  </si>
  <si>
    <t>Người dân cảm thấy công bằng khi mức giảm trừ gia cảnh tăng lên, đồng thời cơ chế thuế mới đơn giản hóa quy trình nộp thuế.</t>
  </si>
  <si>
    <t>Mức thuế mới có thể phù hợp với thu nhập của tôi, tuy nhiên, cần xem xét các yếu tố khác như mức sống và chi phí để đánh giá công bằng một cách toàn diện.</t>
  </si>
  <si>
    <t>Niềm tin vào việc sử dụng hiệu quả số tiền thuế đóng là quan trọng. Tuy nhiên, cần xem xét kết quả thực tế của chính sách mới trong tương lai.</t>
  </si>
  <si>
    <t>Nhà nước đã giải thích rõ ràng về mục tiêu cải cách thuế và mức giảm trừ gia cảnh mới, tuy nhiên, sự minh bạch đầy đủ về quy định quản lý thuế vẫn còn cần được cải thiện.</t>
  </si>
  <si>
    <t>Tôi ủng hộ chính sách mới vì mức giảm trừ gia cảnh tăng lên và quy trình khai báo thuế đơn giản hơn. Tuy nhiên, quyết định cuối cùng dựa trên đánh giá tổng thể về lợi ích và nghĩa vụ.</t>
  </si>
  <si>
    <t>Dù mức thuế có tăng nhẹ, nhưng với các quy định quản lý thuế hiện đại và công nghệ phát triển, khả năng phát hiện gian lận hay trốn thuế cao hơn. Đây là một biện pháp hiệu quả để đảm bảo công bằng.</t>
  </si>
  <si>
    <t>Công nghệ ngày càng tiên tiến, giúp Nhà nước và cơ quan thuế có khả năng phát hiện và xử lý nghiêm các hành vi trốn thuế. Đây là một biện pháp nhằm bảo vệ quyền lợi chung của người dân.</t>
  </si>
  <si>
    <t>Bậc thuế được đơn giản hóa từ 7 xuống 5, giảm đi sự phức tạp và dễ dàng cho người nộp thuế khi khai báo. Điều này làm tăng độ tiện lợi trong quy trình làm việc với cơ quan thuế.</t>
  </si>
  <si>
    <t>Cách tính thuế và bậc thuế mới đơn giản hơn so với trước đây, giúp người dân dễ dàng nắm bắt và thực hiện. Điều này làm tăng cảm giác thuận tiện trong việc tuân thủ chính sách.</t>
  </si>
  <si>
    <t>Nhà nước đã cải cách để đảm bảo tính công bằng khi áp dụng mức thuế cho từng nhóm thu nhập, từ đó tạo ra niềm tin rằng hệ thống thuế mới sẽ thực hiện công bằng với mọi người nộp thuế.</t>
  </si>
  <si>
    <t>Mức thuế mới được thiết kế dựa trên khả năng chi trả của từng nhóm thu nhập, cho thấy tính công bằng trong việc xác định mức thuế. Điều này làm tăng niềm tin về sự công bằng trong hệ thống thuế.</t>
  </si>
  <si>
    <t>Giảm trừ gia cảnh được nâng cao, giúp người dân đỡ gánh nặng tài chính và cải thiện chất lượng cuộc sống. Điều này làm tăng cảm giác rằng số tiền thuế đóng sẽ được sử dụng hiệu quả.</t>
  </si>
  <si>
    <t>Nhà nước đã công bố rõ ràng về mục tiêu của việc cải cách thuế, giúp người dân hiểu và tin tưởng vào quyết định của chính phủ. Điều này làm tăng niềm tin rằng thông tin minh bạch trong quá trình thực thi.</t>
  </si>
  <si>
    <t>Sau khi xem xét các quyền lợi từ việc giảm trừ gia cảnh và đơn giản hóa quy trình, cùng với sự công bằng của hệ thống thuế mới, tôi thấy chính sách mới có nhiều ưu điểm nên sẽ ủng hộ và tuân thủ.</t>
  </si>
  <si>
    <t>Các quy định quản lý thuế hiện nay tăng mức giảm trừ gia cảnh, giúp phát hiện và xử lý trốn thuế dễ dàng hơn. Công nghệ cũng đã được cải tiến.</t>
  </si>
  <si>
    <t>Nhà nước có nhiều nguồn lực và công nghệ tiên tiến để phát hiện và xử lý nghiêm các hành vi trốn thuế.</t>
  </si>
  <si>
    <t>Mức giảm trừ gia cảnh tăng, quy trình khai báo đơn giản hơn, tiết kiệm thời gian cho người dân.</t>
  </si>
  <si>
    <t>Biểu thuế được rút gọn, dễ hiểu và thực hiện thuận tiện hơn so với trước đây.</t>
  </si>
  <si>
    <t>Nhà nước tăng cường quản lý thuế, giảm rủi ro trốn thuế, tạo sự công bằng trong việc áp dụng chính sách cho mọi người dân.</t>
  </si>
  <si>
    <t>Mức thuế mới được thiết kế để phù hợp với thu nhập trung bình của tôi, thể hiện tính công bằng.</t>
  </si>
  <si>
    <t>Thuế đóng góp vào ngân sách quốc gia, giúp cải thiện dịch vụ công như y tế và giao thông. Niềm tin tăng do mức giảm trừ gia cảnh cao hơn.</t>
  </si>
  <si>
    <t>Nhà nước đã giải thích rõ ràng về mục tiêu của chính sách mới, tạo sự minh bạch và thuyết phục.</t>
  </si>
  <si>
    <t>Tăng cường quản lý thuế, mức giảm trừ gia cảnh cao hơn cùng với các quy định đơn giản giúp tôi ủng hộ và tuân thủ chính sách.</t>
  </si>
  <si>
    <t>Theo thông tin cải cách, các quy định quản lý thuế hiện nay đã được tăng cường. Tuy nhiên, việc xử lý nghiêm vi phạm vẫn phụ thuộc vào công nghệ và nguồn lực của cơ quan thuế.</t>
  </si>
  <si>
    <t>Công nghệ ngày càng phát triển, có khả năng sẽ giúp cải thiện hiệu quả trong việc phát hiện trốn thuế. Tuy nhiên, thực tế vẫn cần thời gian để áp dụng rộng rãi công nghệ này.</t>
  </si>
  <si>
    <t>Biểu thuế đơn giản hơn, nhưng quy trình khai báo có thể chưa thay đổi nhiều so với trước đây. Tuy nhiên, việc giảm bậc thuế sẽ giúp người dân dễ dàng tính toán và nắm bắt.</t>
  </si>
  <si>
    <t>Cách tính thuế mới đơn giản hơn so với trước đây, nhưng vẫn cần thời gian để làm quen. Các bậc thuế cũng đã được tối ưu hóa hơn.</t>
  </si>
  <si>
    <t>Nhà nước đã tăng mức giảm trừ gia cảnh, tạo ra sự công bằng trong việc đánh giá thu nhập thực tế của người dân. Tuy nhiên, vẫn cần thời gian để xem xét tính khách quan và công bằng trong thực thi.</t>
  </si>
  <si>
    <t>Mức thuế mới được thiết kế dựa trên thu nhập cụ thể, tạo ra sự công bằng hơn. Tuy nhiên, việc đánh giá mức thuế công bằng hoàn toàn phụ thuộc vào cách giải thích và áp dụng của cơ quan thuế.</t>
  </si>
  <si>
    <t>Tăng cường giảm trừ gia cảnh sẽ giúp cải thiện dịch vụ công mà tiền thuế đóng góp. Tuy nhiên, hiệu quả thực tế vẫn cần thời gian để thấy rõ.</t>
  </si>
  <si>
    <t>Chính phủ đã giải thích rõ ràng về mục tiêu của việc sửa đổi thuế, nhưng vẫn có phần phức tạp đối với người dân không chuyên về thuế.</t>
  </si>
  <si>
    <t>Ngoài mức giảm trừ gia cảnh tăng lên, các quyền lợi khác chưa thực sự thay đổi nhiều. Tuy nhiên, sự minh bạch và công bằng trong việc đánh giá thu nhập đã cải thiện đáng kể.</t>
  </si>
  <si>
    <t>Các quy định quản lý thuế hiện nay được cải cách mạnh mẽ, tăng mức giảm trừ gia cảnh và đơn giản hóa biểu thuế. Điều này làm giảm cơ hội trốn thuế và nâng cao khả năng phát hiện hành vi gian lận.</t>
  </si>
  <si>
    <t>Như đã nêu trong ENF1, cùng với việc cải cách quy định quản lý thuế, Nhà nước cũng có nhiều công nghệ tiên tiến để phát hiện trốn thuế. Tăng cường năng lực và công nghệ giúp giảm thiểu trốn thuế.</t>
  </si>
  <si>
    <t>Mức giảm trừ gia cảnh tăng lên cùng với việc đơn giản hóa biểu thuế tạo cảm giác thuận tiện hơn cho người nộp thuế. Hạn chế số bậc thuế cũng giúp quá trình khai báo trở nên dễ dàng hơn.</t>
  </si>
  <si>
    <t>So với trước đây, phương án mới có ít bậc thuế hơn và mức giảm trừ gia cảnh tăng cao. Điều này làm cho việc tính thuế đơn giản và rõ ràng hơn, giúp người nộp thuế dễ dàng hiểu và thực hiện.</t>
  </si>
  <si>
    <t>Nâng cao mức giảm trừ gia cảnh và đơn giản hóa biểu thuế là những cải tiến công bằng đối với mọi người nộp thuế. Điều này làm tăng niềm tin rằng Nhà nước sẽ thực thi chính sách một cách công minh.</t>
  </si>
  <si>
    <t>So với trước đây, mức thu nhập chịu thuế được phân chia rõ ràng hơn và thuế suất cũng hợp lý hơn. Điều này tạo cảm giác rằng mức thuế đóng là công bằng đối với thu nhập hiện tại của tôi.</t>
  </si>
  <si>
    <t>Nâng cao mức giảm trừ gia cảnh giúp cải thiện chất lượng cuộc sống và tăng cường đầu tư vào các dịch vụ công. Điều này làm tăng niềm tin rằng số tiền thuế đóng sẽ được sử dụng hiệu quả.</t>
  </si>
  <si>
    <t>Nội dung thông báo về cải cách thuế đã khá rõ ràng, nhưng vẫn có sự phức tạp ở một số điểm. Tuy nhiên, nhìn chung, tôi tin rằng giải thích về mục tiêu của việc cải cách là minh bạch.</t>
  </si>
  <si>
    <t>Tỷ lệ thu nhập chịu thuế và mức giảm trừ gia cảnh tăng lên làm cho chính sách mới trở nên hấp dẫn hơn. Đồng thời, các cải tiến trong quy trình khai báo cũng tạo cảm giác thuận tiện hơn.</t>
  </si>
  <si>
    <t>Biện pháp quản lý thuế hiện tại được cải thiện với mức giảm trừ gia cảnh tăng, tuy nhiên vẫn cần công nghệ để phát hiện trốn thuế hiệu quả.</t>
  </si>
  <si>
    <t>Công nghệ hiện đại có thể hỗ trợ việc phát hiện trốn thuế, nhưng thực tế điều này phụ thuộc vào khả năng và sự cam kết của cơ quan thuế.</t>
  </si>
  <si>
    <t>Biểu thuế được đơn giản hóa từ 7 bậc xuống còn 5, quy trình khai báo thuế dễ dàng hơn, nhưng vẫn cần thời gian để người dân thích nghi.</t>
  </si>
  <si>
    <t>Cách tính thuế mới có thể hiểu hơn và rõ ràng hơn so với trước đây, đặc biệt là với việc giảm số bậc thuế.</t>
  </si>
  <si>
    <t>Nhà nước đã cải thiện mức giảm trừ gia cảnh, nhưng việc thực thi chính sách vẫn cần sự công bằng và minh bạch từ cơ quan thuế.</t>
  </si>
  <si>
    <t>Mức thuế mới được thiết kế để phù hợp với thu nhập hiện tại của tôi, tuy nhiên vẫn có một số lo ngại về việc áp dụng thực tế.</t>
  </si>
  <si>
    <t>Thuế đóng góp vào dịch vụ công là cần thiết, nhưng hiệu quả sử dụng nguồn lực thuế còn phụ thuộc vào quản lý và giám sát của nhà nước.</t>
  </si>
  <si>
    <t>Thông tin về việc sửa đổi thuế đã được truyền tải một cách rõ ràng, tuy nhiên vẫn có những lo ngại về sự minh bạch đầy đủ.</t>
  </si>
  <si>
    <t>Sau khi cân nhắc quyền lợi và nghĩa vụ, tôi ủng hộ chính sách mới với mức thuế giảm trừ gia cảnh tăng và quy trình khai báo thuế đơn giản hơn.</t>
  </si>
  <si>
    <t>Biện pháp quản lý thuế hiện nay được cải thiện, với mức giảm trừ gia cảnh cao hơn và quy định rõ ràng giúp phát hiện hành vi trốn thuế dễ dàng.</t>
  </si>
  <si>
    <t>Công nghệ hiện đại ngày càng phát triển, Nhà nước có thể sử dụng các hệ thống công nghệ thông tin để giám sát hiệu quả hơn.</t>
  </si>
  <si>
    <t>Mức giảm trừ gia cảnh cao và biểu thuế đơn giản giúp quá trình khai báo trở nên dễ dàng hơn, thủ tục với cơ quan thuế cũng nhanh chóng.</t>
  </si>
  <si>
    <t>Biểu thuế mới có ít bậc và mức thuế suất rõ ràng, làm cho việc tính toán đơn giản hơn so với trước đây.</t>
  </si>
  <si>
    <t>Nhà nước đã cải thiện quy định để đảm bảo công bằng trong việc đánh thuế, giảm trừ gia cảnh cao hơn cũng tạo niềm tin vào sự công tâm.</t>
  </si>
  <si>
    <t>Mức thuế mới được thiết kế dựa trên thu nhập nên tôi thấy là hợp lý với tình hình hiện tại của mình.</t>
  </si>
  <si>
    <t>Thuế đóng góp vào việc cải thiện dịch vụ công, giảm trừ gia cảnh cao giúp tôi tin rằng số tiền đóng sẽ được sử dụng hiệu quả.</t>
  </si>
  <si>
    <t>Các thông báo về chính sách mới đã được giải thích rõ ràng, mặc dù vẫn có một chút hoài nghi về việc thực thi.</t>
  </si>
  <si>
    <t>Sau khi xem xét lợi ích và nghĩa vụ, tôi ủng hộ vì mức thuế giảm và quy định rõ ràng giúp tuân thủ dễ dàng hơn.</t>
  </si>
  <si>
    <t>Đây là một cải cách lớn về thuế nên có nhiều biện pháp quản lý. Tuy nhiên, không chắc chắn về khả năng phát hiện trốn thuế hiệu quả.</t>
  </si>
  <si>
    <t>Công nghệ ngày càng phát triển, nhưng vẫn cần nguồn lực và quy định phù hợp để phát hiện trốn thuế.</t>
  </si>
  <si>
    <t>Mức giảm trừ gia cảnh tăng lên giúp thủ tục đơn giản hơn. Số bậc thuế giảm cũng làm việc khai báo dễ dàng hơn.</t>
  </si>
  <si>
    <t>Cách tính thuế và các bậc thuế mới đơn giản hơn, người dân dễ hiểu và thực hiện hơn so với trước đây.</t>
  </si>
  <si>
    <t>Nhà nước đã cải cách nhiều để công bằng hóa thuế. Tuy nhiên, vẫn còn nghi ngờ về sự đối xử bình đẳng giữa các nhóm thu nhập.</t>
  </si>
  <si>
    <t>Mức thuế mới có thể hợp lý với thu nhập của tôi. Tuy nhiên, cần xem xét thêm để đảm bảo tính công bằng.</t>
  </si>
  <si>
    <t>Thuê đóng vào ngân sách quốc gia có thể được sử dụng hiệu quả cho dịch vụ công. Nhưng vẫn cần kiểm tra thực tế.</t>
  </si>
  <si>
    <t>Nhà nước đã giải thích về mục tiêu cải cách, nhưng chưa thuyết phục hết do còn nhiều thông tin không rõ ràng.</t>
  </si>
  <si>
    <t>Thu nhập của tôi giảm nhẹ với mức thuế mới. Handicaps như việc tăng giảm trừ gia cảnh và bậc thuế mới giúp đơn giản hóa thủ tục. Tuy nhiên, vẫn cần thời gian để kiểm chứng.</t>
  </si>
  <si>
    <t>Biểu thuế đơn giản hơn và mức giảm trừ gia cảnh tăng, nhưng khả năng phát hiện trốn thuế phụ thuộc vào sự giám sát của cơ quan thuế. Công nghệ có thể giúp, nhưng không loại bỏ hoàn toàn rủi ro.</t>
  </si>
  <si>
    <t>Công nghệ ngày càng tiên tiến, nhưng vẫn cần nguồn lực và chính sách phù hợp để phát hiện trốn thuế hiệu quả. Cơ quan thuế có thể đã cải thiện công nghệ, nhưng chưa chắc chắn hoàn toàn.</t>
  </si>
  <si>
    <t>Bậc thuế giảm đi nên thủ tục khai báo đơn giản hơn, nhưng vẫn cần thời gian để người dân thích ứng. Quy trình làm việc với cơ quan thuế cũng cải thiện đáng kể.</t>
  </si>
  <si>
    <t>Cách tính thuế và bậc thuế mới dễ hiểu hơn so với trước đây, giúp người dân dễ dàng tuân thủ chính sách.</t>
  </si>
  <si>
    <t>Mức giảm trừ gia cảnh tăng, tạo cảm giác công bằng cho người nộp thuế. Tuy nhiên, vẫn có nghi ngờ về cách thực thi chính sách.</t>
  </si>
  <si>
    <t>Các bậc thuế mới hợp lý hơn, nhưng mức độ công bằng còn phụ thuộc vào hiệu quả sử dụng số tiền thu được từ thuế.</t>
  </si>
  <si>
    <t>Niềm tin vào việc sử dụng đúng mục đích số tiền thuế đóng còn hạn chế do kinh nghiệm trong quá khứ.</t>
  </si>
  <si>
    <t>Thông tin về lý do và mục tiêu của chính sách mới chưa được giải thích rõ ràng, gây ra sự nghi ngờ.</t>
  </si>
  <si>
    <t>Thống nhất với các điểm trên, sau cân nhắc giữa lợi ích và nghĩa vụ, quyết định tuân thủ chính sách mới.</t>
  </si>
  <si>
    <t>Tăng cường quản lý thuế thông qua các quy định mới có thể phát hiện hành vi gian lận hoặc trốn thuế. Tuy nhiên, hiệu quả thực tế phụ thuộc vào nguồn lực và công nghệ của cơ quan thuế.</t>
  </si>
  <si>
    <t>Công nghệ số hóa đang được áp dụng rộng rãi giúp tăng cường khả năng phát hiện hành vi trốn thuế. Tuy nhiên, vẫn cần thời gian để hoàn thiện hệ thống và nguồn lực.</t>
  </si>
  <si>
    <t>Mức giảm trừ gia cảnh cao hơn và đơn giản hóa biểu thuế giúp quá trình khai báo thuế thuận tiện hơn. Số bậc thuế ít đi cũng làm giảm độ phức tạp cho người nộp thuế.</t>
  </si>
  <si>
    <t>Bậc thuế mới có thể dễ hiểu hơn nhưng cần thời gian để quen với quy định mới. Tuy nhiên, việc đơn giản hóa biểu thuế đã giúp cải thiện độ rõ ràng.</t>
  </si>
  <si>
    <t>Nhà nước đã tăng cường các biện pháp quản lý thuế và công khai thông tin về chính sách. Tuy vậy, vẫn cần thêm thời gian để người dân hoàn toàn tin tưởng vào việc thực thi chính sách.</t>
  </si>
  <si>
    <t>Mức thuế mới được thiết kế dựa trên thu nhập nên có thể coi là công bằng. Tuy nhiên, vẫn cần thêm thông tin về cách tính để người dân hiểu rõ hơn.</t>
  </si>
  <si>
    <t>Tăng cường quản lý thuế và giảm trừ gia cảnh giúp đảm bảo số tiền thuế được sử dụng hiệu quả cho dịch vụ công. Tuy nhiên, cần thêm thời gian để thấy kết quả thực tế.</t>
  </si>
  <si>
    <t>Nhà nước đã cung cấp thông tin về chính sách mới nhưng vẫn còn nhiều ý kiến trái chiều về sự minh bạch. Cần tăng cường truyền thông và giải thích rõ ràng hơn.</t>
  </si>
  <si>
    <t>Sau khi xem xét các quyền lợi và nghĩa vụ, tôi ủng hộ chính sách mới do mức thuế giảm và giảm trừ gia cảnh cao hơn. Tuy nhiên, vẫn cần thêm thời gian để hoàn toàn tin tưởng.</t>
  </si>
  <si>
    <t>Mức giảm trừ gia cảnh và tăng bậc thuế suất có thể giúp giảm rủi ro trốn thuế, nhưng công nghệ phát hiện vẫn chưa hoàn hảo.</t>
  </si>
  <si>
    <t>Công nghệ ngày càng tiên tiến, tuy nhiên vẫn cần sự giám sát chặt chẽ từ cơ quan thuế để đảm bảo hiệu quả.</t>
  </si>
  <si>
    <t>Biểu thuế đơn giản hơn và có nhiều giảm trừ gia cảnh giúp quá trình khai báo dễ dàng hơn.</t>
  </si>
  <si>
    <t>Cách tính thuế mới rõ ràng hơn so với trước, nhưng vẫn cần thêm thời gian để thích nghi.</t>
  </si>
  <si>
    <t>Nhà nước tăng mức giảm trừ gia cảnh và đơn giản hóa biểu thuế nên tôi tin rằng họ muốn tạo công bằng cho người nộp thuế.</t>
  </si>
  <si>
    <t>Mức thuế mới phù hợp với thu nhập của tôi, nhưng cần thêm thông tin về nguồn sử dụng thuế để tăng niềm tin.</t>
  </si>
  <si>
    <t>Thuê được sử dụng cho các dịch vụ công nên có thể tạo ra một sự trao đổi giá trị giữa người nộp thuế và Nhà nước.</t>
  </si>
  <si>
    <t>Thông tin về lý do sửa đổi thuế đã được cung cấp nhưng cần thêm minh bạch về quy trình triển khai mới.</t>
  </si>
  <si>
    <t>Sau khi cân nhắc, tôi thấy lợi ích tài chính từ chính sách mới và có ý định tuân thủ.</t>
  </si>
  <si>
    <t>Việc tăng giảm trừ gia cảnh và đơn giản hóa biểu thuế không ảnh hưởng đến khả năng phát hiện trốn thuế. Cơ chế quản lý vẫn cần sự hỗ trợ từ công nghệ để phát hiện gian lận.</t>
  </si>
  <si>
    <t>Công nghệ hiện đại giúp tăng cường khả năng phát hiện và xử lý trốn thuế, nhưng việc thực thi phụ thuộc vào nguồn lực và quyết tâm của cơ quan quản lý.</t>
  </si>
  <si>
    <t>Mức giảm trừ gia cảnh cao hơn và đơn giản hóa biểu thuế giúp thủ tục khai báo thuế trở nên dễ dàng hơn, nhưng vẫn cần thời gian để làm quen.</t>
  </si>
  <si>
    <t>Biểu thuế được rút gọn từ 7 bậc xuống còn 5 bậc, tạo ra sự đơn giản hóa, dễ hiểu và dễ thực hiện hơn so với trước đây.</t>
  </si>
  <si>
    <t>Niềm tin vào sự công bằng của cơ quan quản lý thuế tăng lên do việc tăng giảm trừ gia cảnh và đơn giản hóa biểu thuế.</t>
  </si>
  <si>
    <t>Mức thuế mới được thiết kế dựa trên thu nhập, nhưng mức độ công bằng còn phụ thuộc vào cách áp dụng.</t>
  </si>
  <si>
    <t>Niềm tin rằng số tiền thuế đóng sẽ được sử dụng hiệu quả để cải thiện dịch vụ công đang tăng lên do giảm trừ gia cảnh và đơn giản hóa biểu thuế.</t>
  </si>
  <si>
    <t>Truyền thông về việc sửa đổi thuế chưa đầy đủ, làm giảm niềm tin vào sự minh bạch của cơ quan quản lý</t>
  </si>
  <si>
    <t>Dù các cải cách mang lại lợi ích tài chính, nhưng do mức độ không hoàn toàn tin tưởng vào sự công bằng và minh bạch nên quyết định tuân thủ còn chần chừ.</t>
  </si>
  <si>
    <t>Cải cách thuế TNCN mang lại nhiều thuận lợi cho người nộp thuế, như tăng giảm trừ gia cảnh và đơn giản hóa biểu thuế. Tuy nhiên, không có thông tin cụ thể về công nghệ phát hiện gian lận. Do đó, tôi vẫn nghi ngờ khả năng phát hiện trốn thuế.</t>
  </si>
  <si>
    <t>Công nghệ ngày càng phát triển và cơ quan thuế có thể áp dụng nhiều cách để phát hiện gian lận. Tuy nhiên, không biết cụ thể về công nghệ sử dụng nên vẫn còn nghi ngờ.</t>
  </si>
  <si>
    <t>Thủ tục khai báo thuế và quy trình làm việc với cơ quan thuế đã đơn giản hóa so với trước đây. Tuy nhiên, cần thêm thời gian để quen thuộc với quy trình mới.</t>
  </si>
  <si>
    <t>Bậc thuế được giảm từ 7 xuống còn 5, làm việc tính toán thuế trở nên dễ dàng hơn. Tuy nhiên, mức thuế vẫn có thể phức tạp đối với người không am hiểu về thuế.</t>
  </si>
  <si>
    <t>Nhà nước đã cải thiện giảm trừ gia cảnh và đơn giản hóa biểu thuế, tạo ra sự công bằng trong việc đánh giá thu nhập. Tuy nhiên, vẫn còn nghi ngờ về cách thực thi chính sách.</t>
  </si>
  <si>
    <t>Mức thuế mới có thể công bằng hơn so với trước đây, nhưng cần thời gian để thấy kết quả thực tế và xem xét lại sau một thời gian.</t>
  </si>
  <si>
    <t>Thuê đóng góp vào cải thiện dịch vụ công là điều hợp lý. Tuy nhiên, hiệu quả sử dụng nguồn thu thuế vẫn còn cần được chứng minh qua thực tế.</t>
  </si>
  <si>
    <t>Các thông tin về cải cách thuế đã khá rõ ràng nhưng có thể cần thêm thời gian để hiểu đầy đủ và đánh giá hiệu quả của chính sách.</t>
  </si>
  <si>
    <t>Sau khi xem xét các quyền lợi và nghĩa vụ, tôi đồng ý với một số điểm cải cách nhưng vẫn còn nghi ngờ về việc thực thi. Do đó, tôi sẽ ủng hộ nhưng cần theo dõi thêm.</t>
  </si>
  <si>
    <t>Các quy định quản lý thuế mới có nhiều cải tiến như tăng giảm trừ gia cảnh, đơn giản hóa biểu thuế nhưng vẫn chưa chắc chắn về khả năng phát hiện trốn thuế.</t>
  </si>
  <si>
    <t>Việc áp dụng công nghệ để phát hiện trốn thuế là cần thiết và có thể cải thiện đáng kể so với trước đây, tuy nhiên còn phụ thuộc vào nguồn lực và triển khai thực tế.</t>
  </si>
  <si>
    <t>Mức giảm trừ gia cảnh cao hơn và đơn giản hóa biểu thuế giúp quá trình khai báo thuế dễ dàng hơn, nhưng vẫn cần thời gian để quen với các quy định mới.</t>
  </si>
  <si>
    <t>Cách tính thuế mới đơn giản hơn so với trước đây, đặc biệt là khi số bậc thuế giảm từ 7 xuống còn 5.</t>
  </si>
  <si>
    <t>Nhà nước đã tăng mức giảm trừ gia cảnh và đơn giản hóa biểu thuế, tạo cảm giác công bằng trong việc thực thi chính sách.</t>
  </si>
  <si>
    <t>Mức thuế mới được thiết kế để hợp lý với thu nhập hiện tại của tôi, nhưng vẫn cần thời gian để đánh giá hiệu quả thực tế.</t>
  </si>
  <si>
    <t>Công cụ mới và quy định quản lý thuế cải tiến giúp tôi tin tưởng số tiền thuế đóng sẽ được sử dụng hiệu quả cho dịch vụ công.</t>
  </si>
  <si>
    <t>Quyết định của Nhà nước về việc tăng mức giảm trừ gia cảnh và đơn giản hóa biểu thuế đã minh bạch hơn so với trước đây, nhưng vẫn cần thêm thời gian để đánh giá rõ ràng.</t>
  </si>
  <si>
    <t>Sau khi cân nhắc các quyền lợi và nghĩa vụ, tôi ủng hộ chính sách mới do giảm trừ gia cảnh cao hơn và mức thuế hợp lý hơn so với trước đây.</t>
  </si>
  <si>
    <t>Điều chỉnh thuế TNCN không có liên quan trực tiếp đến việc phát hiện trốn thuế. Mức giảm trừ gia cảnh cao hơn và đơn giản hóa biểu thuế có thể làm giảm rủi ro trốn thuế nhưng không tăng khả năng phát hiện.</t>
  </si>
  <si>
    <t>Công nghệ hiện đại giúp cải thiện khả năng kiểm soát, nhưng việc phát hiện trốn thuế vẫn phụ thuộc vào hệ thống quản lý và nhân lực của cơ quan thuế. Việc tăng giảm trừ gia cảnh và đơn giản hóa biểu thuế không rõ ràng liên kết với việc phát hiện trốn thuế.</t>
  </si>
  <si>
    <t>Các quy định mới về giảm trừ gia cảnh và bảng thuế có thể làm thủ tục đơn giản hơn. Tuy nhiên, sự phức tạp của các quy định vẫn tồn tại. Việc đơn giản hóa biểu thuế từ 7 bậc xuống còn 5 bậc tạo thuận lợi cho việc khai báo.</t>
  </si>
  <si>
    <t>Biểu thuế mới với ít bậc hơn có thể dễ hiểu và thực hiện hơn, nhưng vẫn cần thời gian để người dân nắm bắt. Sự đơn giản hóa này làm giảm rào cản trong việc tuân thủ.</t>
  </si>
  <si>
    <t>Các quy định mới về thuế TNCN không rõ ràng liên kết với sự công bằng và khách quan của cơ quan thuế. Mức giảm trừ gia cảnh cao hơn có thể làm tăng niềm tin đối với một số người, nhưng không ảnh hưởng lớn đến cả hệ thống.</t>
  </si>
  <si>
    <t>Mức thuế mới được thiết kế dựa trên thu nhập nên có thể công bằng cho người nộp thuế. Tuy nhiên, mức thuế cụ thể phụ thuộc vào thu nhập nên cần xem xét kỹ lưỡng.</t>
  </si>
  <si>
    <t>Thuê TNCN mới có thể được sử dụng hiệu quả hơn để cải thiện dịch vụ công nếu số tiền đóng góp tăng, nhưng không rõ ràng với mức thuế cụ thể. Mức giảm trừ gia cảnh cao hơn có thể làm tăng niềm tin.</t>
  </si>
  <si>
    <t>Các quy định mới về thuế TNCN không cung cấp thông tin đầy đủ về mục tiêu và lý do của việc sửa đổi. Việc cải cách cần minh bạch hơn để tạo sự tin tưởng từ người dân.</t>
  </si>
  <si>
    <t>Nguyên tắc tuân thủ thuế TNCN phụ thuộc vào mức giảm trừ gia cảnh, bảng thuế mới và các quyền lợi cụ thể. Mặc dù cải cách làm đơn giản hóa quy định nhưng không đủ để thay đổi quyết định ủng hộ một cách rõ ràng.</t>
  </si>
  <si>
    <t>Các quy định quản lý thuế hiện nay được tăng cường với mức giảm trừ gia cảnh cao hơn, giúp phát hiện hành vi gian lận dễ dàng hơn.</t>
  </si>
  <si>
    <t>Việc áp dụng công nghệ trong ngành thuế sẽ giúp Nhà nước và cơ quan thuế phát hiện các hành vi trốn thuế nhanh chóng và chính xác hơn.</t>
  </si>
  <si>
    <t>Mức giảm trừ gia cảnh tăng, đặc biệt là đối với người phụ thuộc, làm cho thủ tục khai báo đơn giản hơn so với trước đây.</t>
  </si>
  <si>
    <t>Biểu thuế được đơn giản hóa từ 7 bậc xuống còn 5 bậc, giúp việc tính toán và nộp thuế trở nên dễ hiểu hơn.</t>
  </si>
  <si>
    <t>Những thay đổi trong chính sách thuế mới như tăng giảm trừ gia cảnh và đơn giản hóa biểu thuế tạo ra cảm giác công bằng hơn đối với người nộp thuế.</t>
  </si>
  <si>
    <t>Mức thuế mới được thiết kế sao cho phù hợp với thu nhập cá nhân, giúp tạo sự công bằng trong việc đóng góp thuế.</t>
  </si>
  <si>
    <t>Thu nhập của tôi nằm ở bậc thuế thấp hơn trước đây nên số tiền thuế phải đóng cũng ít đi, tạo cảm giác tin tưởng vào việc sử dụng hiệu quả tiền thuế.</t>
  </si>
  <si>
    <t>Những thông tin về chính sách mới được truyền đạt khá rõ ràng và minh bạch, làm tăng niềm tin vào quyết định của Nhà nước.</t>
  </si>
  <si>
    <t>Sau khi xem xét các quyền lợi và nghĩa vụ, tôi thấy chính sách thuế mới mang lại nhiều lợi ích nên sẵn sàng tuân thủ.</t>
  </si>
  <si>
    <t>Với mức giảm trừ gia cảnh tăng mạnh và số bậc thuế ít hơn, khả năng phát hiện gian lận hoặc trốn thuế sẽ cao hơn. Công nghệ cũng hỗ trợ việc quản lý thuế tốt hơn.</t>
  </si>
  <si>
    <t>Công nghệ hiện đại như AI, Big Data được áp dụng trong quản lý thuế sẽ giúp phát hiện và xử lý nghiêm các hành vi trốn thuế hiệu quả.</t>
  </si>
  <si>
    <t>Mức giảm trừ gia cảnh tăng mạnh và số bậc thuế ít hơn làm cho quy trình khai báo thuế đơn giản, nhanh chóng hơn. Tuy nhiên, do tôi là người trung niên nên có chút lo lắng về việc nắm bắt các thay đổi mới.</t>
  </si>
  <si>
    <t>Biểu thuế ít bậc và rõ ràng hơn giúp cách tính thuế dễ hiểu và dễ thực hiện hơn so với trước đây. Mức giảm trừ gia cảnh tăng cũng làm cho quy trình đơn giản hơn.</t>
  </si>
  <si>
    <t>Nhà nước đã tăng mức giảm trừ gia cảnh, điều này thể hiện sự công bằng và đối xử bình đẳng giữa các đối tượng nộp thuế. Tuy nhiên, tôi vẫn lo ngại về việc liệu Nhà nước có thực thi chính sách một cách khách quan.</t>
  </si>
  <si>
    <t>Mức thuế mới được tính dựa trên mức thu nhập của tôi nên tôi thấy nó là công bằng. Tuy nhiên, do đã từng trải qua các đợt cải cách trước và chưa thực sự hài lòng, tôi vẫn có chút lo ngại.</t>
  </si>
  <si>
    <t>Mặc dù mức thuế tăng lên nhưng do tăng giảm trừ gia cảnh nên số tiền cuối cùng tôi phải đóng không thay đổi nhiều. Tôi tin rằng số tiền thuế sẽ được sử dụng hiệu quả cho các dịch vụ công.</t>
  </si>
  <si>
    <t>Nhà nước đã giải thích rõ ràng về mức tăng giảm trừ gia cảnh và cách tính thuế mới, tuy nhiên, tôi vẫn cần thêm thông tin để hoàn toàn tin tưởng vào mục tiêu của việc cải cách này.</t>
  </si>
  <si>
    <t>Dù tôi ủng hộ những thay đổi mang lại sự công bằng cho người dân nhưng do là người trung niên nên có chút lo lắng về việc thực thi và rủi ro pháp lý. Tuy nhiên, mức độ tin tưởng đã tăng lên nên quyết định ủng hộ.</t>
  </si>
  <si>
    <t>Cơ quan thuế có nhiều công cụ để phát hiện gian lận, nhưng mức độ thực thi và xử lý còn phụ thuộc vào hiệu quả quản lý. Với cải cách giảm trừ gia cảnh và đơn giản hóa biểu thuế, tôi tin rằng việc phát hiện trốn thuế sẽ dễ dàng hơn.</t>
  </si>
  <si>
    <t>Công nghệ hiện đại giúp tăng cường giám sát và xử lý gian lận thuế. Tuy nhiên, hiệu quả phụ thuộc vào nguồn lực và chính sách của cơ quan thuế.</t>
  </si>
  <si>
    <t>Biểu thuế đơn giản hóa và mức giảm trừ gia cảnh cao hơn tạo điều kiện cho việc khai báo dễ dàng. Tuy nhiên, quy trình làm việc với cơ quan thuế vẫn còn phức tạp.</t>
  </si>
  <si>
    <t>Cách tính thuế mới đơn giản và rõ ràng hơn so với trước đây, giúp người dân hiểu và thực hiện đúng.</t>
  </si>
  <si>
    <t>Chính sách mới có giảm trừ gia cảnh cao hơn, tạo cảm giác công bằng. Tuy nhiên, việc thực thi vẫn cần được giám sát chặt chẽ để đảm bảo công bằng.</t>
  </si>
  <si>
    <t>Mức thuế mới dựa trên thu nhập cá nhân có thể coi là công bằng. Tuy nhiên, hiệu quả sử dụng ngân sách còn phụ thuộc vào quản lý và thực thi.</t>
  </si>
  <si>
    <t>Giảm trừ gia cảnh cao hơn tạo cảm giác số tiền thuế đóng được sử dụng hiệu quả cho công ích. Tuy nhiên, vẫn cần giám sát để đảm bảo việc sử dụng ngân sách minh bạch.</t>
  </si>
  <si>
    <t>Chính phủ đã giải thích rõ về lý do cải cách thuế mới, nhưng tôi vẫn mong muốn có thêm thông tin chi tiết về mục tiêu cụ thể của chính sách này.</t>
  </si>
  <si>
    <t>Chính sách mới có lợi cho người thu nhập thấp, tăng niềm tin và sự ủng hộ. Tuy nhiên, việc tuân thủ vẫn phụ thuộc vào mức độ hiểu rõ và thực thi chính sách.</t>
  </si>
  <si>
    <t>Công nghệ hiện đại và quy định quản lý thuế chặt chẽ đã giảm khả năng trốn thuế.</t>
  </si>
  <si>
    <t>Nhà nước có nhiều nguồn lực và công nghệ tiên tiến để phát hiện hành vi trốn thuế.</t>
  </si>
  <si>
    <t>Mức giảm trừ gia cảnh tăng, thủ tục đơn giản hơn, nhưng vẫn cần làm việc với cơ quan thuế.</t>
  </si>
  <si>
    <t>Biểu thuế đơn giản hóa từ 7 bậc xuống còn 5 bậc, dễ hiểu và thực hiện hơn.</t>
  </si>
  <si>
    <t>Các quy định công bằng đối với tất cả người nộp thuế, giảm gánh nặng cho thu nhập thấp.</t>
  </si>
  <si>
    <t>Thuế mới được thiết kế để tương ứng với mức thu nhập, nhưng vẫn có sự phức tạp về luật thuế.</t>
  </si>
  <si>
    <t>Thuế được sử dụng cho các dịch vụ công, nhưng hiệu quả của việc chi tiêu chưa rõ ràng.</t>
  </si>
  <si>
    <t>Các thông báo về chính sách mới đã minh bạch hơn so với trước đây, nhưng vẫn có sự phức tạp về luật thuế.</t>
  </si>
  <si>
    <t>Dù tăng mức giảm trừ gia cảnh và đơn giản hóa biểu thuế, nhưng mức độ ủng hộ còn phụ thuộc vào trải nghiệm thực tế khi áp dụng.</t>
  </si>
  <si>
    <t>Biện pháp quản lý thuế hiện nay khá chặt chẽ với mức giảm trừ gia cảnh tăng lên, tạo ra nhiều rào cản cho hành vi trốn thuế. Tuy nhiên, vẫn còn không ít người nghi ngờ về hiệu quả thực tế.</t>
  </si>
  <si>
    <t>Công nghệ hiện đại có thể giúp phát hiện trốn thuế dễ dàng hơn nhưng chưa chắc nhà nước đã tận dụng tối đa các công cụ này. Nhu cầu nâng cấp hệ thống công nghệ là cần thiết.</t>
  </si>
  <si>
    <t>Quy trình khai báo thuế được đơn giản hóa, giảm bớt thủ tục rườm rà và mất thời gian trước đây, tạo điều kiện thuận lợi hơn cho người nộp thuế.</t>
  </si>
  <si>
    <t>Cách tính thuế mới có ít bậc và rõ ràng hơn so với trước, giúp người dân dễ dàng hiểu và thực hiện.</t>
  </si>
  <si>
    <t>Việc tăng mức giảm trừ gia cảnh mang đến lợi ích công bằng cho tất cả mọi người, tuy nhiên vẫn còn những lo ngại về cách thực thi chính sách.</t>
  </si>
  <si>
    <t>Mức thuế mới được thiết kế để cân nhắc với thu nhập cá nhân hiện nay nhưng vẫn cần thời gian để hoàn toàn tin tưởng vào tính công bằng của nó.</t>
  </si>
  <si>
    <t>Nếu số tiền thuế đóng được sử dụng hiệu quả cho các dịch vụ công, người dân sẽ cảm thấy hài lòng hơn về việc đóng góp. Tuy nhiên, vẫn còn những bất cập cần cải thiện.</t>
  </si>
  <si>
    <t>Giải thích rõ ràng về mục tiêu cải cách thuế có thể giúp nâng cao sự tin tưởng của người dân nhưng cần thêm thời gian để mọi người cảm thấy thuyết phục hơn.</t>
  </si>
  <si>
    <t>Dù các quyền lợi và nghĩa vụ mới mang lại nhiều thuận lợi, nhưng vẫn còn những lo ngại về thực thi chính sách và công bằng của mức thuế. Tuy nhiên, tôi sẽ tiếp tục tuân thủ để xem xét hiệu quả hơn.</t>
  </si>
  <si>
    <t>Cải cách thuế TNCN có quy định quản lý thuế chặt chẽ hơn, đặc biệt là mức giảm trừ gia cảnh tăng đáng kể. Điều này cho thấy cơ quan thuế sẽ dễ dàng phát hiện các hành vi trốn thuế.</t>
  </si>
  <si>
    <t>Tăng cường công nghệ và quản lý thuế chặt chẽ hơn, nhưng chưa có thông tin cụ thể về khả năng phát hiện trốn thuế. Tuy nhiên, với quy định rõ ràng, khả năng xử lý nghiêm các hành vi trốn thuế là cao.</t>
  </si>
  <si>
    <t>Tăng mức giảm trừ gia cảnh đáng kể và đơn giản hóa biểu thuế từ 7 bậc xuống còn 5 bậc. Điều này làm cho thủ tục khai báo thuế đơn giản, tiện lợi hơn so với trước đây.</t>
  </si>
  <si>
    <t>Biểu thuế đơn giản hơn với số bậc giảm đi và mức thu nhập chịu thuế rõ ràng hơn, dễ hiểu và thực hiện thuận tiện hơn</t>
  </si>
  <si>
    <t>Mức giảm trừ gia cảnh tăng đáng kể, giảm gánh nặng cho người nộp thuế. Việc cải cách thuế TNCN có thể được coi là khách quan và công bằng đối với mọi người.</t>
  </si>
  <si>
    <t>Nhìn chung, mức thuế mới đã điều chỉnh phù hợp với thu nhập hiện tại của tôi. Điều này cho thấy mức thuế mới là công bằng</t>
  </si>
  <si>
    <t>Mức giảm trừ gia cảnh tăng đáng kể, giảm gánh nặng tài chính và cho thấy số tiền thuế đóng sẽ được sử dụng hiệu quả để cải thiện dịch vụ công.</t>
  </si>
  <si>
    <t>Việc giải thích rõ ràng về mức thu nhập chịu thuế mới và các quy định quản lý thuế làm tăng niềm tin rằng nhà nước đã minh bạch trong việc thực hiện chính sách</t>
  </si>
  <si>
    <t>Mức giảm trừ gia cảnh đáng kể, đơn giản hóa biểu thuế. Việc cải cách thuế TNCN mang lại lợi ích rõ ràng và cho thấy tôi sẽ ủng hộ và tuân thủ chính sách mới.</t>
  </si>
  <si>
    <t>Dù có tăng giảm trừ gia cảnh, nhưng các quy định quản lý thuế hiện tại vẫn chưa đủ mạnh để phát hiện trốn thuế.</t>
  </si>
  <si>
    <t>Công nghệ ngày càng tiên tiến, nhưng việc phát hiện trốn thuế cần nhiều nguồn lực và kỹ thuật chuyên môn cao. Việc xử lý nghiêm cũng phụ thuộc vào quy định pháp luật.</t>
  </si>
  <si>
    <t>Mức giảm trừ gia cảnh tăng mạnh, thủ tục khai báo thuế đơn giản hơn, nhưng vẫn cần thời gian để làm quen với hệ thống mới.</t>
  </si>
  <si>
    <t>Biểu thuế đơn giản hơn và rõ ràng hơn so với trước đây, giúp dễ dàng tính toán và nộp thuế</t>
  </si>
  <si>
    <t>Nhà nước đã cố gắng thực thi công bằng khi tăng giảm trừ gia cảnh cho người phụ thuộc, nhưng vẫn có những lo ngại về sự đối xử bình đẳng.</t>
  </si>
  <si>
    <t>Mức thuế mới được tính toán dựa trên thu nhập cá nhân, nhưng mức độ công bằng còn phụ thuộc vào cách áp dụng và thực thi.</t>
  </si>
  <si>
    <t>Việc sử dụng tiền thuế hiệu quả để cải thiện dịch vụ công cần thời gian đánh giá kết quả thực tế</t>
  </si>
  <si>
    <t>Giải thích về mục tiêu của việc sửa đổi thuế chưa đủ rõ ràng, nhiều người vẫn có những lo ngại về thông tin minh bạch.</t>
  </si>
  <si>
    <t>Sau khi tính toán lợi ích và nghĩa vụ, tôi thấy chính sách mới mang lại nhiều thuận tiện nhưng cần thời gian để tin tưởng hoàn toàn</t>
  </si>
  <si>
    <t>Trong thực tế, các quy định quản lý thuế hiện nay vẫn còn nhiều lỗ hổng và khó phát hiện hành vi trốn thuế. Tuy nhiên, với sự tăng cường về công nghệ, khả năng phát hiện gian lận có thể tốt hơn.</t>
  </si>
  <si>
    <t>Công nghệ ngày càng phát triển, nhưng vẫn còn nhiều thách thức trong việc phát hiện trốn thuế hoàn toàn. Tuy nhiên, với sự cải tiến về quản lý, khả năng này có thể được nâng cao.</t>
  </si>
  <si>
    <t>Bảng thuế mới đơn giản hơn nhưng quy trình khai báo vẫn còn phức tạp. Việc giảm số bậc thuế từ 7 xuống 5 đã giúp cải thiện đáng kể sự thuận tiện cho người dân.</t>
  </si>
  <si>
    <t>Cách tính thuế và các bậc thuế mới đơn giản hơn, dễ hiểu và thực hiện nhanh chóng hơn so với trước đây. Việc này làm tăng cảm giác thuận tiện cho người nộp thuế.</t>
  </si>
  <si>
    <t>Nhà nước đã cải thiện đáng kể mức giảm trừ gia cảnh, nhưng vẫn còn lo ngại về việc thực thi một cách công bằng và minh bạch. Cần thêm thời gian để đánh giá.</t>
  </si>
  <si>
    <t>Thuế mới được tính dựa trên thu nhập, nên mức thuế có thể phù hợp hơn với thu nhập của tôi. Tuy nhiên, vẫn cần xem xét hiệu quả thực tế sau khi thực thi.</t>
  </si>
  <si>
    <t>Mức thuế mới được tính dựa trên thu nhập, nên công bằng hơn so với trước đây. Tuy nhiên, vẫn chưa rõ liệu số tiền thuế này có được sử dụng hiệu quả cho các dịch vụ công hay không.</t>
  </si>
  <si>
    <t>Nhà nước đã giải thích về cải cách thuế một cách khá rõ ràng và minh bạch. Tuy nhiên, cần thêm thời gian để đánh giá tính thuyết phục của thông điệp này.</t>
  </si>
  <si>
    <t>Sau khi xem xét các quyền lợi và nghĩa vụ, tôi thấy cải cách thuế mới có lợi cho tôi. Mặc dù vẫn còn những lo ngại về thực thi, nhưng quyết định ủng hộ là phù hợp với lợi ích hiện tại.</t>
  </si>
  <si>
    <t>Biện pháp quản lý thuế hiện nay được cải thiện, nhưng vẫn còn nhiều rủi ro cho hành vi gian lận. Đơn giản hóa mức giảm trừ gia cảnh và biểu thuế có thể giúp phát hiện trốn thuế dễ dàng hơn.</t>
  </si>
  <si>
    <t>Công nghệ đã được áp dụng trong quản lý thuế, tuy nhiên vẫn cần cải tiến để tăng cường khả năng phát hiện các hành vi trốn thuế. Nâng cao công nghệ là yếu tố quan trọng để tăng độ chính xác.</t>
  </si>
  <si>
    <t>Các quy trình khai báo thuế và làm việc với cơ quan thuế trở nên đơn giản hơn, nhưng vẫn còn tồn tại một số rủi ro về sự phức tạp trong quá trình thực hiện. Biểu thuế đơn giản hóa giúp người nộp thuế dễ dàng hiểu rõ.</t>
  </si>
  <si>
    <t>Cách tính thuế và các bậc thuế mới đơn giản, dễ hiểu hơn so với trước đây, nhưng mức độ cải tiến còn hạn chế. Sự rõ ràng của biểu thuế mới giúp người nộp thuế dễ dàng tuân thủ.</t>
  </si>
  <si>
    <t>Niềm tin vào sự công bằng và khách quan trong việc thực thi chính sách đã được tăng cường do mức giảm trừ gia cảnh lớn hơn, nhưng vẫn còn nhiều yếu tố gây nghi ngờ về cách thực thi.</t>
  </si>
  <si>
    <t>Mức thuế mới có vẻ công bằng so với thu nhập hiện tại của tôi, nhưng cần xem xét kỹ các bậc thuế mới để đánh giá toàn diện hơn. Sự minh bạch trong việc giải thích lý do cải cách vẫn còn hạn chế.</t>
  </si>
  <si>
    <t>Số tiền thuế đóng sẽ được sử dụng hiệu quả vào các dịch vụ công, nhưng cần thời gian để xem xét thực tế. Mức giảm trừ gia cảnh tăng cao giúp người nộp thuế cảm thấy hài lòng hơn.</t>
  </si>
  <si>
    <t>Nhà nước đã giải thích rõ ràng về mục tiêu cải cách, nhưng vẫn còn nhiều điểm cần cải thiện để tăng cường minh bạch. Sự minh bạch trong việc thực thi chính sách là yếu tố quan trọng.</t>
  </si>
  <si>
    <t>Tăng mức giảm trừ gia cảnh và đơn giản hóa biểu thuế tạo ra lợi ích tài chính, nhưng vẫn còn nhiều rủi ro về sự phức tạp. Tuy nhiên, với những cải tiến mới, tôi sẵn sàng tuân thủ chính sách.</t>
  </si>
  <si>
    <t>Mức giảm trừ gia cảnh tăng, giúp người thu nhập thấp ít bị gian lận. Công nghệ hiện đại hỗ trợ phát hiện trốn thuế.</t>
  </si>
  <si>
    <t>Công nghệ và nguồn lực của cơ quan thuế được nâng cấp, khả năng phát hiện trốn thuế tăng.</t>
  </si>
  <si>
    <t>Bậc thuế giảm từ 7 xuống 5, quy trình đơn giản hơn. Thu nhập thấp không bị ảnh hưởng nhiều.</t>
  </si>
  <si>
    <t>Biểu thuế đơn giản hóa, dễ hiểu và thực hiện nhanh chóng hơn so với trước đây.</t>
  </si>
  <si>
    <t>Nhà nước tăng giảm trừ gia cảnh, tạo ra sự công bằng trong việc đánh thuế. Thực thi chính sách khách quan.</t>
  </si>
  <si>
    <t>Thuế suất và ngưỡng chịu thuế rõ ràng hơn, người thu nhập trung bình thấy mức đóng là hợp lý.</t>
  </si>
  <si>
    <t>Giảm trừ gia cảnh tăng, số tiền đóng thuế giảm, tạo niềm tin Nhà nước sử dụng hiệu quả để cải thiện dịch vụ công.</t>
  </si>
  <si>
    <t>Thông tin về phương án mới được truyền tải rõ ràng hơn, nhưng vẫn cần thời gian để thuyết phục người dân.</t>
  </si>
  <si>
    <t>Niềm tin và cảm giác công bằng tăng nhờ các cải cách. Tuy nhiên, sự phức tạp về thuế cũ chưa hoàn toàn biến mất.</t>
  </si>
  <si>
    <t>Dự luật tăng giảm trừ gia cảnh và đơn giản hóa biểu thuế có thể làm giảm cơ hội trốn thuế. Tuy nhiên, khả năng phát hiện vẫn phụ thuộc vào hiệu quả của hệ thống quản lý thuế.</t>
  </si>
  <si>
    <t>Công nghệ ngày càng tiên tiến giúp cải thiện hiệu suất phát hiện hành vi trốn thuế. Cơ quan thuế cũng có nhiều biện pháp xử lý nghiêm minh hơn.</t>
  </si>
  <si>
    <t>Mức giảm trừ gia cảnh cao hơn và đơn giản hóa biểu thuế làm quá trình khai báo thuế dễ dàng hơn, nhưng vẫn cần thời gian để quen với quy trình mới.</t>
  </si>
  <si>
    <t>Biểu thuế mới đơn giản hơn so với trước đây, giúp người dân hiểu rõ hơn về mức thuế phải đóng. Tuy nhiên, việc áp dụng cụ thể còn phụ thuộc vào cách quản lý của cơ quan thuế.</t>
  </si>
  <si>
    <t>Niềm tin vào sự công bằng trong cách thực thi chính sách mới được cải thiện do mức giảm trừ gia cảnh và biểu thuế đơn giản hơn. Tuy nhiên, vẫn có lo ngại về việc xử lý các trường hợp cụ thể.</t>
  </si>
  <si>
    <t>Mức thuế mới dựa trên thu nhập cá nhân được xem là công bằng. Tuy nhiên, mức độ công bằng còn phụ thuộc vào tình hình tài chính cụ thể của từng người.</t>
  </si>
  <si>
    <t>Niềm tin rằng số tiền thuế đóng sẽ được sử dụng hiệu quả để cải thiện dịch vụ công đang tăng lên. Tuy nhiên, hiệu quả thực tế phụ thuộc vào nhiều yếu tố khác.</t>
  </si>
  <si>
    <t>Nhà nước đã giải thích rõ ràng về mục tiêu của chính sách mới nhưng vẫn có sự nghi ngờ về việc truyền thông minh bạch. Tuy nhiên, các biện pháp cải cách được coi là cần thiết.</t>
  </si>
  <si>
    <t>Sau khi xem xét các quyền lợi và nghĩa vụ, tôi ủng hộ chính sách mới vì mức thuế giảm trừ gia cảnh cao hơn và biểu thuế đơn giản hóa. Tuy nhiên, vẫn có một số lo ngại về cách thực hiện.</t>
  </si>
  <si>
    <t>Cải cách thuế TNCN có mức giảm trừ gia cảnh và biểu thuế đơn giản hóa, nhưng tôi vẫn nghi ngờ khả năng phát hiện trốn thuế.</t>
  </si>
  <si>
    <t>Điều kiện kỹ thuật và công nghệ của cơ quan thuế chưa được nêu rõ, khó xác định khả năng phát hiện trốn thuế.</t>
  </si>
  <si>
    <t>Mức giảm trừ gia cảnh tăng lên, tôi tin rằng khai báo thuế sẽ đơn giản hơn và nhanh chóng hơn so với trước đây.</t>
  </si>
  <si>
    <t>Biểu thuế được đơn giản hóa từ 7 bậc xuống 5 bậc, cách tính thuế rõ ràng hơn, dễ hiểu hơn so với quy trình cũ.</t>
  </si>
  <si>
    <t>Mức giảm trừ gia cảnh và biểu thuế mới có thể mang lại cảm giác công bằng đối với tôi, nhưng tôi vẫn nghi ngờ về thực thi chính sách.</t>
  </si>
  <si>
    <t>Mức thuế mới tương xứng với thu nhập của tôi, tôi thấy rằng điều này là hợp lý và công bằng.</t>
  </si>
  <si>
    <t>Tôi tin rằng tiền thuế đóng sẽ được sử dụng hiệu quả để cải thiện dịch vụ công, nhưng cần thêm thông tin về cách sử dụng tiền thuế.</t>
  </si>
  <si>
    <t>Tình hình hiện tại là tôi chưa cảm thấy Nhà nước đã giải thích rõ ràng về lý do và mục tiêu của việc sửa đổi thuế lần này.</t>
  </si>
  <si>
    <t>Mức giảm trừ gia cảnh tăng lên, mức thuế mới phù hợp với thu nhập của tôi, nhưng cần thêm thông tin và niềm tin vào thực thi chính sách.</t>
  </si>
  <si>
    <t>Biểu thuế đơn giản hơn và mức giảm trừ gia cảnh cao hơn, giảm gánh nặng cho người nộp thuế. Tuy nhiên, việc phát hiện trốn thuế phụ thuộc nhiều vào công nghệ và sự quyết tâm của cơ quan thuế.</t>
  </si>
  <si>
    <t>Công nghệ mới có thể giúp tăng cường khả năng phát hiện trốn thuế, nhưng vẫn cần sự hỗ trợ từ con người để xử lý hiệu quả. Cơ quan thuế chưa hoàn toàn công khai về nguồn lực và công nghệ.</t>
  </si>
  <si>
    <t>Thủ tục khai báo thuế đơn giản hơn so với trước đây, giảm thời gian chờ đợi và dễ dàng tiếp cận thông tin. Tuy nhiên, việc áp dụng thực tế có thể phụ thuộc vào sự hiểu biết của người nộp thuế.</t>
  </si>
  <si>
    <t>Cách tính thuế và bậc thuế mới đơn giản hơn, giúp người dân easier to understand and apply. Điều này tăng khả năng tuân thủ.</t>
  </si>
  <si>
    <t>Trình tự thực thi thuế công bằng hơn với mức giảm trừ gia cảnh cao hơn. Tuy nhiên, vẫn có sự nghi ngờ về cách xử lý các trường hợp cụ thể.</t>
  </si>
  <si>
    <t>Mức thuế mới được thiết kế để công bằng đối với thu nhập tương tự. Tuy nhiên, cần xem xét kỹ hơn khi so sánh giữa các mức thuế suất.</t>
  </si>
  <si>
    <t>Thuế đóng góp vào dịch vụ công và phát triển cơ sở hạ tầng. Tuy nhiên, hiệu quả sử dụng nguồn lực chưa rõ ràng đầy đủ.</t>
  </si>
  <si>
    <t>Nhà nước đã giải thích khá rõ về mục tiêu của việc sửa đổi thuế. Tuy nhiên, sự minh bạch trong quá trình thực hiện cần cải thiện hơn nữa.</t>
  </si>
  <si>
    <t>Chính sách mới giảm gánh nặng thuế và tăng mức giảm trừ gia cảnh, tạo ra sự ủng hộ từ phía người dân. Tuy nhiên, quyết định cuối cùng phụ thuộc vào khả năng thực thi và minh bạch.</t>
  </si>
  <si>
    <t>Mức giảm trừ gia cảnh tăng, quy định quản lý thuế chặt chẽ hơn. Công nghệ hiện đại giúp phát hiện gian lận.</t>
  </si>
  <si>
    <t>Công nghệ tiên tiến và đội ngũ nhân viên được đào tạo kỹ sẽ đảm bảo việc phát hiện trốn thuế.</t>
  </si>
  <si>
    <t>Mức giảm trừ gia cảnh cao hơn, quy trình khai báo đơn giản hơn. Tuy nhiên, việc áp dụng còn phụ thuộc vào sự tuân thủ của cá nhân.</t>
  </si>
  <si>
    <t>Biểu thuế được rút gọn và rõ ràng hơn, giúp người nộp thuế dễ dàng tính toán.</t>
  </si>
  <si>
    <t>Giảm trừ gia cảnh tăng, tạo cảm giác công bằng. Quy định quản lý thuế chặt chẽ hơn, nhưng không biết thực thi như thế nào.</t>
  </si>
  <si>
    <t>Mức thuế mới có vẻ hợp lý so với thu nhập hiện tại của tôi, nhưng vẫn chưa rõ liệu nó có công bằng đối với tất cả mọi người hay không.</t>
  </si>
  <si>
    <t>Thuế được sử dụng cho các dịch vụ công quan trọng như y tế và giao thông. Tuy nhiên, cần xem xét hiệu quả sử dụng nguồn lực của Nhà nước.</t>
  </si>
  <si>
    <t>Thông tin về lý do và mục tiêu sửa đổi thuế chưa đầy đủ. Cần có thêm giải thích rõ ràng hơn để tăng niềm tin.</t>
  </si>
  <si>
    <t>Thu nhập của tôi giảm nhẹ nhưng vẫn chấp nhận được. Quy định mới tạo cảm giác công bằng, nhưng cần thời gian để quen với việc khai báo.</t>
  </si>
  <si>
    <t>Nguyên tắc là tăng mức giảm trừ gia cảnh và đơn giản hóa biểu thuế, nhưng không đề cập rõ về công nghệ và khả năng phát hiện trốn thuế. Tuy nhiên, với việc cải cách này, người nộp thuế sẽ ít có động cơ để trốn thuế.</t>
  </si>
  <si>
    <t>Thủ tục khai báo thuế được đơn giản hóa từ 7 bậc xuống còn 5 bậc, điều này giúp thuận tiện hơn cho người dân. Tuy nhiên, không đề cập rõ về quy trình làm việc với cơ quan thuế.</t>
  </si>
  <si>
    <t>Cách tính thuế và các bậc thuế trong phương án mới đơn giản hóa từ 7 bậc xuống còn 5 bậc, giúp dễ hiểu và thực hiện hơn. Mức giảm trừ gia cảnh cũng tăng lên.</t>
  </si>
  <si>
    <t>Mức giảm trừ gia cảnh tăng lên, người nộp thuế sẽ có lợi hơn trong việc đóng thuế. Tuy nhiên, không đề cập rõ về khả năng thực thi chính sách khách quan, công tâm.</t>
  </si>
  <si>
    <t>Thu nhập từ 30 triệu đến 100 triệu chịu mức thuế suất cao hơn, điều này có thể gây bất lợi cho người thu nhập thuộc nhóm này. Tuy nhiên, mức giảm trừ gia cảnh tăng lên.</t>
  </si>
  <si>
    <t>Thu nhập từ 30 triệu đến 100 triệu chịu mức thuế suất cao hơn, điều này có thể gây bất lợi cho người thu nhập thuộc nhóm này. Tuy nhiên, mức giảm trừ gia cảnh tăng lên và thủ tục khai báo thuế đơn giản hơn.</t>
  </si>
  <si>
    <t>Biểu thuế đơn giản hóa giúp phát hiện dễ dàng hơn các trường hợp trốn thuế. Mức giảm trừ gia cảnh tăng cũng hạn chế khả năng trốn thuế.</t>
  </si>
  <si>
    <t>Công nghệ ngày càng tiên tiến, cùng với quy định quản lý nghiêm minh của nhà nước tạo cơ sở cho việc phát hiện và xử lý gian lận.</t>
  </si>
  <si>
    <t>Số bậc thuế giảm từ 7 xuống còn 5, đơn giản hóa quy trình khai báo. Hơn nữa, mức giảm trừ gia cảnh tăng cũng làm thủ tục thuận lợi hơn.</t>
  </si>
  <si>
    <t>Bậc thuế mới rõ ràng và dễ hiểu, không phức tạp như trước đây. Việc đơn giản hóa biểu thuế giúp dễ dàng tính toán</t>
  </si>
  <si>
    <t>Nhìn chung, tôi tin rằng nhà nước sẽ công bằng trong việc thực thi chính sách mới. Mức giảm trừ gia cảnh tăng cũng tạo sự công bằng.</t>
  </si>
  <si>
    <t>Mức thuế mới có vẻ hợp lý đối với thu nhập của tôi và các mức bậc thuế rõ ràng giúp tôi thấy rằng nó là công bằng</t>
  </si>
  <si>
    <t>Tăng giảm trừ gia cảnh sẽ làm dịch vụ công tốt hơn, đồng thời cải cách thuế cũng tạo ra sự công bằng trong việc đóng góp cho ngân sách nhà nước.</t>
  </si>
  <si>
    <t>Các thông cáo báo chí đã giải thích rõ ràng về mục tiêu của chính sách mới. Tuy nhiên, tôi vẫn cần thời gian để đánh giá toàn diện</t>
  </si>
  <si>
    <t>Tôi ủng hộ cải cách thuế vì lợi ích mà nó mang lại cho người dân và công bằng trong việc đóng góp thuế. Tuy nhiên, tôi cũng lo ngại về khả năng thực thi.</t>
  </si>
  <si>
    <t>Mức giảm trừ gia cảnh tăng, giúp người thu nhập thấp ít bị ảnh hưởng bởi thuế. Tuy nhiên, việc xử lý gian lận vẫn phụ thuộc vào công nghệ và khả năng của cơ quan thuế.</t>
  </si>
  <si>
    <t>Công nghệ hiện đại ngày càng phát triển, có thể giúp tăng khả năng phát hiện gian lận. Tuy nhiên, hiệu quả còn phụ thuộc vào nguồn lực đầu tư và quản lý.</t>
  </si>
  <si>
    <t>Biểu thuế đơn giản hơn, số bậc giảm từ 7 xuống 5, tạo cảm giác thuận tiện cho người nộp thuế. Tuy nhiên, quy trình khai báo vẫn cần cải thiện.</t>
  </si>
  <si>
    <t>Cách tính và các bậc thuế mới đơn giản hơn so với trước đây, dễ hiểu và thực hiện nhanh chóng hơn.</t>
  </si>
  <si>
    <t>Nâng mức giảm trừ gia cảnh giúp công bằng cho người thu nhập thấp. Cơ quan thuế có thể xử lý chính sách một cách khách quan</t>
  </si>
  <si>
    <t>Mức thuế mới được thiết kế dựa trên thu nhập, tạo cảm giác công bằng cho người nộp thuế.</t>
  </si>
  <si>
    <t>Giảm trừ gia cảnh tăng giúp đảm bảo số tiền thuế đóng được sử dụng hiệu quả. Tuy nhiên, việc giám sát sử dụng ngân sách cần cải thiện.</t>
  </si>
  <si>
    <t>Luật mới chưa rõ ràng về lý do và mục tiêu của việc sửa đổi thuế, làm giảm sự minh bạch</t>
  </si>
  <si>
    <t>Mức thuế giảm nhẹ, tăng quyền lợi cho người thu nhập thấp. Tuy nhiên, quyết định cuối cùng phụ thuộc vào khả năng tuân thủ và niềm tin vào cơ quan thuế.</t>
  </si>
  <si>
    <t>Các quy định quản lý thuế hiện nay có nhiều cải tiến, tăng cường khả năng phát hiện gian lận và trốn thuế. Tuy nhiên, do kinh nghiệm cá nhân chưa trải qua các vụ việc cụ thể, nên vẫn còn chút lo ngại.</t>
  </si>
  <si>
    <t>Công nghệ ngày càng tiến bộ, Nhà nước có khả năng sử dụng công nghệ cao để phát hiện trốn thuế. Tuy nhiên, do kinh nghiệm cá nhân chưa trải qua các vụ việc cụ thể, nên vẫn còn chút lo ngại.</t>
  </si>
  <si>
    <t>Số bậc thuế giảm đi từ 7 xuống còn 5, quy trình khai báo thuế đơn giản hơn. Tuy nhiên, do chưa áp dụng chính sách mới nên cảm nhận về độ tiện lợi không mạnh mẽ.</t>
  </si>
  <si>
    <t>Cách tính thuế và các bậc thuế trong phương án mới đơn giản hơn so với trước đây. Các bậc thuế rõ ràng, dễ hiểu và dễ thực hiện hơn.</t>
  </si>
  <si>
    <t>Nhà nước đã cải thiện đáng kể mức giảm trừ gia cảnh, nên tôi tin rằng việc đánh thuế sẽ công bằng hơn cho người dân. Tuy nhiên, do chưa áp dụng chính sách mới nên vẫn còn lo ngại về sự thực thi.</t>
  </si>
  <si>
    <t>Mức thuế mới được cải thiện phù hợp với thu nhập cá nhân, tăng đáng kể độ công bằng. Tuy nhiên, cần thời gian để đánh giá hiệu quả thực tế của chính sách mới.</t>
  </si>
  <si>
    <t>Tăng cường mức giảm trừ gia cảnh và đơn giản hóa biểu thuế sẽ giúp số tiền thuế tôi đóng được sử dụng hiệu quả hơn cho dịch vụ công. Tuy nhiên, cần thời gian để đánh giá hiệu quả thực tế của chính sách mới.</t>
  </si>
  <si>
    <t>Nhà nước đã giải thích rõ ràng về mục tiêu và lý do cải cách thuế, tăng cường mức giảm trừ gia cảnh. Tuy nhiên, cần thời gian để đánh giá hiệu quả thực tế của chính sách mới.</t>
  </si>
  <si>
    <t>Sau khi xem xét các quyền lợi và nghĩa vụ, tôi thấy chính sách mới có ưu điểm về độ công bằng. Tuy nhiên, do chưa áp dụng chính sách mới nên vẫn còn lo ngại về hiệu quả thực tế.</t>
  </si>
  <si>
    <t>Biện pháp quản lý thuế hiện đại giúp phát hiện hành vi gian lận, nhưng mức độ thực thi vẫn phụ thuộc vào nguồn lực và công nghệ của cơ quan thuế.</t>
  </si>
  <si>
    <t>Công nghệ tiên tiến như AI và Big Data tăng khả năng phát hiện trốn thuế, tuy nhiên hiệu quả còn phụ thuộc vào sự đầu tư.</t>
  </si>
  <si>
    <t>Mức giảm trừ gia cảnh cao hơn và đơn giản hóa biểu thuế giúp thủ tục khai báo dễ dàng hơn, nhưng việc thực hiện vẫn cần tuân thủ quy định.</t>
  </si>
  <si>
    <t>Biểu thuế mới đơn giản hơn so với trước đây, giảm bớt rắc rối về việc tính toán thuế.</t>
  </si>
  <si>
    <t>Nhà nước đã cải thiện quy định quản lý thuế, tạo môi trường công bằng hơn cho người nộp thuế.</t>
  </si>
  <si>
    <t>Đối với thu nhập trung bình của tôi, mức thuế mới có vẻ hợp lý và công bằng</t>
  </si>
  <si>
    <t>Biểu thuế mới đơn giản hơn nhưng vẫn đảm bảo nguồn thu cho Nhà nước để đầu tư vào dịch vụ công.</t>
  </si>
  <si>
    <t>Nhà nước đã giải thích về mục tiêu của việc sửa đổi thuế, tuy nhiên cần nhiều thông tin hơn để đánh giá đầy đủ</t>
  </si>
  <si>
    <t>Tổng thể, tôi ủng hộ chính sách mới vì nó đơn giản hóa quy trình và giảm gánh nặng thuế cho người dân.</t>
  </si>
  <si>
    <t>Các quy định quản lý thuế hiện nay đã được cải cách mạnh mẽ, bao gồm tăng giảm trừ gia cảnh và đơn giản hóa biểu thuế. Điều này làm giảm khả năng trốn thuế và giúp phát hiện hành vi gian lận dễ dàng hơn.</t>
  </si>
  <si>
    <t>Việc sử dụng công nghệ trong quản lý thuế đã được cải thiện, điều này cho thấy khả năng phát hiện và xử lý nghiêm các hành vi trốn thuế sẽ tăng lên.</t>
  </si>
  <si>
    <t>Các thủ tục khai báo thuế và quy trình làm việc với cơ quan thuế đã được đơn giản hóa, giúp quá trình này trở nên tiện lợi hơn cho người dân.</t>
  </si>
  <si>
    <t>Biểu thuế mới có ít bậc hơn so với trước đây, điều này góp phần làm giảm sự phức tạp và dễ hiểu hơn về cách tính thuế.</t>
  </si>
  <si>
    <t>Nhà nước đã cải thiện việc quản lý thuế bằng cách tăng giảm trừ gia cảnh, điều này thể hiện sự công bằng trong đối xử với mọi người nộp thuế.</t>
  </si>
  <si>
    <t>Mức thuế mới có thể được xem là công bằng hơn so với trước đây vì các bậc thuế suất và ngưỡng chịu thuế đã thay đổi.</t>
  </si>
  <si>
    <t>Việc cải cách thuế giúp tăng giảm trừ gia cảnh, điều này mang lại lợi ích cho người dân và thể hiện sự sử dụng hiệu quả số tiền thuế thu được.</t>
  </si>
  <si>
    <t>Nhà nước đã giải thích rõ ràng về mục tiêu của việc cải cách thuế, nhưng vẫn cần thêm thông tin để thuyết phục mọi người.</t>
  </si>
  <si>
    <t>Dù các lợi ích từ chính sách mới mang lại cảm giác công bằng và thuận tiện hơn, nhưng do sự phức tạp về quản lý thuế hiện nay vẫn còn tồn tại, dẫn đến một mức độ hoài nghi nhất định.</t>
  </si>
  <si>
    <t>Tăng mức giảm trừ gia cảnh và đơn giản hóa biểu thuế tạo nên sự công bằng, giúp phát hiện hành vi trốn thuế dễ dàng hơn.</t>
  </si>
  <si>
    <t>Công nghệ hiện đại như AI có thể phân tích dữ liệu lớn để phát hiện gian lận, kết hợp với mức giảm trừ gia cảnh tăng, khả năng phát hiện trốn thuế sẽ cao hơn.</t>
  </si>
  <si>
    <t>Mức giảm trừ gia cảnh và đơn giản hóa biểu thuế làm cho việc khai báo thuế dễ dàng hơn, nhưng vẫn còn một số bước phức tạp cần cải thiện.</t>
  </si>
  <si>
    <t>Biểu thuế được rút gọn từ 7 bậc xuống 5 tạo nên sự đơn giản và dễ hiểu hơn, giúp người dân dễ dàng tính toán và thực hiện.</t>
  </si>
  <si>
    <t>Các thay đổi trong Luật Thuế TNCN tạo ra sự công bằng và minh bạch hơn đối với mọi người nộp thuế, tăng niềm tin vào hệ thống thuế.</t>
  </si>
  <si>
    <t>Nhìn chung mức thuế mới được thiết kế để phù hợp với thu nhập cá nhân, tạo cảm giác công bằng cho người dân.</t>
  </si>
  <si>
    <t>Các cải cách về thuế TNCN nhằm mục đích tăng cường hiệu quả sử dụng ngân sách và cải thiện dịch vụ công, giúp người dân tin tưởng vào việc sử dụng nguồn thu thuế một cách minh bạch.</t>
  </si>
  <si>
    <t>Thông điệp về lý do và mục tiêu của cải cách thuế được truyền tải một cách rõ ràng, tạo nên sự hiểu biết và tin tưởng hơn từ người dân.</t>
  </si>
  <si>
    <t>Mức giảm trừ gia cảnh tăng và đơn giản hóa biểu thuế đã làm giảm gánh nặng thuế cho tôi, kết hợp với việc cải thiện niềm tin vào hệ thống thuế, tôi sẵn sàng tuân thủ chính sách mới.</t>
  </si>
  <si>
    <t>Mức giảm trừ gia cảnh tăng, quy định rõ ràng hơn nên tôi tin rằng hành vi gian lận sẽ khó trốn tránh.</t>
  </si>
  <si>
    <t>Công nghệ hiện đại và sự giám sát chặt chẽ của cơ quan thuế làm giảm khả năng trốn thuế.</t>
  </si>
  <si>
    <t>Biểu thuế đơn giản hơn, quy trình khai báo thuận lợi nên tôi thấy thuận tiện hơn nhiều so với trước đây.</t>
  </si>
  <si>
    <t>Bậc thuế ít đi và tính toán rõ ràng hơn giúp việc làm tax trở nên dễ dàng hơn.</t>
  </si>
  <si>
    <t>Nhà nước đã tăng giảm trừ gia cảnh, tôi tin rằng việc thực thi sẽ công bằng với mọi người nộp thuế.</t>
  </si>
  <si>
    <t>Mức thu nhập của tôi thuộc bậc thuế mới thấp hơn nên tôi thấy mức thuế này là hợp lý.</t>
  </si>
  <si>
    <t>Tiền thuế đóng góp vào việc cải thiện dịch vụ công, đặc biệt là y tế và giao thông.</t>
  </si>
  <si>
    <t>Nhà nước đã công bố các lý do chính xác cho việc thay đổi thuế, nhưng cần nhiều thời gian để tôi hoàn toàn tin tưởng.</t>
  </si>
  <si>
    <t>Tăng mức giảm trừ gia cảnh và cải tiến quy trình làm tax khiến tôi sẵn sàng tuân thủ mới hơn.</t>
  </si>
  <si>
    <t>Các quy định quản lý thuế hiện nay đã được cải thiện đáng kể, tuy nhiên, mức độ phát hiện trốn thuế còn phụ thuộc vào nhiều yếu tố như sự tuân thủ của người nộp thuế và hiệu suất công nghệ. Rủi ro trốn thuế vẫn có thể xảy ra.</t>
  </si>
  <si>
    <t>Công nghệ hiện đại giúp phát hiện hành vi gian lận trở nên dễ dàng hơn, tuy nhiên, việc xử lý nghiêm các hành vi trốn thuế cần sự phối hợp giữa nhiều cơ quan và nguồn lực.</t>
  </si>
  <si>
    <t>Đơn giản hóa biểu thuế đã làm quy trình khai báo thuế trở nên dễ dàng hơn. Tuy nhiên, việc thực hiện các thủ tục vẫn phụ thuộc vào sự hỗ trợ của cơ quan thuế.</t>
  </si>
  <si>
    <t>Biểu thuế mới đơn giản hóa quá trình tính thuế và cung cấp nhiều bậc thuế rõ ràng hơn. Tuy nhiên, việc áp dụng thực tế có thể vẫn còn phức tạp đối với một số người.</t>
  </si>
  <si>
    <t>Nhà nước đã cải thiện quy định để đảm bảo tính công bằng cho mọi người nộp thuế, tuy nhiên, việc thực thi chính sách vẫn cần sự giám sát chặt chẽ.</t>
  </si>
  <si>
    <t>Mức thuế mới có thể thấy là hợp lý so với thu nhập hiện tại của tôi. Tuy nhiên, mức độ công bằng còn phụ thuộc vào cách sử dụng số tiền thuế được thu.</t>
  </si>
  <si>
    <t>Tôi tin rằng số tiền thuế đóng sẽ được sử dụng hiệu quả để cải thiện dịch vụ công. Tuy nhiên, việc đánh giá hiệu quả sử dụng nguồn lực này cần thời gian và giám sát chặt chẽ.</t>
  </si>
  <si>
    <t>Nhà nước đã giải thích rõ ràng về mục đích của chính sách mới. Tuy nhiên, việc thực hiện các biện pháp cải cách cần sự minh bạch cao hơn để tăng niềm tin của người dân.</t>
  </si>
  <si>
    <t>Chính sách mới có lợi cho tôi do mức thuế giảm trừ gia cảnh được nâng lên. Tuy nhiên, quyết định tuân thủ còn phụ thuộc vào việc thực hiện chính sách một cách công bằng và minh bạch.</t>
  </si>
  <si>
    <t>Điều kiện quản lý thuế hiện nay có nhiều cải tiến nhưng vẫn tiềm ẩn rủi ro trốn thuế do mức giảm trừ gia cảnh tăng, ngưỡng chịu thuế thấp hơn trước.</t>
  </si>
  <si>
    <t>Công nghệ phát triển giúp phát hiện trốn thuế dễ dàng hơn nhưng cũng cần sự giám sát chặt chẽ của cơ quan thuế.</t>
  </si>
  <si>
    <t>Quy trình khai báo thuế đơn giản hơn, giảm số bậc thuế từ 7 xuống còn 5, tạo thuận lợi cho người nộp thuế.</t>
  </si>
  <si>
    <t>Cách tính thuế mới đơn giản hóa các bậc thuế, dễ hiểu và thực hiện nhanh chóng hơn so với trước đây.</t>
  </si>
  <si>
    <t>Nhà nước công bố các quy định quản lý thuế rõ ràng nhưng vẫn cần giám sát để đảm bảo khách quan, công bằng.</t>
  </si>
  <si>
    <t>Mức thuế mới có thể được coi là công bằng cho thu nhập hiện tại của tôi, giảm gánh nặng so với trước đây.</t>
  </si>
  <si>
    <t>Tiền thuế đóng góp vào việc cải thiện dịch vụ công nhưng cần sự minh bạch trong sử dụng để tăng niềm tin.</t>
  </si>
  <si>
    <t>Nhà nước đã giải thích rõ ràng về mục tiêu của chính sách mới, tạo nên sự hiểu biết và lòng tin từ người dân.</t>
  </si>
  <si>
    <t>Sau khi cân nhắc các lợi ích và nghĩa vụ, tôi ủng hộ và tuân thủ chính sách mới vì giảm gánh nặng thuế và tăng niềm tin vào hệ thống quản lý thuế.</t>
  </si>
  <si>
    <t>Công nghệ ngày càng phát triển giúp cơ quan thuế có thể theo dõi hiệu quả, giảm tình trạng trốn thuế.</t>
  </si>
  <si>
    <t>Quy trình khai báo thuế đơn giản hơn và dễ dàng tiếp cận thông tin về quy định, nhưng vẫn cần thời gian làm quen.</t>
  </si>
  <si>
    <t>Biểu thuế được đơn giản hóa, giảm số bậc từ 7 xuống còn 5, nên dễ hiểu và thực hiện hơn so với trước đây.</t>
  </si>
  <si>
    <t>Nhà nước đã tăng mức giảm trừ gia cảnh, công bằng hơn đối với người nộp thuế thấp thu nhập thấp.</t>
  </si>
  <si>
    <t>Mức thuế mới được thiết kế dựa trên thu nhập, nhưng vẫn lo ngại về sự công bằng giữa các nhóm thu nhập khác nhau.</t>
  </si>
  <si>
    <t>Nhà nước đã tăng mức giảm trừ gia cảnh và đơn giản hóa biểu thuế, số tiền thuế được sử dụng cho dịch vụ công có thể hiệu quả hơn.</t>
  </si>
  <si>
    <t>Truyền thông về chính sách mới chưa rõ ràng như mong đợi, mặc dù đã cố gắng giải thích lý do và mục tiêu cải cách.</t>
  </si>
  <si>
    <t>Đồng ý với một số thay đổi thuế, nhưng vẫn cần thêm thời gian để đánh giá hiệu quả tổng thể của chính sách mới.</t>
  </si>
  <si>
    <t>Các quy định quản lý thuế hiện nay đã được cải thiện với mức giảm trừ gia cảnh cao hơn, do đó hành vi gian lận hoặc trốn thuế sẽ khó xảy ra. Công nghệ phát triển cũng giúp việc giám sát dễ dàng hơn.</t>
  </si>
  <si>
    <t>Nhà nước đã đầu tư vào công nghệ để phát hiện và xử lý nghiêm các hành vi trốn thuế, đồng thời tăng cường kiểm tra, giám sát đối với những người có thu nhập cao. Công nghệ như AI cũng giúp cải thiện hiệu quả quản lý.</t>
  </si>
  <si>
    <t>Mức giảm trừ gia cảnh và ngưỡng chịu thuế đã được điều chỉnh thuận lợi cho nhiều người, do đó thủ tục khai báo thuế đơn giản hơn. Tuy nhiên, quy trình làm việc với cơ quan thuế vẫn còn cần cải thiện.</t>
  </si>
  <si>
    <t>Biểu thuế đơn giản hóa đã giúp việc tính thuế dễ hiểu và thực hiện thuận tiện hơn. Các bậc thuế rõ ràng hơn giúp người dân không phải lo lắng về việc bị phạt quá mức.</t>
  </si>
  <si>
    <t>Nhà nước đã cải thiện quy định quản lý thuế một cách công bằng, với mức giảm trừ gia cảnh và ngưỡng chịu thuế thuận lợi. Điều này giúp người dân cảm thấy được đối xử bình đẳng.</t>
  </si>
  <si>
    <t>Mức thuế mới được thiết kế nhằm đảm bảo tính công bằng cho mọi người có thu nhập tương tự như tôi, do đó tôi cảm thấy mức thuế đóng là hợp lý.</t>
  </si>
  <si>
    <t>Thuế đóng góp vào việc cải thiện dịch vụ công, nhưng cần thêm thông tin về cách sử dụng nguồn thu để người dân có thể đánh giá hiệu quả hơn. Hiện nay, tôi chưa hoàn toàn tin tưởng.</t>
  </si>
  <si>
    <t>Nhà nước đã giải thích rõ ràng về mục tiêu của việc sửa đổi thuế mới, nhưng cần thêm thông tin cụ thể về quy trình thực hiện để người dân cảm thấy thuyết phục hơn.</t>
  </si>
  <si>
    <t>Tuy mức thuế giảm và thủ tục đơn giản hơn, nhưng do tôi đã có trải nghiệm không tốt với cơ quan thuế trong quá khứ, nên quyết định tuân thủ vẫn còn thận trọng.</t>
  </si>
  <si>
    <t>Điều chỉnh thuế TNCN đã tăng mức giảm trừ gia cảnh, nhưng chưa có thông tin rõ ràng về công nghệ và khả năng phát hiện trốn thuế.</t>
  </si>
  <si>
    <t>Việc cải cách thuế có thể giúp tăng hiệu quả quản lý, nhưng cần thời gian để áp dụng công nghệ mới.</t>
  </si>
  <si>
    <t>Cách tính thuế mới đơn giản hơn so với trước đây và có ít bậc thuế, dễ hiểu và thực hiện hơn.</t>
  </si>
  <si>
    <t>Tăng mức giảm trừ gia cảnh cho bản thân và người phụ thuộc có thể tạo niềm tin về tính công bằng trong việc áp dụng chính sách.</t>
  </si>
  <si>
    <t>Các bậc thuế mới được điều chỉnh theo thu nhập, nhưng vẫn cần thời gian để đánh giá mức độ công bằng của chúng.</t>
  </si>
  <si>
    <t>Tăng giảm trừ gia cảnh và đơn giản hóa biểu thuế có thể tạo niềm tin về việc sử dụng hiệu quả số tiền thuế thu được.</t>
  </si>
  <si>
    <t>Cần thêm thông tin rõ ràng về mục tiêu của cải cách thuế để tăng mức độ minh bạch và thuyết phục người dân.</t>
  </si>
  <si>
    <t>Niềm tin vào tính công bằng và hiệu quả quản lý tăng lên, nhưng vẫn có sự đa nghi về khả năng phát hiện trốn thuế.</t>
  </si>
  <si>
    <t>Biên tập viên tin rằng với mức giảm trừ gia cảnh tăng cao, việc phát hiện và xử lý các hành vi gian lận sẽ trở nên khó khăn hơn, do đó khả năng phát hiện trốn thuế thấp hơn so với trước đây.</t>
  </si>
  <si>
    <t>Biên tập viên tin rằng mặc dù công nghệ tiên tiến có thể hỗ trợ việc kiểm soát thuế, nhưng vẫn chưa đủ để đảm bảo việc phát hiện và xử lý các hành vi trốn thuế một cách hiệu quả.</t>
  </si>
  <si>
    <t>Biên tập viên cho rằng với mức giảm trừ gia cảnh tăng cao, thủ tục khai báo thuế trở nên đơn giản hơn và nhanh chóng hơn so với trước đây. Tuy nhiên, việc đơn giản hóa quy trình làm việc với cơ quan thuế còn phụ thuộc vào sự thực hiện của các bên liên quan.</t>
  </si>
  <si>
    <t>Biên tập viên thấy rằng cách tính thuế và bậc thuế trong phương án mới đã được đơn giản hóa so với trước đây, nhưng mức độ dễ hiểu và thực tế còn phụ thuộc vào việc truyền đạt thông tin cho người nộp thuế.</t>
  </si>
  <si>
    <t>Biên tập viên không hoàn toàn tin tưởng rằng Nhà nước sẽ thực thi chính sách một cách công bằng đối với mọi người nộp thuế, do đó mức độ ủng hộ về mặt niềm tin thấp hơn so với trước đây.</t>
  </si>
  <si>
    <t>Biên tập viên thấy rằng mức thuế mới được thiết kế hợp lý cho thu nhập hiện tại của biên tập viên, nhưng vẫn còn lo ngại về việc liệu có công bằng hay không nếu so sánh với người khác.</t>
  </si>
  <si>
    <t>Biên tập viên tin rằng số tiền thuế đóng sẽ được sử dụng để cải thiện dịch vụ công, nhưng mức độ tin tưởng còn phụ thuộc vào hiệu quả thực tế của việc sử dụng nguồn thu thuế này.</t>
  </si>
  <si>
    <t>Biên tập viên thấy rằng thông tin về lý do và mục tiêu của việc sửa đổi thuế chưa được giải thích rõ ràng, mặc dù đã có cải thiện so với trước đây.</t>
  </si>
  <si>
    <t>Tổng hợp các yếu tố trên, biên tập viên quyết định ủng hộ chính sách mới nhưng chỉ với mức độ nhất định do sự phức tạp về mặt tài chính và niềm tin chưa vững chắc.</t>
  </si>
  <si>
    <t>Mức giảm trừ gia cảnh tăng, nhưng không rõ liệu có đủ công nghệ và nguồn lực để phát hiện trốn thuế.</t>
  </si>
  <si>
    <t>Công nghệ ngày càng tiên tiến, nhưng vẫn cần nguồn lực và quyết tâm từ các cơ quan thuế.</t>
  </si>
  <si>
    <t>Biểu thuế đơn giản hơn, nhưng quy trình khai báo chưa chắc đã dễ dàng hơn do yêu cầu thông tin chi tiết.</t>
  </si>
  <si>
    <t>Phương án mới có thể đơn giản hóa tính toán, nhưng cần thời gian để người dân quen thuộc.</t>
  </si>
  <si>
    <t>Niềm tin vào công bằng của chính sách tăng nhờ mức giảm trừ gia cảnh và thuế suất thấp hơn.</t>
  </si>
  <si>
    <t>Mức thuế mới có thể hợp lý, nhưng cần xem xét tổng thu nhập hàng năm để đánh giá toàn diện.</t>
  </si>
  <si>
    <t>Công bằng trong việc sử dụng tiền thuế vào các dịch vụ công phụ thuộc vào hiệu quả quản lý của nhà nước.</t>
  </si>
  <si>
    <t>Giải thích về mục tiêu chính sách chưa rõ ràng, đặc biệt là với những người không thường xuyên theo dõi thông tin chính sách.</t>
  </si>
  <si>
    <t>Niềm tin và tính công bằng tăng nhưng do có nhiều thay đổi nên còn cần thời gian để thích ứng.</t>
  </si>
  <si>
    <t>Cải cách thuế TNCN tăng mức giảm trừ gia cảnh và đơn giản hóa biểu thuế, nhưng không có thông tin rõ ràng về công nghệ phát hiện gian lận.</t>
  </si>
  <si>
    <t>Nhà nước đã nâng cấp hệ thống quản lý thuế, tuy nhiên chưa biết cụ thể về khả năng và công nghệ để phát hiện trốn thuế.</t>
  </si>
  <si>
    <t>Mức giảm trừ gia cảnh cao hơn trước đây, nhưng không rõ quy trình khai báo thuế có đơn giản hơn hay không.</t>
  </si>
  <si>
    <t>Biểu thuế được rút gọn từ 7 bậc xuống còn 5 bậc, dễ hiểu và thực hiện thuận tiện hơn so với trước đây.</t>
  </si>
  <si>
    <t>Nhìn chung, mức giảm trừ gia cảnh cao hơn giúp giảm gánh nặng thuế, tạo cảm giác công bằng khi đối xử với người nộp thuế khác nhau.</t>
  </si>
  <si>
    <t>Thu nhập từ 30 triệu đến 60 triệu chỉ chịu thuế suất 20%, so với trước đây là 25%, tạo cảm giác mức thuế mới công bằng hơn.</t>
  </si>
  <si>
    <t>Mức giảm trừ gia cảnh cao hơn và biểu thuế đơn giản hóa giúp người nộp thuế tin tưởng số tiền thuế đóng sẽ được sử dụng hiệu quả để cải thiện dịch vụ công.</t>
  </si>
  <si>
    <t>Thông qua các kênh truyền thông, tôi thấy Nhà nước đã giải thích rõ ràng về mục tiêu của việc sửa đổi thuế TNCN, tạo sự minh bạch và tin tưởng.</t>
  </si>
  <si>
    <t>Tổng thể, cải cách thuế TNCN mang lại lợi ích tài chính và cảm giác công bằng hơn so với trước đây, giúp tôi sẵn sàng tuân thủ chính sách mới.</t>
  </si>
  <si>
    <t>Theo thông tin, các quy định quản lý thuế hiện nay đã được cải cách để phát hiện và xử lý nghiêm hành vi gian lận hoặc trốn thuế. Đây là một bước tiến quan trọng nhằm tăng cường công bằng trong việc thực thi luật pháp về thuế.</t>
  </si>
  <si>
    <t>Công nghệ ngày càng phát triển, giúp cơ quan thuế có thể theo dõi và xử lý các hành vi trốn thuế hiệu quả hơn. Tuy nhiên, vẫn cần nâng cao năng lực và công nghệ để đảm bảo tính toàn diện trong việc phát hiện.</t>
  </si>
  <si>
    <t>Biểu thuế được đơn giản hóa từ 7 bậc xuống còn 5 bậc, đồng thời mức giảm trừ gia cảnh tăng lên giúp quá trình khai báo thuế trở nên thuận tiện hơn. Điều này mang lại cảm giác thuận lợi cho người nộp thuế.</t>
  </si>
  <si>
    <t>Cách tính thuế và các bậc thuế mới đơn giản hóa, dễ hiểu và thực hiện nhanh chóng. Đây là cải tiến đáng kể so với trước đây, giúp nâng cao trải nghiệm khi làm thủ tục thuế.</t>
  </si>
  <si>
    <t>Mức giảm trừ gia cảnh tăng lên, giảm gánh nặng về thuế đối với nhiều người nộp thuế. Đồng thời, mức thuế mới được thiết kế sao cho công bằng hơn so với trước đây, tạo niềm tin trong việc thực thi chính sách.</t>
  </si>
  <si>
    <t>Mức thuế mới được thiết kế dựa trên thu nhập cá nhân, thể hiện sự công bằng. Tuy nhiên, cần có thêm thông tin về mức thuế cụ thể để đánh giá đúng mức độ công bằng này.</t>
  </si>
  <si>
    <t>Thuế góp vào việc cải thiện dịch vụ công như y tế và giao thông. Mức giảm trừ gia cảnh tăng lên, giúp người dân cảm thấy đóng góp của mình được sử dụng hiệu quả hơn.</t>
  </si>
  <si>
    <t>Thông tin về lý do và mục tiêu của việc sửa đổi thuế đã được cung cấp rõ ràng. Tuy nhiên, cần có thêm thông tin chi tiết để người dân hiểu đầy đủ về quá trình này.</t>
  </si>
  <si>
    <t>Sau khi xem xét các thay đổi và lợi ích từ chính sách mới, tôi ủng hộ và sẽ tuân thủ. Tuy nhiên, cần có thêm thông tin chi tiết để đánh giá đầy đủ về hiệu quả thực tế của chính sách.</t>
  </si>
  <si>
    <t>Mức giảm trừ gia cảnh tăng, giúp người dân ít bị phát hiện gian lận thuế. Công nghệ hiện đại cũng giúp phát hiện dễ dàng hơn.</t>
  </si>
  <si>
    <t>Nhà nước đã đầu tư công nghệ và nhân lực để quản lý tốt hơn, giảm thiểu trốn thuế.</t>
  </si>
  <si>
    <t>Mức giảm trừ gia cảnh tăng, thủ tục đơn giản hơn. Việc này giúp người dân dễ dàng tuân thủ.</t>
  </si>
  <si>
    <t>Biểu thuế được đơn giản hóa, việc tính toán và khai báo thuế trở nên dễ dàng hơn.</t>
  </si>
  <si>
    <t>Nhà nước đã tăng mức giảm trừ gia cảnh, thể hiện khách quan và công bằng trong thực thi chính sách.</t>
  </si>
  <si>
    <t>Mức thuế mới được thiết kế để cân đối với thu nhập của người dân, tạo cảm giác công bằng.</t>
  </si>
  <si>
    <t>Giảm trừ gia cảnh tăng và mức thuế hợp lý giúp số tiền đóng góp vào ngân sách vẫn hiệu quả.</t>
  </si>
  <si>
    <t>Thông tin về chính sách được công bố đầy đủ, nhưng người dân cần thời gian để hiểu rõ.</t>
  </si>
  <si>
    <t>Chính sách mới có lợi ích tài chính và thủ tục đơn giản hơn, giúp tôi sẵn sàng tuân thủ.</t>
  </si>
  <si>
    <t>Quy định quản lý thuế hiện nay đã được cải thiện, tăng mức giảm trừ gia cảnh và đơn giản hóa quy trình khai báo thuế. Điều này giúp giảm cơ hội trốn thuế.</t>
  </si>
  <si>
    <t>Công nghệ hiện đại như hệ thống thông tin điện tử đã được áp dụng để phát hiện hành vi trốn thuế hiệu quả hơn.</t>
  </si>
  <si>
    <t>Mức giảm trừ gia cảnh tăng và số bậc thuế đơn giản hóa giúp quy trình khai báo trở nên dễ dàng hơn.</t>
  </si>
  <si>
    <t>Biểu thuế được đơn giản hóa từ 7 bậc xuống còn 5 bậc, làm cho việc tính thuế trở nên dễ hiểu và dễ thực hiện hơn.</t>
  </si>
  <si>
    <t>Nhà nước đã tăng mức giảm trừ gia cảnh và đơn giản hóa biểu thuế, tạo ra một hệ thống công bằng hơn đối với người nộp thuế.</t>
  </si>
  <si>
    <t>Mức thuế mới được thiết kế sao cho hợp lý với thu nhập của tôi, thể hiện tính công bằng trong việc phân chia gánh nặng thuế.</t>
  </si>
  <si>
    <t>Tăng mức giảm trừ gia cảnh và đơn giản hóa biểu thuế giúp số tiền thuế tôi đóng được sử dụng hiệu quả hơn để cải thiện dịch vụ công.</t>
  </si>
  <si>
    <t>Các thông tin về lý do và mục tiêu của việc sửa đổi thuế đã được giải thích một cách rõ ràng, tạo ra sự minh bạch trong quy trình này.</t>
  </si>
  <si>
    <t>Sau khi xem xét các quyền lợi và nghĩa vụ, tôi ủng hộ chính sách mới do nó mang lại nhiều lợi ích cho người dân và đảm bảo tính công bằng.</t>
  </si>
  <si>
    <t>Dựa trên thông tin cải cách, quy định quản lý thuế hiện nay đã được nâng cấp để phát hiện gian lận và trốn thuế. Điều này tăng cường niềm tin vào hệ thống quản lý thuế.</t>
  </si>
  <si>
    <t>Công nghệ tiên tiến giúp Nhà nước dễ dàng phát hiện các hành vi trốn thuế, đồng thời xử lý nghiêm minh hơn.</t>
  </si>
  <si>
    <t>Mức giảm trừ gia cảnh tăng lên và quy trình khai báo thuế đơn giản hơn so với trước đây, tạo thuận lợi cho người nộp thuế.</t>
  </si>
  <si>
    <t>Biểu thuế được đơn giản hóa từ 7 bậc xuống còn 5 bậc, làm giảm độ phức tạp và dễ hiểu hơn.</t>
  </si>
  <si>
    <t>Nhà nước đã cải cách quy định quản lý thuế một cách công bằng và khách quan, đảm bảo tính bình đẳng cho mọi người nộp thuế.</t>
  </si>
  <si>
    <t>Thuế tôi đóng sẽ được sử dụng hiệu quả để cải thiện dịch vụ công, như y tế và giao thông.</t>
  </si>
  <si>
    <t>Nhà nước đã cung cấp thông tin rõ ràng về mục tiêu của chính sách mới, tăng sự minh bạch và thuyết phục.</t>
  </si>
  <si>
    <t>Sau khi xem xét lợi ích từ cải cách thuế, tôi thấy đây là một quyết định đúng đắn. Tôi ủng hộ và sẽ tuân thủ chính sách mới.</t>
  </si>
  <si>
    <t>Mức giảm trừ gia cảnh và người phụ thuộc tăng, giúp giảm gánh nặng thuế cho nhiều người, đồng thời các quy định quản lý thuế được đơn giản hóa.</t>
  </si>
  <si>
    <t>Biểu thuế được đơn giản hóa từ 7 bậc xuống 5 bậc, tăng khả năng phát hiện và xử lý trốn thuế thông qua công nghệ và hệ thống quản lý điện tử.</t>
  </si>
  <si>
    <t>Các bước khai báo thuế được đơn giản hóa, đặc biệt là việc giảm từ 7 bậc xuống còn 5 bậc, giúp quá trình làm việc với cơ quan thuế nhanh chóng và tiện lợi hơn.</t>
  </si>
  <si>
    <t>Biểu thuế có ít bậc hơn, đơn giản hóa quy trình tính toán, dễ hiểu hơn so với trước đây, giảm rào cản cho người nộp thuế khi nắm bắt các quy định.</t>
  </si>
  <si>
    <t>Nhìn chung, mức giảm trừ gia cảnh và người phụ thuộc tăng lên, làm giảm gánh nặng thuế cho nhiều người, đồng thời việc đơn giản hóa biểu thuế cũng tạo ra cảm giác công bằng hơn.</t>
  </si>
  <si>
    <t>Biểu thuế mới có ít bậc hơn, mức thuế suất tương đối ổn định theo thu nhập, cho thấy sự công bằng về mặt thuế suất.</t>
  </si>
  <si>
    <t>Gánh nặng thuế được giảm nhẹ với mức giảm trừ gia cảnh và người phụ thuộc tăng lên, tạo ra niềm tin rằng số tiền đóng thuế sẽ được sử dụng hiệu quả cho các dịch vụ công.</t>
  </si>
  <si>
    <t>Nhìn chung, thông tin về việc sửa đổi thuế lần này khá rõ ràng và minh bạch, nhưng vẫn còn cần thêm các biện pháp để tăng cường giải thích cụ thể hơn cho người dân.</t>
  </si>
  <si>
    <t>Niềm tin và cảm giác công bằng từ biểu thuế mới giúp tôi sẵn sàng tuân thủ chính sách. Tuy nhiên, sự phức tạp về quản lý thuế vẫn tạo ra một số rào cản.</t>
  </si>
  <si>
    <t>Mức thuế mới cao hơn, giảm trừ gia cảnh tăng, nhưng các quy định quản lý chưa rõ ràng. Công nghệ phát hiện trốn thuế vẫn chưa được cải thiện đáng kể.</t>
  </si>
  <si>
    <t>Công nghệ phát hiện trốn thuế đã có bước tiến, nhưng vẫn còn nhiều thách thức. Nhà nước cần tiếp tục đầu tư để nâng cao hiệu quả quản lý.</t>
  </si>
  <si>
    <t>Thủ tục khai báo thuế đơn giản hơn so với trước đây, đặc biệt là mức giảm trừ gia cảnh tăng. Tuy nhiên, quy trình làm việc với cơ quan thuế vẫn chưa hoàn toàn tiện lợi.</t>
  </si>
  <si>
    <t>Cách tính thuế và các bậc thuế đơn giản hơn so với trước đây, giúp người dân dễ dàng hiểu và áp dụng.</t>
  </si>
  <si>
    <t>Nhà nước và cơ quan thuế có thể thực thi chính sách một cách công bằng hơn nhờ mức giảm trừ gia cảnh tăng. Tuy nhiên, niềm tin chưa hoàn toàn chắc chắn do còn nhiều thông tin chưa minh bạch.</t>
  </si>
  <si>
    <t>Mức thuế mới có vẻ hợp lý so với thu nhập hiện tại, nhưng vẫn cần thêm thời gian để đánh giá hiệu quả thực tế của chính sách.</t>
  </si>
  <si>
    <t>Số tiền thuế đóng sẽ được sử dụng vào các dịch vụ công, nhưng niềm tin chưa hoàn toàn chắc chắn do còn nhiều thông tin chưa minh bạch.</t>
  </si>
  <si>
    <t>Nhà nước đã giải thích một số điểm về lý do và mục tiêu của việc sửa đổi thuế, nhưng vẫn cần thêm thông tin chi tiết để thuyết phục hơn.</t>
  </si>
  <si>
    <t>Chính sách mới có lợi cho người dân với mức giảm trừ gia cảnh tăng. Tuy nhiên, niềm tin và sự minh bạch còn hạn chế nên quyết định tuân thủ vẫn cần cân nhắc kỹ lưỡng.</t>
  </si>
  <si>
    <t>Việc tăng mức giảm trừ gia cảnh và đơn giản hóa biểu thuế có thể làm giảm gian lận, nhưng thực tế vẫn cần công nghệ hiện đại để phát hiện trốn thuế. Đôi khi, do nhiều rủi ro không rõ ràng nên điểm này chưa cao.</t>
  </si>
  <si>
    <t>Việc cải cách thuế thu nhập cá nhân đã tăng cường khả năng quản lý và kiểm soát của cơ quan thuế. Công nghệ cũng được áp dụng để phát hiện trốn thuế, tuy nhiên, vẫn cần thêm thời gian để hoàn thiện.</t>
  </si>
  <si>
    <t>Mức giảm trừ gia cảnh tăng, kèm theo đơn giản hóa biểu thuế có thể làm các thủ tục khai báo thuế trở nên dễ dàng hơn. Tuy nhiên, do chưa quen với quy trình mới nên điểm này chỉ ở mức trung bình.</t>
  </si>
  <si>
    <t>Các bậc thuế ít đi và thu nhập chịu thuế cao hơn có thể giúp việc tính toán thuế trở nên đơn giản hơn. Tuy nhiên, do chưa quen với phương án mới nên điểm này chỉ ở mức trung bình.</t>
  </si>
  <si>
    <t>Nhìn chung, tôi tin rằng Nhà nước sẽ thực hiện chính sách một cách công bằng và khách quan. Tuy nhiên, do đã từng nghi ngờ về việc phát hành thông tin nên điểm này không cao.</t>
  </si>
  <si>
    <t>Mức thuế mới có thể được xem là công bằng đối với thu nhập của tôi, nhưng do chưa hoàn toàn hiểu rõ về cách tính thuế mới nên điểm này chỉ ở mức trung bình.</t>
  </si>
  <si>
    <t>Tôi tin rằng số tiền thuế đóng sẽ được sử dụng hiệu quả để cải thiện dịch vụ công. Tuy nhiên, do đã từng nghi ngờ về việc giải ngân từ quỹ thuế nên điểm này không cao.</t>
  </si>
  <si>
    <t>Nhìn chung, tôi thấy Nhà nước đã giải thích rõ ràng về lý do và mục tiêu của việc sửa đổi thuế. Tuy nhiên, do chưa hoàn toàn tin tưởng vào các thông điệp truyền thông nên điểm này không cao.</t>
  </si>
  <si>
    <t>Sau khi cân nhắc các quyền lợi và nghĩa vụ, tôi thấy chính sách mới có thể mang lại nhiều lợi ích. Tuy nhiên, do chưa hoàn toàn tin tưởng vào việc thực thi nên điểm này chỉ ở mức trung bình.</t>
  </si>
  <si>
    <t>Biểu thuế đơn giản hơn với ít bậc, giảm ngưỡng chịu thuế và tăng mức giảm trừ gia cảnh có thể làm giảm cơ hội gian lận. Công nghệ hiện đại cũng giúp phát hiện hành vi trốn thuế dễ dàng hơn.</t>
  </si>
  <si>
    <t>Công nghệ ngày càng tiên tiến, các hệ thống theo dõi và phân tích dữ liệu cho phép cơ quan thuế phát hiện và xử lý nhanh chóng các trường hợp trốn thuế.</t>
  </si>
  <si>
    <t>Biểu thuế đơn giản hơn với ít bậc có thể làm giảm thời gian khai báo, thủ tục khai báo thuế dễ dàng hơn nhưng không phải quá tiện lợi như trước đây.</t>
  </si>
  <si>
    <t>Cách tính thuế và các bậc thuế mới đơn giản hơn so với trước đây, giúp người dân hiểu rõ hơn về mức thuế của mình.</t>
  </si>
  <si>
    <t>Mức giảm trừ gia cảnh tăng lên có thể làm giảm gánh nặng thuế cho cá nhân, tạo niềm tin vào tính công bằng trong việc thực thi chính sách.</t>
  </si>
  <si>
    <t>Ngưỡng chịu thuế và bậc thuế mới có thể được xem là công bằng so với thu nhập hiện tại của tôi.</t>
  </si>
  <si>
    <t>Tăng mức giảm trừ gia cảnh có thể làm giảm gánh nặng thuế cho cá nhân, tạo niềm tin vào việc sử dụng hiệu quả số tiền thuế đã đóng.</t>
  </si>
  <si>
    <t>Thông điệp về tăng mức giảm trừ gia cảnh và đơn giản hóa biểu thuế được truyền đạt rõ ràng nhưng chưa đủ thuyết phục tôi hoàn toàn.</t>
  </si>
  <si>
    <t>Tăng mức giảm trừ gia cảnh có thể làm giảm gánh nặng thuế cho cá nhân, tạo niềm tin vào việc sử dụng hiệu quả số tiền thuế đã đóng. Tuy nhiên, quyết định cuối cùng dựa trên sự cân nhắc giữa lợi ích và nghĩa vụ.</t>
  </si>
  <si>
    <t>Cơ chế quản lý thuế hiện tại được cải tiến, tăng mức giảm trừ gia cảnh và đơn giản hóa quy trình, nhưng vẫn có rủi ro trốn thuế không bị phát hiện.</t>
  </si>
  <si>
    <t>Việc sử dụng công nghệ trong phát hiện hành vi gian lận cần thời gian triển khai và hiệu quả thực tế chưa được chứng minh.</t>
  </si>
  <si>
    <t>Quy trình làm việc với cơ quan thuế được đơn giản hóa, giảm số bậc thuế từ 7 xuống còn 5, tạo thuận lợi cho người nộp thuế.</t>
  </si>
  <si>
    <t>Mức giảm trừ gia cảnh tăng lên tạo cảm giác công bằng cho cá nhân. Tuy nhiên, mức thuế đối với thu nhập cao vẫn còn gây nghi ngờ về sự công bằng.</t>
  </si>
  <si>
    <t>Các bậc thuế mới được thiết kế để đảm bảo tính công bằng, nhưng vẫn chưa hoàn toàn thuyết phục mọi người.</t>
  </si>
  <si>
    <t>Tăng mức giảm trừ gia cảnh giúp cải thiện dịch vụ công một phần, tạo niềm tin vào việc sử dụng hiệu quả số tiền thuế thu được.</t>
  </si>
  <si>
    <t>Giải thích về lý do và mục tiêu của chính sách mới chưa thuyết phục đầy đủ người dân, đặc biệt là những người không thường xuyên theo dõi thông tin chính sách.</t>
  </si>
  <si>
    <t>Nếu mức thuế giảm đáng kể so với trước đây và quy định quản lý thuế được cải thiện, tôi sẽ ủng hộ và tuân thủ. Tuy nhiên, vẫn còn những bất ổn về công bằng.</t>
  </si>
  <si>
    <t>Việc tăng giảm trừ gia cảnh và đơn giản hóa biểu thuế có thể làm giảm động cơ trốn thuế, nhưng không loại bỏ hoàn toàn khả năng gian lận. Công nghệ hiện đại hỗ trợ phát hiện hành vi trốn thuế.</t>
  </si>
  <si>
    <t>Công nghệ tiên tiến ngày càng phát triển và có nhiều nguồn lực đầu tư vào việc phát hiện trốn thuế, do đó khả năng của cơ quan thuế trong việc phát hiện và xử lý nghiêm là cao.</t>
  </si>
  <si>
    <t>Mức giảm trừ gia cảnh tăng lên và đơn giản hóa biểu thuế có thể làm cho quá trình khai báo thuế dễ dàng hơn, giúp người dân nhanh chóng hoàn thành công việc này.</t>
  </si>
  <si>
    <t>Biểu thuế mới với số bậc giảm đi từ 7 xuống còn 5 sẽ đơn giản hóa quy trình tính thuế và làm cho nó dễ hiểu hơn, nhưng vẫn có thể phức tạp đối với người không am hiểu về thuế.</t>
  </si>
  <si>
    <t>Mức giảm trừ gia cảnh tăng lên và các thay đổi trong biểu thuế tạo cảm giác công bằng, đồng thời việc thực thi chính sách mới một cách khách quan và minh bạch cũng giúp nâng cao niềm tin.</t>
  </si>
  <si>
    <t>Mức thuế mới được thiết kế để phù hợp với thu nhập của tôi, do đó cảm thấy mức thuế này là công bằng. Tuy nhiên, vẫn có nghi ngờ về việc liệu nhà nước có thực sự sử dụng tiền thuế một cách hiệu quả hay không.</t>
  </si>
  <si>
    <t>Mức giảm trừ gia cảnh và các thay đổi trong biểu thuế tạo cảm giác tin tưởng vào việc số tiền thuế đóng sẽ được sử dụng hiệu quả để cải thiện dịch vụ công. Tuy nhiên, vẫn có sự nghi ngờ về khả năng thực hiện.</t>
  </si>
  <si>
    <t>Nhà nước đã giải thích các thay đổi trong biểu thuế và mục tiêu của chúng một cách rõ ràng nhưng tôi vẫn muốn xem thêm thông tin để đánh giá toàn diện hơn.</t>
  </si>
  <si>
    <t>Dù mức giảm trừ gia cảnh và đơn giản hóa biểu thuế tạo cảm giác thuận lợi, nhưng do còn nghi ngờ về việc thực thi chính sách một cách công bằng và hiệu quả nên quyết định tuân thủ vẫn chưa hoàn toàn chắc chắn.</t>
  </si>
  <si>
    <t>Các quy định quản lý thuế hiện nay được cải cách và tăng cường, đặc biệt là mức giảm trừ gia cảnh cao hơn. Tuy nhiên, vẫn còn nghi ngại về khả năng thực thi.</t>
  </si>
  <si>
    <t>Nhà nước đã đầu tư công nghệ để phát hiện gian lận thuế, nhưng cần thêm thời gian chứng minh hiệu quả.</t>
  </si>
  <si>
    <t>Mức giảm trừ gia cảnh cao hơn và số bậc thuế đơn giản hơn tạo cảm giác thuận tiện. Tuy nhiên, quy trình khai báo vẫn còn phức tạp.</t>
  </si>
  <si>
    <t>Nhà nước đã cải cách mức giảm trừ gia cảnh, tạo cảm giác công bằng đối với người nộp thuế. Tuy nhiên, vẫn còn nghi ngại về sự công tâm trong việc thực thi chính sách.</t>
  </si>
  <si>
    <t>Mức thuế mới được thiết kế nhằm đảm bảo tính công bằng dựa trên thu nhập, nhưng cần thêm thời gian để kiểm chứng</t>
  </si>
  <si>
    <t>Số tiền thuế đóng được sử dụng hiệu quả cho dịch vụ công, đặc biệt là y tế và đường xá. Tuy nhiên, vẫn còn nghi ngại về khả năng thực hiện.</t>
  </si>
  <si>
    <t>Nhà nước đã giải thích rõ ràng về lý do cải cách thuế nhưng vẫn cần thêm thông tin để thuyết phục</t>
  </si>
  <si>
    <t>Mức giảm trừ gia cảnh cao hơn và đơn giản hóa biểu thuế tạo cảm giác thuận lợi. Tuy nhiên, sự phức tạp của quy trình khai báo làm giảm điểm.</t>
  </si>
  <si>
    <t>Các quy định quản lý thuế hiện nay, đặc biệt là với công nghệ phát triển, tạo cơ sở để phát hiện gian lận và trốn thuế một cách hiệu quả.</t>
  </si>
  <si>
    <t>Đã có nhiều cải tiến về hệ thống quản lý thuế, công nghệ thông tin giúp nhà nước và cơ quan thuế phát hiện hành vi trốn thuế nhanh chóng hơn.</t>
  </si>
  <si>
    <t>Mức giảm trừ gia cảnh cao hơn cùng với việc đơn giản hóa quy trình khai báo thuế tạo thuận lợi cho người nộp thuế.</t>
  </si>
  <si>
    <t>Biểu thuế được rút gọn, các bậc thuế rõ ràng hơn giúp quá trình tính toán và thực hiện thuế trở nên dễ dàng hơn.</t>
  </si>
  <si>
    <t>Niềm tin vào sự công bằng của chính sách mới được tăng cường nhờ mức giảm trừ gia cảnh cao hơn, tạo cơ hội công bằng cho mọi người nộp thuế.</t>
  </si>
  <si>
    <t>Mức thuế mới có thể được xem là hợp lý đối với thu nhập hiện tại của tôi, tuy nhiên vẫn cần thêm thời gian để đánh giá thực tế.</t>
  </si>
  <si>
    <t>Tin tưởng rằng số tiền thuế đóng sẽ được sử dụng hiệu quả cho dịch vụ công, mặc dù có thể còn lo ngại về cách quản lý ngân sách.</t>
  </si>
  <si>
    <t>Nhà nước đã giải thích rõ ràng về mục tiêu cải cách thuế nhưng vẫn cần thêm thông tin để đánh giá minh bạch hơn.</t>
  </si>
  <si>
    <t>Sau khi cân nhắc, tôi ủng hộ chính sách mới với mức giảm trừ gia cảnh cao và quy trình làm việc đơn giản, song cũng lo ngại về rủi ro trốn thuế.</t>
  </si>
  <si>
    <t>Quy định quản lý thuế hiện nay đã được cải thiện đáng kể, đặc biệt là với việc tăng giảm trừ gia cảnh. Tuy nhiên, vẫn còn một số lo ngại về khả năng phát hiện và xử lý trốn thuế.</t>
  </si>
  <si>
    <t>Công nghệ hiện đại có thể hỗ trợ hiệu quả trong việc phát hiện trốn thuế, đặc biệt là với mức giảm trừ gia cảnh mới. Tuy nhiên, khả năng thực thi vẫn phụ thuộc vào nguồn lực và quyết tâm của cơ quan thuế.</t>
  </si>
  <si>
    <t>Thủ tục khai báo thuế đã đơn giản hơn với việc rút gọn biểu thuế. Điều này giúp giảm bớt thời gian và công sức cho người nộp thuế.</t>
  </si>
  <si>
    <t>Cách tính thuế mới có thể dễ hiểu hơn nhờ việc giảm số bậc thuế, nhưng mức thuế vẫn cần cân nhắc kỹ để đảm bảo công bằng.</t>
  </si>
  <si>
    <t>Nhà nước đã cải thiện quy định về giảm trừ gia cảnh, tạo ra cơ hội công bằng hơn cho người nộp thuế. Tuy nhiên, việc thực thi chính sách vẫn cần được cải thiện.</t>
  </si>
  <si>
    <t>Mức thuế mới được thiết kế để cân đối giữa các nhóm thu nhập khác nhau, tạo ra sự công bằng hơn so với trước đây. Tuy nhiên, mức thuế cụ thể cho từng nhóm vẫn cần thêm thông tin.</t>
  </si>
  <si>
    <t>Giảm trừ gia cảnh mới có thể giúp cải thiện dịch vụ công, nhưng hiệu quả thực tế phụ thuộc vào sử dụng nguồn thu thuế một cách hợp lý và minh bạch.</t>
  </si>
  <si>
    <t>Đã có thông tin giải thích về các thay đổi mới, tuy nhiên việc truyền tải đầy đủ và chính xác vẫn cần được cải thiện. Tuy nhiên, mức độ công bằng của thuế đã được cải thiện.</t>
  </si>
  <si>
    <t>Các quyền lợi từ giảm trừ gia cảnh mới có thể giúp tăng sự ủng hộ cho chính sách này. Tuy nhiên, cần thêm thông tin về cách sử dụng nguồn thu ngân sách để tăng khả năng tuân thủ.</t>
  </si>
  <si>
    <t>Cải cách thuế TNCN bao gồm nhiều biện pháp quản lý, nhưng không có thông tin cụ thể về công nghệ phát hiện gian lận. Điều này gây ra một số lo ngại.</t>
  </si>
  <si>
    <t>Ngày nay, Nhà nước và cơ quan thuế đã ứng dụng nhiều công nghệ trong quản lý thuế, tăng khả năng phát hiện trốn thuế, nhưng không biết chi tiết về mức độ hiệu quả.</t>
  </si>
  <si>
    <t>Số bậc thuế giảm từ 7 xuống còn 5, cùng với việc đơn giản hóa quy trình khai báo và làm việc với cơ quan thuế. Điều này tạo cảm giác thuận tiện hơn cho người nộp thuế.</t>
  </si>
  <si>
    <t>Cách tính thuế mới được đơn giản hóa từ 7 bậc xuống còn 5, dễ hiểu và thực hiện nhanh chóng hơn so với trước đây. Tuy nhiên, mức độ thuận tiện này phụ thuộc vào từng trường hợp cụ thể.</t>
  </si>
  <si>
    <t>Mức giảm trừ gia cảnh tăng mạnh, tạo cảm giác công bằng hơn đối với người nộp thuế. Tuy nhiên, không có thông tin rõ ràng về cách thực thi chính sách mới.</t>
  </si>
  <si>
    <t>Đối với mức thu nhập của tôi, việc cải cách thuế mới đã giúp giảm gánh nặng về thuế, tạo cảm giác công bằng. Tuy nhiên, vẫn cần thêm thông tin để đánh giá rõ ràng hơn.</t>
  </si>
  <si>
    <t>Mức tăng giảm trừ gia cảnh và mức thuế mới được cải cách có thể giúp tôi tin rằng số tiền đóng thuế sẽ được sử dụng hiệu quả. Tuy nhiên, không có thông tin chi tiết về việc sử dụng nguồn thu.</t>
  </si>
  <si>
    <t>Nhà nước đã công bố thông tin chính thức về cải cách thuế mới nhưng vẫn cần thêm giải thích rõ ràng về mục tiêu và lý do của cải cách để tôi có thể đánh giá quyết định của mình.</t>
  </si>
  <si>
    <t>Sau khi xem xét các quyền lợi và nghĩa vụ, với mức giảm trừ gia cảnh tăng mạnh cùng việc đơn giản hóa quy trình khai báo thuế, tôi sẽ ủng hộ chính sách mới. Tuy nhiên, cần thêm thông tin về cách thực thi để quyết định cuối cùng.</t>
  </si>
  <si>
    <t>Quy định quản lý thuế hiện nay được cải cách với nhiều biện pháp phát hiện gian lận, trốn thuế. Việc này tăng cơ hội bị phát hiện và xử lý nghiêm các hành vi sai phạm.</t>
  </si>
  <si>
    <t>Công nghệ hiện đại như AI, Big Data được áp dụng trong quản lý thuế có thể giúp nhà nước phát hiện trốn thuế hiệu quả hơn. Tuy nhiên, vẫn cần cải thiện về mặt thực thi.</t>
  </si>
  <si>
    <t>Mức giảm trừ gia cảnh tăng và quy trình khai báo đơn giản hơn, tạo thuận lợi cho người dân nộp thuế. Các bước làm việc với cơ quan thuế cũng được cải tiến.</t>
  </si>
  <si>
    <t>Biểu thuế đơn giản hóa từ 7 bậc xuống còn 5 bậc, giảm độ phức tạp và tăng tính dễ hiểu cho người dân. Cách tính thuế mới phù hợp với thực tế hơn.</t>
  </si>
  <si>
    <t>Niềm tin vào sự công bằng của Nhà nước trong việc thực thi chính sách mới tăng lên do các cải cách về giảm trừ gia cảnh và đơn giản hóa biểu thuế.</t>
  </si>
  <si>
    <t>Mức thuế mới phù hợp với thu nhập của tôi, tạo cảm giác công bằng. Tuy nhiên, vẫn cần thêm minh bạch từ Nhà nước để tăng mức độ tin tưởng.</t>
  </si>
  <si>
    <t>Niềm tin vào việc số tiền thuế đóng sẽ được sử dụng hiệu quả cho dịch vụ công chưa cao do kinh nghiệm trong quá khứ về quản lý tài chính của Nhà nước.</t>
  </si>
  <si>
    <t>Nhà nước đã giải thích rõ ràng các thay đổi trong biểu thuế nhưng vẫn cần thêm minh bạch về mục tiêu và hiệu quả thực hiện chính sách mới.</t>
  </si>
  <si>
    <t>Sau khi xem xét các quyền lợi, nghĩa vụ và cải cách mới, tôi ủng hộ và tuân thủ chính sách mới. Tuy nhiên, vẫn cần thêm minh bạch từ Nhà nước để tăng mức độ tin tưởng.</t>
  </si>
  <si>
    <t>Biên pháp thuế mới có quy định giảm trừ gia cảnh lớn hơn, tạo áp lực giảm đáng kể cho người nộp thuế. Ngoài ra, các công nghệ phát hiện gian lận ngày càng tiên tiến.</t>
  </si>
  <si>
    <t>Công nghệ và nguồn lực của cơ quan thuế được đầu tư cải thiện, tăng cường khả năng phát hiện và xử lý trốn thuế hiệu quả hơn.</t>
  </si>
  <si>
    <t>Mức giảm trừ gia cảnh tăng và biểu thuế đơn giản hóa tạo thuận lợi cho quá trình khai báo thuế và giao tiếp với cơ quan thuế.</t>
  </si>
  <si>
    <t>Biểu thuế mới có ít bậc hơn, dễ hiểu và dễ thực hiện so với trước đây.</t>
  </si>
  <si>
    <t>Nhà nước đã tăng mức giảm trừ gia cảnh và đơn giản hóa biểu thuế, tạo cảm giác công bằng trong việc phân bổ gánh nặng thuế.</t>
  </si>
  <si>
    <t>Mức thuế mới được thiết kế sao cho phù hợp với thu nhập trung bình của tôi, tạo cảm giác mức thuế đóng là công bằng.</t>
  </si>
  <si>
    <t>Tăng mức giảm trừ gia cảnh và đơn giản hóa biểu thuế có thể giúp cải thiện dịch vụ công và y tế.</t>
  </si>
  <si>
    <t>Nhà nước đã tăng cường truyền thông về các thay đổi trong biểu thuế, tạo ra sự minh bạch hơn về lý do và mục tiêu của việc sửa đổi.</t>
  </si>
  <si>
    <t>Tăng mức giảm trừ gia cảnh và đơn giản hóa biểu thuế tạo thuận lợi cho người nộp thuế và nâng cao tính công bằng trong phân bổ gánh nặng thuế.</t>
  </si>
  <si>
    <t>Theo thông tin, các quy định quản lý thuế hiện nay đã được cải thiện, nhưng vẫn cần sự hỗ trợ từ công nghệ để phát hiện trốn thuế. Việc tăng giảm trừ gia cảnh và đơn giản hóa biểu thuế có thể làm giảm nguy cơ trốn thuế.</t>
  </si>
  <si>
    <t>Nhà nước đã đầu tư vào các công nghệ để phát hiện trốn thuế, nhưng vẫn phụ thuộc vào sự tuân thủ của người nộp thuế. Tăng cường quản lý và sử dụng công nghệ sẽ làm giảm nguy cơ trốn thuế.</t>
  </si>
  <si>
    <t>Biểu thuế được đơn giản hóa từ 7 bậc xuống 5, đồng thời mức giảm trừ gia cảnh tăng lên, giúp quá trình khai báo thuế trở nên dễ dàng hơn. Quy trình làm việc với cơ quan thuế cũng đã được cải thiện.</t>
  </si>
  <si>
    <t>Biểu thuế mới đơn giản hóa từ 7 bậc xuống 5, mức giảm trừ gia cảnh tăng lên, và quy định về thuế thu nhập cá nhân dễ hiểu hơn. Điều này làm cho việc tính thuế trở nên dễ dàng hơn.</t>
  </si>
  <si>
    <t>Thu nhập tối thiểu chịu thuế đã tăng, đồng thời mức giảm trừ gia cảnh cũng tăng lên, tạo cảm giác công bằng và khách quan khi thực thi chính sách. Tuy nhiên, vẫn cần sự minh bạch trong việc thực thi để đảm bảo công bằng.</t>
  </si>
  <si>
    <t>Biểu thuế mới đơn giản hơn với số bậc giảm, đồng thời mức giảm trừ gia cảnh tăng lên, tạo cảm giác công bằng về mức thuế phải đóng. Tuy nhiên, cần xem xét tổng thể để đánh giá.</t>
  </si>
  <si>
    <t>Thu nhập tối thiểu chịu thuế đã tăng và mức giảm trừ gia cảnh cũng tăng lên, tạo cảm giác tin tưởng rằng số tiền thuế đóng sẽ được sử dụng hiệu quả. Tuy nhiên, cần minh bạch trong việc sử dụng ngân sách.</t>
  </si>
  <si>
    <t>Thông tin về lý do và mục tiêu của việc sửa đổi thuế đã được cải thiện so với trước đây, nhưng vẫn cần thêm thông tin để thuyết phục người dân. Tuy nhiên, sự minh bạch này tạo cảm giác trách nhiệm cao hơn.</t>
  </si>
  <si>
    <t>Chính sách mới mang lại lợi ích tài chính và đơn giản hóa quy trình khai báo thuế, đồng thời mức giảm trừ gia cảnh tăng lên. Tuy nhiên, cần xem xét tổng thể về công bằng và minh bạch trong thực thi để quyết định.</t>
  </si>
  <si>
    <t>Chính sách mới có tăng mức giảm trừ gia cảnh và đơn giản hóa quy trình, nhưng vẫn chưa thể hoàn toàn loại bỏ việc trốn thuế do tính chất phức tạp của nó. Công nghệ hiện đại giúp phát hiện dễ dàng hơn.</t>
  </si>
  <si>
    <t>Công nghệ hiện đại và hệ thống quản lý thuế mới có khả năng phát hiện hành vi gian lận, tuy nhiên vẫn cần sự giám sát chặt chẽ của cơ quan thuế.</t>
  </si>
  <si>
    <t>Số bậc thuế giảm từ 7 xuống 5, quy trình khai báo đơn giản hơn. Tuy nhiên, việc làm việc với cơ quan thuế vẫn cần thời gian và công sức.</t>
  </si>
  <si>
    <t>Cách tính thuế mới đơn giản hóa so với trước đây, các bậc thuế rõ ràng hơn, dễ hiểu hơn. Tuy nhiên, việc áp dụng thực tế còn phụ thuộc vào cách triển khai.</t>
  </si>
  <si>
    <t>Nhà nước đã cải thiện quy định giảm trừ gia cảnh và đơn giản hóa biểu thuế. Điều này tăng niềm tin rằng chính sách mới sẽ công bằng hơn đối với mọi người nộp thuế.</t>
  </si>
  <si>
    <t>Mức thuế mới có vẻ hợp lý so với thu nhập hiện tại của tôi, nhưng cần xem xét thêm về hiệu quả sử dụng tiền thuế trong tương lai.</t>
  </si>
  <si>
    <t>Tôi tin rằng số tiền thuế đóng sẽ được sử dụng hiệu quả để cải thiện dịch vụ công, tuy nhiên cần thời gian để kiểm chứng.</t>
  </si>
  <si>
    <t>Nhà nước đã giải thích về mục tiêu của chính sách mới một cách rõ ràng. Tuy nhiên, sự minh bạch trong quá trình thực hiện vẫn chưa hoàn hảo.</t>
  </si>
  <si>
    <t>Chính sách mới có lợi cho tôi do giảm trừ gia cảnh cao hơn và đơn giản hóa quy trình khai báo. Tôi sẽ tuân thủ với sự cam kết của chính phủ.</t>
  </si>
  <si>
    <t>Chính sách mới có mức giảm trừ gia cảnh cao hơn, giúp giảm gánh nặng thuế và tạo thêm niềm tin vào hệ thống thuế. Tuy nhiên, khả năng phát hiện trốn thuế phụ thuộc nhiều vào công nghệ và nguồn lực của cơ quan thuế.</t>
  </si>
  <si>
    <t>Công nghệ ngày càng tiên tiến giúp phát hiện hành vi gian lận một cách hiệu quả hơn. Việc tăng cường quản lý thuế cũng nâng cao khả năng xử lý nghiêm các trường hợp trốn thuế.</t>
  </si>
  <si>
    <t>Biểu thuế đơn giản hóa từ 7 bậc xuống còn 5 bậc, giảm bớt sự phức tạp và giúp người dân dễ dàng khai báo hơn. Các quy trình làm việc với cơ quan thuế cũng được cải thiện.</t>
  </si>
  <si>
    <t>Phương án mới đơn giản hóa các bậc thuế, giảm số bậc từ 7 xuống còn 5, giúp người dân dễ dàng tính toán và hiểu rõ hơn về mức thuế phải đóng. Đây là điểm cải tiến đáng kể.</t>
  </si>
  <si>
    <t>Nhà nước đã giải thích công khai về các thay đổi trong chính sách thuế, tạo sự minh bạch cho người dân. Tuy nhiên, việc thực thi chính sách vẫn cần cải thiện để đảm bảo khách quan và công bằng.</t>
  </si>
  <si>
    <t>Mức thuế mới được thiết kế dựa trên thu nhập của cá nhân, tạo sự công bằng cho người dân. Tuy nhiên, việc áp dụng cụ thể vẫn cần kiểm chứng để đảm bảo tính công bằng.</t>
  </si>
  <si>
    <t>Tiền thuế đóng góp vào các dịch vụ công và cải thiện chất lượng cuộc sống của người dân. Mức giảm trừ gia cảnh tăng cao giúp tạo thêm niềm tin vào việc sử dụng hiệu quả số tiền đã đóng.</t>
  </si>
  <si>
    <t>Nhà nước đã giải thích rõ ràng về lý do và mục tiêu của việc sửa đổi thuế. Tuy nhiên, mức độ thuyết phục phụ thuộc vào trải nghiệm thực tế khi áp dụng chính sách mới.</t>
  </si>
  <si>
    <t>Sau khi xem xét các quyền lợi và nghĩa vụ, tôi thấy chính sách mới mang lại nhiều lợi ích. Tuy nhiên, quyết định tuân thủ còn phụ thuộc vào mức độ tin tưởng vào thực thi chính sách.</t>
  </si>
  <si>
    <t>Tăng mức giảm trừ gia cảnh và đơn giản hóa biểu thuế có thể làm giảm số lượng người nộp thuế, nhưng không chắc chắn về khả năng phát hiện trốn thuế. Công nghệ hiện đại giúp tăng cường giám sát.</t>
  </si>
  <si>
    <t>Công nghệ hiện đại như AI và big data được sử dụng trong quản lý thuế có thể phát hiện các hành vi gian lận nhanh chóng và chính xác. Chính phủ đã đầu tư vào hệ thống này.</t>
  </si>
  <si>
    <t>Biểu thuế đơn giản hơn nhưng vẫn giữ nguyên số bậc, nên thủ tục khai báo chưa phải là vấn đề lớn. Quá trình làm việc với cơ quan thuế có thể trở nên dễ dàng hơn.</t>
  </si>
  <si>
    <t>Cách tính thuế mới đơn giản hóa quá trình tính toán nhưng vẫn giữ nguyên số bậc, không thay đổi nhiều so với trước đây. Tuy nhiên, việc hiểu rõ các quy định mới có thể mất thời gian.</t>
  </si>
  <si>
    <t>Mức giảm trừ gia cảnh tăng lên và đơn giản hóa biểu thuế có thể làm cho hệ thống trở nên công bằng hơn đối với người dân. Tuy nhiên, vẫn cần thêm thời gian để thấy hiệu quả thực tế.</t>
  </si>
  <si>
    <t>Mức thu nhập chịu thuế và bậc thuế mới có thể được xem là hợp lý cho những người ở mức thu nhập trung bình. Tuy nhiên, vẫn còn nhiều yếu tố khác ảnh hưởng đến công bằng.</t>
  </si>
  <si>
    <t>Giảm trừ gia cảnh tăng lên và đơn giản hóa biểu thuế có thể làm cho việc sử dụng số tiền thuế đóng vào các dịch vụ công hiệu quả hơn. Tuy nhiên, vẫn cần thêm thời gian để thấy hiệu quả thực tế.</t>
  </si>
  <si>
    <t>Thông tin về lý do và mục tiêu của việc sửa đổi thuế chưa được truyền đạt rõ ràng đến người dân. Điều này có thể làm giảm niềm tin vào quyết định của chính phủ.</t>
  </si>
  <si>
    <t>Mức thu nhập chịu thuế thấp hơn và giảm trừ gia cảnh cao hơn có thể khiến tôi ủng hộ chính sách. Tuy nhiên, vẫn cần thêm thời gian để thấy hiệu quả thực tế và hiểu rõ các quy định mới.</t>
  </si>
  <si>
    <t>Chính sách mới có tăng mạnh mức giảm trừ gia cảnh, giúp giảm gánh nặng thuế cho người dân. Tuy nhiên, khả năng phát hiện trốn thuế phụ thuộc nhiều vào công nghệ và nguồn lực của cơ quan thuế.</t>
  </si>
  <si>
    <t>Công nghệ ngày càng tiên tiến, giúp tăng cường khả năng phát hiện các hành vi gian lận. Tuy nhiên, vẫn cần thời gian để triển khai và đào tạo nhân viên.</t>
  </si>
  <si>
    <t>Biểu thuế được đơn giản hóa từ 7 bậc xuống còn 5 bậc, làm giảm rào cản cho người dân trong việc khai báo thuế. Các quy trình cũng trở nên nhanh chóng hơn.</t>
  </si>
  <si>
    <t>Cách tính thuế và các bậc thuế mới đơn giản hơn, dễ hiểu và dễ thực hiện hơn so với trước đây. Điều này giúp người dân nắm bắt chính sách một cách thuận lợi hơn.</t>
  </si>
  <si>
    <t>Nhà nước đã tăng cường giảm trừ gia cảnh, tạo cơ hội công bằng hơn cho mọi đối tượng. Tuy nhiên, việc thực thi chính sách vẫn cần thời gian để chứng minh.</t>
  </si>
  <si>
    <t>Mức thuế mới được thiết kế dựa trên thu nhập của người dân, tạo cảm giác công bằng hơn so với trước đây. Tuy nhiên, vẫn có sự đa dạng về mức thu nhập nên mức độ công bằng khác nhau.</t>
  </si>
  <si>
    <t>Thuế mới được sử dụng cho các dịch vụ công như y tế và đường xá, tạo niềm tin rằng thuế đóng góp vào lợi ích cộng đồng. Tuy nhiên, việc sử dụng hiệu quả nguồn thu còn phụ thuộc vào quản lý chi tiêu của chính phủ.</t>
  </si>
  <si>
    <t>Nhà nước đã tăng cường thông tin minh bạch về mục đích và lý do sửa đổi thuế. Tuy nhiên, sự hiểu biết đầy đủ từ người dân còn cần thời gian để hình thành.</t>
  </si>
  <si>
    <t>Tăng giảm trừ gia cảnh giúp giảm gánh nặng thuế cho cá nhân. Mức độ ủng hộ phụ thuộc vào việc thực thi chính sách và niềm tin về hiệu quả sử dụng nguồn thu.</t>
  </si>
  <si>
    <t>Cải cách thuế TNCN không đề cập đến việc tăng cường khả năng phát hiện gian lận, do đó tôi nghi ngờ rằng khả năng phát hiện trốn thuế sẽ không thay đổi đáng kể. Hơn nữa, với mức giảm trừ gia cảnh và bậc thuế mới, có thể hành vi trốn thuế càng dễ dàng hơn.</t>
  </si>
  <si>
    <t>Nếu cải cách chỉ tập trung vào việc đơn giản hóa quy trình khai báo và không tăng cường công nghệ phát hiện gian lận, tôi tin rằng khả năng phát hiện trốn thuế sẽ không thay đổi đáng kể. Công nghệ hiện tại chưa chắc đã được nâng cấp để đối phó với tình hình mới.</t>
  </si>
  <si>
    <t>Biểu thuế đơn giản hơn và có nhiều mức giảm trừ gia cảnh, do đó quy trình khai báo thuế trở nên thuận tiện hơn. Mức giảm trừ gia cảnh tăng giúp tôi tiết kiệm được một khoản đáng kể.</t>
  </si>
  <si>
    <t>Biểu thuế mới với số bậc giảm từ 7 xuống còn 5, cộng với việc cải tiến về quy trình khai báo, đã làm cho quá trình tính thuế và phân loại thu nhập trở nên dễ dàng hơn.</t>
  </si>
  <si>
    <t>Những thay đổi về mức giảm trừ gia cảnh và bậc thuế mới có thể được xem là công bằng, nhưng tôi không chắc chắn rằng Nhà nước sẽ thực thi chính sách một cách khách quan và công bình đối với mọi người nộp thuế. Sự phức tạp của cải cách làm tăng độ nghi ngờ.</t>
  </si>
  <si>
    <t>Mức thuế mới có thể được xem là hợp lý so với thu nhập hiện tại, nhưng tôi không hoàn toàn chắc chắn rằng việc phân bổ nguồn lực tài chính vào các dịch vụ công sẽ hiệu quả và công bằng.</t>
  </si>
  <si>
    <t>Tôi tin tưởng số tiền thuế tôi đóng có thể được sử dụng hiệu quả cho cải tiến các dịch vụ công, nhưng độ phức tạp của cải cách làm tăng sự nghi ngờ về cách quản lý nguồn lực này.</t>
  </si>
  <si>
    <t>Trong quá trình xem xét thông tin từ nhiều nguồn khác nhau, tôi thấy Nhà nước đã giải thích một cách rõ ràng và minh bạch về mục tiêu của cải cách thuế. Tuy nhiên, tôi vẫn cần thêm thời gian để đánh giá hiệu quả thực tế.</t>
  </si>
  <si>
    <t>Đối với mức giảm trừ gia cảnh tăng lên và bậc thuế mới đơn giản hơn, tôi thấy có lợi cho bản thân nên sẽ ủng hộ. Tuy nhiên, do độ phức tạp của cải cách và sự nghi ngờ về khả năng quản lý nguồn lực hiệu quả, tôi chưa chắc chắn về việc tuân thủ hoàn toàn.</t>
  </si>
  <si>
    <t>Mức giảm trừ gia cảnh tăng, giúp bảo vệ thu nhập thấp. Các quy định quản lý thuế có thể phát hiện gian lận nhưng chưa rõ công nghệ cụ thể.</t>
  </si>
  <si>
    <t>Công nghệ số hóa và hệ thống điện tử hóa dữ liệu của cơ quan thuế giúp tăng khả năng phát hiện trốn thuế, nhưng vẫn phụ thuộc vào hiệu suất thực thi.</t>
  </si>
  <si>
    <t>Biểu thuế đơn giản hơn, giảm bớt rắc rối trong quá trình khai báo. Tuy nhiên, quy trình làm việc với cơ quan thuế vẫn khá phức tạp.</t>
  </si>
  <si>
    <t>Cách tính thuế và bậc thuế mới dễ hiểu nhưng mức thuế có thể cao hơn so với trước đây đối với thu nhập cao.</t>
  </si>
  <si>
    <t>Niềm tin vào cơ quan thuế được cải thiện nhờ tăng giảm trừ gia cảnh. Tuy nhiên, vẫn còn nhiều vấn đề về công bằng trong việc áp dụng mức thuế.</t>
  </si>
  <si>
    <t>Thuế mới có thể không công bằng với mọi người vì những thay đổi chưa rõ ràng và ảnh hưởng khác nhau đối với các nhóm thu nhập.</t>
  </si>
  <si>
    <t>Công khai trong việc giải thích lý do sửa đổi thuế tốt, nhưng vẫn cần cải thiện về hiệu quả sử dụng số tiền thuế thu được.</t>
  </si>
  <si>
    <t>Giải thích về mục tiêu của chính sách mới đầy đủ, giúp người dân hiểu rõ hơn về thay đổi</t>
  </si>
  <si>
    <t>Sau khi cân nhắc các quyền lợi và nghĩa vụ, tôi ủng hộ chính sách mới vì giảm gánh nặng thuế cho thu nhập thấp. Tuy nhiên, vẫn có sự lo ngại về công bằng trong việc áp dụng mức thuế.</t>
  </si>
  <si>
    <t>Các quy định quản lý thuế hiện nay đã được cải cách, tăng cường giảm trừ gia cảnh, đơn giản hóa biểu thuế. Tuy nhiên, việc phát hiện và xử lý trốn thuế vẫn phụ thuộc vào hiệu quả của công nghệ và năng lực quản lý.</t>
  </si>
  <si>
    <t>Năng lực công nghệ của cơ quan thuế được nâng cao thông qua các cải cách. Tuy nhiên, thực tế việc phát hiện trốn thuế còn phụ thuộc vào nhiều yếu tố khác như quy trình quản lý và hợp tác giữa các bên.</t>
  </si>
  <si>
    <t>Các thủ tục khai báo thuế đã đơn giản hơn. Việc tăng giảm trừ gia cảnh giúp việc làm việc với cơ quan thuế dễ dàng hơn so với trước đây.</t>
  </si>
  <si>
    <t>Biểu thuế mới có ít bậc hơn, do đó việc tính thuế và thực hiện các quy định trở nên đơn giản và rõ ràng hơn.</t>
  </si>
  <si>
    <t>Việc cải cách thuế đã tăng giảm trừ gia cảnh, đồng thời đơn giản hóa biểu thuế. Tuy nhiên, mức độ công tâm còn phụ thuộc vào cách thực thi.</t>
  </si>
  <si>
    <t>Mức thuế mới được thiết kế nhằm đảm bảo tính công bằng cho người có thu nhập tương tự. Tuy nhiên, việc đánh giá mức thuế công bằng vẫn cần thời gian để nhìn nhận.</t>
  </si>
  <si>
    <t>Thuê mới sẽ được sử dụng hiệu quả hơn để cải thiện dịch vụ công. Tuy nhiên, hiệu quả thực tế phụ thuộc vào quản lý và sử dụng ngân sách một cách minh bạch.</t>
  </si>
  <si>
    <t>Nhà nước đã giải thích rõ ràng về mục tiêu cải cách thuế mới. Tuy nhiên, mức độ thuyết phục còn phụ thuộc vào sự minh bạch và triển khai thực tế của chính sách.</t>
  </si>
  <si>
    <t>Cải cách thuế mang lại nhiều lợi ích như tăng giảm trừ gia cảnh và đơn giản hóa biểu thuế. Tuy nhiên, quyết định ủng hộ hay phản đối vẫn phụ thuộc vào việc đánh giá tổng thể của chính sách.</t>
  </si>
  <si>
    <t>Trong hoàn cảnh hiện tại, việc áp dụng công nghệ trong quản lý thuế đã giúp phát hiện và xử lý các hành vi gian lận. Tuy nhiên, vẫn có nguy cơ trốn thuế nếu người nộp thuế cẩn thận.</t>
  </si>
  <si>
    <t>Công nghệ ngày càng tiên tiến, cùng với sự cải cách quản lý thuế, khả năng phát hiện và xử lý trốn thuế sẽ tăng lên. Tuy nhiên, vẫn cần phải tiếp tục cải thiện để đảm bảo hiệu quả.</t>
  </si>
  <si>
    <t>Các quy định về giảm trừ gia cảnh và đơn giản hóa biểu thuế giúp việc khai báo trở nên dễ dàng hơn. Tuy nhiên, quy trình làm việc với cơ quan thuế vẫn còn phức tạp.</t>
  </si>
  <si>
    <t>Bài toán tính thuế và các bậc thuế mới đã đơn giản hóa so với trước đây. Đây là một cải tiến đáng kể.</t>
  </si>
  <si>
    <t>Mức giảm trừ gia cảnh cao hơn có thể tạo niềm tin rằng chính sách đang đối xử công bằng, nhưng cần thêm thời gian để xem xét thực thi.</t>
  </si>
  <si>
    <t>Nhìn chung mức thuế mới này là hợp lý cho thu nhập hiện tại của tôi. Tôi cảm thấy mình đóng góp một cách công bằng.</t>
  </si>
  <si>
    <t>Niềm tin rằng số tiền thuế đóng sẽ được sử dụng hiệu quả vào các dịch vụ công vẫn còn hạn chế do kinh nghiệm trước đây về quản lý ngân sách.</t>
  </si>
  <si>
    <t>Giải thích về mục tiêu và lý do của chính sách mới đã cải thiện, nhưng tôi vẫn cần thêm thông tin để đánh giá đầy đủ.</t>
  </si>
  <si>
    <t>Tính toán lại lợi ích và nghĩa vụ, tôi thấy rằng các quyền lợi từ chính sách mới này xứng đáng với trách nhiệm của mình. Tôi sẽ ủng hộ và tuân thủ.</t>
  </si>
  <si>
    <t>Biểu thuế đơn giản hơn giúp quản lý dễ dàng và phát hiện gian lận thuận lợi. Mức giảm trừ gia cảnh tăng cũng làm giảm khả năng trốn thuế.</t>
  </si>
  <si>
    <t>Công nghệ ngày càng tiến bộ, cùng với quy định quản lý chặt chẽ hơn sẽ giúp phát hiện và xử lý trốn thuế hiệu quả. Cơ quan thuế có nhiều nguồn lực để thực hiện điều này.</t>
  </si>
  <si>
    <t>Mức giảm trừ gia cảnh tăng, cùng với biểu thuế đơn giản giúp việc khai báo thuế dễ dàng hơn. Quy trình làm việc với cơ quan thuế cũng được cải thiện.</t>
  </si>
  <si>
    <t>Biểu thuế đã được đơn giản hóa từ 7 bậc xuống 5 bậc, đồng thời mức giảm trừ gia cảnh tăng giúp việc tính thuế trở nên dễ dàng hơn.</t>
  </si>
  <si>
    <t>Nhìn chung, các quy định mới có vẻ khách quan và công bằng. Mức giảm trừ gia cảnh tăng cũng làm giảm gánh nặng về thuế.</t>
  </si>
  <si>
    <t>Mức thuế mới dựa trên thu nhập của tôi là hợp lý. Tuy nhiên, cần xem xét hiệu quả thực tế khi sử dụng số tiền này cho các dịch vụ công.</t>
  </si>
  <si>
    <t>Hiệu quả sử dụng số tiền thuế vào các dịch vụ công phụ thuộc nhiều vào cách quản lý và thực hiện. Hi vọng cơ quan chức năng sẽ xử lý hiệu quả.</t>
  </si>
  <si>
    <t>Các thông tin về việc sửa đổi thuế mới được cung cấp một cách minh bạch, tuy nhiên, cần xem xét kỹ hơn về mục tiêu và thực hiện của chính sách này.</t>
  </si>
  <si>
    <t>Mức giảm trừ gia cảnh tăng cùng với biểu thuế đơn giản có thể khiến tôi ủng hộ chính sách. Tuy nhiên, vẫn còn một số bất ổn về hiệu quả thực tế khi sử dụng số tiền thuế vào các dịch vụ công.</t>
  </si>
  <si>
    <t>Nguyên tắc quản lý thuế mới đã được cải thiện, tăng mức giảm trừ gia cảnh và đơn giản hóa biểu thuế. Tuy nhiên, việc phát hiện gian lận vẫn phụ thuộc vào công nghệ và nguồn lực của cơ quan thuế.</t>
  </si>
  <si>
    <t>Công nghệ hiện đại giúp tăng khả năng phát hiện trốn thuế, nhưng cần thời gian để triển khai và tối ưu hóa. Cơ quan thuế vẫn chưa đủ công nghệ tiên tiến như các nước tiên tiến.</t>
  </si>
  <si>
    <t>Các quy định về giảm trừ gia cảnh mới giúp tiết kiệm chi phí, nhưng quy trình làm việc với cơ quan thuế không có thay đổi rõ ràng. Việc khai báo vẫn khá phức tạp.</t>
  </si>
  <si>
    <t>Biểu thuế đơn giản hơn nhưng cần thời gian để người dân và doanh nghiệp thích ứng. Cách tính thuế mới dễ hiểu hơn, giảm bớt sự phức tạp.</t>
  </si>
  <si>
    <t>Niềm tin vào công bằng trong việc thực thi chính sách mới tăng lên do mức giảm trừ gia cảnh cao hơn và đơn giản hóa biểu thuế. Tuy nhiên, vẫn còn nhiều người nghi ngờ về cách triển khai.</t>
  </si>
  <si>
    <t>Mức thuế mới có thể được coi là công bằng đối với thu nhập hiện tại của tôi, nhưng cần xem xét thời gian để thấy hiệu quả thực tế. Đã có thông tin giải thích về mục tiêu chính sách.</t>
  </si>
  <si>
    <t>Niềm tin vào việc sử dụng số tiền thuế đóng cho cải thiện dịch vụ công đã tăng lên do mức giảm trừ gia cảnh cao hơn và đơn giản hóa biểu thuế. Tuy nhiên, cần thời gian để thấy hiệu quả thực tế.</t>
  </si>
  <si>
    <t>Đã có thông tin giải thích rõ ràng về mục tiêu chính sách mới, nhưng vẫn cần thêm thời gian để đánh giá sự minh bạch và độ tin cậy của thông điệp truyền đạt. Tuy nhiên, mức giảm trừ gia cảnh cao hơn đã tăng niềm tin.</t>
  </si>
  <si>
    <t>Niềm tin vào chính sách mới đã tăng lên do mức giảm trừ gia cảnh cao hơn và đơn giản hóa biểu thuế. Tuy nhiên, quyết định tuân thủ phụ thuộc vào việc xem xét lợi ích thực tế từ chính sách.</t>
  </si>
  <si>
    <t>Quy định quản lý thuế hiện nay được cải thiện đáng kể, đặc biệt là với mức giảm trừ gia cảnh cao hơn. Đây có thể tăng khả năng phát hiện và xử lý trốn thuế.</t>
  </si>
  <si>
    <t>Công nghệ hiện đại giúp nhà nước theo dõi hiệu quả thu nộp thuế, từ đó dễ dàng xác định các hành vi trốn thuế. Tuy nhiên, vẫn cần cải thiện về khả năng phát hiện.</t>
  </si>
  <si>
    <t>Thủ tục khai báo thuế và quy trình làm việc với cơ quan thuế được đơn giản hóa đáng kể, giúp người dân thuận tiện hơn khi thực hiện các nghĩa vụ thuế.</t>
  </si>
  <si>
    <t>Cách tính thuế mới và số bậc thuế giảm đi làm cho quá trình tính thuế trở nên dễ hiểu và thực hiện nhanh chóng hơn so với trước đây.</t>
  </si>
  <si>
    <t>Nhà nước đã cải thiện quy định về mức giảm trừ gia cảnh, tạo ra một môi trường thuế công bằng hơn. Tuy nhiên, vẫn còn những lo ngại về việc thực thi chính sách.</t>
  </si>
  <si>
    <t>Thuế mới được thiết kế phù hợp với thu nhập của tôi, làm cho nó trở nên công bằng hơn so với trước đây. Tuy nhiên, mức thuế vẫn cao đối với thu nhập trung bình.</t>
  </si>
  <si>
    <t>Nhà nước đã sử dụng hiệu quả số tiền thuế thu được để cải thiện các dịch vụ công, tạo ra sự tin tưởng cho người dân. Tuy nhiên, vẫn có những lo ngại về việc giải ngân kinh phí.</t>
  </si>
  <si>
    <t>Nhà nước đã tăng cường truyền thông về chính sách thuế mới, nhưng vẫn còn cần cải thiện để tạo ra sự hiểu biết rõ ràng và minh bạch hơn.</t>
  </si>
  <si>
    <t>Tổng thể, tôi thấy chính sách thuế mới có lợi cho người dân như tôi. Các quyền lợi từ mức giảm trừ gia cảnh cao hơn và quy định đơn giản hơn đã tăng sự ủng hộ của tôi đối với việc tuân thủ.</t>
  </si>
  <si>
    <t>Cải cách thuế TNCN bao gồm việc tăng giảm trừ gia cảnh và đơn giản hóa quy trình, nhưng không có thông tin cụ thể về khả năng phát hiện trốn thuế.</t>
  </si>
  <si>
    <t>Việc cải cách thuế chưa đề cập đến công nghệ phát hiện trốn thuế nên tôi cho rằng khả năng này vẫn chưa được nâng cao.</t>
  </si>
  <si>
    <t>Giảm trừ gia cảnh tăng lên, quy trình khai báo trở nên đơn giản hơn so với trước đây do chỉ còn 5 bậc thay vì 7.</t>
  </si>
  <si>
    <t>Cách tính thuế và các bậc thuế mới có thể dễ hiểu hơn nhưng vẫn cần thời gian để làm quen.</t>
  </si>
  <si>
    <t>Niềm tin vào sự công bằng của cơ quan thuế tăng do giảm trừ gia cảnh cao hơn, nhưng còn nghi ngờ về cách thực thi chính sách mới.</t>
  </si>
  <si>
    <t>Đối với thu nhập trung bình như tôi, mức thuế mới có vẻ hợp lý nhưng vẫn cần thời gian để đánh giá.</t>
  </si>
  <si>
    <t>Tôi tin rằng số tiền thuế đóng sẽ được sử dụng hiệu quả cho dịch vụ công trong tương lai, mặc dù hiện tại còn nghi ngờ về mức độ thực hiện.</t>
  </si>
  <si>
    <t>Như tôi đã chia sẻ ở trên, thông tin giải thích về chính sách mới chưa đủ rõ ràng và minh bạch, cần thêm thời gian để đánh giá.</t>
  </si>
  <si>
    <t>Dù giảm trừ gia cảnh cao hơn nhưng vẫn có sự nghi ngờ về thực thi chính sách. Tôi sẽ tuân thủ nếu không gặp khó khăn trong quá trình triển khai.</t>
  </si>
  <si>
    <t>Cải cách thuế TNCN chưa đề cập đến công nghệ phát hiện trốn thuế, do đó khả năng phát hiện gian lận vẫn phụ thuộc vào quy định quản lý. Tuy nhiên, với mức giảm trừ gia cảnh cao hơn, việc tuân thủ có thể được cải thiện.</t>
  </si>
  <si>
    <t>Công nghệ và hệ thống quản lý thuế của cơ quan thuế ngày càng phát triển, nhưng vẫn phụ thuộc vào hiệu quả thực hiện. Việc tăng giảm trừ gia cảnh có thể giúp cải thiện khả năng tuân thủ.</t>
  </si>
  <si>
    <t>Biểu thuế được đơn giản hóa từ 7 bậc xuống còn 5 bậc, đồng thời mức giảm trừ gia cảnh cao hơn tạo thuận lợi cho việc khai báo thuế. Tuy nhiên, quá trình làm việc với cơ quan thuế vẫn cần cải thiện.</t>
  </si>
  <si>
    <t>Cách tính thuế và các bậc thuế mới đơn giản hơn so với trước đây, nhưng mức thuế suất cao hơn ở các bậc cuối có thể gây hiểu lầm về độ phức tạp cho người nộp thuế</t>
  </si>
  <si>
    <t>Mức giảm trừ gia cảnh cao hơn và sự đơn giản hóa biểu thuế tạo ra cảm giác công bằng trong việc phân bổ gánh nặng thuế. Tuy nhiên, mức thuế suất cao ở các bậc cuối có thể gây nghi ngờ về tính khách quan.</t>
  </si>
  <si>
    <t>Mức giảm trừ gia cảnh và đơn giản hóa biểu thuế tạo ra cảm giác công bằng trong việc phân bổ gánh nặng thuế. Tuy nhiên, mức thuế suất cao ở các bậc cuối có thể gây nghi ngờ về tính công bằng.</t>
  </si>
  <si>
    <t>Các thông tin giải thích về cải cách thuế chưa đầy đủ và rõ ràng, dẫn đến sự hoài nghi trong việc nhận thức về mục tiêu chính sách. Tuy nhiên, mức giảm trừ gia cảnh cao hơn tạo ra cảm giác công bằng.</t>
  </si>
  <si>
    <t>Mức giảm trừ gia cảnh cao và đơn giản hóa biểu thuế tạo thuận lợi cho việc tuân thủ. Tuy nhiên, mức thuế suất cao ở các bậc cuối có thể làm tăng rào cản để ủng hộ chính sách mới.</t>
  </si>
  <si>
    <t>Hiện nay, mức giảm trừ gia cảnh tăng mạnh và quy định quản lý thuế rõ ràng hơn sẽ làm giảm khả năng trốn thuế. Công nghệ phát triển cũng giúp cơ quan thuế dễ dàng phát hiện hành vi gian lận.</t>
  </si>
  <si>
    <t>Công nghệ ngày càng tiên tiến và chính phủ đã đầu tư vào hệ thống quản lý thuế, tăng cường khả năng phát hiện và xử lý trốn thuế.</t>
  </si>
  <si>
    <t>Thủ tục khai báo thuế đơn giản hơn với số bậc thuế giảm từ 7 xuống còn 5. Quy trình làm việc với cơ quan thuế cũng thuận tiện hơn.</t>
  </si>
  <si>
    <t>Cách tính thuế và các bậc thuế mới đơn giản, dễ hiểu và dễ thực hiện hơn so với trước đây.</t>
  </si>
  <si>
    <t>Nhà nước đã cải thiện quy định quản lý thuế, giảm gánh nặng cho người dân. Việc tăng mức giảm trừ gia cảnh thể hiện sự đối xử công bằng.</t>
  </si>
  <si>
    <t>Mức thuế mới được thiết kế sao cho hợp lý với thu nhập của tôi, tạo cảm giác công bằng trong việc đóng góp.</t>
  </si>
  <si>
    <t>Tăng mức giảm trừ gia cảnh và đơn giản hóa các bậc thuế sẽ giúp số tiền thuế đóng được sử dụng hiệu quả hơn để cải thiện dịch vụ công như y tế, đường xá...</t>
  </si>
  <si>
    <t>Đã có thông tin minh bạch về lý do và mục tiêu của việc sửa đổi thuế. Các quy định mới rõ ràng hơn so với trước đây.</t>
  </si>
  <si>
    <t>Sau khi xem xét, tôi ủng hộ chính sách mới vì nó tạo ra cảm giác công bằng và giúp giảm gánh nặng tài chính cho người dân.</t>
  </si>
  <si>
    <t>Theo cải cách thuế, mức giảm trừ gia cảnh tăng đáng kể. Điều này làm giảm gánh nặng tài chính cho người dân và tạo ra một môi trường mà hành vi trốn thuế khó khăn hơn để thực hiện.</t>
  </si>
  <si>
    <t>Công nghệ hiện đại như AI, big data và hệ thống thông tin điện tử được áp dụng giúp cơ quan thuế phát hiện nhanh chóng các trường hợp gian lận hoặc trốn thuế. Tuy nhiên, việc này còn phụ thuộc vào khả năng triển khai và hiệu quả của công nghệ.</t>
  </si>
  <si>
    <t>Biểu thuế được đơn giản hóa từ 7 bậc xuống chỉ còn 5 bậc. Điều này làm giảm sự phức tạp cho người nộp thuế, giúp họ dễ dàng nắm bắt các quy định và thực hiện thủ tục khai báo.</t>
  </si>
  <si>
    <t>Các mức thuế mới được thiết kế đơn giản hơn so với trước đây. Việc này giúp người dân hiểu rõ hơn về cách tính thuế của mình, từ đó dễ dàng tuân thủ chính sách.</t>
  </si>
  <si>
    <t>Mức giảm trừ gia cảnh tăng đáng kể và số bậc thuế được đơn giản hóa tạo ra một môi trường mà mọi người đều có cơ hội đóng góp công bằng. Tuy nhiên, việc thực thi công bằng vẫn phụ thuộc vào cách quản lý của cơ quan thuế.</t>
  </si>
  <si>
    <t>Nhìn chung, mức thuế mới được thiết kế hợp lý so với thu nhập cá nhân hiện tại, tạo cảm giác công bằng cho người nộp thuế. Tuy nhiên, việc đánh giá hoàn toàn công bằng phụ thuộc vào cách áp dụng và quản lý.</t>
  </si>
  <si>
    <t>Mức giảm trừ gia cảnh tăng đáng kể và số bậc thuế đơn giản hóa tạo ra cảm giác rằng tiền thuế đóng góp sẽ được sử dụng hiệu quả. Tuy nhiên, việc này còn phụ thuộc vào cách quản lý ngân sách của nhà nước.</t>
  </si>
  <si>
    <t>Các thông tin về cải cách thuế đã được truyền tải qua nhiều kênh nhưng vẫn có sự hoài nghi từ một số người. Tuy nhiên, việc cải cách rõ ràng và minh bạch giúp tạo ra niềm tin cơ bản vào quyết định của nhà nước.</t>
  </si>
  <si>
    <t>Sau khi xem xét các quyền lợi và nghĩa vụ, tôi thấy chính sách mới mang lại nhiều ưu điểm về giảm gánh nặng thuế và đơn giản hóa quy trình. Tuy nhiên, quyết định cuối cùng phụ thuộc vào việc thực thi công bằng và minh bạch.</t>
  </si>
  <si>
    <t>Việc tăng giảm trừ gia cảnh và đơn giản hóa biểu thuế có thể làm giảm khả năng trốn thuế, nhưng vẫn cần công nghệ hiện đại để phát hiện gian lận.</t>
  </si>
  <si>
    <t>Công nghệ hiện đại như AI và hệ thống quản lý thuế tự động sẽ giúp phát hiện các hành vi trốn thuế nhanh chóng, chính xác hơn.</t>
  </si>
  <si>
    <t>Thủ tục khai báo thuế và quy trình làm việc với cơ quan thuế đơn giản hơn trước, giảm thời gian chờ đợi và thủ tục rườm rà.</t>
  </si>
  <si>
    <t>Cách tính thuế và bậc thuế mới rõ ràng, dễ hiểu, phù hợp với thu nhập của tôi. Điều này làm cho việc đóng thuế trở nên đơn giản hơn.</t>
  </si>
  <si>
    <t>Nhà nước đã tăng giảm trừ gia cảnh và đơn giản hóa biểu thuế, thể hiện sự công bằng trong việc thực thi chính sách thuế.</t>
  </si>
  <si>
    <t>Mức thuế mới phù hợp với thu nhập của tôi. Tuy nhiên, do chưa hoàn toàn tin tưởng vào cách sử dụng số tiền thuế này, nên điểm không cao như các chỉ số khác.</t>
  </si>
  <si>
    <t>Số tiền thuế đóng sẽ được sử dụng hiệu quả để cải thiện dịch vụ công. Tuy nhiên, do chưa hoàn toàn tin tưởng vào việc quản lý kinh phí của Nhà nước, nên điểm không quá cao.</t>
  </si>
  <si>
    <t>Nhà nước đã giải thích rõ ràng về mục tiêu cải cách thuế, nhưng vẫn có nghi ngờ về sự minh bạch trong quá trình thực hiện chính sách.</t>
  </si>
  <si>
    <t>Sau khi cân nhắc các quyền lợi và nghĩa vụ, tôi ủng hộ và tuân thủ chính sách mới. Tuy nhiên, do vẫn có nghi ngờ về quản lý kinh phí của Nhà nước, nên quyết định không hoàn toàn chắc chắn.</t>
  </si>
  <si>
    <t>Chính sách mới có mức giảm trừ gia cảnh cao hơn, giúp giảm gánh nặng thuế cho người dân. Tuy nhiên, việc phát hiện và xử lý trốn thuế còn phụ thuộc vào hiệu quả của công nghệ và nguồn lực của cơ quan thuế.</t>
  </si>
  <si>
    <t>Công nghệ ngày càng tiên tiến, giúp cơ quan thuế dễ dàng hơn trong việc phát hiện hành vi trốn thuế. Đồng thời, sự tăng cường về quản lý sẽ góp phần giảm thiểu tình trạng này.</t>
  </si>
  <si>
    <t>Biểu thuế được đơn giản hóa, từ 7 bậc xuống còn 5 bậc, làm cho quy trình khai báo trở nên dễ dàng hơn. Ngoài ra, việc tăng mức giảm trừ gia cảnh cũng giúp thủ tục tiện lợi hơn.</t>
  </si>
  <si>
    <t>Cách tính thuế mới đơn giản, rõ ràng và thuận tiện hơn so với trước đây. Số bậc thuế ít đi giúp quá trình xác định thuế suất trở nên dễ dàng hơn.</t>
  </si>
  <si>
    <t>Mức giảm trừ gia cảnh cao hơn sẽ làm cho việc đánh giá công bằng của chính sách thuế mới tăng lên. Tuy nhiên, mức độ tin tưởng còn phụ thuộc vào cách thực thi chính sách trong thực tế.</t>
  </si>
  <si>
    <t>Mức thuế mới được thiết kế để đảm bảo tính công bằng, nhưng nó vẫn có thể thay đổi tùy theo thu nhập. Người dân cần xem xét kỹ lưỡng mức thuế mới đối với chính họ.</t>
  </si>
  <si>
    <t>Chính sách thuế mới tăng cường giảm trừ gia cảnh và đơn giản hóa biểu thuế, giúp số tiền thuế đóng được sử dụng hiệu quả hơn cho các dịch vụ công. Tuy nhiên, mức độ tin tưởng vẫn phụ thuộc vào hiệu suất thực tế của chính sách.</t>
  </si>
  <si>
    <t>Các thông điệp về lý do và mục tiêu sửa đổi thuế được truyền tải một cách rõ ràng hơn, nhưng sự hiểu biết cá nhân về mức độ minh bạch có thể ảnh hưởng đến việc tin tưởng.</t>
  </si>
  <si>
    <t>Chính sách mới mang lại nhiều lợi ích về tài chính và thủ tục, giúp người dân cảm thấy ủng hộ. Tuy nhiên, quyết định tuân thủ vẫn phụ thuộc vào mức độ tin tưởng và nhận thức cá nhân.</t>
  </si>
  <si>
    <t>Các quy định quản lý thuế hiện nay có nhiều cải tiến, nhưng vẫn chưa hoàn toàn ngăn chặn được gian lận. Tăng mức giảm trừ gia cảnh giúp giảm gánh nặng cho người dân.</t>
  </si>
  <si>
    <t>Nhà nước đã đầu tư vào công nghệ để phát hiện hành vi trốn thuế, nhưng thực tế vẫn cần thời gian và nguồn lực để cải thiện hiệu quả. Việc tăng giảm trừ gia cảnh làm giảm khả năng trốn thuế.</t>
  </si>
  <si>
    <t>Thủ tục khai báo thuế được đơn giản hóa, giúp việc làm việc với cơ quan thuế nhanh chóng hơn. Tuy nhiên, vẫn cần thời gian để người dân quen thuộc với quy trình mới.</t>
  </si>
  <si>
    <t>Biểu thuế được đơn giản hóa, các bậc thuế rõ ràng hơn. Điều này làm cho việc tính thuế trở nên dễ hiểu và thực hiện thuận tiện hơn.</t>
  </si>
  <si>
    <t>Nhà nước đã cải thiện quy định về giảm trừ gia cảnh, nhưng vẫn cần thời gian để mọi người tin tưởng vào sự công bằng trong việc áp dụng chính sách mới.</t>
  </si>
  <si>
    <t>Mức thuế mới phù hợp với thu nhập của tôi. Tuy nhiên, tôi cần thêm thông tin rõ ràng về cách sử dụng số tiền thuế này để đánh giá sự công bằng.</t>
  </si>
  <si>
    <t>Tôi tin rằng số tiền thuế đóng sẽ được sử dụng hiệu quả cho các dịch vụ công. Tuy nhiên, cần có thêm minh bạch về việc sử dụng nguồn thu ngân sách để tăng niềm tin.</t>
  </si>
  <si>
    <t>Nhà nước đã giải thích rõ ràng về mục tiêu cải cách thuế, nhưng thông tin chi tiết về quy trình thực hiện và hiệu quả cụ thể còn thiếu. Điều này làm giảm sự tin tưởng của tôi.</t>
  </si>
  <si>
    <t>Tôi ủng hộ chính sách mới vì lợi ích tài chính và đơn giản hóa thủ tục. Tuy nhiên, cần thêm thời gian để đánh giá hiệu quả thực tế trước khi quyết định tuân thủ hoàn toàn.</t>
  </si>
  <si>
    <t>Tăng cường quản lý thuế và công nghệ hiện đại giúp phát hiện hành vi gian lận dễ dàng hơn.</t>
  </si>
  <si>
    <t>Nhà nước có nhiều nguồn lực và công nghệ tiên tiến để giám sát, xử lý các trường hợp trốn thuế hiệu quả.</t>
  </si>
  <si>
    <t>Biểu thuế đơn giản hơn, giảm số bậc từ 7 xuống còn 5, thủ tục khai báo dễ dàng hơn so với trước đây.</t>
  </si>
  <si>
    <t>Cách tính thuế mới rõ ràng, không phức tạp như trước, giúp người dân hiểu và thực hiện dễ dàng hơn.</t>
  </si>
  <si>
    <t>Nâng cao mức giảm trừ gia cảnh giúp giảm gánh nặng thuế, thể hiện sự công bằng trong việc đánh giá thu nhập.</t>
  </si>
  <si>
    <t>Mức thuế mới phù hợp với thu nhập cá nhân hiện nay, thể hiện tính công bằng về mặt thu nhập.</t>
  </si>
  <si>
    <t>Đây là lần đầu cải cách thuế, vẫn cần thời gian để chứng minh hiệu quả sử dụng số tiền đóng thuế.</t>
  </si>
  <si>
    <t>Chính phủ đã giải thích rõ về mục tiêu và lý do của việc sửa đổi thuế, nhưng còn thiếu thông tin chi tiết về quá trình thực hiện.</t>
  </si>
  <si>
    <t>Nâng cao mức giảm trừ gia cảnh làm giảm gánh nặng thuế, nhưng vẫn cần thời gian để kiểm chứng hiệu quả thực thi.</t>
  </si>
  <si>
    <t>Nếu mức giảm trừ gia cảnh tăng lên, việc trốn thuế sẽ khó khăn hơn. Tuy nhiên, khả năng phát hiện và xử lý trốn thuế phụ thuộc vào công nghệ quản lý thuế.</t>
  </si>
  <si>
    <t>Công nghệ ngày nay có thể giúp phát hiện các hành vi trốn thuế hiệu quả hơn, nhưng vẫn cần sự giám sát chặt chẽ và nguồn lực của cơ quan thuế.</t>
  </si>
  <si>
    <t>Số bậc thuế giảm xuống 5 từ 7 sẽ đơn giản hóa quy trình khai báo thuế. Tuy nhiên, quá trình làm việc với cơ quan thuế vẫn cần cải tiến.</t>
  </si>
  <si>
    <t>Cách tính thuế mới đơn giản hơn và số bậc thuế giảm đi, do đó dễ hiểu và thực hiện thuận lợi hơn so với trước đây.</t>
  </si>
  <si>
    <t>Mức giảm trừ gia cảnh tăng lên có thể làm tăng niềm tin vào sự công bằng trong việc áp dụng chính sách. Tuy nhiên, vẫn cần đảm bảo rằng cơ quan thuế thực thi khách quan và công bằng.</t>
  </si>
  <si>
    <t>Mức thuế mới được thiết kế sao cho hợp lý dựa trên thu nhập cá nhân. Điều này tạo cảm giác công bằng trong việc đóng góp tài chính.</t>
  </si>
  <si>
    <t>Niềm tin vào việc sử dụng hiệu quả số tiền thuế đóng để cải thiện dịch vụ công phụ thuộc vào thực tế và minh bạch về cách sử dụng nguồn lực. Tuy nhiên, tôi có niềm tin nhất định.</t>
  </si>
  <si>
    <t>Thông tin giải thích về mục tiêu sửa đổi thuế đã được cung cấp đầy đủ, giúp tôi hiểu rõ hơn về lý do và mục đích của chính sách mới.</t>
  </si>
  <si>
    <t>Sau khi xem xét các quyền lợi và nghĩa vụ, tôi thấy chính sách mới có lợi cho tôi. Tuy nhiên, quyết định tuân thủ hoàn toàn phụ thuộc vào việc liệu các quy định quản lý thuế có được thực thi một cách công bằng hay không.</t>
  </si>
  <si>
    <t>Các quy định quản lý thuế hiện nay đã được cải thiện đáng kể, đặc biệt là với sự tăng cường công nghệ trong việc phát hiện và xử lý trốn thuế. Tuy nhiên, vẫn có thể còn một số hạn chế.</t>
  </si>
  <si>
    <t>Nhà nước và cơ quan thuế đã đầu tư vào công nghệ tiên tiến để tăng cường hiệu quả trong việc phát hiện trốn thuế, nhưng sự thực thi hoàn toàn phụ thuộc vào nguồn lực và chính sách.</t>
  </si>
  <si>
    <t>Các thủ tục khai báo thuế và quy trình làm việc với cơ quan thuế đã được đơn giản hóa đáng kể. Điều này giúp giảm bớt gánh nặng công việc cho người dân.</t>
  </si>
  <si>
    <t>Mô hình tính thuế mới dễ hiểu hơn, số bậc thuế giảm đi giúp quá trình tính toán trở nên nhanh chóng và thuận tiện hơn.</t>
  </si>
  <si>
    <t>Nhà nước đã cải thiện các quy định quản lý thuế một cách công bằng, tuy nhiên vẫn cần thêm thông tin về cách thực thi chính sách mới</t>
  </si>
  <si>
    <t>Mức thuế mới được thiết kế theo thu nhập cá nhân, nhưng tôi còn muốn có thêm thông tin về việc sử dụng nguồn thu từ thuế này.</t>
  </si>
  <si>
    <t>Số tiền thuế đóng sẽ được sử dụng hiệu quả để cải thiện dịch vụ công, tuy nhiên cần thêm minh bạch trong việc phân bổ nguồn lực.</t>
  </si>
  <si>
    <t>Giải thích về lý do và mục tiêu của việc sửa đổi thuế còn hạn chế, nhưng đã có sự cải tiến so với trước đây.</t>
  </si>
  <si>
    <t>Tăng cường quản lý thuế và đơn giản hóa quy trình làm việc giúp tôi ủng hộ chính sách mới. Tuy nhiên, cần thêm minh bạch trong cách thực thi để tăng sự tin tưởng.</t>
  </si>
  <si>
    <t>Cơ quan thuế có nhiều công cụ phát hiện gian lận, nhưng mức độ hiệu quả còn phụ thuộc vào nguồn lực và quyết tâm của họ.</t>
  </si>
  <si>
    <t>Nhà nước đã đầu tư vào công nghệ để giám sát, nhưng vẫn cần cải thiện hơn nữa. Công nghệ hiện đại giúp phát hiện trốn thuế dễ dàng hơn.</t>
  </si>
  <si>
    <t>Quy trình khai báo trở nên đơn giản hơn, số bậc thuế giảm từ 7 xuống còn 5, làm việc với cơ quan thuế cũng thuận lợi hơn nhiều so với trước đây.</t>
  </si>
  <si>
    <t>Cách tính thuế mới đơn giản và dễ hiểu hơn. Bậc thuế từ 7 giảm xuống chỉ còn 5 bậc, tạo cảm giác công bằng cho người nộp thuế.</t>
  </si>
  <si>
    <t>Giảm trừ gia cảnh tăng lên làm giảm gánh nặng thuế đối với người thu nhập thấp. Tuy nhiên, mức độ tin tưởng vẫn phụ thuộc vào cách thực thi chính sách.</t>
  </si>
  <si>
    <t>Thuế suất và ngưỡng chịu thuế được điều chỉnh hợp lý, nhưng cần thêm thời gian để đánh giá mức độ công bằng của phương án mới.</t>
  </si>
  <si>
    <t>Thuế góp vào ngân sách quốc gia, nhưng hiệu quả sử dụng tiền thuế chưa rõ ràng. Cần xem xét kỹ hơn về cách chi tiêu số tiền thu được từ cải cách thuế.</t>
  </si>
  <si>
    <t>Giải thích về lý do và mục đích của việc sửa đổi thuế chưa đầy đủ, cần nhiều thông tin hơn để thuyết phục người dân.</t>
  </si>
  <si>
    <t>Mặc dù có lợi ích từ chính sách mới, nhưng vẫn còn nhiều thắc mắc và lo lắng về thực thi. Tôi sẽ tiếp tục theo dõi và đánh giá kỹ lưỡng.</t>
  </si>
  <si>
    <t>Cải cách thuế TNCN đã tăng cường quy định quản lý và giảm gánh nặng thuế nên tin rằng hành vi trốn thuế khó xảy ra.</t>
  </si>
  <si>
    <t>Với công nghệ hiện đại, nhà nước có khả năng phát hiện và xử lý nghiêm các trường hợp trốn thuế.</t>
  </si>
  <si>
    <t>Thủ tục khai báo thuế đơn giản hơn với số bậc thuế ít đi, tạo cảm giác thuận tiện hơn cho người nộp thuế.</t>
  </si>
  <si>
    <t>Cách tính và phân loại thu nhập của phương án mới dễ hiểu hơn so với trước đây.</t>
  </si>
  <si>
    <t>Nhà nước đã tăng giảm trừ gia cảnh, tạo cảm giác công bằng trong việc áp dụng mức thuế cho người nộp thuế.</t>
  </si>
  <si>
    <t>Mức thuế mới được thiết kế để phù hợp với thu nhập trung bình của tôi, tạo cảm giác công bằng.</t>
  </si>
  <si>
    <t>Tăng giảm trừ gia cảnh và đơn giản hóa biểu thuế cho thấy số tiền thuế đóng sẽ được sử dụng hiệu quả hơn.</t>
  </si>
  <si>
    <t>Thông tin về cải cách thuế đã được giải thích rõ ràng, tạo cảm giác minh bạch trong quá trình thực hiện.</t>
  </si>
  <si>
    <t>Do giảm gánh nặng thuế và mức thuế phù hợp với thu nhập trung bình của tôi, tôi ủng hộ chính sách mới.</t>
  </si>
  <si>
    <t>Các quy định quản lý thuế hiện nay đã được cải thiện đáng kể, nhưng vẫn còn nhiều rủi ro cho người nộp thuế có thể trốn thuế.</t>
  </si>
  <si>
    <t>Nhà nước và cơ quan thuế đang đầu tư vào công nghệ để phát hiện hành vi gian lận, tăng khả năng xử lý nghiêm các trường hợp trốn thuế.</t>
  </si>
  <si>
    <t>Thủ tục khai báo thuế đã đơn giản hơn so với trước đây, nhưng vẫn có sự phức tạp cần thời gian làm quen.</t>
  </si>
  <si>
    <t>Cách tính thuế mới đơn giản hơn và dễ hiểu, giúp giảm bớt rào cản cho người dân khi thực hiện các quy định về thuế.</t>
  </si>
  <si>
    <t>Nhà nước đã cải thiện mức giảm trừ gia cảnh, tăng thêm sự công bằng trong việc đánh thuế đối với tất cả các nhóm thu nhập.</t>
  </si>
  <si>
    <t>Mức thuế mới được thiết kế để phù hợp với từng nhóm thu nhập, nhưng vẫn cần xem xét lại để đảm bảo công bằng hơn nữa.</t>
  </si>
  <si>
    <t>Thuế thu nhập cá nhân đã được sử dụng hiệu quả trong việc cải thiện các dịch vụ công, nhưng vẫn cần sự giám sát chặt chẽ hơn từ người dân.</t>
  </si>
  <si>
    <t>Nhà nước đã cung cấp thông tin về chính sách mới một cách minh bạch, giúp tăng niềm tin của người dân vào quyết định cải cách thuế.</t>
  </si>
  <si>
    <t>Mặc dù có nhiều lợi ích từ chính sách mới nhưng tôi vẫn cần cân nhắc kỹ lưỡng trước khi ủng hộ hoàn toàn và tuân thủ nó.</t>
  </si>
  <si>
    <t>Các quy định quản lý thuế hiện nay đã được cải thiện đáng kể, đặc biệt là với công nghệ phát hiện trốn thuế tiên tiến. Tuy nhiên, vẫn còn một số lo ngại về khả năng thực thi.</t>
  </si>
  <si>
    <t>Công nghệ phát hiện trốn thuế đã được đầu tư và áp dụng hiệu quả, giảm đáng kể khả năng trốn thuế. Công tác quản lý thuế ngày càng chuyên nghiệp hóa.</t>
  </si>
  <si>
    <t>Thủ tục khai báo thuế đơn giản hơn với quy trình làm việc nhanh chóng và thuận tiện. Điều này tạo điều kiện cho người dân dễ dàng tuân thủ.</t>
  </si>
  <si>
    <t>Cách tính thuế và bậc thuế mới đơn giản hóa, giúp người nộp thuế hiểu rõ hơn về quy định thuế của mình.</t>
  </si>
  <si>
    <t>Nợn thuế có cảm giác rằng cơ quan thuế sẽ công bằng trong việc thực thi chính sách. Tuy nhiên, vẫn còn một số lo ngại về đối xử bình đẳng giữa các nhóm thu nhập khác nhau.</t>
  </si>
  <si>
    <t>Mức thuế mới được thiết kế dựa trên khả năng thanh toán của người dân, tạo cảm giác công bằng. Tuy nhiên, mức thuế vẫn cao so với kỳ vọng ban đầu của một số nhóm thu nhập.</t>
  </si>
  <si>
    <t>Tăng giảm trừ gia cảnh và đơn giản hóa biểu thuế giúp người nộp thuế tin tưởng rằng tiền thuế đóng sẽ được sử dụng hiệu quả. Tuy nhiên, vẫn cần sự minh bạch trong việc sử dụng nguồn thu.</t>
  </si>
  <si>
    <t>Nhà nước đã giải thích rõ ràng về mục tiêu cải cách thuế, nhưng thông điệp chưa truyền đạt đầy đủ và thuyết phục được tất cả mọi người.</t>
  </si>
  <si>
    <t>Mặc dù mức thuế mới tạo cảm giác công bằng, song do lo ngại về khả năng thực thi và thông tin minh bạch, quyết định cuối cùng vẫn có tính điều kiện. Người dân cần thêm thời gian để đánh giá.</t>
  </si>
  <si>
    <t>Quy định quản lý thuế hiện nay có nhiều biện pháp phát hiện gian lận, từ đó giảm nguy cơ trốn thuế.</t>
  </si>
  <si>
    <t>Công nghệ ngày càng tiến bộ giúp nhà nước và các cơ quan thuế dễ dàng phát hiện và xử lý các hành vi trốn thuế.</t>
  </si>
  <si>
    <t>Mức giảm trừ gia cảnh tăng lên, thủ tục khai báo thuế đơn giản hơn so với trước đây.</t>
  </si>
  <si>
    <t>Biểu thuế được đơn giản hóa từ 7 bậc xuống còn 5 bậc, dễ hiểu và thực hiện hơn.</t>
  </si>
  <si>
    <t>Nhà nước đã cải cách chính sách một cách công bằng đối với tất cả người nộp thuế.</t>
  </si>
  <si>
    <t>Mức thuế mới được điều chỉnh phù hợp với thu nhập của tôi, cho thấy sự công bằng trong việc đánh thuế.</t>
  </si>
  <si>
    <t>Tăng mức giảm trừ gia cảnh giúp số tiền thuế tôi đóng sẽ được sử dụng hiệu quả để cải thiện dịch vụ công.</t>
  </si>
  <si>
    <t>Nhà nước đã giải thích rõ ràng về mục tiêu của việc sửa đổi thuế, tăng sự minh bạch và tin tưởng.</t>
  </si>
  <si>
    <t>Sau khi cân nhắc các quyền lợi và nghĩa vụ mới, tôi thấy chính sách này có lợi cho tôi nên sẽ ủng hộ và tuân thủ.</t>
  </si>
  <si>
    <t>Mức giảm trừ gia cảnh tăng lên, giúp người thu nhập thấp ít bị tác động bởi thuế. Tuy nhiên, khả năng phát hiện trốn thuế phụ thuộc nhiều vào công nghệ và nguồn lực của cơ quan thuế.</t>
  </si>
  <si>
    <t>Công nghệ hiện đại hỗ trợ tốt việc giám sát và phát hiện hành vi trốn thuế. Việc tăng mức giảm trừ gia cảnh cũng tạo áp lực giảm gian lận về mặt tài chính.</t>
  </si>
  <si>
    <t>Biểu thuế đơn giản hơn, giúp người dân dễ dàng tính toán và khai báo. Điều này làm cho quy trình trở nên tiện lợi hơn.</t>
  </si>
  <si>
    <t>Các bậc thuế giảm từ 7 xuống 5 đã làm việc tính thuế trở nên đơn giản, dễ hiểu hơn so với trước đây.</t>
  </si>
  <si>
    <t>Nhà nước tăng mức giảm trừ gia cảnh, tạo cảm giác công bằng đối với người thu nhập thấp. Tuy nhiên, vẫn còn nghi ngờ về cách thực thi chính sách của cơ quan thuế.</t>
  </si>
  <si>
    <t>Mức thuế mới có thể phù hợp hơn với thu nhập cá nhân hiện nay, tạo cảm giác công bằng. Tuy nhiên, mức độ tin tưởng vẫn phụ thuộc vào cách thực thi chính sách của cơ quan thuế.</t>
  </si>
  <si>
    <t>Việc cải thiện hạ tầng y tế và giao thông có thể tận dụng số tiền thu được từ thuế mới. Tuy nhiên, việc sử dụng hiệu quả nguồn ngân sách vẫn là vấn đề cần đánh giá.</t>
  </si>
  <si>
    <t>Cơ quan thuế đã cải thiện khả năng giải thích chính sách mới, nhưng vẫn còn nhiều thông tin chưa rõ ràng. Tuy nhiên, việc tăng mức giảm trừ gia cảnh tạo cảm giác minh bạch hơn.</t>
  </si>
  <si>
    <t>Sau khi cân nhắc lợi ích và nghĩa vụ do chính sách mang lại, tôi quyết định ủng hộ và tuân thủ. Mức thuế mới có thể phù hợp hơn với thu nhập cá nhân hiện nay.</t>
  </si>
  <si>
    <t>Nhà nước đã tăng cường công nghệ và quản lý thuế, tuy nhiên vẫn có rủi ro trốn thuế do sự phức tạp của hệ thống.</t>
  </si>
  <si>
    <t>Công nghệ hiện đại giúp phát hiện trốn thuế hiệu quả hơn nhưng vẫn cần cải thiện về quy định quản lý.</t>
  </si>
  <si>
    <t>Hệ thống giảm bậc thuế và tăng mức giảm trừ gia cảnh, làm thủ tục khai báo dễ dàng hơn.</t>
  </si>
  <si>
    <t>Biểu thuế đơn giản hóa thành 5 bậc từ trước 7 bậc, dễ hiểu và thực hiện nhanh chóng hơn.</t>
  </si>
  <si>
    <t>Nhà nước đã tăng giảm trừ gia cảnh, tạo cảm giác công bằng đối với người nộp thuế.</t>
  </si>
  <si>
    <t>Mức thuế mới được thiết kế hợp lý dựa trên thu nhập, tuy nhiên vẫn cần thêm minh bạch về mục tiêu chính sách.</t>
  </si>
  <si>
    <t>Thuế đóng góp vào dịch vụ công, nhưng hiệu quả sử dụng nguồn lực còn nhiều thắc mắc.</t>
  </si>
  <si>
    <t>Nhà nước đã giải thích minh bạch về mục tiêu chính sách, tuy nhiên cần thêm thông tin chi tiết hơn.</t>
  </si>
  <si>
    <t>Sau khi cân nhắc lợi ích từ thuế mới và nghĩa vụ tuân thủ, tôi ủng hộ chính sách hiện tại.</t>
  </si>
  <si>
    <t>Quy định quản lý thuế hiện nay có nhiều cải tiến như tăng giảm trừ gia cảnh, đơn giản hóa biểu thuế. Tuy nhiên, chưa rõ về công nghệ phát hiện trốn thuế.</t>
  </si>
  <si>
    <t>Công nghệ ngày càng phát triển và Nhà nước cũng có nhiều nỗ lực trong việc chống trốn thuế. Tuy nhiên, vẫn cần thời gian để công nghệ được áp dụng hiệu quả.</t>
  </si>
  <si>
    <t>Tăng giảm trừ gia cảnh giúp thủ tục khai báo trở nên đơn giản hơn so với trước đây. Quy trình làm việc với cơ quan thuế cũng đã cải thiện đáng kể.</t>
  </si>
  <si>
    <t>Các bậc thuế đơn giản hóa, giảm số lượng bậc từ 7 xuống còn 5, giúp cách tính thuế trở nên dễ hiểu và thực hiện thuận tiện hơn so với trước đây.</t>
  </si>
  <si>
    <t>Niềm tin vào sự khách quan của Nhà nước trong việc thực thi chính sách mới vẫn cần thời gian để cải thiện. Tuy nhiên, các quy định mới về giảm trừ gia cảnh giúp người dân cảm thấy công bằng hơn.</t>
  </si>
  <si>
    <t>Các bậc thuế mới đã được điều chỉnh sao cho hợp lý với thu nhập hiện tại của tôi. Tuy nhiên, vẫn cần thêm thông tin về cách sử dụng hiệu quả số tiền thuế này để tăng niềm tin.</t>
  </si>
  <si>
    <t>Niềm tin vào việc sử dụng hiệu quả số tiền thuế do Nhà nước thu được còn thấp. Tuy nhiên, các cải tiến về giảm trừ gia cảnh đã giúp tôi cảm thấy công bằng hơn.</t>
  </si>
  <si>
    <t>Thống kê và thông tin minh bạch về lý do và mục tiêu của việc sửa đổi thuế chưa nhiều. Tuy nhiên, các cải tiến về quy định thuế giúp tôi cảm thấy công bằng hơn.</t>
  </si>
  <si>
    <t>Sau khi xem xét các quyền lợi và nghĩa vụ, tôi có xu hướng ủng hộ chính sách mới vì số tiền thuế giảm. Tuy nhiên, vẫn cần thêm thông tin về cách sử dụng hiệu quả số tiền thuế này.</t>
  </si>
  <si>
    <t>Biểu thuế đơn giản hơn và mức giảm trừ gia cảnh tăng, nhưng không có thông tin về công nghệ phát hiện trốn thuế.</t>
  </si>
  <si>
    <t>Công nghệ và quy định quản lý thuế đã được cải thiện, nhưng chưa rõ liệu có đủ khả năng phát hiện trốn thuế hay không.</t>
  </si>
  <si>
    <t>Mức giảm trừ gia cảnh tăng, điều này làm thủ tục khai báo thuế đơn giản hơn so với trước đây.</t>
  </si>
  <si>
    <t>Biểu thuế được đơn giản hóa từ 7 bậc xuống còn 5 bậc, khiến việc tính toán thuế dễ dàng và nhanh chóng hơn.</t>
  </si>
  <si>
    <t>Mức giảm trừ gia cảnh tăng, điều này làm giảm gánh nặng thuế cho người nộp thuế, tạo niềm tin vào sự công bằng trong thực thi chính sách.</t>
  </si>
  <si>
    <t>Biểu thuế được đơn giản hóa và mức giảm trừ gia cảnh tăng, nhưng chưa rõ liệu việc điều chỉnh này có công bằng hay không so với thu nhập khác.</t>
  </si>
  <si>
    <t>Mức giảm trừ gia cảnh tăng và biểu thuế được đơn giản hóa, tạo niềm tin rằng số tiền thuế đóng sẽ được sử dụng hiệu quả cho dịch vụ công.</t>
  </si>
  <si>
    <t>Chính sách đã giải thích rõ ràng về mức giảm trừ gia cảnh và đơn giản hóa biểu thuế, nhưng chưa rõ liệu thông điệp này có thuyết phục người dân hay không.</t>
  </si>
  <si>
    <t>Mức giảm trừ gia cảnh tăng và biểu thuế được đơn giản hóa tạo cảm giác công bằng và tuân thủ chính sách mới. Tuy nhiên, vẫn còn sự nghi ngờ về việc thực thi chính sách.</t>
  </si>
  <si>
    <t>Biện pháp quản lý thuế hiện tại chưa rõ ràng, đặc biệt đối với những người không am hiểu về luật. Không có công nghệ tiên tiến giúp phát hiện trốn thuế.</t>
  </si>
  <si>
    <t>Công nghệ và khả năng của cơ quan thuế được cải thiện nhưng vẫn còn nhiều thách thức trong việc phát hiện trốn thuế.</t>
  </si>
  <si>
    <t>Quy trình khai báo thuế trở nên đơn giản hơn, giảm số bậc thuế giúp quá trình thuận lợi hơn. Tuy nhiên, vẫn cần thời gian để người dân quen với quy định mới.</t>
  </si>
  <si>
    <t>Cách tính thuế và các bậc thuế trong phương án mới đơn giản hơn so với trước đây, dễ hiểu và thực hiện thuận lợi hơn. Điều này giúp nâng cao sự tin tưởng vào hệ thống</t>
  </si>
  <si>
    <t>Tăng cường giảm trừ gia cảnh và đơn giản hóa biểu thuế tạo niềm tin rằng Nhà nước đang đối xử công bằng với mọi người nộp thuế.</t>
  </si>
  <si>
    <t>Mức thuế mới được thiết lập dựa trên thu nhập cá nhân, tạo cảm giác công bằng. Tuy nhiên, mức thuế vẫn còn cao đối với một số nhóm.</t>
  </si>
  <si>
    <t>Giảm trừ gia cảnh và đơn giản hóa biểu thuế giúp nâng cao niềm tin rằng tiền thuế đóng sẽ được sử dụng hiệu quả cho các dịch vụ công. Tuy nhiên, vẫn còn nhiều lo ngại về việc thực thi.</t>
  </si>
  <si>
    <t>Tăng cường giảm trừ gia cảnh và đơn giản hóa biểu thuế đã giải thích rõ ràng hơn về lý do và mục tiêu của chính sách mới. Mặc dù vậy, có sự thiếu minh bạch trong một số trường hợp.</t>
  </si>
  <si>
    <t>Tăng cường giảm trừ gia cảnh và đơn giản hóa biểu thuế tạo cảm giác công bằng và thuận lợi, nâng cao khả năng tuân thủ. Tuy nhiên, vẫn có sự lo ngại về việc thực thi chính sách.</t>
  </si>
  <si>
    <t>Cải cách thuế TNCN không chỉ tăng mức giảm trừ gia cảnh mà còn đơn giản hóa quy trình, nhưng với độ tuổi trung bình, sự nghi ngờ về việc phát hiện gian lận vẫn tồn tại.</t>
  </si>
  <si>
    <t>Công nghệ ngày nay có thể hỗ trợ phát hiện gian lận hiệu quả hơn, nhưng tôi không chắc chắn về thực tế triển khai và khả năng của các cơ quan thuế.</t>
  </si>
  <si>
    <t>Mức giảm trừ gia cảnh tăng lên giúp việc khai báo thuế đơn giản hơn, đặc biệt là cho bản thân. Tuy nhiên, quy trình làm việc với cơ quan thuế vẫn còn phức tạp.</t>
  </si>
  <si>
    <t>Biểu thuế được đơn giản hóa từ 7 bậc xuống 5, nhưng mức thuế suất mới có thể gây ra sự bất lợi cho một số đối tượng, do đó cảm giác về sự đơn giản và dễ hiểu không hoàn toàn.</t>
  </si>
  <si>
    <t>Trở ngại về niềm tin vẫn còn tồn tại, mặc dù cải cách thuế TNCN có thể giúp giảm gánh nặng cho một số người nộp thuế, nhưng chưa đủ để tạo ra sự công bằng tuyệt đối.</t>
  </si>
  <si>
    <t>Công bố mức thuế mới có thể gây bất lợi cho nhiều người, đặc biệt là những người có thu nhập trung bình cao, do đó cảm giác về tính công bằng của phương án thuế mới không cao.</t>
  </si>
  <si>
    <t>Niềm tin vào việc sử dụng hiệu quả số tiền thuế đóng vào dịch vụ công còn hạn chế, đặc biệt khi cải cách chưa tạo ra sự công bằng tuyệt đối cho mọi người nộp thuế.</t>
  </si>
  <si>
    <t>Giải thích về lý do và mục tiêu của cải cách không rõ ràng và minh bạch enough để thuyết phục mọi người, đặc biệt là những người nghi ngờ về chính sách</t>
  </si>
  <si>
    <t>Cảm thấy có sự cân nhắc giữa lợi ích cá nhân và nghĩa vụ thuế, do đó quyết định tuân thủ với điều kiện các quyền lợi được đảm bảo.</t>
  </si>
  <si>
    <t>Cải cách thuế TNCN không đề cập đến việc tăng công nghệ phát hiện trốn thuế, do đó khả năng phát hiện gian lận vẫn còn hạn chế.</t>
  </si>
  <si>
    <t>Như ENF1, cải cách thuế chưa có thông tin về công nghệ mới nên tôi không hoàn toàn tin tưởng.</t>
  </si>
  <si>
    <t>Mức giảm trừ gia cảnh cao hơn và đơn giản hóa biểu thuế tạo thuận lợi cho việc khai báo và nộp thuế.</t>
  </si>
  <si>
    <t>Biểu thuế mới đơn giản hơn so với trước, nhưng vẫn chưa rõ ràng về cách tính thuế cụ thể đối với từng nhóm thu nhập.</t>
  </si>
  <si>
    <t>Mức giảm trừ gia cảnh cao hơn và mức thuế đa số người dân phải trả thấp hơn tạo niềm tin vào sự công bằng.</t>
  </si>
  <si>
    <t>Nhìn chung, mức thuế mới có vẻ hợp lý cho thu nhập trung bình nhưng chưa rõ ràng về từng bậc cụ thể.</t>
  </si>
  <si>
    <t>Niềm tin vào việc sử dụng tiền thuế hiệu quả cần thêm thông tin và minh bạch từ chính phủ.</t>
  </si>
  <si>
    <t>Thông điệp về cải cách chưa thuyết phục được tất cả người dân, đặc biệt là nhóm có thu nhập cao.</t>
  </si>
  <si>
    <t>Mặc dù thuận lợi hơn nhưng vẫn còn một số lo ngại về công bằng và minh bạch, do đó tôi ủng hộ nhưng không cam kết tuyệt đối.</t>
  </si>
  <si>
    <t>Các quy định quản lý thuế hiện nay đã được cải cách, tăng cường giảm trừ gia cảnh và đơn giản hóa biểu thuế. Điều này cho thấy khả năng phát hiện hành vi gian lận hoặc trốn thuế sẽ cao hơn.</t>
  </si>
  <si>
    <t>Nhà nước và cơ quan thuế đã đầu tư công nghệ để cải thiện hiệu quả quản lý thuế, đồng thời tăng cường các biện pháp giám sát, kiểm tra. Điều này củng cố niềm tin rằng hành vi trốn thuế sẽ dễ bị phát hiện.</t>
  </si>
  <si>
    <t>Mức giảm trừ gia cảnh cao hơn và biểu thuế đơn giản hơn đã làm các thủ tục khai báo thuế trở nên dễ dàng và nhanh chóng hơn. Điều này giúp người nộp thuế tiết kiệm thời gian và công sức.</t>
  </si>
  <si>
    <t>Biểu thuế được đơn giản hóa từ 7 bậc xuống còn 5 bậc, đồng nghĩa với việc cách tính thuế và các bậc thuế trở nên rõ ràng hơn. Điều này giúp người nộp thuế dễ dàng hiểu và áp dụng.</t>
  </si>
  <si>
    <t>Nhà nước đã cải cách mức giảm trừ gia cảnh và đơn giản hóa biểu thuế, điều này tăng thêm niềm tin rằng chính sách mới sẽ được thực thi một cách công bằng đối với mọi người nộp thuế.</t>
  </si>
  <si>
    <t>Các bậc thuế mới được thiết kế sao cho phù hợp với thu nhập cá nhân. Tuy nhiên, mức thuế vẫn cao hơn so với kỳ vọng ban đầu, nên không hoàn toàn công bằng đối với những người có thu nhập thấp.</t>
  </si>
  <si>
    <t>Thuế được sử dụng để cải thiện dịch vụ công, nhưng không rõ ràng về cách sử dụng cụ thể. Việc giải thích minh bạch về mục tiêu chính sách chưa đầy đủ.</t>
  </si>
  <si>
    <t>Nhà nước đã giải thích về lý do và mục tiêu cải cách thuế, nhưng thông tin này chưa thuyết phục được mọi người nộp thuế. Đa số vẫn còn nghi ngờ về hiệu quả thực hiện chính sách.</t>
  </si>
  <si>
    <t>Sau khi xem xét các quyền lợi và nghĩa vụ, tôi ủng hộ chính sách mới vì mức giảm trừ gia cảnh cao hơn đã giúp tiết kiệm đáng kể. Tuy nhiên, mức thuế vẫn còn cao so với kỳ vọng ban đầu nên có phần do dự.</t>
  </si>
  <si>
    <t>Mức giảm trừ gia cảnh tăng và biểu thuế đơn giản hơn, nhưng khả năng phát hiện trốn thuế phụ thuộc nhiều vào công nghệ và nguồn lực của cơ quan thuế.</t>
  </si>
  <si>
    <t>Công nghệ hiện đại giúp việc phát hiện trốn thuế nhanh chóng và chính xác hơn, nhưng sự hiệu quả còn phụ thuộc vào quy định quản lý và nguồn lực.</t>
  </si>
  <si>
    <t>Biểu thuế đơn giản hóa có thể làm thủ tục khai báo dễ dàng hơn, nhưng vẫn cần thời gian để quen với quy trình mới.</t>
  </si>
  <si>
    <t>Cách tính thuế và bậc thuế mới đơn giản hơn so với trước đây, giúp người dân hiểu rõ hơn về mức thuế phải đóng.</t>
  </si>
  <si>
    <t>Giảm trừ gia cảnh tăng có thể khiến tôi cảm thấy công bằng hơn trong việc đóng thuế, nhưng niềm tin vào thực thi chính sách còn phụ thuộc vào quy định cụ thể.</t>
  </si>
  <si>
    <t>Mức thuế mới được thiết kế để hợp lý với thu nhập cá nhân hiện nay, tạo cảm giác công bằng trong việc đóng thuế.</t>
  </si>
  <si>
    <t>Giảm trừ gia cảnh tăng có thể làm tăng niềm tin vào việc sử dụng tiền thuế hiệu quả cho các dịch vụ công</t>
  </si>
  <si>
    <t>Thông tin về sửa đổi thuế được cung cấp ở mức độ chi tiết, nhưng vẫn cần thời gian để hiểu và nhận thức đầy đủ.</t>
  </si>
  <si>
    <t>Niềm tin vào thực thi chính sách và cảm giác công bằng tăng lên do cải cách thuế, tuy nhiên quyết định tuân thủ còn phụ thuộc vào lợi ích cụ thể của tôi</t>
  </si>
  <si>
    <t>Thuật toán phát hiện trốn thuế được cải tiến, tăng cường công nghệ giám sát, giảm nguy cơ gian lận.</t>
  </si>
  <si>
    <t>Công nghệ hiện đại và quy định quản lý thuế chặt chẽ giúp phát hiện các hành vi trốn thuế hiệu quả.</t>
  </si>
  <si>
    <t>Mức giảm trừ gia cảnh tăng, đơn giản hóa biểu thuế, thủ tục khai báo dễ dàng hơn.</t>
  </si>
  <si>
    <t>Biểu thuế được rút gọn, tính toán thuế trở nên dễ hiểu và thực hiện nhanh chóng hơn.</t>
  </si>
  <si>
    <t>Những thay đổi về giảm trừ gia cảnh công bằng và minh bạch, cơ quan thuế thực thi chính sách khách quan.</t>
  </si>
  <si>
    <t>Mức thuế mới được thiết kế dựa trên thu nhập cá nhân, thể hiện tính công bằng.</t>
  </si>
  <si>
    <t>Thuế đóng góp vào dịch vụ công, giảm trừ gia cảnh tăng giúp cải thiện chất lượng cuộc sống.</t>
  </si>
  <si>
    <t>Giải thích rõ ràng về mục tiêu của chính sách mới, nhưng có thể chưa đầy đủ đối với mọi người.</t>
  </si>
  <si>
    <t>Thuế giảm, quyền lợi tăng, thủ tục đơn giản và công bằng, tuy nhiên vẫn có sự nghi ngờ về hiệu quả thực thi.</t>
  </si>
  <si>
    <t>Điều chỉnh thuế TNCN mới không làm tăng đáng kể khả năng phát hiện trốn thuế, nhưng các quy định quản lý thuế vẫn cần cải thiện để tăng cường hiệu quả.</t>
  </si>
  <si>
    <t>Công nghệ hiện nay có thể hỗ trợ việc phát hiện gian lận thuế hơn so với trước đây, tuy nhiên, thực tế khả năng này còn phụ thuộc vào nguồn lực và quyết tâm của cơ quan thuế.</t>
  </si>
  <si>
    <t>Mức giảm trừ gia cảnh tăng và đơn giản hóa biểu thuế có thể làm thủ tục khai báo trở nên dễ dàng hơn, nhưng quá trình làm việc với cơ quan thuế vẫn còn phức tạp.</t>
  </si>
  <si>
    <t>Biểu thuế mới đơn giản hóa các bậc thuế và ngưỡng chịu thuế, do đó cách tính thuế và quy trình trở nên dễ hiểu hơn so với trước đây.</t>
  </si>
  <si>
    <t>Những thay đổi về giảm trừ gia cảnh và biểu thuế có thể làm tăng niềm tin rằng cơ quan thuế sẽ đối xử công bằng, nhưng vẫn cần thời gian để kiểm chứng thực tế.</t>
  </si>
  <si>
    <t>Thuế mới được thiết kế với mức thuế suất phù hợp với thu nhập trung bình, tạo cảm giác công bằng cho người dân.</t>
  </si>
  <si>
    <t>Niềm tin vào việc sử dụng hiệu quả số tiền thuế đóng để cải thiện dịch vụ công đang tăng lên, nhưng cần thêm thời gian để thấy kết quả thực tế.</t>
  </si>
  <si>
    <t>Các thông cáo báo chí về mục tiêu của chính sách mới đã được truyền tải một cách rõ ràng, giúp người dân hiểu hơn về lý do và mục đích của việc thay đổi thuế</t>
  </si>
  <si>
    <t>Sau cân nhắc, tôi thấy lợi ích tài chính từ chính sách mới có thể làm tăng sự ủng hộ, nhưng vẫn cần thời gian để thấy kết quả thực tế về hiệu quả và công bằng của chính sách.</t>
  </si>
  <si>
    <t>Quy định quản lý thuế hiện nay tăng giảm trừ gia cảnh, điều này làm giảm khả năng trốn thuế. Tuy nhiên, công nghệ phát hiện còn hạn chế.</t>
  </si>
  <si>
    <t>Công nghệ ngày càng tiến bộ, nhưng vẫn chưa hoàn toàn ngăn chặn được mọi hành vi trốn thuế.</t>
  </si>
  <si>
    <t>Mức giảm trừ gia cảnh tăng lên và quy trình làm việc đơn giản hơn so với trước đây. Đây là cải tiến rõ rệt.</t>
  </si>
  <si>
    <t>Biểu thuế được đơn giản hóa, nhưng mức thuế suất vẫn phức tạp đối với người không am hiểu về thuế.</t>
  </si>
  <si>
    <t>Nhà nước đã tăng giảm trừ gia cảnh, tạo cảm giác công bằng hơn cho các cá nhân có thu nhập thấp. Tuy nhiên, sự công bằng còn phụ thuộc vào cách thực thi.</t>
  </si>
  <si>
    <t>Mức thuế mới có thể hợp lý đối với người có thu nhập như tôi, nhưng cần xem xét tổng thể để đánh giá tính công bằng.</t>
  </si>
  <si>
    <t>Tăng giảm trừ gia cảnh và đơn giản hóa biểu thuế tạo điều kiện cho việc sử dụng số tiền thuế hiệu quả hơn. Tuy nhiên, sự minh bạch trong quản lý ngân sách vẫn cần được cải thiện.</t>
  </si>
  <si>
    <t>Tăng giảm trừ gia cảnh và đơn giản hóa quy trình khai báo tạo cơ sở cho việc giải thích rõ ràng về mục tiêu của chính sách mới. Tuy nhiên, còn nhiều thông tin cần được minh bạch hơn.</t>
  </si>
  <si>
    <t>Tăng giảm trừ gia cảnh và đơn giản hóa quy trình khai báo tạo điều kiện cho việc tuân thủ. Mức thuế cũng hợp lý đối với thu nhập của tôi, nhưng vẫn có rủi ro về sự công bằng.</t>
  </si>
  <si>
    <t>Dựa trên quy định mới, mức giảm trừ gia cảnh tăng, đồng thời có thể áp dụng công nghệ để phát hiện trốn thuế. Điều này làm tăng khả năng phát hiện gian lận.</t>
  </si>
  <si>
    <t>Công nghệ hiện đại ngày càng phát triển giúp cơ quan thuế dễ dàng hơn trong việc phát hiện và xử lý các hành vi trốn thuế.</t>
  </si>
  <si>
    <t>Mức giảm trừ gia cảnh tăng, quy định rõ ràng hơn, đồng thời có thể làm thủ tục đơn giản hơn. Điều này mang lại thuận tiện cho người nộp thuế.</t>
  </si>
  <si>
    <t>Biểu thuế được đơn giản hóa và bậc thuế mới dễ hiểu hơn so với trước đây.</t>
  </si>
  <si>
    <t>Chính sách mới mang lại lợi ích tài chính rõ ràng cho người nộp thuế, đồng thời mức giảm trừ gia cảnh tăng, tạo cảm giác công bằng trong việc áp dụng chính sách.</t>
  </si>
  <si>
    <t>Mức thuế mới được thiết kế phù hợp với thu nhập cá nhân, tạo cảm giác công bằng đối với người nộp thuế.</t>
  </si>
  <si>
    <t>Dự kiến số tiền thuế đóng sẽ được sử dụng hiệu quả để cải thiện dịch vụ công, tạo sự tin tưởng về việc sử dụng nguồn thu đúng mục đích.</t>
  </si>
  <si>
    <t>Đã có thông tin giải thích rõ ràng về lý do và mục tiêu của chính sách mới. Tuy nhiên, vẫn cần thêm thời gian để mọi người tiếp nhận hoàn toàn.</t>
  </si>
  <si>
    <t>Sau khi xem xét các quyền lợi và nghĩa vụ, tôi tin rằng chính sách mới mang lại lợi ích tài chính rõ ràng. Tuy nhiên, vẫn có một số lo ngại về thực thi và hiệu quả sử dụng nguồn thu.</t>
  </si>
  <si>
    <t>Chính phủ đã tăng cường quản lý thuế và công nghệ phát hiện trốn thuế, nhưng vẫn cần cải thiện.</t>
  </si>
  <si>
    <t>Công nghệ và nguồn lực của cơ quan thuế được đầu tư mạnh mẽ để phát hiện và xử lý trốn thuế.</t>
  </si>
  <si>
    <t>Thủ tục khai báo thuế đã đơn giản hơn, nhưng vẫn có một số điểm khó khăn cần cải thiện.</t>
  </si>
  <si>
    <t>Cách tính thuế mới dễ hiểu và giảm số bậc thuế, giúp việc tính toán thuận tiện hơn.</t>
  </si>
  <si>
    <t>Niềm tin vào sự khách quan của cơ quan thuế có thể tăng nhờ các quy định rõ ràng về quản lý thuế.</t>
  </si>
  <si>
    <t>Mức thuế mới công bằng với thu nhập hiện tại, nhưng vẫn cần cải thiện trong việc giải thích.</t>
  </si>
  <si>
    <t>Thể chế hóa việc sử dụng số tiền thuế vào các dịch vụ công có thể tăng niềm tin của người dân.</t>
  </si>
  <si>
    <t>Truyền thông về mục tiêu và lý do sửa đổi thuế chưa đủ minh bạch, cần cải thiện.</t>
  </si>
  <si>
    <t>Tăng mức giảm trừ gia cảnh và đơn giản hóa biểu thuế tạo thuận lợi cho việc tuân thủ, nhưng vẫn có sự nghi ngờ về thực thi.</t>
  </si>
  <si>
    <t>Quy định quản lý thuế hiện nay có nhiều biện pháp phát hiện gian lận, đặc biệt với công nghệ hiện đại. Tuy nhiên, do chưa áp dụng rộng rãi nên khả năng phát hiện vẫn còn hạn chế.</t>
  </si>
  <si>
    <t>Công nghệ ngày càng tiên tiến giúp tăng cường khả năng giám sát và xử lý trốn thuế. Tuy nhiên, vẫn cần cải thiện hơn nữa về mặt công khai và minh bạch.</t>
  </si>
  <si>
    <t>Mức giảm trừ gia cảnh cao hơn và đơn giản hóa biểu thuế giúp quy trình khai báo dễ dàng hơn. Tuy nhiên, vẫn còn một số thủ tục phức tạp cần cải thiện.</t>
  </si>
  <si>
    <t>Cách tính thuế mới rõ ràng, dễ hiểu và giảm bớt các bậc thuế, do đó đơn giản hóa quy trình tính toán và nộp thuế.</t>
  </si>
  <si>
    <t>Nhà nước đã cải thiện đáng kể về công bằng trong việc áp dụng thuế. Tuy nhiên, vẫn còn một số lo ngại về khả năng thực thi khách quan.</t>
  </si>
  <si>
    <t>Mức thuế mới được thiết kế hợp lý dựa trên thu nhập cá nhân, tạo cảm giác công bằng cho người dân. Tuy nhiên, vẫn cần cải thiện trong việc minh bạch về nguồn sử dụng số tiền thuế.</t>
  </si>
  <si>
    <t>Thuận lợi từ chính sách mới giúp nâng cao niềm tin vào việc sử dụng hiệu quả số tiền thuế. Tuy nhiên, vẫn cần cải thiện trong việc minh bạch về mục tiêu sử dụng số tiền.</t>
  </si>
  <si>
    <t>Nhà nước đã giải thích công bằng về lý do và mục tiêu của việc sửa đổi thuế, tuy nhiên, vẫn có một số thông tin chưa đủ rõ ràng.</t>
  </si>
  <si>
    <t>Mặc dù thuận lợi từ chính sách mới, nhưng mức độ ủng hộ tuân thủ còn phụ thuộc vào nhiều yếu tố như niềm tin và sự minh bạch. Tuy nhiên, tôi sẽ tiếp tục theo dõi và tuân thủ.</t>
  </si>
  <si>
    <t>Mức giảm trừ gia cảnh tăng, điều này có thể làm giảm khả năng trốn thuế. Tuy nhiên, việc phát hiện và xử lý trốn thuế phụ thuộc nhiều vào công nghệ và nguồn lực của cơ quan thuế.</t>
  </si>
  <si>
    <t>Công nghệ hiện đại như AI có thể hỗ trợ trong việc phát hiện trốn thuế. Tuy nhiên, vẫn cần nguồn lực con người để xử lý các trường hợp phức tạp.</t>
  </si>
  <si>
    <t>Mức giảm trừ gia cảnh và số bậc thuế đơn giản hơn đều làm cho quy trình khai báo thuế thuận tiện hơn. Tuy nhiên, việc thực hiện vẫn phụ thuộc vào hiệu quả của cơ quan thuế.</t>
  </si>
  <si>
    <t>Biểu thuế đơn giản hơn và số bậc thuế giảm đi có thể làm cho quá trình tính thuế dễ hiểu và thực hiện nhanh chóng hơn. Tuy nhiên, việc áp dụng vẫn cần sự am hiểu về biểu thuế mới.</t>
  </si>
  <si>
    <t>Nâng cao mức giảm trừ gia cảnh có thể làm cho chính sách trở nên công bằng hơn. Tuy nhiên, tôi vẫn nghi ngờ về cách thực thi chính sách.</t>
  </si>
  <si>
    <t>Mức thuế mới được thiết kế để phù hợp với thu nhập của tôi, nhưng tôi cần thêm thông tin để chắc chắn rằng nó là công bằng.</t>
  </si>
  <si>
    <t>Nâng cao mức giảm trừ gia cảnh có thể làm cho việc đóng thuế trở nên công bằng hơn. Tuy nhiên, tôi vẫn chưa thấy rõ cách sử dụng số tiền thuế này để cải thiện dịch vụ công.</t>
  </si>
  <si>
    <t>Tôi thấy thông tin về chính sách mới được truyền đạt một cách minh bạch. Tuy nhiên, việc giải thích đầy đủ lý do và mục tiêu của chính sách vẫn cần thêm thông tin.</t>
  </si>
  <si>
    <t>Nâng cao mức giảm trừ gia cảnh có thể làm cho tôi ủng hộ hơn chính sách mới. Tuy nhiên, tôi cần xem xét kỹ hơn về cách thực hiện chính sách và tác động tài chính tổng thể.</t>
  </si>
  <si>
    <t>Tăng mức giảm trừ gia cảnh và đơn giản hóa biểu thuế có thể làm giảm gian lận, nhưng vẫn cần công nghệ phát hiện để tăng hiệu quả.</t>
  </si>
  <si>
    <t>Công nghệ phát triển ngày càng mạnh mẽ, nhưng khả năng phát hiện trốn thuế còn phụ thuộc vào nguồn lực và quyết tâm của cơ quan thuế.</t>
  </si>
  <si>
    <t>Mức giảm trừ gia cảnh cao hơn và đơn giản hóa biểu thuế làm thủ tục khai báo dễ dàng hơn, nhưng quy trình làm việc với cơ quan thuế vẫn cần cải tiến nhiều hơn.</t>
  </si>
  <si>
    <t>Đơn giản hóa bậc thuế giúp tính toán dễ hiểu hơn, nhưng quá trình tính thuế vẫn có thể phức tạp đối với những người không am hiểu về luật thuế.</t>
  </si>
  <si>
    <t>Giảm trừ gia cảnh cao hơn và mức thuế hợp lý hơn có thể tăng niềm tin vào sự công bằng của cơ quan thuế, nhưng vẫn cần thời gian để thực thi hoàn hảo.</t>
  </si>
  <si>
    <t>Mức thuế mới đối với thu nhập trung bình là hợp lý, nhưng cần xem xét thêm về tính công bằng cho các nhóm có thu nhập thấp hơn hoặc cao hơn.</t>
  </si>
  <si>
    <t>Giảm trừ gia cảnh và mức thuế hợp lý có thể tăng niềm tin vào việc sử dụng hiệu quả số tiền đóng thuế, nhưng cần thêm thông tin về cách sử dụng nguồn thu này.</t>
  </si>
  <si>
    <t>Cải cách thuế đã được giải thích công khai hơn so với trước đây, nhưng vẫn có sự đa dạng trong hiểu biết và nhận thức của người dân.</t>
  </si>
  <si>
    <t>Niềm tin vào hệ thống thuế mới cao hơn do các cải tiến về giảm trừ gia cảnh và đơn giản hóa biểu thuế, nhưng quyết định tuân thủ vẫn phụ thuộc vào nhiều yếu tố khác như trách nhiệm cá nhân.</t>
  </si>
  <si>
    <t>Theo cải cách thuế, mức giảm trừ gia cảnh tăng lên và quy định quản lý thuế được đơn giản hóa. Tuy nhiên, khả năng phát hiện trốn thuế phụ thuộc nhiều vào công nghệ và nguồn lực của cơ quan thuế.</t>
  </si>
  <si>
    <t>Công nghệ ngày càng tiên tiến giúp cải thiện việc phát hiện trốn thuế, nhưng cần thời gian để áp dụng rộng rãi. Cơ quan thuế đã đầu tư vào công nghệ này trong vài năm qua.</t>
  </si>
  <si>
    <t>Mức giảm trừ gia cảnh tăng và số bậc thuế được đơn giản hóa, làm cho khai báo thuế trở nên dễ dàng hơn. Quy trình làm việc với cơ quan thuế cũng có sự cải tiến về giao diện trực tuyến.</t>
  </si>
  <si>
    <t>Các bậc thuế mới được đơn giản hóa và rõ ràng hơn so với trước đây, giúp người dân dễ hiểu và thực hiện đúng quy định hơn.</t>
  </si>
  <si>
    <t>Mức giảm trừ gia cảnh tăng lên và số bậc thuế được đơn giản hóa. Tuy nhiên, mức độ công tâm còn phụ thuộc vào cách áp dụng của cơ quan thuế.</t>
  </si>
  <si>
    <t>Thuế mới có sự thay đổi về bậc và mức suất. Người thu nhập trung bình như tôi thấy mức thuế này là hợp lý, nhưng cần thời gian để thấy kết quả thực tế.</t>
  </si>
  <si>
    <t>Mức giảm trừ gia cảnh tăng lên giúp người dân tiết kiệm tiền thuế, đồng thời các dịch vụ công có thể được cải thiện. Tuy nhiên, hiệu quả sử dụng ngân sách còn phụ thuộc vào quản lý tài chính của Nhà nước.</t>
  </si>
  <si>
    <t>Công bố thông tin về cải cách thuế chưa đầy đủ và rõ ràng. Cần thêm thời gian để thấy sự minh bạch trong quá trình thực thi.</t>
  </si>
  <si>
    <t>Chính sách mới mang lại lợi ích tài chính cho tôi, nhưng cần thời gian để đánh giá hiệu quả toàn diện. Quyết định ủng hộ là dựa trên lợi ích hiện tại và niềm tin vào cải cách.</t>
  </si>
  <si>
    <t>Cơ quan thuế có nhiều công cụ để phát hiện gian lận, nhưng mức giảm trừ gia cảnh tăng mạnh có thể khiến việc phát hiện trốn thuế khó khăn hơn.</t>
  </si>
  <si>
    <t>Công nghệ tiên tiến giúp cải thiện hiệu quả quản lý thuế và xử lý nghiêm các hành vi trốn thuế, nhưng vẫn cần sự phối hợp chặt chẽ giữa cơ quan thuế và doanh nghiệp/cá nhân.</t>
  </si>
  <si>
    <t>Mức giảm trừ gia cảnh tăng mạnh làm thủ tục khai báo trở nên đơn giản hơn, người dân ít gặp khó khăn trong quá trình làm việc với cơ quan thuế.</t>
  </si>
  <si>
    <t>Biểu thuế được đơn giản hóa, nhưng mức thuế suất mới có thể gây phức tạp đối với một số người hiểu biết hạn chế về thuế</t>
  </si>
  <si>
    <t>Nếu tôi phải đóng ít thuế hơn do mức giảm trừ gia cảnh tăng mạnh, tôi sẽ cảm thấy chính sách mới công bằng và khách quan.</t>
  </si>
  <si>
    <t>Mức thuế mới có vẻ hợp lý so với thu nhập hiện tại của tôi, nhưng cần xem xét kỹ để đảm bảo công bằng cho mọi người</t>
  </si>
  <si>
    <t>Tăng mức giảm trừ gia cảnh giúp cải thiện dịch vụ công như y tế và đường xá, nhưng vẫn lo ngại về việc sử dụng hiệu quả nguồn thu thuế.</t>
  </si>
  <si>
    <t>Phần lớn thông tin từ cơ quan thuế dễ hiểu nhưng cần có thêm giải thích để tôi cảm thấy hài lòng</t>
  </si>
  <si>
    <t>Mức giảm trừ gia cảnh tăng mạnh và thủ tục khai báo trở nên đơn giản hơn đã cải thiện đáng kể khả năng tuân thủ chính sách thuế mới của tôi.</t>
  </si>
  <si>
    <t>Điều chỉnh thuế TNCN không liên quan trực tiếp đến khả năng phát hiện trốn thuế, nhưng cải cách đã làm giảm gánh nặng cho người dân. Điều này có thể tăng niềm tin vào hệ thống thuế và sự công bằng.</t>
  </si>
  <si>
    <t>Cải cách thuế TNCN không chỉ đơn giản hóa quy trình mà còn tăng cường giảm trừ gia cảnh, tạo ra cơ hội để phát hiện trốn thuế thông qua việc theo dõi chi tiết hơn. Công nghệ và quản lý thuế ngày càng phát triển.</t>
  </si>
  <si>
    <t>Mức giảm trừ gia cảnh cao hơn cùng với quy định đơn giản hóa biểu thuế đã tạo điều kiện cho người nộp thuế khai báo dễ dàng hơn, tuy nhiên, cải cách chưa thực sự thay đổi toàn bộ quy trình giao dịch với cơ quan thuế.</t>
  </si>
  <si>
    <t>Biểu thuế đơn giản hóa từ 7 bậc xuống còn 5 bậc đã làm giảm rắc rối cho người nộp thuế, dễ hiểu và thực hiện hơn so với trước đây. Tuy nhiên, quá trình tính toán vẫn cần thời gian để quen thuộc.</t>
  </si>
  <si>
    <t>Nhờ mức giảm trừ gia cảnh tăng lên, tôi cảm thấy công bằng hơn khi đóng thuế. Quy định mới đã cải thiện đáng kể khả năng của cơ quan thuế trong việc theo dõi và xử lý gian lận.</t>
  </si>
  <si>
    <t>Mức độ công bằng về thuế suất trong phương án mới tạo ra sự cân nhắc giữa các nhóm thu nhập. Tuy nhiên, mức thuế cụ thể cho mỗi bậc vẫn cần thời gian để làm quen và hiểu rõ hơn.</t>
  </si>
  <si>
    <t>Nhờ giảm trừ gia cảnh tăng lên, tôi tin rằng số tiền thuế đóng sẽ được sử dụng hiệu quả hơn. Tuy nhiên, việc cải cách chưa thực sự thay đổi toàn bộ quy trình giao dịch với cơ quan thuế.</t>
  </si>
  <si>
    <t>Phương án mới đã đơn giản hóa biểu thuế và tăng mức giảm trừ gia cảnh. Các thông điệp truyền thông về cải cách vẫn còn cần rõ ràng hơn để thuyết phục mọi người.</t>
  </si>
  <si>
    <t>Sau khi xem xét các quyền lợi từ chính sách mới, tôi thấy mình sẽ ủng hộ và tuân thủ. Mức giảm trừ gia cảnh cao hơn tạo ra sự công bằng hơn đối với thu nhập thấp và trung bình.</t>
  </si>
  <si>
    <t>Trách nhiệm của cơ quan thuế được tăng cường với mức giảm trừ gia cảnh cao hơn, giúp phát hiện trốn thuế dễ dàng hơn. Công nghệ hiện đại cũng hỗ trợ việc kiểm tra hiệu quả.</t>
  </si>
  <si>
    <t>Công nghệ hiện đại và sự cải cách quản lý thuế cho thấy Nhà nước có đủ khả năng phát hiện, xử lý trốn thuế nghiêm minh. Tuy nhiên, vẫn cần thêm các biện pháp thực thi.</t>
  </si>
  <si>
    <t>Biểu thuế đơn giản hơn giúp quá trình khai báo dễ dàng hơn. Tuy nhiên, sự phức tạp của hệ thống quản lý thuế vẫn còn tồn tại.</t>
  </si>
  <si>
    <t>Cách tính thuế mới rõ ràng hơn và số bậc thuế giảm giúp việc hiểu và thực hiện đơn giản hơn so với trước đây.</t>
  </si>
  <si>
    <t>Nhà nước đã cải cách mức giảm trừ gia cảnh, công bằng cho người nộp thuế. Tuy nhiên, sự minh bạch trong thực thi chính sách vẫn cần được nâng cao.</t>
  </si>
  <si>
    <t>Mức thuế mới được thiết kế để công bằng với thu nhập của tôi nhưng vẫn cảm thấy có thể thay đổi nếu thông tin về mục tiêu cải cách chưa rõ ràng.</t>
  </si>
  <si>
    <t>Thuế đóng góp vào các dịch vụ công, nhưng không hoàn toàn tin rằng số tiền thuế đã đóng được sử dụng hiệu quả. Cần thêm minh bạch trong việc sử dụng nguồn thu.</t>
  </si>
  <si>
    <t>Thông tin về mục tiêu cải cách chưa đầy đủ, cần có sự minh bạch và giải thích rõ ràng hơn từ phía Nhà nước để tăng niềm tin.</t>
  </si>
  <si>
    <t>Chính sách mới mang lại lợi ích tài chính nhưng vẫn còn nhiều lo ngại về thực thi. Tôi sẽ ủng hộ phần nào, tùy thuộc vào sự minh bạch và tuân thủ của Nhà nước trong việc cải cách.</t>
  </si>
  <si>
    <t>Biểu thuế đơn giản, giảm bậc thuế nên dễ dàng quản lý hơn. Tăng mức giảm trừ gia cảnh cũng giúp giảm gian lận.</t>
  </si>
  <si>
    <t>Công nghệ hiện đại và quy định rõ ràng sẽ hỗ trợ phát hiện trốn thuế hiệu quả.</t>
  </si>
  <si>
    <t>Bậc thuế giảm, quản lý thuế dễ dàng hơn, thủ tục đơn giản hóa giúp nộp thuế thuận tiện hơn.</t>
  </si>
  <si>
    <t>Biểu thuế rõ ràng, bậc thuế ít hơn khiến việc tính toán và tuân thủ dễ dàng hơn.</t>
  </si>
  <si>
    <t>Điều chỉnh giảm trừ gia cảnh công bằng hơn, cải cách giúp mọi người tin tưởng cơ quan thuế sẽ quản lý công bằng.</t>
  </si>
  <si>
    <t>Mức thuế mới dựa trên thu nhập nên tôi thấy công bằng, phù hợp với mức sống hiện tại.</t>
  </si>
  <si>
    <t>Giảm trừ gia cảnh và bậc thuế mới giúp số tiền đóng thuế giảm, tăng niềm tin vào việc sử dụng hiệu quả nguồn thu</t>
  </si>
  <si>
    <t>Các thông báo về cải cách đều rõ ràng, nhưng vẫn cần thêm giải thích để đảm bảo mọi người hiểu đúng.</t>
  </si>
  <si>
    <t>Thu nhập giảm nhẹ và có nhiều lợi ích từ các điều chỉnh nên tôi sẵn lòng tuân thủ chính sách mới.</t>
  </si>
  <si>
    <t>Các quy định quản lý thuế hiện nay đã được cải thiện, tăng mức giảm trừ gia cảnh và đơn giản hóa biểu thuế. Đây là những yếu tố giúp phát hiện hành vi gian lận hoặc trốn thuế trở nên khó khăn hơn.</t>
  </si>
  <si>
    <t>Việc áp dụng công nghệ tiên tiến trong quản lý thuế sẽ tăng khả năng phát hiện và xử lý nghiêm các hành vi trốn thuế. Đây là một yếu tố quan trọng để nâng cao thực thi pháp luật.</t>
  </si>
  <si>
    <t>Các quy định về giảm trừ gia cảnh và đơn giản hóa biểu thuế đã làm cho thủ tục khai báo thuế trở nên dễ dàng hơn. Tuy nhiên, vẫn cần cải thiện trong việc cung cấp thông tin và hướng dẫn.</t>
  </si>
  <si>
    <t>Cách tính thuế mới có ít bậc hơn so với trước đây, giúp người dân hiểu rõ hơn về mức thuế phải đóng. Điều này làm cho quá trình khai báo thuế trở nên đơn giản và dễ dàng hơn.</t>
  </si>
  <si>
    <t>Nhà nước đã cải thiện mức giảm trừ gia cảnh và đơn giản hóa biểu thuế, tạo ra sự công bằng trong việc đóng thuế. Tuy nhiên, vẫn cần thêm thời gian để làm cho mọi người cảm thấy tin tưởng.</t>
  </si>
  <si>
    <t>Mức thuế mới theo phương án này được thiết kế nhằm đảm bảo tính công bằng đối với các mức thu nhập khác nhau. Điều này làm tăng niềm tin vào tính công bằng của hệ thống thuế.</t>
  </si>
  <si>
    <t>Thuế mới đóng góp vào việc cải thiện dịch vụ công như y tế và đường xá, tạo ra sự liên kết giữa việc đóng thuế và lợi ích xã hội. Tuy nhiên, cần thêm thời gian để thấy được hiệu quả.</t>
  </si>
  <si>
    <t>Nhà nước đã giải thích rõ ràng về các thay đổi trong Luật Thuế TNCN, tuy nhiên, sự phức tạp của hệ thống thuế vẫn khiến nhiều người cảm thấy khó hiểu và nghi ngờ.</t>
  </si>
  <si>
    <t>Sau khi xem xét các quyền lợi và nghĩa vụ, tôi ủng hộ chính sách mới vì mức giảm trừ gia cảnh tăng và biểu thuế đơn giản hơn. Tuy nhiên, vẫn cần thời gian để hoàn toàn tin tưởng vào hệ thống.</t>
  </si>
  <si>
    <t>Quy định quản lý thuế hiện nay chưa rõ ràng, khả năng phát hiện gian lận còn hạn chế.</t>
  </si>
  <si>
    <t>Công nghệ hiện đại có thể hỗ trợ nhưng cơ quan thuế cần cải thiện về quy trình và hiệu quả quản lý.</t>
  </si>
  <si>
    <t>Quy trình khai báo thuế đã đơn giản hơn, nhưng vẫn còn một số bất tiện.</t>
  </si>
  <si>
    <t>Cách tính thuế mới rõ ràng hơn so với trước đây, nhưng cần thêm hướng dẫn cho người dân hiểu đúng.</t>
  </si>
  <si>
    <t>Niềm tin vào sự công bằng của cơ quan thuế còn thấp do lịch sử quản lý thuế kém hiệu quả.</t>
  </si>
  <si>
    <t>Mức thuế mới có thể công bằng hơn, nhưng cần thời gian để đánh giá thực tế sau khi thực hiện.</t>
  </si>
  <si>
    <t>Niềm tin vào việc sử dụng hiệu quả số tiền thuế đóng còn thấp do lo ngại về lãng phí ngân sách.</t>
  </si>
  <si>
    <t>Giải thích của nhà nước về mục đích cải cách chưa đầy đủ, cần thời gian để thuyết phục người dân.</t>
  </si>
  <si>
    <t>Sau khi xem xét lợi ích và nghĩa vụ, quyết định tuân thủ vẫn còn do nghi ngờ về thực thi chính sách.</t>
  </si>
  <si>
    <t>Nâng cao mức giảm trừ gia cảnh và đơn giản hóa biểu thuế sẽ hạn chế cơ hội trốn thuế, nhưng khả năng phát hiện vẫn phụ thuộc vào công nghệ và nguồn lực của cơ quan thuế.</t>
  </si>
  <si>
    <t>Công nghệ ngày càng phát triển giúp việc phát hiện trốn thuế trở nên dễ dàng hơn, nhưng vẫn cần sự quyết tâm và nguồn lực từ phía Nhà nước.</t>
  </si>
  <si>
    <t>Thu nhập tính thuế giảm, mức giảm trừ gia cảnh tăng, quy trình khai báo đơn giản hơn, do đó thuận tiện hơn cho người dân.</t>
  </si>
  <si>
    <t>Biểu thuế được đơn giản hóa từ 7 bậc xuống còn 5 bậc, làm việc với cơ quan thuế cũng trở nên dễ dàng hơn.</t>
  </si>
  <si>
    <t>Mức giảm trừ gia cảnh tăng, do đó tôi cảm thấy chính sách mới đối xử công bằng và khách quan hơn.</t>
  </si>
  <si>
    <t>Thuế suất và ngưỡng chịu thuế được điều chỉnh hợp lý theo thu nhập, do đó mức thuế này là công bằng với người có thu nhập như tôi.</t>
  </si>
  <si>
    <t>Những cải cách mới giúp giảm gánh nặng về mặt tài chính, tăng niềm tin vào việc sử dụng tiền thuế hiệu quả hơn để phục vụ công cộng.</t>
  </si>
  <si>
    <t>Các thông báo từ Nhà nước chưa đầy đủ và rõ ràng, nên tôi vẫn còn nghi ngờ về mục tiêu của việc cải cách.</t>
  </si>
  <si>
    <t>Ngoài những lợi ích về mặt tài chính, mức thuế mới cũng đơn giản hơn, do đó tôi sẵn sàng tuân thủ chính sách</t>
  </si>
  <si>
    <t>Các quy định quản lý thuế hiện nay đã tăng cường giảm trừ gia cảnh, giúp giảm gánh nặng thuế cho người dân. Tuy nhiên, khả năng phát hiện và xử lý trốn thuế phụ thuộc nhiều vào công nghệ và nguồn lực của cơ quan thuế.</t>
  </si>
  <si>
    <t>Công nghệ ngày càng tiên tiến giúp tăng cường khả năng giám sát hành vi gian lận, tuy nhiên vẫn cần thêm các biện pháp thực thi mạnh mẽ hơn nữa để đảm bảo hiệu quả.</t>
  </si>
  <si>
    <t>Mức giảm trừ gia cảnh cao hơn đã đơn giản hóa quy trình khai thuế một phần. Tuy nhiên, quy trình làm việc với cơ quan thuế vẫn còn khá phức tạp.</t>
  </si>
  <si>
    <t>Biểu thuế được rút gọn giúp tính toán dễ dàng hơn, nhưng mức độ đơn giản hóa chưa hoàn toàn triệt để. Cách tính thuế mới đã rõ ràng hơn so với trước đây.</t>
  </si>
  <si>
    <t>Nhà nước đã cải thiện giảm trừ gia cảnh, tạo ra sự công bằng trong việc phân chia gánh nặng thuế giữa các đối tượng. Tuy nhiên, vẫn còn cần thêm minh bạch về cách thực thi.</t>
  </si>
  <si>
    <t>Mức thuế mới có tính toán hợp lý cho thu nhập trung bình như tôi. Mặc dù vậy, mức độ công bằng phụ thuộc vào việc sử dụng hiệu quả số tiền thuế đã đóng.</t>
  </si>
  <si>
    <t>Tôi tin rằng số tiền thuế tôi đóng sẽ được sử dụng hiệu quả để cải thiện dịch vụ công. Tuy nhiên, việc minh bạch trong việc phân bổ ngân sách vẫn cần thêm cải tiến.</t>
  </si>
  <si>
    <t>Nhà nước đã giải thích rõ ràng về các thay đổi thuế qua truyền thông. Tuy nhiên, mức độ thuyết phục phụ thuộc vào sự minh bạch trong việc thực thi chính sách.</t>
  </si>
  <si>
    <t>Đánh giá tổng thể cho thấy tôi sẽ ủng hộ và tuân thủ chính sách mới vì lợi ích tài chính và tính công bằng. Tuy nhiên, vẫn cần thêm minh bạch trong việc thực thi để tăng độ tin tưởng.</t>
  </si>
  <si>
    <t>Mức giảm trừ gia cảnh tăng, nhưng không rõ liệu công nghệ hiện tại có phát hiện trốn thuế hiệu quả hay không.</t>
  </si>
  <si>
    <t>Nhà nước và cơ quan thuế có thể áp dụng công nghệ mới, nhưng cần thời gian kiểm chứng hiệu quả.</t>
  </si>
  <si>
    <t>Mức giảm trừ gia cảnh tăng, biểu thuế đơn giản hơn, tạo cảm giác thuận tiện hơn cho người nộp thuế.</t>
  </si>
  <si>
    <t>Biểu thuế được thu gọn và rõ ràng hơn, dễ hiểu và thực hiện nhanh chóng hơn.</t>
  </si>
  <si>
    <t>Thu nhập giảm trừ gia cảnh tăng, tạo cảm giác công bằng cho người nộp thuế.</t>
  </si>
  <si>
    <t>Các bậc thuế mới rõ ràng hơn, nhưng chưa có thực tế để đánh giá mức độ công bằng.</t>
  </si>
  <si>
    <t>Thu nhập giảm trừ gia cảnh tăng, tạo niềm tin vào việc sử dụng hiệu quả số tiền thuế.</t>
  </si>
  <si>
    <t>Thông tin về lý do và mục tiêu của chính sách mới chưa rõ ràng đầy đủ.</t>
  </si>
  <si>
    <t>Thu nhập giảm trừ gia cảnh tăng, thuận tiện hơn trong khai báo thuế, nhưng vẫn có sự đa nghi từ phía cá nhân.</t>
  </si>
  <si>
    <t>Chính sách mới tăng giảm trừ gia cảnh, đơn giản hóa quy trình khai báo thuế nên việc phát hiện trốn thuế sẽ khó khăn hơn.</t>
  </si>
  <si>
    <t>Công nghệ và khả năng phát hiện trốn thuế phụ thuộc vào nguồn lực của cơ quan thuế. Tuy nhiên, mức độ cải thiện về giảm trừ gia cảnh có thể làm giảm số người cần giám sát.</t>
  </si>
  <si>
    <t>Bậc thuế từ 7 bậc xuống 5 bậc và tăng giảm trừ gia cảnh có thể đơn giản hóa quy trình khai báo thuế, tuy nhiên, việc thực hiện vẫn phụ thuộc vào sự quản lý của cơ quan thuế.</t>
  </si>
  <si>
    <t>Cách tính thuế mới đơn giản hơn nhưng mức độ hiểu và áp dụng nó có thể còn phức tạp đối với người dân không chuyên về thuế.</t>
  </si>
  <si>
    <t>Nhà nước đã cải thiện giảm trừ gia cảnh, tuy nhiên, việc thực thi công bằng vẫn phụ thuộc vào cách quản lý của cơ quan thuế.</t>
  </si>
  <si>
    <t>Mức thuế mới có thể được coi là công bằng đối với thu nhập trung bình nhưng chưa chắc chắn về những người có thu nhập cao hơn.</t>
  </si>
  <si>
    <t>Tăng giảm trừ gia cảnh và đơn giản hóa quy trình khai báo thuế có thể làm tăng niềm tin vào việc sử dụng tiền thuế hiệu quả.</t>
  </si>
  <si>
    <t>Nhà nước đã giải thích rõ ràng về cải cách nhưng mức độ thuyết phục phụ thuộc vào cách truyền thông và thực hiện của họ.</t>
  </si>
  <si>
    <t>Việc giảm trừ gia cảnh có thể làm tăng ủng hộ, tuy nhiên, sự phức tạp trong quản lý thuế vẫn khiến tôi cân nhắc tuân thủ hay không.</t>
  </si>
  <si>
    <t>Mức giảm trừ gia cảnh tăng, nhưng chưa rõ liệu công nghệ phát hiện trốn thuế có cải thiện hay không.</t>
  </si>
  <si>
    <t>Công nghệ hiện đại giúp nhà nước theo dõi các giao dịch tài chính cá nhân, tăng khả năng phát hiện hành vi trốn thuế.</t>
  </si>
  <si>
    <t>Mức giảm trừ gia cảnh và số bậc thuế ít đi làm đơn giản hóa quy trình khai báo, thuận tiện hơn cho người dân.</t>
  </si>
  <si>
    <t>Biểu thuế được rút gọn giúp tính toán dễ dàng, nhưng mức thuế mới có thể ảnh hưởng đến lợi ích cá nhân.</t>
  </si>
  <si>
    <t>Công bằng hơn với người thu nhập thấp do giảm trừ gia cảnh tăng, nhưng chưa rõ liệu thực thi sẽ công tâm hay không.</t>
  </si>
  <si>
    <t>Thuế mới có thể hợp lý đối với thu nhập trung bình, nhưng cần xem xét tổng thể về hiệu quả sử dụng nguồn thuế.</t>
  </si>
  <si>
    <t>Niềm tin vào việc sử dụng nguồn thuế hiệu quả tăng do giảm trừ gia cảnh và số bậc thuế đơn giản hơn.</t>
  </si>
  <si>
    <t>Công khai về lý do sửa đổi thuế nhưng cần xem xét thêm thông tin về mục tiêu cụ thể của chính sách mới.</t>
  </si>
  <si>
    <t>Chỉ số tổng hợp từ các yếu tố trên, quyết định dựa trên lợi ích và nghĩa vụ cá nhân. Thuận tiện hơn nhưng vẫn có nghi ngờ về công tâm trong thực thi.</t>
  </si>
  <si>
    <t>Thuế hiện nay có nhiều biện pháp quản lý, công nghệ phát triển giúp phát hiện gian lận. Tuy nhiên, vẫn còn khả năng trốn thuế thông qua các cách thức phức tạp.</t>
  </si>
  <si>
    <t>Nhà nước đã đầu tư vào công nghệ để tăng cường phát hiện và xử lý trốn thuế, tuy nhiên cần nhiều hơn nữa để đảm bảo hiệu quả.</t>
  </si>
  <si>
    <t>Mức giảm trừ gia cảnh cao hơn và biểu thuế đơn giản hơn tạo thuận lợi cho khai báo. Tuy nhiên, quy trình vẫn còn một số khó khăn.</t>
  </si>
  <si>
    <t>Cách tính thuế mới đơn giản nhưng vẫn chưa đến mức dễ thực hiện so với các quốc gia tiên tiến.</t>
  </si>
  <si>
    <t>Nhà nước đã cải cách để giảm gánh nặng cho người dân, tạo cảm giác công bằng. Tuy nhiên, vẫn còn nhiều điều phải chứng minh.</t>
  </si>
  <si>
    <t>Mức thuế mới được thiết kế hợp lý dựa trên thu nhập nhưng không phải lúc nào cũng công bằng với mọi người.</t>
  </si>
  <si>
    <t>Thuế đóng góp vào các dịch vụ công nhưng chưa rõ ràng về hiệu quả sử dụng tiền thuế.</t>
  </si>
  <si>
    <t>Nhà nước đã giải thích đầy đủ mục tiêu cải cách nhưng còn thiếu minh bạch trong quá trình thực hiện.</t>
  </si>
  <si>
    <t>Với mức thuế giảm và các quyền lợi khác, tôi sẽ ủng hộ chính sách mới. Tuy nhiên, cần có thời gian để chứng minh hiệu quả của nó.</t>
  </si>
  <si>
    <t>Biện pháp quản lý thuế hiện nay được cải thiện với mức giảm trừ gia cảnh tăng lên, giúp phát hiện và xử lý gian lận dễ dàng hơn.</t>
  </si>
  <si>
    <t>Công nghệ hiện đại và hệ thống quản lý thuế đã nâng cao khả năng phát hiện và xử lý trốn thuế hiệu quả hơn trong tương lai.</t>
  </si>
  <si>
    <t>Mức giảm trừ gia cảnh tăng, quy trình khai báo thuế đơn giản hóa giúp thuận tiện cho người nộp thuế.</t>
  </si>
  <si>
    <t>Biểu thuế đơn giản với số bậc giảm xuống từ 7 thành 5, cách tính thuế rõ ràng hơn so với trước đây.</t>
  </si>
  <si>
    <t>Mức giảm trừ gia cảnh tăng, cùng với quy định công bằng trong biểu thuế tạo nên niềm tin về sự khách quan và công bằng của chính sách.</t>
  </si>
  <si>
    <t>Nhìn chung mức thuế mới hợp lý so với thu nhập hiện tại, tạo cảm giác công bằng cho người nộp thuế.</t>
  </si>
  <si>
    <t>Thuế được sử dụng hiệu quả để cải thiện các dịch vụ công như y tế và giao thông, nâng cao niềm tin vào việc sử dụng nguồn thu thuế.</t>
  </si>
  <si>
    <t>Phần giải thích về chính sách mới đã rõ ràng hơn so với trước đây, tạo cảm giác Nhà nước có trách nhiệm trong việc triển khai chính sách này.</t>
  </si>
  <si>
    <t>Sau khi cân nhắc các lợi ích và nghĩa vụ, mình thấy chính sách mới phù hợp với thu nhập hiện tại, vì vậy sẽ ủng hộ và tuân thủ nó.</t>
  </si>
  <si>
    <t>Các quy định quản lý thuế hiện nay có mức giảm trừ gia cảnh tăng, nhưng chưa rõ về công nghệ phát hiện trốn thuế.</t>
  </si>
  <si>
    <t>Nhà nước và cơ quan thuế đã đầu tư công nghệ để phát hiện trốn thuế, nhưng hiệu quả chưa chắc chắn.</t>
  </si>
  <si>
    <t>Mức giảm trừ gia cảnh tăng, thủ tục khai báo thuế đơn giản hơn, nhưng vẫn cần thời gian thích ứng.</t>
  </si>
  <si>
    <t>Biểu thuế đã được đơn giản hóa, dễ hiểu và thực hiện thuận lợi hơn so với trước đây.</t>
  </si>
  <si>
    <t>Nhà nước có thể sẽ thực thi chính sách một cách công bằng, nhưng chưa rõ về độ minh bạch trong quản lý thuế.</t>
  </si>
  <si>
    <t>Mức thuế mới được thiết kế hợp lý cho thu nhập hiện tại, nhưng không chắc chắn về sự công bằng lâu dài.</t>
  </si>
  <si>
    <t>Giảm trừ gia cảnh tăng, giảm gánh nặng thuế, nhưng chưa rõ hiệu quả sử dụng số tiền thuế thu được.</t>
  </si>
  <si>
    <t>Nhà nước đã giải thích về mục tiêu cải cách, nhưng thông tin chưa đầy đủ và minh bạch.</t>
  </si>
  <si>
    <t>Chính sách mới có nhiều lợi ích cho người dân, giảm gánh nặng thuế, nhưng cần thời gian để đánh giá hiệu quả tổng thể.</t>
  </si>
  <si>
    <t>Nguyên tắc quản lý thuế mới có nhiều biện pháp kiểm soát, nhưng do chưa rõ ràng về công nghệ phát hiện, nên không hoàn toàn tin tưởng.</t>
  </si>
  <si>
    <t>Công nghệ và hệ thống hiện đại của cơ quan thuế giúp tăng cường khả năng giám sát, nhưng vẫn có rủi ro trốn thuế.</t>
  </si>
  <si>
    <t>Bậc thuế giảm từ 7 xuống 5, quy trình khai báo đơn giản hơn, nhưng vẫn còn nhiều thủ tục phức tạp.</t>
  </si>
  <si>
    <t>Cách tính thuế và bậc thuế mới dễ hiểu hơn so với trước đây, nhưng cần thời gian để quen thuộc.</t>
  </si>
  <si>
    <t>Giảm trừ gia cảnh tăng lên giúp công bằng đối với người nộp thuế có thu nhập thấp, nhưng vẫn còn nghi ngờ về cách thực thi.</t>
  </si>
  <si>
    <t>Mức thuế mới được điều chỉnh phù hợp với thu nhập của tôi, cho thấy sự công bằng hơn so với trước đây.</t>
  </si>
  <si>
    <t>Thuế đóng góp vào các dịch vụ công quan trọng, nhưng vẫn còn lo ngại về hiệu quả sử dụng nguồn lực.</t>
  </si>
  <si>
    <t>Thông tin giải thích về cải cách thuế rõ ràng hơn so với trước đây, giúp tôi hiểu mục đích chính sách.</t>
  </si>
  <si>
    <t>Thu nhập của tôi giảm nhẹ do các thay đổi thuế, nhưng vẫn chấp nhận và tuân thủ vì lợi ích tổng thể.</t>
  </si>
  <si>
    <t>Dù mức giảm trừ gia cảnh tăng, nhưng số bậc thuế giảm có thể làm cho việc quản lý và phát hiện trốn thuế khó khăn hơn. Điều này khiến tôi ít tin tưởng vào khả năng phát hiện gian lận.</t>
  </si>
  <si>
    <t>Công nghệ ngày càng tiên tiến, nhưng chính sách mới có thể làm giảm độ phức tạp và tăng rủi ro cho người nộp thuế. Điều này khiến tôi nghi ngờ khả năng phát hiện trốn thuế hiệu quả.</t>
  </si>
  <si>
    <t>Biểu thuế đơn giản hóa giúp việc khai báo trở nên dễ dàng hơn, nhưng vẫn còn nhiều quy định phức tạp. Tuy nhiên, so với trước đây thì thủ tục đã cải thiện đáng kể.</t>
  </si>
  <si>
    <t>Cách tính và bậc thuế mới đơn giản hóa rõ rệt, giúp người nộp thuế dễ dàng hơn trong việc hiểu và thực hiện.</t>
  </si>
  <si>
    <t>Nhà nước đã tăng mức giảm trừ gia cảnh, điều này công bằng đối với người có thu nhập thấp. Tuy nhiên, tôi vẫn nghi ngờ về cách thực thi chính sách của cơ quan thuế.</t>
  </si>
  <si>
    <t>Mức thuế mới dựa trên thu nhập, nhưng tôi lo ngại về sự công bằng trong việc áp dụng các quy định.</t>
  </si>
  <si>
    <t>Dù mục tiêu cải thiện dịch vụ công là tốt, nhưng tôi không chắc chắn rằng số tiền thuế đóng sẽ được sử dụng hiệu quả.</t>
  </si>
  <si>
    <t>Thông tin về chính sách mới chưa đủ minh bạch và thuyết phục. Tuy nhiên, tôi tin tưởng cơ quan thuế sẽ cải thiện việc truyền thông trong tương lai.</t>
  </si>
  <si>
    <t>Tính toán lợi ích và nghĩa vụ, tôi thấy chính sách mới có thể mang lại sự công bằng hơn so với trước đây. Tuy nhiên, tôi cần thêm thời gian để đánh giá hiệu quả thực tế của nó.</t>
  </si>
  <si>
    <t>Các quy định quản lý thuế hiện nay đã được cải thiện đáng kể, đặc biệt là với sự hỗ trợ của công nghệ. Tuy nhiên, vẫn còn lo ngại về khả năng phát hiện trốn thuế.</t>
  </si>
  <si>
    <t>Nhà nước và cơ quan thuế có nhiều nguồn lực và công nghệ tiên tiến để phát hiện và xử lý hành vi trốn thuế. Điều này tăng độ tin cậy trong việc thực thi pháp luật.</t>
  </si>
  <si>
    <t>Thủ tục khai báo thuế đã đơn giản hơn với sự giảm bớt các bậc thuế, nhưng vẫn còn một số khó khăn cần cải thiện.</t>
  </si>
  <si>
    <t>Cách tính thuế mới đơn giản và dễ hiểu hơn so với trước đây. Các bậc thuế rõ ràng hơn, dễ thực hiện hơn.</t>
  </si>
  <si>
    <t>Nhà nước đã cải thiện công bằng trong việc điều chỉnh giảm trừ gia cảnh, nhưng vẫn cần thêm minh bạch về cách thực thi chính sách.</t>
  </si>
  <si>
    <t>Mức thuế mới được xem xét kỹ lưỡng và công bằng đối với thu nhập cá nhân. Tuy nhiên, mức thuế cụ thể còn phụ thuộc vào từng người.</t>
  </si>
  <si>
    <t>Công khai sử dụng số tiền thuế đóng để cải thiện dịch vụ công là điều cần thiết. Tuy nhiên, vẫn có sự nghi ngờ về hiệu quả thực tế của việc này.</t>
  </si>
  <si>
    <t>Nhà nước đã giải thích rõ ràng về mục tiêu và lý do sửa đổi thuế. Tuy nhiên, còn nhiều thông tin cần cung cấp để tăng độ thuyết phục.</t>
  </si>
  <si>
    <t>Có sự hỗ trợ từ các quyền lợi mới nhưng vẫn có lo ngại về thực thi chính sách. Quyết định cuối cùng dựa trên cân nhắc giữa lợi ích và nghĩa vụ.</t>
  </si>
  <si>
    <t>Biên pháp quản lý thuế hiện nay được nâng cao với mức giảm trừ gia cảnh tăng, do đó hành vi gian lận hoặc trốn thuế sẽ khó xảy ra. Các quy định rõ ràng cũng giúp phát hiện dễ dàng hơn.</t>
  </si>
  <si>
    <t>Việc áp dụng công nghệ tiên tiến như AI và Big Data trong quản lý thuế cho thấy Nhà nước có khả năng phát hiện các hành vi trốn thuế hiệu quả. Công nghệ được cập nhật thường xuyên cũng hỗ trợ việc xử lý nghiêm minh hơn.</t>
  </si>
  <si>
    <t>Mức giảm trừ gia cảnh tăng và biểu thuế đơn giản hóa giúp quá trình khai báo thuế dễ dàng, nhanh chóng. Tuy nhiên, quy trình làm việc với cơ quan thuế vẫn cần cải thiện.</t>
  </si>
  <si>
    <t>Biểu thuế mới có số bậc giảm từ 7 xuống còn 5, đồng thời mức thuế suất và ngưỡng chịu thuế được điều chỉnh hợp lý. Điều này làm cho cách tính thuế dễ hiểu hơn so với trước đây.</t>
  </si>
  <si>
    <t>Nhà nước đã tăng giảm trừ gia cảnh, do đó tôi tin rằng chính sách mới sẽ công bằng và đối xử bình đẳng với mọi người nộp thuế. Tuy nhiên, sự minh bạch trong việc thực thi vẫn cần cải thiện.</t>
  </si>
  <si>
    <t>Mức thuế tôi phải đóng theo phương án mới là hợp lý so với thu nhập hiện tại của mình. Tuy nhiên, tôi hy vọng mức thuế này sẽ không quá cao hoặc thấp hơn mức trung bình trong xã hội.</t>
  </si>
  <si>
    <t>Tôi tin rằng số tiền thuế tôi đóng sẽ được sử dụng hiệu quả để cải thiện dịch vụ công. Tuy nhiên, cần có sự minh bạch và giám sát công khai hơn để đảm bảo mục tiêu này.</t>
  </si>
  <si>
    <t>Nhà nước đã giải thích rõ ràng về lý do và mục tiêu của việc sửa đổi thuế. Tuy nhiên, tôi hy vọng thông tin sẽ được cung cấp thường xuyên và chi tiết hơn để mọi người hiểu rõ.</t>
  </si>
  <si>
    <t>Chính sách mới có những lợi ích về mức giảm trừ gia cảnh và biểu thuế đơn giản. Tuy nhiên, tôi cần thấy thêm minh bạch và hiệu quả thực thi chính sách trước khi cam kết tuân thủ hoàn toàn.</t>
  </si>
  <si>
    <t>Cải cách thuế TNCN đã tăng cường quy định quản lý, nhưng không rõ liệu công nghệ phát hiện trốn thuế có cải thiện đáng kể hay chưa.</t>
  </si>
  <si>
    <t>Việc áp dụng công nghệ trong quản lý thuế là xu hướng chung, và nếu được đầu tư đúng cách, sẽ giúp tăng khả năng phát hiện trốn thuế.</t>
  </si>
  <si>
    <t>Mức giảm trừ gia cảnh tăng và số bậc thuế giảm đều mang lại sự đơn giản hóa thủ tục khai báo, dễ thực hiện hơn.</t>
  </si>
  <si>
    <t>Cách tính thuế mới có nhiều bậc thuế ít đi so với trước nên nhìn chung là đơn giản và dễ hiểu hơn.</t>
  </si>
  <si>
    <t>Nhìn chung, mức giảm trừ gia cảnh tăng có thể tạo niềm tin vào công bằng trong việc đánh thuế.</t>
  </si>
  <si>
    <t>Nếu mức thuế mới được thiết kế phù hợp với thu nhập trung bình, người dân sẽ cảm thấy rằng mức thuế này là công bằng.</t>
  </si>
  <si>
    <t>Mức giảm trừ gia cảnh tăng có thể làm cho việc đóng thuế trở nên hiệu quả hơn trong sử dụng tài chính của nhà nước.</t>
  </si>
  <si>
    <t>Thông tin về cải cách thuế chưa đủ minh bạch, cần thêm thông tin rõ ràng để người dân hiểu rõ lý do và mục tiêu.</t>
  </si>
  <si>
    <t>Sau khi xem xét các quyền lợi và nghĩa vụ, mình ủng hộ chính sách mới vì mức giảm trừ gia cảnh tăng và đơn giản hóa quy trình khai thuế.</t>
  </si>
  <si>
    <t>Nghịch lý giữa tăng giảm trừ gia cảnh và số bậc thuế, khả năng phát hiện trốn thuế khó tăng. Công nghệ chỉ giúp phần nào.</t>
  </si>
  <si>
    <t>Việc cải cách thuế có thể làm cho việc quản lý phức tạp hơn tạm thời, công nghệ cần nhiều thời gian để áp dụng rộng rãi.</t>
  </si>
  <si>
    <t>Giảm bậc thuế và tăng giảm trừ gia cảnh tạo thuận lợi cho người nộp thuế. Quy trình làm việc với cơ quan thuế đơn giản hơn trước đây.</t>
  </si>
  <si>
    <t>Cách tính thuế rõ ràng hơn, số bậc thuế ít đi nên dễ hiểu và thực hiện thuận tiện hơn.</t>
  </si>
  <si>
    <t>Nâng cao giảm trừ gia cảnh và đơn giản hóa biểu thuế tạo niềm tin vào công bằng trong việc phân bổ thuế. Tuy nhiên, rủi ro trốn thuế vẫn còn.</t>
  </si>
  <si>
    <t>Thuế mới có thể hợp lý hơn đối với thu nhập hiện tại nhưng chưa phản ánh đầy đủ mức sống và khả năng chi trả của từng người.</t>
  </si>
  <si>
    <t>Niềm tin vào việc sử dụng hiệu quả số tiền thuế đóng còn thấp do lịch sử quản lý kém hiệu quả trước đây. Tuy nhiên, cải cách có thể cải thiện tình hình.</t>
  </si>
  <si>
    <t>Giải thích rõ ràng về lý do và mục tiêu của việc sửa đổi thuế chưa đầy đủ, vẫn còn nhiều ý kiến trái chiều.</t>
  </si>
  <si>
    <t>Thuế mới có lợi cho thu nhập hiện tại nhưng không chắc chắn sẽ tuân thủ hoàn toàn vì mức độ tin tưởng còn thấp. Niềm tin và sự minh bạch cần cải thiện hơn.</t>
  </si>
  <si>
    <t>Cải cách thuế TNCN có thể tăng cường quản lý thông qua mức giảm trừ gia cảnh và đơn giản hóa biểu thuế, nhưng vẫn cần công nghệ hiện đại để phát hiện gian lận. Hiện nay, với sự phát triển của công nghệ, việc phát hiện trốn thuế có khả năng cải thiện đáng kể.</t>
  </si>
  <si>
    <t>Việc cải cách thuế TNCN đã tăng cường quản lý thông qua mức giảm trừ gia cảnh và đơn giản hóa biểu thuế. Công nghệ phát triển cũng tạo điều kiện để Nhà nước, cơ quan thuế có thể phát hiện và xử lý nghiêm các hành vi trốn thuế.</t>
  </si>
  <si>
    <t>Biểu thuế mới đơn giản với ít bậc hơn trước đây, giảm bớt rắc rối trong việc khai báo. Tuy nhiên, chưa rõ liệu quy trình làm việc với cơ quan thuế có đơn giản hóa như mong đợi hay không.</t>
  </si>
  <si>
    <t>Biểu thuế mới đã đơn giản hơn và dễ hiểu hơn so với trước đây, tạo thuận lợi cho người dân trong việc tính toán thuế. Tuy nhiên, cần thêm thời gian để thấy hiệu quả thực tế.</t>
  </si>
  <si>
    <t>Nhà nước và cơ quan thuế đã cải thiện mức giảm trừ gia cảnh và đơn giản hóa biểu thuế, tạo nên một môi trường công bằng hơn. Tuy nhiên, việc thực thi vẫn cần thêm thời gian để chứng minh.</t>
  </si>
  <si>
    <t>Mức thuế mới có thể coi là công bằng đối với thu nhập hiện tại của tôi sau khi tăng mức giảm trừ gia cảnh. Tuy nhiên, mức độ công bằng này phụ thuộc vào việc cách thức thực thi chính sách.</t>
  </si>
  <si>
    <t>Nhà nước đã cải thiện quản lý thuế thông qua mức giảm trừ gia cảnh và đơn giản hóa biểu thuế, tạo cơ hội cho số tiền thuế đóng được sử dụng hiệu quả hơn. Tuy nhiên, cần thêm thời gian để thấy kết quả.</t>
  </si>
  <si>
    <t>Nhà nước đã cung cấp thông tin về cải cách thuế TNCN và giải thích rõ ràng mục tiêu của chính sách mới, nhưng vẫn cần thêm thời gian để đánh giá sự minh bạch và minh họa.</t>
  </si>
  <si>
    <t>Sau khi xem xét các quyền lợi từ mức giảm trừ gia cảnh và đơn giản hóa biểu thuế, tôi ủng hộ chính sách mới. Tuy nhiên, quyết định tuân thủ cuối cùng phụ thuộc vào việc cách thức thực thi và hiệu quả của chính sách.</t>
  </si>
  <si>
    <t>Mức giảm trừ gia cảnh tăng và biểu thuế đơn giản hơn, nhưng vẫn chưa chắc chắn về khả năng phát hiện trốn thuế.</t>
  </si>
  <si>
    <t>Công nghệ hiện đại có thể hỗ trợ phát hiện trốn thuế hiệu quả hơn, tuy nhiên cần thêm thông tin về cụ thể công nghệ được sử dụng.</t>
  </si>
  <si>
    <t>Mức giảm trừ gia cảnh tăng và biểu thuế đơn giản hơn, làm cho thủ tục khai báo thuận tiện hơn.</t>
  </si>
  <si>
    <t>Nhìn chung mức giảm trừ gia cảnh tăng và biểu thuế đơn giản hơn, tạo niềm tin rằng cơ quan thuế sẽ xử lý công bằng.</t>
  </si>
  <si>
    <t>Mức thuế mới được thiết kế phù hợp với thu nhập của tôi, cảm thấy công bằng nhưng cần thêm thông tin về cách sử dụng số tiền thuế này.</t>
  </si>
  <si>
    <t>Tin rằng số tiền thuế đóng sẽ được sử dụng hiệu quả cho dịch vụ công, tuy nhiên cần thêm minh bạch trong việc sử dụng nguồn thu.</t>
  </si>
  <si>
    <t>Đã có thông tin giải thích về các thay đổi nhưng chưa hoàn toàn thuyết phục về độ rõ ràng và minh bạch của việc sửa đổi thuế lần này.</t>
  </si>
  <si>
    <t>Dù mức giảm trừ gia cảnh tăng, nhưng vẫn có nghi ngờ về khả năng phát hiện trốn thuế và sự minh bạch trong sử dụng nguồn thu.</t>
  </si>
  <si>
    <t>Biểu thuế được đơn giản hóa và tăng mức giảm trừ gia cảnh, nhưng không đề cập đến công nghệ phát hiện trốn thuế.</t>
  </si>
  <si>
    <t>Công nghệ hiện nay có thể hỗ trợ phát hiện trốn thuế hiệu quả hơn so với trước đây, nhưng vẫn phụ thuộc vào khả năng quản lý của cơ quan thuế.</t>
  </si>
  <si>
    <t>Bậc thuế được giảm từ 7 xuống 5, đồng thời tăng mức giảm trừ gia cảnh, làm cho thủ tục khai báo đơn giản hơn.</t>
  </si>
  <si>
    <t>Way of tax calculation and brackets have been simplified, making it easier to understand and apply for taxpayers.</t>
  </si>
  <si>
    <t>Fairness in tax policy is improved by increasing the personal allowance and simplifying the tax brackets, but concerns may remain about fair implementation.</t>
  </si>
  <si>
    <t>The new tax rates seem more reasonable compared to previous ones, especially with increased personal allowances, making the burden of taxation appear more equitable.</t>
  </si>
  <si>
    <t>There is trust in the use of tax funds for public services due to the increase in personal allowances and simplified tax brackets, but this may depend on actual implementation.</t>
  </si>
  <si>
    <t>While transparency has improved with simpler tax brackets, concerns about clear communication from the government still exist.</t>
  </si>
  <si>
    <t>With simplified procedures and increased allowances, there is a willingness to support the new policy, but some reservations remain due to potential complexity in implementation.</t>
  </si>
  <si>
    <t>Các quy định quản lý thuế hiện nay có nhiều cải tiến như tăng giảm trừ gia cảnh và đơn giản hóa biểu thuế, giúp phát hiện trốn thuế dễ dàng hơn. Tuy nhiên, sự thực thi vẫn phụ thuộc vào năng lực và công nghệ của cơ quan thuế.</t>
  </si>
  <si>
    <t>Với các cải tiến về giảm trừ gia cảnh, đơn giản hóa biểu thuế, người dân có thể dễ dàng tuân thủ hơn. Công nghệ hiện đại giúp phát hiện trốn thuế nhanh chóng và chính xác.</t>
  </si>
  <si>
    <t>Biểu thuế đã được đơn giản hóa từ 7 bậc xuống còn 5 bậc, giảm thời gian và công sức cho người dân trong khai báo. Tuy nhiên, quy trình làm việc với cơ quan thuế vẫn cần cải thiện.</t>
  </si>
  <si>
    <t>Cách tính thuế mới đơn giản hơn so với trước đây, nhưng mức thuế đối với thu nhập cao hơn vẫn còn phức tạp. Việc hiểu rõ cách tính có thể tốn thời gian cho người dân.</t>
  </si>
  <si>
    <t>Nhà nước đã cải tiến các quy định về giảm trừ gia cảnh, tạo ra sự công bằng trong việc đóng thuế. Tuy nhiên, mức thuế đối với thu nhập cao hơn vẫn có thể gây nghi ngờ.</t>
  </si>
  <si>
    <t>Mức thuế mới được thiết kế sao cho phù hợp với thu nhập trung bình, tạo ra sự công bằng. Tuy nhiên, những người có thu nhập cao có thể thấy mức thuế còn cao.</t>
  </si>
  <si>
    <t>Thuận lợi về giảm trừ gia cảnh và đơn giản hóa biểu thuế giúp tạo niềm tin vào việc sử dụng hiệu quả số tiền thuế. Tuy nhiên, vẫn cần cải thiện dịch vụ công để tăng niềm tin.</t>
  </si>
  <si>
    <t>Các thông điệp giải thích về việc sửa đổi thuế đã được cung cấp, nhưng chưa đủ thuyết phục mọi người. Đôi khi, các thông điệp quá chuyên môn hóa và khó hiểu.</t>
  </si>
  <si>
    <t>Sau xem xét, tôi thấy lợi ích từ cải cách thuế này đối với thu nhập trung bình cao hơn. Tuy nhiên, mức thuế cho thu nhập cao vẫn gây nghi ngờ về tính công bằng.</t>
  </si>
  <si>
    <t>Việc tăng giảm trừ gia cảnh và đơn giản hóa biểu thuế có thể làm giảm rủi ro trốn thuế. Tuy nhiên, vẫn cần công nghệ phát hiện gian lận.</t>
  </si>
  <si>
    <t>Công nghệ ngày càng phát triển, kết hợp với quy định quản lý nghiêm minh sẽ giúp phát hiện và xử lý trốn thuế hiệu quả hơn.</t>
  </si>
  <si>
    <t>Biểu thuế được đơn giản hóa từ 7 bậc xuống còn 5 bậc, giảm rủi ro sai sót trong khai báo thuế. Quy trình làm việc với cơ quan thuế cũng thuận tiện hơn.</t>
  </si>
  <si>
    <t>Bậc thuế mới đơn giản và dễ hiểu hơn so với trước đây, giúp người dân tính toán thu nhập chịu thuế nhanh chóng và chính xác hơn.</t>
  </si>
  <si>
    <t>Nợn thuế có nhiều giảm trừ gia cảnh, điều này thể hiện sự công bằng trong việc phân bổ gánh nặng thuế. Tuy nhiên, vẫn còn lo ngại về thực thi.</t>
  </si>
  <si>
    <t>Mức thuế mới được thiết kế dựa trên thu nhập, tuy nhiên mức giảm trừ gia cảnh lớn có thể làm cho người có thu nhập thấp bị trượt vào diện chịu thuế. Điều này gây nghi ngờ về công bằng.</t>
  </si>
  <si>
    <t>Những cải cách thuế mới có thể góp phần cải thiện dịch vụ công, tuy nhiên hiệu quả thực tế phụ thuộc vào việc quản lý và sử dụng ngân sách.</t>
  </si>
  <si>
    <t>Cơ quan thuế đã cung cấp thông tin về các thay đổi, nhưng thông điệp không đủ thuyết phục mọi người. Cần có thêm giải thích để tăng sự hiểu biết.</t>
  </si>
  <si>
    <t>Tỷ lệ giảm trừ gia cảnh cao và đơn giản hóa biểu thuế giúp gánh nặng thuế giảm nhẹ, tuy nhiên vẫn còn lo ngại về thực thi nên quyết định tuân thủ có điều kiện.</t>
  </si>
  <si>
    <t>Mức giảm trừ gia cảnh và người phụ thuộc tăng, giúp nhiều người nộp thuế được hưởng lợi. Tuy nhiên, không có thông tin cụ thể về khả năng phát hiện trốn thuế.</t>
  </si>
  <si>
    <t>Công nghệ hiện đại giúp phát hiện gian lận và xử lý nghiêm các hành vi trốn thuế, nhưng chưa rõ hiệu quả thực tế.</t>
  </si>
  <si>
    <t>Biểu thuế đơn giản hơn, dễ hiểu và nhanh chóng trong khai báo. Tuy nhiên, quy trình làm việc với cơ quan thuế vẫn còn phức tạp.</t>
  </si>
  <si>
    <t>Cách tính thuế mới đơn giản hóa các bậc thuế, nhưng cần thời gian để người dân và doanh nghiệp thích nghi.</t>
  </si>
  <si>
    <t>Nhà nước đã cải cách để giảm gánh nặng cho người nộp thuế, tạo niềm tin về tính công bằng trong việc thực thi chính sách.</t>
  </si>
  <si>
    <t>Mức thuế mới được thiết kế sao cho hợp lý đối với thu nhập của mình, thể hiện tính công bằng trong hệ thống thuế.</t>
  </si>
  <si>
    <t>Niềm tin vào việc số tiền thuế đóng sẽ được sử dụng hiệu quả để cải thiện dịch vụ công đang tăng lên do các cải cách.</t>
  </si>
  <si>
    <t>Những cải cách về thuế đã được giải thích rõ ràng, tạo sự minh bạch cho người dân trong việc hiểu và chấp nhận chính sách mới.</t>
  </si>
  <si>
    <t>Niềm tin vào tính công bằng của hệ thống thuế cao, đồng thời, mức giảm trừ gia cảnh tăng giúp tôi ủng hộ và tuân thủ chính sách mới.</t>
  </si>
  <si>
    <t>Các quy định quản lý thuế hiện nay đã được cải thiện đáng kể với nhiều công nghệ phát triển, tuy nhiên vẫn còn một số rủi ro. Với mức giảm trừ gia cảnh tăng mạnh, tôi thấy cơ hội trốn thuế sẽ giảm nhưng không loại trừ hoàn toàn khả năng gian lận.</t>
  </si>
  <si>
    <t>Nhà nước đã đầu tư công nghệ phát hiện gian lận thuế hiệu quả hơn, tuy nhiên vẫn cần sự phối hợp chặt chẽ giữa cơ quan thuế và người dân. Công nghệ giúp tăng cường khả năng giám sát.</t>
  </si>
  <si>
    <t>Các quy trình khai báo thuế trở nên đơn giản hơn với ít bậc thuế, tuy nhiên vẫn cần thời gian để thích ứng. Cách thức làm việc với cơ quan thuế vẫn tương đối thuận tiện.</t>
  </si>
  <si>
    <t>Biểu thuế được đơn giản hóa, dễ hiểu và thực hiện nhanh chóng hơn so với trước đây. Tuy nhiên, mức độ đơn giản này còn phụ thuộc vào việc người dân nắm bắt thông tin đúng cách.</t>
  </si>
  <si>
    <t>Nhà nước đã thể hiện rõ mục tiêu công bằng trong việc áp dụng mức thuế mới, tuy nhiên vẫn cần thời gian để đánh giá thực tế. Sự công bằng phụ thuộc vào cách thức thực thi chính sách.</t>
  </si>
  <si>
    <t>Mức thuế mới có thể coi là hợp lý cho thu nhập hiện tại của tôi, nhưng chưa chắc chắn về tương lai nếu tình hình kinh tế thay đổi. Công bằng phụ thuộc vào việc áp dụng chính sách.</t>
  </si>
  <si>
    <t>Số tiền thuế đóng sẽ được sử dụng hiệu quả cho các dịch vụ công, nhưng cần thời gian để chứng minh điều này. Niềm tin về việc sử dụng đúng nguồn thu cũng phụ thuộc vào quản lý tài chính.</t>
  </si>
  <si>
    <t>Nhà nước đã giải thích rõ ràng về mục tiêu cải cách thuế, tuy nhiên mức độ thuyết phục còn phụ thuộc vào khả năng thực hiện. Công khai và minh bạch cần được duy trì để tăng niềm tin.</t>
  </si>
  <si>
    <t>Sau khi cân nhắc các quyền lợi và nghĩa vụ, tôi thấy chính sách mới có nhiều ưu điểm, nhưng vẫn còn một số lo ngại về khả năng thực thi. Tôi sẽ tuân thủ vì lợi ích tổng thể.</t>
  </si>
  <si>
    <t>Biểu thuế được đơn giản hóa và các mức giảm trừ gia cảnh tăng lên, tạo ra sự minh bạch về nghĩa vụ thuế. Các quy định quản lý thuế hiện nay có thể phát hiện dễ dàng hơn hành vi gian lận hoặc trốn thuế.</t>
  </si>
  <si>
    <t>Công nghệ hiện đại và các quy định mới giúp cơ quan thuế có khả năng giám sát và xử lý nghiêm các trường hợp trốn thuế hiệu quả.</t>
  </si>
  <si>
    <t>Thủ tục khai báo thuế đơn giản hơn với số bậc thuế giảm, làm việc với cơ quan thuế cũng thuận tiện hơn so với trước đây.</t>
  </si>
  <si>
    <t>Cách tính thuế và các bậc thuế mới đơn giản hóa quy trình tính toán, giúp người nộp thuế dễ hiểu và thực hiện.</t>
  </si>
  <si>
    <t>Những thay đổi về mức giảm trừ gia cảnh và số bậc thuế làm tăng niềm tin rằng Nhà nước đã đối xử công bằng với mọi người nộp thuế.</t>
  </si>
  <si>
    <t>Mức thuế mới được thiết kế dựa trên thu nhập, tạo cảm giác công bằng cho người có cùng mức thu nhập đóng thuế giống nhau.</t>
  </si>
  <si>
    <t>Những thay đổi mang lại lợi ích về mặt tài chính, tăng niềm tin rằng số tiền thuế sẽ được sử dụng hiệu quả để cải thiện dịch vụ công.</t>
  </si>
  <si>
    <t>Giải thích rõ ràng về mục tiêu và lý do của việc sửa đổi thuế đã tạo sự minh bạch về quy định mới.</t>
  </si>
  <si>
    <t>Những thay đổi mang lại lợi ích tài chính và thủ tục đơn giản, tăng khả năng tuân thủ. Tuy nhiên, có một phần nghi ngờ về khả năng thực thi hiệu quả của cơ quan thuế.</t>
  </si>
  <si>
    <t>Các quy định quản lý thuế hiện nay đã được cải thiện đáng kể, đặc biệt là với việc tăng mức giảm trừ gia cảnh. Điều này làm giảm cơ hội trốn thuế cho cá nhân. Tuy nhiên, vẫn còn nghi ngại về khả năng phát hiện trốn thuế.</t>
  </si>
  <si>
    <t>Công nghệ ngày càng tiên tiến giúp việc phát hiện và xử lý trốn thuế trở nên hiệu quả hơn. Tăng mức giảm trừ gia cảnh cũng nâng cao khả năng phát hiện các hành vi trốn thuế.</t>
  </si>
  <si>
    <t>Quy trình khai báo thuế trở nên đơn giản với số bậc thuế ít đi, làm cho việc thực hiện nhanh chóng và dễ dàng hơn. Tuy nhiên, vẫn có sự phức tạp khi cần nắm bắt các quy định mới.</t>
  </si>
  <si>
    <t>Cách tính thuế trở nên đơn giản với số bậc thuế giảm từ 7 xuống còn 5. Điều này giúp người nộp thuế dễ hiểu và thực hiện theo.</t>
  </si>
  <si>
    <t>Nhà nước đã tăng mức giảm trừ gia cảnh, làm cho việc đóng thuế trở nên công bằng hơn đối với nhiều cá nhân. Tuy nhiên, vẫn còn lo ngại về cách thực thi chính sách.</t>
  </si>
  <si>
    <t>Mức thuế mới được thiết kế để phù hợp với thu nhập hiện tại của tôi, làm cho việc đóng thuế trở nên công bằng hơn. Tuy nhiên, vẫn cần thêm thông tin về cách sử dụng số tiền thuế.</t>
  </si>
  <si>
    <t>Tăng mức giảm trừ gia cảnh và đơn giản hóa biểu thuế tạo cảm giác rằng số tiền tôi đóng sẽ được sử dụng hiệu quả. Tuy nhiên, vẫn còn lo ngại về việc thực hiện các dự án công cộng.</t>
  </si>
  <si>
    <t>Nhà nước đã giải thích rõ ràng về mục tiêu của chính sách mới, giúp người dân hiểu hơn về lý do và mục đích. Tuy nhiên, vẫn còn nghi ngại về sự minh bạch trong việc sử dụng số tiền thuế.</t>
  </si>
  <si>
    <t>Sau khi xem xét các quyền lợi từ chính sách mới, tôi thấy rằng mức giảm trừ gia cảnh và đơn giản hóa biểu thuế đã cải thiện đáng kể. Tuy nhiên, vẫn còn lo ngại về việc thực thi chính sách.</t>
  </si>
  <si>
    <t>Mức giảm trừ gia cảnh tăng, giúp giảm gánh nặng thuế cho nhiều người. Tuy nhiên, khả năng phát hiện trốn thuế phụ thuộc vào công nghệ và nguồn lực của cơ quan thuế.</t>
  </si>
  <si>
    <t>Công nghệ ngày càng tiên tiến, nhưng vẫn cần nguồn lực và sự cam kết từ nhà nước để đảm bảo hiệu quả. Cơ sở dữ liệu cá nhân hóa cũng giúp phát hiện trốn thuế dễ dàng hơn.</t>
  </si>
  <si>
    <t>Biểu thuế đơn giản hơn, số bậc giảm từ 7 xuống 5, thuận lợi cho người nộp thuế theo dõi và tính toán. Quy trình khai báo thuế cũng được cải tiến, tiện lợi hơn.</t>
  </si>
  <si>
    <t>Giảm trừ gia cảnh tăng, công bằng đối với người nộp thuế có nhiều thành viên trong gia đình. Cơ quan thuế có thể xử lý nghiêm nhưng phụ thuộc vào nguồn lực và quy định.</t>
  </si>
  <si>
    <t>Mức thuế mới được thiết lập dựa trên thu nhập, công bằng cho người thu nhập thấp hơn và không quá nặng nề đối với những người có thu nhập cao.</t>
  </si>
  <si>
    <t>Thu nhập cá nhân tăng lên, nhưng giảm trừ gia cảnh cũng nhiều hơn. Số thuế phải đóng tương đối công bằng. Hiệu quả sử dụng nguồn lực thuế chưa rõ ràng.</t>
  </si>
  <si>
    <t>Giải thích về mục tiêu và lý do của cải cách không rõ ràng, khiến người dân nghi ngờ việc thực hiện chính sách mới</t>
  </si>
  <si>
    <t>Thu nhập tăng lên nhưng giảm trừ gia cảnh nhiều hơn. Thuế phải đóng tương đối công bằng. Tuy nhiên, giải thích về mục tiêu cải cách không rõ ràng khiến người dân nghi ngờ.</t>
  </si>
  <si>
    <t>Biện pháp quản lý thuế hiện nay được tăng cường, đặc biệt là mức giảm trừ gia cảnh cao hơn trước đây. Điều này làm giảm cơ hội trốn thuế.</t>
  </si>
  <si>
    <t>Công nghệ phát triển mạnh mẽ giúp nhà nước và cơ quan thuế có khả năng phát hiện hành vi gian lận một cách nhanh chóng và hiệu quả hơn.</t>
  </si>
  <si>
    <t>Biểu thuế được đơn giản hóa, số bậc thuế giảm từ 7 xuống còn 5. Điều này tạo thuận lợi cho việc khai báo và làm việc với cơ quan thuế.</t>
  </si>
  <si>
    <t>Cách tính thuế và các bậc thuế mới đơn giản hơn so với trước đây, dễ hiểu và thực hiện nhanh chóng hơn.</t>
  </si>
  <si>
    <t>Nhà nước đã tăng mức giảm trừ gia cảnh, tạo cảm giác công bằng cho người dân. Tuy nhiên, vẫn còn lo ngại về cách thực thi chính sách.</t>
  </si>
  <si>
    <t>Mức thuế mới theo phương án có thể hợp lý đối với thu nhập trung bình của tôi, tạo cảm giác công bằng</t>
  </si>
  <si>
    <t>Tăng mức giảm trừ gia cảnh giúp cải thiện dịch vụ công. Tuy nhiên, vẫn còn lo ngại về hiệu quả sử dụng số tiền thuế.</t>
  </si>
  <si>
    <t>Nhà nước đã cung cấp thông tin rõ ràng hơn về việc sửa đổi thuế, nhưng vẫn còn không đủ thuyết phục</t>
  </si>
  <si>
    <t>Sau khi cân nhắc lợi ích và nghĩa vụ, tôi thấy chính sách mới hợp lý. Tuy nhiên, vẫn còn lo ngại về thực thi.</t>
  </si>
  <si>
    <t>Biện pháp quản lý thuế hiện nay đã được cải thiện, tuy nhiên vẫn có khả năng trốn thuế qua các lỗ hổng. Mức giảm trừ gia cảnh tăng giúp người nộp thuế tiết kiệm hơn.</t>
  </si>
  <si>
    <t>Công nghệ phát triển hiện nay giúp cơ quan thuế dễ dàng phát hiện hành vi trốn thuế, song vẫn cần sự giám sát chặt chẽ từ phía nhà nước.</t>
  </si>
  <si>
    <t>Quy trình khai báo thuế đã đơn giản hơn so với trước đây, nhưng vẫn có một số bước phức tạp. Mức giảm trừ gia cảnh tăng làm giảm gánh nặng cho người dân.</t>
  </si>
  <si>
    <t>Biểu thuế mới đơn giản hóa từ 7 bậc xuống còn 5 bậc, dễ hiểu và dễ thực hiện hơn so với trước đây. Mức thuế suất cũng được điều chỉnh hợp lý.</t>
  </si>
  <si>
    <t>Nhà nước đã công bố các quy định rõ ràng nhưng vẫn cần tăng cường giám sát để đảm bảo công bằng cho tất cả người nộp thuế</t>
  </si>
  <si>
    <t>Mức thuế mới được tính toán dựa trên thu nhập nên khá hợp lý. Tuy nhiên, mức giảm trừ gia cảnh tăng giúp giảm gánh nặng thuế cho người dân.</t>
  </si>
  <si>
    <t>Thuế đóng góp vào phát triển hạ tầng và y tế nhưng cần giám sát để đảm bảo chi tiêu hiệu quả</t>
  </si>
  <si>
    <t>Nhà nước đã giải thích rõ về mục đích cải cách thuế, tuy nhiên thông tin vẫn chưa thực sự thuyết phục tất cả người dân.</t>
  </si>
  <si>
    <t>Chính sách mới giúp giảm gánh nặng thuế và nâng cao chất lượng cuộc sống. Tuy nhiên, vẫn cần thời gian để làm quen với quy định mới</t>
  </si>
  <si>
    <t>Chính sách mới có mức giảm trừ gia cảnh cao hơn, giúp giảm gánh nặng thuế cho nhiều người. Tuy nhiên, khả năng phát hiện trốn thuế phụ thuộc vào sự hiệu quả của công nghệ và quy định quản lý, không phải cải cách chính sách thuế.</t>
  </si>
  <si>
    <t>Việc tăng giảm trừ gia cảnh và đơn giản hóa biểu thuế có thể làm giảm hành vi trốn thuế. Công nghệ hiện đại như AI có thể hỗ trợ trong việc phát hiện gian lận, nhưng vẫn phụ thuộc vào năng lực của cơ quan thuế.</t>
  </si>
  <si>
    <t>Mức tăng giảm trừ gia cảnh và đơn giản hóa biểu thuế có thể làm cho quá trình khai báo thuế dễ dàng hơn. Tuy nhiên, hiệu quả thực tế còn phụ thuộc vào sự thực thi của cơ quan thuế.</t>
  </si>
  <si>
    <t>Đơn giản hóa biểu thuế và giảm số bậc có thể làm cho quá trình tính thuế trở nên dễ hiểu hơn. Tuy nhiên, việc áp dụng cụ thể còn phụ thuộc vào cách triển khai của cơ quan thuế.</t>
  </si>
  <si>
    <t>Nâng cao mức giảm trừ gia cảnh và đơn giản hóa biểu thuế có thể làm tăng niềm tin rằng chính sách mới công bằng. Tuy nhiên, vẫn cần xem xét cách thực thi để đảm bảo khách quan và công tâm.</t>
  </si>
  <si>
    <t>Mức giảm trừ gia cảnh cao hơn và đơn giản hóa biểu thuế có thể làm cho người dân cảm thấy mức thuế đóng là hợp lý. Tuy nhiên, hiệu quả thực tế còn phụ thuộc vào cách áp dụng.</t>
  </si>
  <si>
    <t>Nâng cao mức giảm trừ gia cảnh và đơn giản hóa biểu thuế có thể làm tăng niềm tin rằng số tiền đóng thuế sẽ được sử dụng hiệu quả. Tuy nhiên, vẫn cần xem xét cách thực thi để đảm bảo công bằng.</t>
  </si>
  <si>
    <t>Chính phủ đã giải thích rõ về các thay đổi, nhưng vẫn cần xem xét việc truyền thông đầy đủ và chính xác đến người dân. Tuy nhiên, mức giảm trừ gia cảnh cao hơn có thể làm tăng niềm tin.</t>
  </si>
  <si>
    <t>Chính sách mới mang lại nhiều lợi ích về mặt tài chính cho tôi, do đó tôi sẽ ủng hộ và tuân thủ. Tuy nhiên, vẫn cần xem xét cách thực thi để đảm bảo hiệu quả.</t>
  </si>
  <si>
    <t>Các quy định quản lý thuế hiện nay không rõ ràng, khả năng phát hiện hành vi gian lận khó khăn.</t>
  </si>
  <si>
    <t>Dựa trên xu hướng công nghệ hiện đại, có khả năng phát hiện trốn thuế nhưng chưa chắc chắn.</t>
  </si>
  <si>
    <t>Mức giảm trừ gia cảnh và biểu thuế đơn giản hơn giúp thủ tục dễ dàng hơn so với trước đây.</t>
  </si>
  <si>
    <t>Cách tính thuế mới đơn giản, các bậc thuế rõ ràng hơn, tạo cảm giác thuận tiện cho người nộp thuế.</t>
  </si>
  <si>
    <t>Niềm tin vào sự công bằng của cơ quan thuế chưa cao do quy định quản lý thuế không rõ ràng.</t>
  </si>
  <si>
    <t>Mức thuế mới phù hợp với thu nhập hiện tại, tạo cảm giác công bằng đối với người nộp thuế.</t>
  </si>
  <si>
    <t>Đóng góp thuế giúp cải thiện dịch vụ công nhưng chưa chắc chắn về hiệu quả sử dụng.</t>
  </si>
  <si>
    <t>Công bố thông tin về sửa đổi thuế không đầy đủ, tạo cảm giác thiếu minh bạch.</t>
  </si>
  <si>
    <t>Mặc dù thủ tục đơn giản và giảm gánh nặng thuế nhưng vẫn còn nghi ngờ về việc tuân thủ.</t>
  </si>
  <si>
    <t>Cải cách thuế thu nhập cá nhân không chỉ tăng giảm trừ gia cảnh mà còn đơn giản hóa quy trình khai báo. Điều này sẽ khiến hành vi gian lận trở nên khó khăn hơn, tuy nhiên, tôi vẫn lo ngại về khả năng phát hiện trốn thuế</t>
  </si>
  <si>
    <t>Nhà nước đã có nhiều cải tiến công nghệ trong quản lý thuế. Tuy vậy, việc xử lý nghiêm các hành vi trốn thuế cần sự phối hợp chặt chẽ giữa các cơ quan và nguồn lực</t>
  </si>
  <si>
    <t>Việc đơn giản hóa biểu thuế đã tạo ra quy trình khai báo nhanh chóng hơn. Tuy nhiên, vẫn còn một số thủ tục cần cải thiện để trở nên tiện lợi hơn</t>
  </si>
  <si>
    <t>Các bậc thuế mới rõ ràng và dễ hiểu hơn. Điều này giúp người dân nắm bắt nhanh chóng cách tính thuế của mình</t>
  </si>
  <si>
    <t>Nhà nước đã có những cải tiến trong quản lý thuế, tăng giảm trừ gia cảnh. Tuy nhiên, tôi vẫn lo ngại về sự công bằng khi áp dụng cho mọi đối tượng</t>
  </si>
  <si>
    <t>Mức thuế mới được thiết lập hợp lý so với thu nhập của tôi hiện tại. Điều này tạo nên cảm giác công bằng</t>
  </si>
  <si>
    <t>Thuế đóng góp vào việc cải thiện dịch vụ công, tuy nhiên, cần có minh bạch trong sử dụng nguồn lực tài chính để tạo niềm tin</t>
  </si>
  <si>
    <t>Nhà nước đã giải thích một cách rõ ràng về lý do và mục tiêu của cải cách. Tuy vậy, tôi vẫn mong muốn có thêm thông tin chi tiết hơn</t>
  </si>
  <si>
    <t>Ngay cả khi cải cách mang lại lợi ích tài chính, nhưng do sự phức tạp trong quản lý thuế trước đây đã tạo nên sự đa nghi. Tôi sẽ tiếp tục tuân thủ nhưng không mạnh mẽ như trước</t>
  </si>
  <si>
    <t>Với mức giảm trừ gia cảnh tăng lên, các bậc thuế rõ ràng và số bậc thuế được giảm, việc phát hiện gian lận sẽ khó khăn hơn. Tuy nhiên, công nghệ hiện đại có thể hỗ trợ trong việc phát hiện.</t>
  </si>
  <si>
    <t>Công nghệ tiên tiến như AI và hệ thống quản lý thuế điện tử giúp tăng cường khả năng phát hiện trốn thuế một cách hiệu quả. Công nghệ là công cụ mạnh mẽ để chống gian lận.</t>
  </si>
  <si>
    <t>Mức giảm trừ gia cảnh cao hơn và số bậc thuế được đơn giản hóa sẽ làm cho việc khai báo thuế dễ dàng hơn, nhanh chóng hơn. Quy trình làm việc với cơ quan thuế cũng trở nên thuận tiện hơn.</t>
  </si>
  <si>
    <t>Bậc thuế đơn giản và rõ ràng giúp cách tính thuế trở nên dễ hiểu và dễ thực hiện hơn, so với trước đây có nhiều bậc thuế phức tạp.</t>
  </si>
  <si>
    <t>Niềm tin vào việc Nhà nước sẽ công bằng trong việc áp dụng chính sách mới tăng lên do mức giảm trừ gia cảnh cao hơn và số bậc thuế đơn giản. Tuy nhiên, vẫn cần giám sát chặt chẽ.</t>
  </si>
  <si>
    <t>Mức thuế mới được thiết kế dựa trên thu nhập của tôi nên tôi thấy công bằng, nhưng tôi vẫn muốn xem xét hiệu quả thực tế sau khi áp dụng chính sách mới.</t>
  </si>
  <si>
    <t>Niềm tin vào việc số tiền thuế đóng sẽ được sử dụng hiệu quả để cải thiện dịch vụ công tăng lên do mức giảm trừ gia cảnh cao hơn. Tuy nhiên, vẫn cần thời gian để xem xét hiệu quả thực tế.</t>
  </si>
  <si>
    <t>Nhà nước đã giải thích rõ ràng về mục tiêu của chính sách mới, nhưng tôi muốn có thêm thông tin về cách thức thực hiện và hiệu quả đạt được.</t>
  </si>
  <si>
    <t>Sau khi cân nhắc lợi ích từ mức giảm trừ gia cảnh cao hơn và số bậc thuế đơn giản, tôi thấy chính sách mới công bằng. Tuy nhiên, quyết định ủng hộ hoàn toàn còn phụ thuộc vào hiệu quả thực tế sau khi áp dụng.</t>
  </si>
  <si>
    <t>Cải cách thuế lần này không có yếu tố cụ thể liên quan đến việc phát hiện trốn thuế, nên dựa vào xu hướng chung về niềm tin vào khả năng của cơ quan thuế.</t>
  </si>
  <si>
    <t>Việc cải cách thuế thông qua công nghệ và quản lý hiệu quả có thể tăng cường khả năng phát hiện trốn thuế, nhưng không đủ rõ ràng để đánh giá cao hơn.</t>
  </si>
  <si>
    <t>Mức giảm trừ gia cảnh được nâng lên, giảm gánh nặng cho người nộp thuế cá nhân. Biểu thuế đơn giản hơn, thuận tiện cho quá trình khai báo và làm việc với cơ quan thuế.</t>
  </si>
  <si>
    <t>Biểu thuế mới có số bậc giảm từ 7 xuống còn 5, tạo cảm giác đơn giản hóa quy trình tính thuế. Tuy nhiên, mức thuế suất mới chưa rõ ràng về mặt trải nghiệm sử dụng.</t>
  </si>
  <si>
    <t>Tăng mức giảm trừ gia cảnh và số bậc thuế giảm đều thể hiện sự công bằng trong việc phân chia gánh nặng thuế. Tuy nhiên, vẫn còn nhiều yếu tố phụ thuộc vào thực thi chính sách.</t>
  </si>
  <si>
    <t>Mức thuế mới được thiết kế dựa trên thu nhập cá nhân, tạo cảm giác công bằng cho người nộp thuế. Tuy nhiên, mức thuế suất cần thêm thông tin chi tiết để đánh giá cao hơn.</t>
  </si>
  <si>
    <t>Mức giảm trừ gia cảnh và mức thuế được thiết kế dựa trên thu nhập cá nhân, tạo cảm giác số tiền thuế đóng sẽ được sử dụng hiệu quả. Tuy nhiên, vẫn cần thêm thông tin về cách sử dụng nguồn thu để đánh giá cao hơn.</t>
  </si>
  <si>
    <t>Thông tin về lý do và mục tiêu của việc cải cách chưa rõ ràng, tuy nhiên các biện pháp cải cách mang tính tích cực. Tuy nhiên, cần thêm thông tin minh bạch để đánh giá cao hơn.</t>
  </si>
  <si>
    <t>Các lợi ích về giảm trừ gia cảnh và đơn giản hóa biểu thuế tạo cảm giác thuận tiện cho người nộp thuế. Tuy nhiên, mức độ ủng hộ vẫn phụ thuộc vào thực thi chính sách.</t>
  </si>
  <si>
    <t>Quy định quản lý thuế hiện nay chưa rõ ràng, khả năng phát hiện gian lận và trốn thuế còn hạn chế.</t>
  </si>
  <si>
    <t>Công nghệ phát triển giúp tăng cường khả năng giám sát nhưng việc áp dụng vẫn cần thời gian.</t>
  </si>
  <si>
    <t>Mức giảm trừ gia cảnh và số bậc thuế đơn giản hóa làm thủ tục khai báo dễ dàng hơn, nhưng quy trình với cơ quan thuế chưa thay đổi nhiều.</t>
  </si>
  <si>
    <t>Biểu thuế được đơn giản hóa, các bước tính toán thu nhập chịu thuế trở nên rõ ràng hơn.</t>
  </si>
  <si>
    <t>Nhìn chung, chính sách mới hướng đến công bằng và khách quan nhưng vẫn còn nhiều thắc mắc về cách thực thi.</t>
  </si>
  <si>
    <t>Mức thuế mới có vẻ hợp lý so với thu nhập của bản thân, nhưng chưa đảm bảo tính công bằng tuyệt đối.</t>
  </si>
  <si>
    <t>Niềm tin rằng số tiền thuế đóng sẽ được sử dụng hiệu quả cho dịch vụ công còn thấp do kinh nghiệm trước đây.</t>
  </si>
  <si>
    <t>Thông tin giải thích về mục tiêu sửa đổi thuế chưa đủ rõ ràng, nhưng có hướng cải thiện so với trước đây.</t>
  </si>
  <si>
    <t>Quyết định tuân thủ phụ thuộc vào việc cân nhắc giữa lợi ích và nghĩa vụ, cảm thấy cần thêm thời gian để đánh giá</t>
  </si>
  <si>
    <t>Theo quy định mới, mức giảm trừ gia cảnh tăng đáng kể, điều này làm cho việc trốn thuế ít lợi nhuận hơn. Tuy nhiên, cơ chế phát hiện và xử lý gian lận cần thời gian để cải thiện.</t>
  </si>
  <si>
    <t>Công nghệ ngày càng phát triển giúp nhà nước có khả năng giám sát hiệu quả hơn. Việc tăng mức giảm trừ gia cảnh cũng góp phần ngăn chặn trốn thuế, tuy nhiên cần thời gian để công nghệ áp dụng.</t>
  </si>
  <si>
    <t>Biểu thuế đơn giản hơn và các quy định rõ ràng hơn tạo điều kiện cho việc khai báo thuế dễ dàng hơn. Tuy nhiên, sự phức tạp của thuế vẫn còn tồn tại.</t>
  </si>
  <si>
    <t>Cách tính thuế mới đơn giản hóa quá trình xác định mức thuế phải trả, giảm bớt rắc rối cho người nộp thuế. Sự minh bạch trong biểu thuế giúp việc hiểu rõ hơn về quy định.</t>
  </si>
  <si>
    <t>Mức giảm trừ gia cảnh tăng cao mang lại cảm giác công bằng và tin tưởng vào sự thực thi chính sách của nhà nước. Tuy nhiên, vẫn cần thời gian để đánh giá hiệu quả thực tế.</t>
  </si>
  <si>
    <t>Mức thuế mới được thiết kế sao cho phù hợp với thu nhập cá nhân, tạo cảm giác công bằng. Tuy nhiên, mức thuế còn phụ thuộc vào nhiều yếu tố và cần đánh giá kỹ lưỡng.</t>
  </si>
  <si>
    <t>Thuê đóng góp vào việc cải thiện dịch vụ công nhưng vẫn cần thời gian để thấy kết quả thực tế. Mức giảm trừ gia cảnh tăng cao mang lại cảm giác tin tưởng hơn về cách sử dụng thuế.</t>
  </si>
  <si>
    <t>Phương án mới đã giải thích rõ ràng về mục tiêu của việc sửa đổi, tạo cảm giác minh bạch. Tuy nhiên, vẫn cần thời gian để đánh giá hiệu quả và thuyết phục người dân.</t>
  </si>
  <si>
    <t>Trải qua quá trình cân nhắc giữa lợi ích và nghĩa vụ, tôi sẵn sàng tuân thủ chính sách mới vì mức giảm trừ gia cảnh tăng cao và cách tính thuế đơn giản hơn. Tuy nhiên, cần thời gian để đánh giá hiệu quả thực tế.</t>
  </si>
  <si>
    <t>Chính sách mới có mức giảm trừ gia cảnh lớn hơn, nhưng khả năng phát hiện trốn thuế phụ thuộc nhiều vào công nghệ và sự tuân thủ của cá nhân.</t>
  </si>
  <si>
    <t>Công nghệ ngày càng tiến bộ giúp Nhà nước có thể giám sát hiệu quả hơn, giảm thiểu cơ hội trốn thuế. Tuy nhiên, vẫn phụ thuộc vào độ tuân thủ và quản lý của cơ quan thuế.</t>
  </si>
  <si>
    <t>Biểu thuế được đơn giản hóa từ 7 bậc xuống còn 5 bậc, giúp quá trình khai báo dễ dàng hơn. Tuy nhiên, quy trình làm việc với cơ quan thuế vẫn chưa thay đổi nhiều.</t>
  </si>
  <si>
    <t>Cách tính thuế và các bậc thuế mới đơn giản hơn so với trước đây, giúp người dân hiểu rõ hơn về mức thuế phải trả. Điều này tăng cảm giác thuận tiện khi thực hiện.</t>
  </si>
  <si>
    <t>Mức giảm trừ gia cảnh lớn hơn tạo cảm giác công bằng đối với người nộp thuế. Tuy nhiên, việc áp dụng chính sách còn phụ thuộc vào cách quản lý của cơ quan thuế.</t>
  </si>
  <si>
    <t>Thuế suất và ngưỡng chịu thuế mới được thiết kế nhằm tạo ra sự công bằng cho người nộp thuế. Tuy nhiên, mức độ cảm thấy công bằng còn phụ thuộc vào tình hình cụ thể của từng cá nhân.</t>
  </si>
  <si>
    <t>Chính phủ đã giải thích rõ ràng về các thay đổi trong chính sách mới, tạo niềm tin cho người dân. Tuy nhiên, hiệu quả sử dụng số tiền thuế vẫn cần thời gian để thể hiện.</t>
  </si>
  <si>
    <t>Các thông điệp giải thích rõ ràng về mục tiêu của chính sách mới giúp tăng sự ủng hộ từ người dân. Tuy nhiên, mức độ tin cậy còn phụ thuộc vào hiệu quả thực tế trong việc sử dụng số tiền thuế.</t>
  </si>
  <si>
    <t>Chính sách mới tạo ra lợi ích về mặt tài chính và thuận tiện cho người nộp thuế, đồng thời giải thích rõ ràng mục tiêu của chính sách. Tuy nhiên, quyết định tuân thủ còn phụ thuộc vào việc quản lý cụ thể.</t>
  </si>
  <si>
    <t>Các quy định quản lý thuế hiện nay được cải thiện, đặc biệt là việc tăng mức giảm trừ gia cảnh. Điều này làm giảm khả năng trốn thuế và gian lận của cá nhân.</t>
  </si>
  <si>
    <t>Nhà nước đã đầu tư vào công nghệ để phát hiện hành vi trốn thuế, nhưng vẫn phụ thuộc vào sự tuân thủ của người nộp thuế. Công nghệ giúp kiểm soát tốt hơn so với trước đây.</t>
  </si>
  <si>
    <t>Biểu thuế được đơn giản hóa từ 7 bậc xuống còn 5 bậc, đồng thời tăng mức giảm trừ gia cảnh, làm cho quy trình khai báo thuế dễ dàng và nhanh chóng hơn.</t>
  </si>
  <si>
    <t>Các bậc thuế mới được thiết kế để đơn giản hóa quá trình tính thuế, giúp người dân hiểu rõ hơn về mức thuế phải trả.</t>
  </si>
  <si>
    <t>Nhà nước đã cải thiện quy định quản lý thuế thông qua tăng giảm trừ gia cảnh và đơn giản hóa biểu thuế, tạo cảm giác rằng các chính sách mới được thực thi công bằng.</t>
  </si>
  <si>
    <t>Mức thuế mới có sự thay đổi phù hợp với thu nhập cá nhân, tạo cảm giác mức thuế đóng là công bằng. Tuy nhiên, vẫn còn nghi ngờ về việc áp dụng thực tế.</t>
  </si>
  <si>
    <t>Thuốc tăng giảm trừ gia cảnh và đơn giản hóa biểu thuế có thể giúp số tiền thuế đóng được sử dụng hiệu quả hơn để cải thiện dịch vụ công. Tuy nhiên, vẫn cần thời gian để chứng minh.</t>
  </si>
  <si>
    <t>Các thông tin về sửa đổi thuế mới đã được truyền tải một cách rõ ràng và minh bạch, tạo cảm giác rằng Nhà nước có mục tiêu thực hiện cải cách thuế hiệu quả.</t>
  </si>
  <si>
    <t>Tôi ủng hộ chính sách mới vì nó đơn giản hóa quy trình khai báo thuế và tăng mức giảm trừ gia cảnh. Tuy nhiên, tôi vẫn lo ngại về việc áp dụng thực tế của các quy định mới này.</t>
  </si>
  <si>
    <t>Các quy định quản lý thuế hiện nay có nhiều cải tiến, tăng cường khả năng phát hiện hành vi gian lận. Việc áp dụng công nghệ cũng giúp việc xử lý nghiêm các trường hợp trốn thuế trở nên dễ dàng hơn.</t>
  </si>
  <si>
    <t>Nhà nước và cơ quan thuế đã đầu tư vào công nghệ, nâng cao khả năng phát hiện hành vi trốn thuế. Tuy nhiên, hiệu quả của việc này còn phụ thuộc vào quy định cụ thể.</t>
  </si>
  <si>
    <t>Biểu thuế được đơn giản hóa từ 7 bậc xuống còn 5 bậc, giảm bớt thủ tục khai báo và làm việc với cơ quan thuế, tạo điều kiện cho người dân nộp thuế dễ dàng hơn.</t>
  </si>
  <si>
    <t>Cách tính thuế mới đơn giản hóa từ 7 bậc xuống còn 5 bậc, giảm bối rối về thuế và dễ hiểu, thực hiện đơn giản hơn so với trước đây.</t>
  </si>
  <si>
    <t>Nhà nước đã tăng mức giảm trừ gia cảnh, tạo điều kiện cho nhiều người nộp thuế. Việc này thể hiện sự công bằng trong việc áp dụng chính sách thuế.</t>
  </si>
  <si>
    <t>Mức thuế mới được thiết kế sao cho phù hợp với thu nhập cá nhân và tạo ra sự công bằng, người có thu nhập tương đương nhau đóng mức thuế tương tự.</t>
  </si>
  <si>
    <t>Tăng mức giảm trừ gia cảnh và đơn giản hóa biểu thuế giúp giảm gánh nặng thuế cho người dân. Điều này tạo niềm tin rằng số tiền thuế đóng sẽ được sử dụng hiệu quả để cải thiện dịch vụ công.</t>
  </si>
  <si>
    <t>Nhà nước đã giải thích rõ ràng về việc tăng mức giảm trừ gia cảnh và đơn giản hóa biểu thuế. Tuy nhiên, thông tin về mục tiêu chính xác của các thay đổi này còn hạn chế.</t>
  </si>
  <si>
    <t>Sau khi xem xét các quyền lợi từ chính sách mới như mức giảm trừ gia cảnh tăng và quy định thuế đơn giản hơn, tôi cảm thấy ủng hộ việc tuân thủ. Tuy nhiên, vẫn có một số lo ngại về cách thực thi.</t>
  </si>
  <si>
    <t>Cải cách thuế đã tăng giảm trừ gia cảnh, giúp người dân ít bị gian lận. Tuy nhiên, khả năng phát hiện trốn thuế phụ thuộc nhiều vào công nghệ và nguồn lực của cơ quan thuế.</t>
  </si>
  <si>
    <t>Công nghệ ngày càng tiên tiến, nhưng vẫn cần nguồn lực và chính sách hỗ trợ. Việc xử lý nghiêm sẽ giúp giảm gian lận trong dài hạn.</t>
  </si>
  <si>
    <t>Biểu thuế đơn giản hơn trước, việc khai báo cũng dễ dàng hơn với nhiều tiện ích trực tuyến. Tuy nhiên, quy trình vẫn có thể phức tạp đối với người không am hiểu.</t>
  </si>
  <si>
    <t>Cách tính thuế và bậc thuế mới đơn giản rõ ràng hơn so với trước đây. Người dân dễ dàng tính toán và tuân thủ.</t>
  </si>
  <si>
    <t>Nhà nước đã tăng giảm trừ gia cảnh, giảm gánh nặng cho người dân. Tuy nhiên, việc thực thi công bằng vẫn phụ thuộc vào cách triển khai.</t>
  </si>
  <si>
    <t>Mức thuế mới có thể phù hợp với thu nhập cá nhân hiện tại. Tuy nhiên, sự công bằng còn phụ thuộc vào cách sử dụng nguồn thu.</t>
  </si>
  <si>
    <t>Thuế đóng góp cho các dịch vụ công quan trọng như y tế, giáo dục. Tuy nhiên, hiệu quả sử dụng nguồn thuế cần được cải thiện hơn.</t>
  </si>
  <si>
    <t>Đại đa số thông tin giải thích về chính sách mới là rõ ràng. Tuy nhiên, sự minh bạch hoàn toàn còn phụ thuộc vào thực tế triển khai.</t>
  </si>
  <si>
    <t>Sau khi cân nhắc các quyền lợi và nghĩa vụ, tôi thấy việc giảm gánh nặng thuế có thể thúc đẩy tuân thủ. Tuy nhiên, vẫn cần giám sát chặt chẽ để tránh trốn thuế.</t>
  </si>
  <si>
    <t>Mức giảm trừ gia cảnh tăng đáng kể, nhưng không rõ liệu công nghệ hiện tại có đủ phát hiện gian lận hay không.</t>
  </si>
  <si>
    <t>Như đã phân tích trên, tôi tin rằng Nhà nước sẽ áp dụng công nghệ tiên tiến để xử lý trốn thuế hiệu quả hơn.</t>
  </si>
  <si>
    <t>Biểu thuế đơn giản hóa từ 7 bậc xuống còn 5 bậc, nhưng không rõ quy trình khai báo có thực sự nhanh chóng và tiện lợi hơn hay không.</t>
  </si>
  <si>
    <t>Cách tính thuế mới đơn giản hơn so với trước đây, phù hợp với người thu nhập trung bình.</t>
  </si>
  <si>
    <t>Chính sách mới tăng giảm trừ gia cảnh và đơn giản hóa biểu thuế, tạo cảm giác công bằng hơn.</t>
  </si>
  <si>
    <t>Thuế suất và ngưỡng chịu thuế mới có thể phù hợp với thu nhập của tôi, nhưng không rõ liệu công bằng hay không khi so sánh giữa các mức thu nhập khác.</t>
  </si>
  <si>
    <t>Chính sách mới tăng giảm trừ gia cảnh, tạo cảm giác số thuế đóng sẽ được sử dụng hiệu quả hơn để cải thiện dịch vụ công.</t>
  </si>
  <si>
    <t>Tôi thấy thông tin về chính sách mới khá rõ ràng, nhưng không chắc chắn rằng tất cả mọi người đều hiểu và đồng tình với mục tiêu của nó.</t>
  </si>
  <si>
    <t>Chính sách mới tăng giảm trừ gia cảnh và đơn giản hóa biểu thuế, tạo cảm giác tuân thủ sẽ mang lại lợi ích cho tôi.</t>
  </si>
  <si>
    <t>Các quy định quản lý thuế hiện nay, đặc biệt với sự hỗ trợ của công nghệ, sẽ giúp phát hiện và xử lý nghiêm các hành vi trốn thuế.</t>
  </si>
  <si>
    <t>Nhà nước có đủ khả năng và công nghệ để phát hiện và xử lý nghiêm các hành vi trốn thuế hiệu quả.</t>
  </si>
  <si>
    <t>Mức giảm trừ gia cảnh tăng lên, làm thủ tục khai báo thuế đơn giản hơn và quy trình làm việc với cơ quan thuế nhanh chóng hơn trước đây.</t>
  </si>
  <si>
    <t>Biểu thuế đơn giản hóa từ 7 bậc xuống còn 5 bậc, cách tính thuế trở nên rõ ràng và dễ hiểu hơn so với trước đây.</t>
  </si>
  <si>
    <t>Nhà nước thực thi chính sách một cách khách quan, công bằng đối xử bình đẳng giữa người nộp thuế.</t>
  </si>
  <si>
    <t>Mức thuế mới được thiết lập công bằng, người thu nhập như tôi đóng mức này là hợp lý.</t>
  </si>
  <si>
    <t>Số tiền thuế tôi đóng sẽ được sử dụng hiệu quả để cải thiện dịch vụ công, mang lại lợi ích cho cộng đồng</t>
  </si>
  <si>
    <t>Nhà nước đã giải thích rõ ràng về lý do và mục tiêu của việc sửa đổi thuế lần này.</t>
  </si>
  <si>
    <t>Trải nghiệm tích lũy cho thấy quyết định tuân thủ chính sách mới dựa trên lợi ích, nghĩa vụ và niềm tin vào thực thi chính sách.</t>
  </si>
  <si>
    <t>Cải cách thuế TNCN hiện nay không có thông tin rõ ràng về công nghệ phát hiện trốn thuế, nhưng mức giảm trừ gia cảnh tăng lên có thể làm giảm cơ hội trốn thuế. Người thu nhập thấp hơn sẽ cảm thấy an toàn hơn.</t>
  </si>
  <si>
    <t>Công nghệ ngày càng tiên tiến và có nhiều phương pháp phát hiện trốn thuế, tuy nhiên không có thông tin cụ thể về khả năng của cơ quan thuế. Mức giảm trừ gia cảnh tăng lên làm giảm cơ hội trốn thuế.</t>
  </si>
  <si>
    <t>Biểu thuế được đơn giản hóa từ 7 bậc xuống còn 5 bậc, giúp việc khai báo thuế dễ dàng hơn và nhanh chóng hơn. Tuy nhiên, không có thông tin về sự thay đổi cụ thể trong quy trình làm việc với cơ quan thuế.</t>
  </si>
  <si>
    <t>Các bậc thuế mới đơn giản hóa quy trình tính thuế và dễ hiểu hơn so với trước đây. Tuy nhiên, không có thông tin về sự thay đổi trong cách thức tính thuế cụ thể.</t>
  </si>
  <si>
    <t>Mức giảm trừ gia cảnh tăng lên từ 11 triệu/tháng lên 15,5 triệu/tháng và từ 4,4 triệu/tháng lên 6,2 triệu/tháng cho người phụ thuộc. Điều này làm giảm gánh nặng thuế đối với người thu nhập thấp hơn.</t>
  </si>
  <si>
    <t>Các bậc thuế mới được thiết lập công bằng hơn so với trước đây. Tuy nhiên, không có thông tin cụ thể về việc mức thuế mới này hợp lý hay không.</t>
  </si>
  <si>
    <t>Cải cách thuế TNCN không có thông tin về việc giải thích rõ ràng và minh bạch về lý do và mục tiêu của việc sửa đổi thuế. Tuy nhiên, mức giảm trừ gia cảnh tăng lên từ 11 triệu/tháng lên 15,5 triệu/tháng và từ 4,4 triệu/tháng lên 6,2 triệu/tháng cho người phụ thuộc.</t>
  </si>
  <si>
    <t>Sau khi xem xét các quyền lợi và nghĩa vụ, tôi ủng hộ chính sách mới do mức giảm trừ gia cảnh tăng lên từ 11 triệu/tháng lên 15,5 triệu/tháng và từ 4,4 triệu/tháng lên 6,2 triệu/tháng cho người phụ thuộc. Tuy nhiên, không có thông tin về sự thay đổi cụ thể trong quy trình làm việc với cơ quan thuế.</t>
  </si>
  <si>
    <t>Mức giảm trừ gia cảnh tăng, điều này làm giảm gánh nặng thuế cho người nộp thuế, nhưng không rõ liệu quy định quản lý thuế có được cập nhật để phát hiện hành vi trốn thuế hiệu quả hơn hay không. Tuy nhiên, công nghệ hiện đại giúp cải thiện khả năng phát hiện và xử lý các trường hợp trốn thuế.</t>
  </si>
  <si>
    <t>Công nghệ tiên tiến có thể giúp phát hiện hành vi trốn thuế hiệu quả hơn, nhưng khả năng thực thi pháp luật phụ thuộc vào nguồn lực con người và quy trình quản lý. Cơ quan thuế cần đủ công nghệ và nhân lực để phát hiện và xử lý các trường hợp trốn thuế.</t>
  </si>
  <si>
    <t>Mức giảm trừ gia cảnh tăng, điều này làm đơn giản hóa thủ tục khai báo thuế cho người nộp thuế. Quy trình làm việc với cơ quan thuế cũng được cải thiện nhờ công nghệ số và các quy định đơn giản hơn.</t>
  </si>
  <si>
    <t>Số bậc thuế giảm đi, điều này giúp cách tính thuế trở nên rõ ràng và dễ hiểu hơn. Tuy nhiên, việc áp dụng các bậc thuế mới có thể gây ra sự phức tạp tạm thời cho người nộp thuế.</t>
  </si>
  <si>
    <t>Mức giảm trừ gia cảnh tăng, điều này làm giảm gánh nặng thuế và tạo cảm giác công bằng hơn. Tuy nhiên, việc thực thi chính sách vẫn cần đảm bảo khách quan và công bằng để duy trì niềm tin.</t>
  </si>
  <si>
    <t>Mức thuế mới có thể được xem là công bằng đối với thu nhập cá nhân như tôi. Tuy nhiên, điều này phụ thuộc vào việc các bậc thuế mới đã được thiết lập đúng cách để đảm bảo tính công bằng.</t>
  </si>
  <si>
    <t>Mức giảm trừ gia cảnh tăng và số bậc thuế đơn giản hơn có thể tạo cảm giác tin tưởng rằng số tiền thuế đóng sẽ được sử dụng hiệu quả. Tuy nhiên, niềm tin này phụ thuộc vào việc thực thi chính sách và giám sát sử dụng nguồn thu thuế.</t>
  </si>
  <si>
    <t>Các thông báo về mục tiêu của việc sửa đổi thuế đã được cải thiện đáng kể nhờ quy định quản lý thuế mới. Tuy nhiên, niềm tin này phụ thuộc vào sự minh bạch và thực thi chính sách.</t>
  </si>
  <si>
    <t>Mức giảm trừ gia cảnh tăng, điều này làm giảm gánh nặng thuế và tạo cảm giác công bằng hơn. Tôi có thể ủng hộ chính sách mới để duy trì niềm tin vào hệ thống thuế hiện tại.</t>
  </si>
  <si>
    <t>Biểu thuế được đơn giản hóa và có thêm giảm trừ gia cảnh, nhưng mức thuế suất vẫn duy trì. Điều này làm tăng niềm tin rằng Nhà nước sẽ công bằng trong việc áp dụng các quy định thuế.</t>
  </si>
  <si>
    <t>Công nghệ hiện đại như AI, Big Data đã được triển khai rộng rãi để phát hiện hành vi trốn thuế. Tuy nhiên, vẫn cần thời gian để hoàn thiện hệ thống.</t>
  </si>
  <si>
    <t>Biểu thuế đơn giản hơn và có thêm giảm trừ gia cảnh giúp quá trình khai báo thuế dễ dàng hơn. Hạn chế về số bậc thuế cũng làm cho quy trình làm việc với cơ quan thuế trở nên thuận tiện hơn.</t>
  </si>
  <si>
    <t>Bậc thuế mới đơn giản hóa quy trình tính thuế, nhưng vẫn duy trì các mức thuế suất. Điều này giúp người dân dễ dàng hiểu và thực hiện.</t>
  </si>
  <si>
    <t>Mức giảm trừ gia cảnh tăng lên cùng với các điều chỉnh khác về thuế thu nhập cá nhân làm tăng niềm tin vào sự công bằng trong việc áp dụng quy định thuế.</t>
  </si>
  <si>
    <t>Thuế suất mới có phần cao hơn, nhưng mức giảm trừ gia cảnh cũng tăng. Điều này tạo cảm giác rằng mức thuế đóng là hợp lý.</t>
  </si>
  <si>
    <t>Tăng cường cơ sở hạ tầng y tế và giao thông công cộng, cùng với việc đơn giản hóa quy định thuế làm cho người dân tin rằng tiền thuế được sử dụng hiệu quả.</t>
  </si>
  <si>
    <t>Nhà nước đã cung cấp thông tin chi tiết về các thay đổi trong biểu thuế, nhưng chưa có thông điệp mạnh mẽ về mục tiêu cải cách. Điều này làm giảm sự thuyết phục đối với người dân.</t>
  </si>
  <si>
    <t>Tăng cường cơ sở hạ tầng và mức giảm trừ gia cảnh mang lại lợi ích cho tôi, nhưng mức thuế suất mới vẫn cao hơn so với trước đây. Tôi cần cân nhắc kỹ trước khi ủng hộ hoàn toàn.</t>
  </si>
  <si>
    <t>Các quy định quản lý thuế hiện nay đã tăng cường nhiều biện pháp phát hiện gian lận, nên tôi tin rằng hành vi trốn thuế sẽ dễ bị phát hiện.</t>
  </si>
  <si>
    <t>Nhà nước và cơ quan thuế có nhiều công nghệ tiên tiến để xử lý dữ liệu, từ đó giúp phát hiện các trường hợp trốn thuế.</t>
  </si>
  <si>
    <t>Mức Giảm trừ gia cảnh tăng lên cùng với việc đơn giản hóa biểu thuế tạo điều kiện thuận lợi hơn cho người nộp thuế.</t>
  </si>
  <si>
    <t>Biểu thuế mới có ít bậc và đơn giản hơn, do đó dễ hiểu và thực hiện hơn so với trước đây.</t>
  </si>
  <si>
    <t>Nhà nước đã tăng cường quản lý thuế và cải cách hệ thống thuế nhằm đảm bảo công bằng trong việc thu thuế.</t>
  </si>
  <si>
    <t>Mức thuế mới được điều chỉnh phù hợp với thu nhập cá nhân, tạo cảm giác rằng mức thuế đóng là công bằng.</t>
  </si>
  <si>
    <t>Giảm trừ gia cảnh tăng lên và các quy định mới giúp số tiền thuế tôi đóng sẽ được sử dụng hiệu quả để cải thiện dịch vụ công.</t>
  </si>
  <si>
    <t>Nhà nước đã giải thích rõ ràng về mục tiêu của việc sửa đổi thuế, nhưng cần thêm thông tin minh bạch hơn.</t>
  </si>
  <si>
    <t>Sau khi xem xét các quyền lợi mới và nghĩa vụ, tôi thấy rằng mức thuế mới và các cải cách tạo ra sự công bằng, nên tôi sẽ ủng hộ và tuân thủ chính sách mới.</t>
  </si>
  <si>
    <t>Theo quy định mới, mức giảm trừ gia cảnh tăng lên và biểu thuế đơn giản hơn. Điều này làm giảm khả năng trốn thuế và tăng độ minh bạch, giúp phát hiện hành vi gian lận dễ dàng hơn.</t>
  </si>
  <si>
    <t>Có nhiều công nghệ mới được áp dụng để giám sát và quản lý thuế, như hệ thống điện tử hóa khai báo thuế. Đây giúp tăng cường khả năng phát hiện và xử lý nghiêm các hành vi trốn thuế.</t>
  </si>
  <si>
    <t>Biểu thuế đơn giản hơn với ít bậc thuế, cùng việc giảm trừ gia cảnh cao hơn có thể làm cho quy trình khai báo thuế trở nên dễ dàng và nhanh chóng hơn.</t>
  </si>
  <si>
    <t>Cách tính thuế mới đơn giản hơn với ít bậc thuế, điều này giúp người dân hiểu rõ hơn về cách đóng thuế của mình.</t>
  </si>
  <si>
    <t>Người nộp thuế sẽ được giảm trừ gia cảnh nhiều hơn và mức thuế suất có thể thấp hơn so với trước đây. Điều này tạo ra cảm giác công bằng khi thực thi chính sách.</t>
  </si>
  <si>
    <t>Mức thuế mới dựa trên thu nhập, nên người nộp thuế sẽ thấy rằng họ đang đóng mức thuế tương xứng với thu nhập của mình.</t>
  </si>
  <si>
    <t>Giảm trừ gia cảnh cao hơn và số bậc thuế ít hơn có thể tạo ra cảm giác công bằng khi sử dụng số tiền đã đóng để cải thiện dịch vụ công.</t>
  </si>
  <si>
    <t>Các biện pháp quản lý thuế mới được áp dụng rõ ràng, minh bạch và công khai hơn so với trước đây. Điều này tạo ra sự tin tưởng rằng quyết định chính sách là công bằng.</t>
  </si>
  <si>
    <t>Trải qua quá trình cân nhắc giữa lợi ích tài chính và nghĩa vụ, tôi thấy mình có thể ủng hộ và tuân thủ chính sách mới. Tuy nhiên, việc tăng giảm trừ gia cảnh và bậc thuế cần thời gian để thích nghi.</t>
  </si>
  <si>
    <t>Dù tăng mức giảm trừ gia cảnh, nhưng việc phát hiện và xử lý trốn thuế phụ thuộc nhiều vào quy định quản lý. Với các quy định mới, hành vi gian lận có thể khó hơn để phát hiện.</t>
  </si>
  <si>
    <t>Công nghệ hiện đại giúp Nhà nước theo dõi và phát hiện trốn thuế tốt hơn, nhưng vẫn cần sự phối hợp của cơ quan thuế. Tăng cường công nghệ có thể làm giảm khả năng trốn thuế.</t>
  </si>
  <si>
    <t>Mức giảm trừ gia cảnh tăng và số bậc thuế ít đi, giúp quá trình khai báo thuế dễ dàng hơn. Các quy định đơn giản hóa đã cải thiện đáng kể tiện lợi cho người nộp thuế.</t>
  </si>
  <si>
    <t>Các mức thuế mới rõ ràng hơn so với trước đây, đặc biệt là việc loại bỏ các bậc thuế phức tạp giúp tính toán nhanh chóng và dễ dàng.</t>
  </si>
  <si>
    <t>Nguyên tắc khách quan trong việc áp dụng giảm trừ gia cảnh mới có thể làm tăng niềm tin vào công bằng. Tuy nhiên, việc trừng phạt gian lận thuế vẫn phụ thuộc nhiều vào thực thi.</t>
  </si>
  <si>
    <t>Thuế mới được tính dựa trên thu nhập thực tế, giảm bớt rủi ro không công bằng so với trước đây. Tuy nhiên, mức độ cảm thấy công bằng có thể khác nhau tùy theo thu nhập.</t>
  </si>
  <si>
    <t>Thuế mới được sử dụng để cải thiện dịch vụ công, nhưng hiệu quả này phụ thuộc vào cách quản lý ngân sách. Tăng mức giảm trừ gia cảnh có thể làm tăng niềm tin vào việc sử dụng tiền thuế hợp lý.</t>
  </si>
  <si>
    <t>Hệ thống giải thích rõ ràng về các thay đổi thuế, nhưng vẫn cần thêm thông tin minh bạch về cách sử dụng số tiền thu được để tăng niềm tin. Tuy nhiên, việc đơn giản hóa thuế đã cải thiện mức độ hiểu biết.</t>
  </si>
  <si>
    <t>Các thay đổi thuế mới có thể làm giảm gánh nặng tài chính và tạo cảm giác công bằng, nhưng quyết định cuối cùng phụ thuộc vào mức độ tin tưởng vào thực thi chính sách. Tăng cường minh bạch về cách sử dụng số tiền thuế sẽ tăng khả năng tuân thủ.</t>
  </si>
  <si>
    <t>Tăng mức giảm trừ gia cảnh và đơn giản hóa biểu thuế không giúp phát hiện trốn thuế dễ dàng hơn.</t>
  </si>
  <si>
    <t>Công nghệ hiện đại có thể hỗ trợ phát hiện trốn thuế, nhưng quy định quản lý cần cải thiện để tăng hiệu quả.</t>
  </si>
  <si>
    <t>Bậc thuế giảm từ 7 xuống còn 5 giúp đơn giản hóa quy trình khai báo thuế và làm việc với cơ quan thuế.</t>
  </si>
  <si>
    <t>Cách tính thuế mới đơn giản hơn, nhưng vẫn giữ nguyên số bậc nên dễ hiểu và thực hiện được.</t>
  </si>
  <si>
    <t>Nâng cao mức giảm trừ gia cảnh thể hiện sự công bằng trong việc đối xử với người nộp thuế, tăng niềm tin.</t>
  </si>
  <si>
    <t>Mức thuế mới có thể không hoàn toàn hợp lý cho tất cả mọi người, nhưng cải cách chung vẫn hướng đến công bằng.</t>
  </si>
  <si>
    <t>Nâng cao mức giảm trừ gia cảnh giúp số tiền thuế đóng thấp hơn, tăng niềm tin vào việc sử dụng hiệu quả.</t>
  </si>
  <si>
    <t>Thông tin về cải cách thuế chưa đủ rõ ràng và minh bạch để thuyết phục mọi người ủng hộ.</t>
  </si>
  <si>
    <t>Niềm tin vào chính sách mới đã tăng do mức giảm trừ gia cảnh cao hơn, nhưng vẫn có sự nghi ngờ về hiệu quả thực tế.</t>
  </si>
  <si>
    <t>Quy định quản lý thuế hiện nay không rõ ràng, dễ phát sinh hành vi gian lận.</t>
  </si>
  <si>
    <t>Công nghệ hiện đại giúp kiểm soát hiệu quả hơn nhưng chưa đủ để phát hiện toàn bộ hành vi trốn thuế.</t>
  </si>
  <si>
    <t>Mức Giảm trừ gia cảnh tăng và đơn giản hóa biểu thuế có thể làm thủ tục khai báo dễ dàng hơn.</t>
  </si>
  <si>
    <t>Biểu thuế mới đơn giản nhưng vẫn cần thêm thời gian để người dân quen thuộc với quy trình tính toán.</t>
  </si>
  <si>
    <t>Niềm tin vào cơ quan thuế thấp, chưa rõ ràng về cách thực thi chính sách công bằng.</t>
  </si>
  <si>
    <t>Mức thuế mới có thể công bằng đối với thu nhập hiện tại nhưng vẫn nghi ngờ về việc áp dụng.</t>
  </si>
  <si>
    <t>Số tiền đóng thuế chưa biết sẽ được sử dụng hiệu quả như thế nào, lo ngại về việc lãng phí.</t>
  </si>
  <si>
    <t>Giải thích về mục tiêu của chính sách mới còn hạn chế, chưa rõ ràng và minh bạch.</t>
  </si>
  <si>
    <t>Chưa quyết định ủng hộ hoàn toàn do nghi ngờ về hiệu quả thực thi và minh bạch thông tin.</t>
  </si>
  <si>
    <t>Biên độ thuế tăng và ngưỡng chịu thuế được điều chỉnh, cùng với sự đơn giản hóa quy trình khai báo thuế sẽ làm giảm cơ hội trốn thuế. Công nghệ hiện đại cũng hỗ trợ phát hiện gian lận.</t>
  </si>
  <si>
    <t>Việc tăng cường công nghệ giám sát và quản lý thuế, cùng với sự minh bạch trong thông tin chính sách, tạo điều kiện cho việc phát hiện và xử lý trốn thuế một cách hiệu quả.</t>
  </si>
  <si>
    <t>Mức giảm trừ gia cảnh tăng, cùng với số bậc thuế giảm đi sẽ đơn giản hóa quy trình khai báo thuế, giúp người nộp thuế dễ dàng hơn trong việc tuân thủ.</t>
  </si>
  <si>
    <t>Các bậc thuế mới được đơn giản hóa từ 7 xuống còn 5, tạo điều kiện cho người dân dễ dàng hiểu và thực hiện.</t>
  </si>
  <si>
    <t>Nhà nước đã tăng cường công tác thông tin và minh bạch về chính sách thuế mới, giúp người nộp thuế cảm thấy được đối xử công bằng hơn.</t>
  </si>
  <si>
    <t>Thay đổi trong mức giảm trừ gia cảnh và bậc thuế mới có thể tạo ra sự công bằng hơn so với trước đây.</t>
  </si>
  <si>
    <t>Một số cải cách thuế như tăng mức giảm trừ gia cảnh có thể làm cho việc đóng thuế trở nên công bằng hơn, nhưng vẫn cần thời gian để xem xét hiệu quả thực tế.</t>
  </si>
  <si>
    <t>Thông tin giải thích về lý do và mục tiêu của cải cách thuế chưa đầy đủ khiến tôi nghi ngờ về việc minh bạch chính sách.</t>
  </si>
  <si>
    <t>Dù có một số lợi ích từ các thay đổi, nhưng vẫn còn nhiều lo ngại về sự công bằng và minh bạch của chính sách mới. Do đó, tôi sẽ cân nhắc kỹ trước khi ủng hộ.</t>
  </si>
  <si>
    <t>Các quy định quản lý thuế hiện nay đã được cải thiện, có sự tham gia của công nghệ AI và dữ liệu lớn giúp phát hiện hành vi trốn thuế hiệu quả hơn. Tuy nhiên, vẫn còn khả năng lạm dụng thông tin cá nhân nên mức độ tin cậy chưa cao.</t>
  </si>
  <si>
    <t>Nhà nước đã đầu tư vào công nghệ và đào tạo đội ngũ chuyên nghiệp để phát hiện trốn thuế. Công nghệ AI cũng giúp tăng cường khả năng giám sát, nhưng vẫn cần thời gian để hoàn thiện.</t>
  </si>
  <si>
    <t>Thủ tục khai báo thuế trở nên đơn giản hơn với ít bậc thuế và giảm trừ gia cảnh lớn hơn. Tuy nhiên, việc áp dụng quy định mới có thể gặp khó khăn đối với một số người chưa quen thuộc.</t>
  </si>
  <si>
    <t>Cách tính thuế và các bậc thuế trong phương án mới đơn giản hóa quá trình tính toán. Tuy nhiên, việc áp dụng quy định mới có thể gặp khó khăn đối với một số người chưa quen thuộc.</t>
  </si>
  <si>
    <t>Mức thuế mới được thiết kế công bằng hơn, giảm gánh nặng cho thu nhập thấp và trung bình. Việc xử lý các trường hợp riêng biệt như người phụ thuộc cũng minh bạch hơn.</t>
  </si>
  <si>
    <t>Dựa trên mức thuế mới, tôi thấy mình đóng mức thuế phù hợp với thu nhập hiện tại. Tuy nhiên, việc áp dụng quy định mới có thể chưa hoàn thiện nên còn gặp khó khăn.</t>
  </si>
  <si>
    <t>Tiền thuế đóng góp vào các dịch vụ công quan trọng như y tế và giao thông, giúp cải thiện chất lượng cuộc sống. Việc giảm trừ gia cảnh lớn hơn cũng hỗ trợ đáng kể.</t>
  </si>
  <si>
    <t>Nhà nước đã giải thích rõ ràng về mục tiêu của việc sửa đổi thuế qua các phương tiện truyền thông. Tuy nhiên, vẫn còn nghi ngại về sự minh bạch và công bằng trong quá trình thực thi.</t>
  </si>
  <si>
    <t>Mức thuế mới phù hợp với thu nhập hiện tại của tôi. Thủ tục khai báo thuế đơn giản hơn giúp giảm gánh nặng hành chính. Tuy nhiên, vẫn có nghi ngại về việc áp dụng quy định mới.</t>
  </si>
  <si>
    <t>Biện pháp tăng mức giảm trừ gia cảnh và đơn giản hóa biểu thuế có thể làm giảm động cơ trốn thuế, tuy nhiên, khả năng phát hiện hành vi gian lận chưa được đề cập chi tiết.</t>
  </si>
  <si>
    <t>Công nghệ đã phát triển nhanh chóng, nhưng vấn đề về quản lý dữ liệu cá nhân và sự sẵn sàng của cơ quan thuế để áp dụng công nghệ mới cần xem xét kỹ lưỡng.</t>
  </si>
  <si>
    <t>Mức giảm trừ gia cảnh cao hơn có thể làm đơn giản hóa quy trình khai báo thuế, nhưng vẫn cần thời gian để cơ quan thuế cải thiện dịch vụ.</t>
  </si>
  <si>
    <t>Biểu thuế được rút gọn từ 7 bậc xuống còn 5 bậc, dễ hiểu hơn so với trước đây</t>
  </si>
  <si>
    <t>Mức giảm trừ gia cảnh cao và biểu thuế đơn giản có thể làm tăng niềm tin vào tính công bằng của chính sách.</t>
  </si>
  <si>
    <t>Nhìn chung, mức thuế mới được thiết kế để tương đối công bằng dựa trên thu nhập, nhưng vẫn cần thời gian để thực thi hiệu quả.</t>
  </si>
  <si>
    <t>Tăng mức giảm trừ gia cảnh có thể làm tăng niềm tin vào việc sử dụng số tiền thuế đóng để cải thiện dịch vụ công</t>
  </si>
  <si>
    <t>Thông tin về điều chỉnh mức giảm trừ gia cảnh và biểu thuế đã được truyền thông rộng rãi, nhưng vẫn cần thêm minh bạch về mục tiêu của chính sách.</t>
  </si>
  <si>
    <t>Nhìn chung, việc tăng mức giảm trừ gia cảnh và đơn giản hóa biểu thuế có thể làm tăng sự ủng hộ cho chính sách mới, tuy nhiên, vẫn cần thời gian để thực thi hiệu quả.</t>
  </si>
  <si>
    <t>Các quy định quản lý thuế hiện nay đã được cải thiện, đặc biệt là về giảm trừ gia cảnh, nhưng trừng phạt gian lận vẫn chưa rõ ràng.</t>
  </si>
  <si>
    <t>Đã có nhiều công nghệ phát triển để phát hiện trốn thuế, nhưng thực tế vẫn còn thiếu sót trong việc xử lý.</t>
  </si>
  <si>
    <t>Thủ tục khai báo thuế đã đơn giản hơn và nhanh chóng hơn, đặc biệt với các giảm trừ gia cảnh mới.</t>
  </si>
  <si>
    <t>Cách tính thuế đơn giản hơn so với trước đây, nhưng vẫn có sự phức tạp về bậc thuế.</t>
  </si>
  <si>
    <t>Nhà nước đã cải thiện việc thực thi chính sách một cách công bằng, dù mức thuế mới chưa hoàn toàn minh bạch.</t>
  </si>
  <si>
    <t>Mức thuế mới dường như hợp lý với thu nhập hiện tại, nhưng cần thời gian để đánh giá hiệu quả thực tế.</t>
  </si>
  <si>
    <t>Số tiền thuế đóng sẽ được sử dụng hiệu quả cho dịch vụ công, đặc biệt là y tế và giao thông.</t>
  </si>
  <si>
    <t>Nhà nước đã giải thích rõ ràng về mục tiêu của việc sửa đổi thuế, nhưng cần cải thiện hơn trong việc truyền tải thông điệp chính xác.</t>
  </si>
  <si>
    <t>Sau khi cân nhắc lợi ích và nghĩa vụ, tôi ủng hộ chính sách mới. Tuy nhiên, vẫn có sự lo ngại về thực thi.</t>
  </si>
  <si>
    <t>Các quy định quản lý thuế hiện nay có nhiều cải tiến như tăng giảm trừ gia cảnh và đơn giản hóa biểu thuế, nhưng vẫn còn nhiều rủi ro trốn thuế. Công nghệ phát hiện gian lận chưa được đề cập cụ thể.</t>
  </si>
  <si>
    <t>Việc áp dụng công nghệ trong quản lý thuế đang được đầu tư và phát triển, tuy nhiên khả năng phát hiện trốn thuế vẫn cần thời gian để cải thiện. Cơ quan thuế có nhiều nguồn lực nhưng chưa chắc chắn hoàn toàn.</t>
  </si>
  <si>
    <t>Mức giảm trừ gia cảnh tăng đáng kể và biểu thuế đơn giản hơn, tạo thuận lợi cho việc khai báo thuế. Tuy nhiên, quy trình làm việc với cơ quan thuế vẫn còn phức tạp đối với một số người.</t>
  </si>
  <si>
    <t>Biểu thuế mới đơn giản, dễ hiểu và dễ thực hiện hơn so với trước đây, giảm bớt gánh nặng cho người dân trong việc tính toán và khai báo thuế.</t>
  </si>
  <si>
    <t>Nhà nước đã tăng mức giảm trừ gia cảnh và đơn giản hóa biểu thuế, tạo cảm giác công bằng. Tuy nhiên, vẫn cần thời gian để kiểm chứng sự thực thi chính sách một cách khách quan.</t>
  </si>
  <si>
    <t>Mức thuế mới được thiết kế phù hợp với thu nhập hiện tại, tạo cảm giác công bằng. Tuy nhiên, còn phụ thuộc vào hiệu quả của việc sử dụng số tiền thuế này cho các dịch vụ công.</t>
  </si>
  <si>
    <t>Tăng mức giảm trừ gia cảnh và đơn giản hóa biểu thuế tạo niềm tin rằng số tiền thuế đóng sẽ được sử dụng hiệu quả. Tuy nhiên, cần thời gian để kiểm chứng thực tế.</t>
  </si>
  <si>
    <t>Việc giải thích về chính sách mới đã được cải thiện so với trước đây nhưng vẫn còn nhiều thông tin chưa rõ ràng và minh bạch. Tuy nhiên, có sự cố gắng cung cấp thông tin cần thiết.</t>
  </si>
  <si>
    <t>Tăng mức giảm trừ gia cảnh và đơn giản hóa biểu thuế tạo cảm giác thuận lợi cho việc tuân thủ chính sách mới. Tuy nhiên, vẫn còn nhiều rủi ro trong thực thi và sự phức tạp của một số quy trình.</t>
  </si>
  <si>
    <t>Dựa trên thông tin cải cách thuế, mức giảm trừ gia cảnh tăng lên và quy định quản lý thuế có thể giúp phát hiện hành vi gian lận. Tuy nhiên, vẫn cần công nghệ và nguồn lực để thực thi hiệu quả.</t>
  </si>
  <si>
    <t>Nhu cầu về công nghệ tiên tiến trong việc phát hiện trốn thuế đang được đầu tư nhưng chưa rõ ràng có đủ khả năng như thế nào. Công nghệ giúp cải thiện đáng kể so với trước đây</t>
  </si>
  <si>
    <t>Biểu thuế đơn giản hơn, giảm số bậc từ 7 xuống còn 5, nên thủ tục khai báo và làm việc với cơ quan thuế có thể nhanh chóng hơn. Tuy nhiên, vẫn cần thời gian để thích nghi.</t>
  </si>
  <si>
    <t>Các bậc thuế mới đơn giản hóa quá trình tính toán, nhưng mức giảm trừ gia cảnh tăng lên nên người thu nhập cao có thể thấy cách tính thuế phức tạp hơn so với trước đây</t>
  </si>
  <si>
    <t>Nhà nước đã cải tiến chính sách một cách công bằng và minh bạch, nhưng vẫn cần thời gian để xây dựng niềm tin. Mức giảm trừ gia cảnh tăng lên có thể làm tăng niềm tin.</t>
  </si>
  <si>
    <t>Mức thuế mới công bằng đối với người thu nhập trung bình như tôi, phù hợp với cải cách và mức độ giảm trừ gia cảnh. Tuy nhiên, vẫn cần thời gian để đánh giá</t>
  </si>
  <si>
    <t>Niềm tin vào việc sử dụng hiệu quả số tiền thuế đóng có thể tăng lên do cải cách, nhưng vẫn cần thời gian để chứng minh. Mức giảm trừ gia cảnh tăng lên có lợi cho tôi.</t>
  </si>
  <si>
    <t>Nhà nước đã giải thích rõ ràng về mục tiêu cải cách và mức giảm trừ gia cảnh mới, nhưng vẫn cần thêm thông tin để hoàn toàn thuyết phục. Cải cách tạo điều kiện thuận lợi hơn cho tôi.</t>
  </si>
  <si>
    <t>Sau khi xem xét các quyền lợi từ mức giảm trừ gia cảnh tăng lên và cải tiến thủ tục, quyết định ủng hộ chính sách mới là phù hợp. Tuy nhiên, vẫn cần thời gian để đánh giá hiệu quả thực tế.</t>
  </si>
  <si>
    <t>Tăng mức giảm trừ gia cảnh và đơn giản hóa biểu thuế có thể làm giảm cơ hội trốn thuế, nhưng khả năng phát hiện vẫn phụ thuộc vào sự giám sát của cơ quan thuế.</t>
  </si>
  <si>
    <t>Công nghệ tiên tiến như AI có thể hỗ trợ phát hiện trốn thuế hiệu quả hơn, tuy nhiên, việc thực thi cần sự quyết tâm và nguồn lực của Nhà nước.</t>
  </si>
  <si>
    <t>Mức giảm trừ gia cảnh mới cao hơn và biểu thuế đơn giản hơn có thể làm thủ tục khai báo thuận tiện hơn, nhưng vẫn cần thời gian để quá trình làm việc với cơ quan thuế trở nên tối ưu.</t>
  </si>
  <si>
    <t>Biểu thuế đơn giản hóa từ 7 bậc xuống 5 có thể giúp người nộp thuế dễ hiểu và tính toán nhanh chóng hơn, giảm độ phức tạp so với trước đây.</t>
  </si>
  <si>
    <t>Mức giảm trừ gia cảnh cao hơn và biểu thuế đơn giản có thể tạo niềm tin rằng Nhà nước đang công bằng trong việc thực thi chính sách mới.</t>
  </si>
  <si>
    <t>Biểu thuế mới có thể được xem là công bằng vì mức giảm trừ gia cảnh cao hơn và số bậc thuế ít hơn, nhưng vẫn cần thời gian để đánh giá hiệu quả thực tế.</t>
  </si>
  <si>
    <t>Niềm tin vào việc sử dụng tiền thuế hiệu quả phụ thuộc vào các chính sách công cụ thể và minh bạch trong sử dụng nguồn lực của Nhà nước.</t>
  </si>
  <si>
    <t>Cải cách thuế thu nhập cá nhân có giải thích rõ ràng về mục tiêu, nhưng việc thực thi cần thêm thời gian để người dân cảm thấy thuyết phục.</t>
  </si>
  <si>
    <t>Tăng mức giảm trừ gia cảnh và đơn giản hóa biểu thuế tạo cơ hội cho tôi ủng hộ và tuân thủ chính sách mới, mặc dù vẫn có sự đa dạng trong quyết định dựa trên trải nghiệm cá nhân.</t>
  </si>
  <si>
    <t>Theo thông tin cải cách thuế, các quy định quản lý thuế hiện tại chưa được đề cập cụ thể. Tuy nhiên, với sự phát triển của công nghệ và khả năng xử lý dữ liệu, việc phát hiện hành vi gian lận trở nên dễ dàng hơn. Tôi đánh giá đây là một phương pháp hiệu quả để ngăn chặn trốn thuế.</t>
  </si>
  <si>
    <t>Công nghệ ngày càng tiên tiến và chính phủ đã đầu tư vào hệ thống quản lý thuế, tăng khả năng phát hiện gian lận. Tuy nhiên, vẫn còn một số thách thức về mặt pháp luật và thực thi.</t>
  </si>
  <si>
    <t>Biểu thuế đơn giản hóa từ 7 bậc xuống 5 bậc giúp quy trình khai báo trở nên dễ dàng hơn. Việc tăng mức giảm trừ gia cảnh cũng tạo thuận lợi cho người nộp thuế.</t>
  </si>
  <si>
    <t>Cách tính thuế mới có ít bậc và ngưỡng chịu thuế rõ ràng, làm cho việc tính toán thu nhập chịu thuế trở nên dễ dàng hơn. Điều này giúp giảm bớt sự phức tạp so với trước đây.</t>
  </si>
  <si>
    <t>Mức thuế mới được thiết kế dựa trên mức thu nhập, đảm bảo tính công bằng cho người nộp thuế. Tăng mức giảm trừ gia cảnh cũng tạo cảm giác công bằng hơn đối với tôi.</t>
  </si>
  <si>
    <t>Mức thuế mới ở các bậc được thiết kế nhằm đảm bảo tính công bằng, tuy nhiên, vẫn cần thêm thông tin rõ ràng về cách áp dụng mức thuế này cho từng thu nhập cụ thể.</t>
  </si>
  <si>
    <t>Tăng mức giảm trừ gia cảnh và đơn giản hóa biểu thuế tạo cảm giác rằng số tiền thuế tôi đóng sẽ được sử dụng hiệu quả để cải thiện dịch vụ công. Tuy nhiên, cần thêm thông tin về cách sử dụng nguồn thu này.</t>
  </si>
  <si>
    <t>Công bố các quy định mới và giải thích rõ ràng về mục tiêu của việc sửa đổi thuế giúp tạo niềm tin cho người nộp thuế. Tuy nhiên, cần thêm thông tin chi tiết để tôi hoàn toàn hiểu rõ.</t>
  </si>
  <si>
    <t>Đối với thu nhập hiện tại và mức giảm trừ gia cảnh tăng, tôi thấy mình được hưởng lợi từ chính sách mới. Các quy định đơn giản hơn cũng tạo thuận lợi cho việc tuân thủ. Tuy nhiên, vẫn còn một số lo ngại về cách sử dụng nguồn thu thuế.</t>
  </si>
  <si>
    <t>Các quy định quản lý thuế hiện tại được cải thiện với mức giảm trừ gia cảnh cao hơn, nhưng không có thông tin về công nghệ phát hiện gian lận. Thay đổi này giảm áp lực tài chính nên tăng Niềm tin.</t>
  </si>
  <si>
    <t>Nhà nước và cơ quan thuế đã nâng cấp hệ thống quản lý, nhưng không có thông tin cụ thể về khả năng phát hiện gian lận. Thay đổi này giảm áp lực tài chính nên tăng Niềm tin.</t>
  </si>
  <si>
    <t>Biểu thuế đơn giản hơn và mức giảm trừ gia cảnh cao hơn làm việc khai báo thuế thuận tiện hơn, nhưng cần thêm thời gian để quen với quy trình mới. Thay đổi này giảm áp lực tài chính nên tăng Niềm tin.</t>
  </si>
  <si>
    <t>Cách tính thuế đơn giản hơn và số bậc thuế ít đi làm việc khai báo dễ dàng, nhưng cần thêm thời gian để quen với quy trình mới. Thay đổi này giảm áp lực tài chính nên tăng Niềm tin.</t>
  </si>
  <si>
    <t>Nhà nước đã cải thiện mức giảm trừ gia cảnh và đơn giản hóa biểu thuế, nhưng không có thông tin về cách thực thi công bằng. Thay đổi này giảm áp lực tài chính nên tăng Niềm tin.</t>
  </si>
  <si>
    <t>Mức thuế mới được thiết kế để đảm bảo công bằng cho người thu nhập như tôi, nhưng không có thông tin cụ thể về cách thực thi. Thay đổi này giảm áp lực tài chính nên tăng Niềm tin.</t>
  </si>
  <si>
    <t>Sử dụng số tiền thuế đóng hiệu quả vào dịch vụ công là quan trọng, nhưng không có thông tin cụ thể về cách thực thi. Thay đổi này giảm áp lực tài chính nên tăng Niềm tin.</t>
  </si>
  <si>
    <t>Nhà nước đã giải thích rõ ràng về các thay đổi thuế, nhưng không cung cấp đủ thông tin về mục tiêu cụ thể. Thay đổi này giảm áp lực tài chính nên tăng Niềm tin.</t>
  </si>
  <si>
    <t>Thay đổi thuế mới làm giảm áp lực tài chính và thuận tiện hơn, do đó tôi có xu hướng ủng hộ và tuân thủ. Tuy nhiên, cần thêm thời gian để quen với quy trình mới.</t>
  </si>
  <si>
    <t>Các quy định quản lý thuế hiện nay có nhiều biện pháp phát hiện gian lận, nhưng vẫn còn khả năng trốn thuế khó phát hiện.</t>
  </si>
  <si>
    <t>Nhà nước và cơ quan thuế đã đầu tư công nghệ để phát hiện trốn thuế, song hiệu quả thực tế chưa chắc chắn.</t>
  </si>
  <si>
    <t>Mức giảm trừ gia cảnh tăng, thủ tục khai báo đơn giản hơn trước nên thuận tiện hơn cho người nộp thuế.</t>
  </si>
  <si>
    <t>Biểu thuế được đơn giản hóa từ 7 bậc xuống còn 5 bậc, dễ hiểu và thực hiện hơn so với trước đây.</t>
  </si>
  <si>
    <t>Nhà nước đã cải thiện quy định giảm trừ gia cảnh, nhưng vẫn cần công bằng trong việc thực thi chính sách.</t>
  </si>
  <si>
    <t>Mức thuế mới được thiết kế theo thu nhập, nhưng tôi chưa hoàn toàn chắc chắn về tính công bằng của nó đối với các nhóm khác.</t>
  </si>
  <si>
    <t>Tăng giảm trừ gia cảnh giúp tôi tin rằng số tiền thuế đóng sẽ được sử dụng hiệu quả cho dịch vụ công.</t>
  </si>
  <si>
    <t>Nhà nước đã giải thích rõ ràng về thay đổi thuế nhưng chưa hoàn toàn thuyết phục đối với các nhóm khó tin cậy.</t>
  </si>
  <si>
    <t>Sau cân nhắc lợi ích và nghĩa vụ, tôi ủng hộ chính sách mới vì giảm gánh nặng thuế và thủ tục đơn giản hơn.</t>
  </si>
  <si>
    <t>Mức giảm trừ gia cảnh tăng đáng kể, giúp nhiều người không phải nộp thuế và ngưỡng chịu thuế cũng thay đổi. Tuy nhiên, khả năng phát hiện trốn thuế còn phụ thuộc vào công nghệ và nguồn lực của cơ quan thuế.</t>
  </si>
  <si>
    <t>Việc tăng giảm trừ gia cảnh và đơn giản hóa biểu thuế sẽ giúp giảm bớt hành vi trốn thuế. Công nghệ phát hiện trốn thuế cũng đang được nâng cấp, nhưng không thể loại bỏ hoàn toàn.</t>
  </si>
  <si>
    <t>Trình tự khai báo thuế và quy trình làm việc với cơ quan thuế đã đơn giản hơn trước đây. Mức giảm trừ gia cảnh tăng giúp nhiều người nộp thuế dễ dàng hơn trong việc tính toán</t>
  </si>
  <si>
    <t>Biểu thuế được đơn giản hóa, nhưng mức thuế suất vẫn tương đối cao so với thu nhập trung bình. Tuy nhiên, cách tính thuế đã trở nên rõ ràng và dễ hiểu hơn.</t>
  </si>
  <si>
    <t>Nhà nước đã tăng giảm trừ gia cảnh và đơn giản hóa biểu thuế, nhưng mức thuế suất vẫn cao. Việc cải cách này chưa hoàn toàn thuyết phục về mặt công bằng đối với tất cả mọi người.</t>
  </si>
  <si>
    <t>Mức thuế mới được thiết kế dựa trên thu nhập trung bình, nhưng việc giải thích và minh bạch còn hạn chế. Người thu nhập thấp có thể cảm thấy công bằng hơn so với trước đây.</t>
  </si>
  <si>
    <t>Thuế sẽ được sử dụng để cải thiện dịch vụ công như y tế, giáo dục, nhưng không rõ ràng về sự hiệu quả của việc đầu tư. Người dân vẫn nghi ngờ khả năng quản lý và sử dụng nguồn tài chính.</t>
  </si>
  <si>
    <t>Cải cách thuế đã được giải thích nhưng còn hạn chế về mặt minh bạch. Điều này khiến người dân thiếu tin tưởng vào mục tiêu thực sự của việc cải cách.</t>
  </si>
  <si>
    <t>Nhìn chung, chính sách mới mang lại lợi ích cho nhiều người, đặc biệt là những người có thu nhập thấp. Tuy nhiên, mức thuế vẫn cao và không rõ ràng về mục đích sử dụng nguồn tài chính. Việc tuân thủ phụ thuộc vào sự tin tưởng của người dân.</t>
  </si>
  <si>
    <t>Theo thông tin, các quy định quản lý thuế hiện nay đã tăng mức giảm trừ gia cảnh và đơn giản hóa biểu thuế. Điều này làm giảm gánh nặng thuế đối với người dân, đồng thời tạo ra sự công bằng hơn trong việc đánh thuế. Tuy nhiên, khả năng phát hiện trốn thuế vẫn phụ thuộc vào hiệu quả của hệ thống quản lý và công nghệ hiện tại.</t>
  </si>
  <si>
    <t>Công nghệ ngày càng tiên tiến giúp cải thiện khả năng phát hiện hành vi trốn thuế. Tuy nhiên, việc xử lý nghiêm các hành vi trốn thuế còn phụ thuộc vào sự quyết tâm và tài nguyên của cơ quan quản lý.</t>
  </si>
  <si>
    <t>Sau khi tăng mức giảm trừ gia cảnh, quy trình khai báo thuế trở nên đơn giản hơn. Điều này giúp người dân dễ dàng tuân thủ pháp luật và cảm thấy thuận lợi hơn trong việc làm việc với cơ quan thuế.</t>
  </si>
  <si>
    <t>Biểu thuế mới đã được đơn giản hóa từ 7 bậc xuống còn 5 bậc, làm cho quá trình tính thuế trở nên dễ hiểu và thực hiện nhanh chóng hơn. Điều này giúp người dân dễ dàng nắm bắt các quy định về thuế.</t>
  </si>
  <si>
    <t>Nhà nước đã cải cách để tăng mức giảm trừ gia cảnh, tạo ra sự công bằng hơn trong việc đánh thuế. Tuy nhiên, việc thực thi chính sách còn phụ thuộc vào hiệu quả của cơ quan quản lý.</t>
  </si>
  <si>
    <t>Mức thuế mới được thiết kế sao cho phù hợp với thu nhập cá nhân, tạo ra sự công bằng. Tuy nhiên, mức độ hiểu và đồng lòng về tính công bằng vẫn phụ thuộc vào cách giải thích chính sách.</t>
  </si>
  <si>
    <t>Thuế mới được sử dụng để cải thiện các dịch vụ công như y tế và đường xá. Tuy nhiên, hiệu quả của việc sử dụng thuế này còn phụ thuộc vào quản lý tài chính của Nhà nước.</t>
  </si>
  <si>
    <t>Nhà nước đã cải cách để đơn giản hóa quy định về thuế, tạo ra sự minh bạch hơn. Tuy nhiên, mức độ giải thích rõ ràng và minh bạch còn phụ thuộc vào các hoạt động truyền thông của cơ quan quản lý.</t>
  </si>
  <si>
    <t>Sau khi xem xét lợi ích tài chính từ việc tăng mức giảm trừ gia cảnh, tôi sẽ ủng hộ chính sách mới. Tuy nhiên, quyết định tuân thủ còn phụ thuộc vào hiệu quả của hệ thống quản lý thuế và cách thực thi.</t>
  </si>
  <si>
    <t>Dựa trên thông tin cải cách thuế, mặc dù mức giảm trừ gia cảnh tăng nhưng không có nhiều thông tin về công nghệ phát hiện gian lận cụ thể.</t>
  </si>
  <si>
    <t>Tăng cường quản lý và sử dụng công nghệ mới có thể giúp phát hiện trốn thuế hiệu quả hơn, song cần thêm thông tin cụ thể về khả năng thực thi.</t>
  </si>
  <si>
    <t>Mức giảm trừ gia cảnh tăng lên cùng với việc đơn giản hóa biểu thuế làm các thủ tục khai báo trở nên dễ dàng và nhanh chóng hơn.</t>
  </si>
  <si>
    <t>Biểu thuế được rút gọn, điều này khiến quá trình tính toán thuế trở nên đơn giản và dễ hiểu hơn so với trước đây.</t>
  </si>
  <si>
    <t>Giảm trừ gia cảnh tăng lên cùng mức thuế suất mới có thể tạo ra sự công bằng trong việc phân chia gánh nặng thuế giữa các thu nhập khác nhau.</t>
  </si>
  <si>
    <t>Mức thuế mới được thiết kế dựa trên thu nhập, nên người thu nhập như tôi thấy mức này là hợp lý và công bằng.</t>
  </si>
  <si>
    <t>Thuận lợi tài chính từ việc giảm trừ gia cảnh tăng lên cùng với cách tính thuế đơn giản hơn tạo ra niềm tin rằng tiền thuế đóng sẽ được sử dụng hiệu quả.</t>
  </si>
  <si>
    <t>Thông tin về cải cách thuế đã được giải thích rõ ràng, song cần thêm thông tin minh bạch về mục tiêu cụ thể của chính sách mới.</t>
  </si>
  <si>
    <t>Các quyền lợi tài chính từ việc giảm trừ gia cảnh tăng lên cùng với sự đơn giản hóa quy trình khai báo làm tôi có động lực tuân thủ chính sách thuế mới.</t>
  </si>
  <si>
    <t>Việc tăng mức giảm trừ gia cảnh và đơn giản hóa biểu thuế có thể làm giảm khả năng trốn thuế, nhưng không đảm bảo hoàn toàn phát hiện và xử lý nghiêm các hành vi gian lận.</t>
  </si>
  <si>
    <t>Như đã đề cập ở ENF1, mặc dù công nghệ cải tiến có thể giúp phát hiện trốn thuế tốt hơn, nhưng vẫn còn nhiều yếu tố cần xem xét như quy định quản lý thuế và thực thi.</t>
  </si>
  <si>
    <t>Bậc thuế giảm từ 7 xuống 5 có thể làm thủ tục đơn giản hơn. Tuy nhiên, quá trình khai báo vẫn phức tạp vì phải phân biệt các bậc thuế mới.</t>
  </si>
  <si>
    <t>Phương án mới với ít bậc thuế và mức giảm trừ gia cảnh cao hơn có thể làm cách tính thuế đơn giản và dễ hiểu hơn so với trước đây.</t>
  </si>
  <si>
    <t>Nới lỏng các quy định quản lý thuế và tăng mức giảm trừ gia cảnh là một bước tiến trong việc tạo niềm tin vào sự công bằng của hệ thống thuế.</t>
  </si>
  <si>
    <t>Mức thuế mới có thể được đánh giá là công bằng đối với thu nhập hiện tại, nhưng vẫn cần xem xét về khả năng đáp ứng chi phí cơ bản cho gia đình.</t>
  </si>
  <si>
    <t>Việc cải cách thuế giúp tăng giảm trừ gia cảnh và đơn giản hóa biểu thuế có thể làm người dân tin rằng số tiền thuế đóng sẽ được sử dụng hiệu quả hơn để cải thiện dịch vụ công.</t>
  </si>
  <si>
    <t>Trong thời gian ngắn, thông tin giải thích về lý do và mục tiêu của việc sửa đổi thuế chưa đủ rõ ràng, nên sự ủng hộ còn thấp.</t>
  </si>
  <si>
    <t>Người dân có thể sẽ tiếp tục ủng hộ chính sách mới vì lợi ích từ mức giảm trừ gia cảnh cao hơn, nhưng vẫn cần thêm thời gian để tin tưởng vào việc thực thi và sử dụng hiệu quả số tiền thuế.</t>
  </si>
  <si>
    <t>Với mức giảm trừ gia cảnh tăng đáng kể, sẽ giảm gánh nặng thuế cho người dân. Tuy nhiên, khả năng phát hiện trốn thuế vẫn phụ thuộc vào công nghệ và nguồn lực của cơ quan thuế.</t>
  </si>
  <si>
    <t>Công nghệ ngày càng tiên tiến, giúp cơ quan thuế dễ dàng phát hiện các hành vi gian lận. Tuy nhiên, mức độ thực thi còn phụ thuộc vào nguồn lực và quyết tâm của nhà nước.</t>
  </si>
  <si>
    <t>Biểu thuế được đơn giản hóa từ 7 bậc xuống 5, giảm bớt rắc rối cho người nộp thuế. Ngoài ra, mức giảm trừ gia cảnh tăng cũng tạo thuận lợi hơn cho nhiều người.</t>
  </si>
  <si>
    <t>Cách tính thuế mới đơn giản hóa từ 7 bậc xuống 5, dễ hiểu và thực hiện nhanh chóng hơn. Tuy nhiên, đối với những người không am hiểu về thuế vẫn có thể gặp khó khăn.</t>
  </si>
  <si>
    <t>Nhà nước đã tăng mức giảm trừ gia cảnh đáng kể, tạo cảm giác công bằng cho nhiều người nộp thuế. Ngoài ra, quy định quản lý thuế cũng rõ ràng hơn, tạo niềm tin vào việc thực thi.</t>
  </si>
  <si>
    <t>Mức thuế mới được thiết kế dựa trên thu nhập, tạo cảm giác công bằng cho người dân. Tuy nhiên, mức thuế cụ thể của từng người còn phụ thuộc vào thu nhập và tình hình thực tế.</t>
  </si>
  <si>
    <t>Thuế được sử dụng hiệu quả để cải thiện dịch vụ công, tạo niềm tin về sự công bằng trong việc phân bổ nguồn lực. Tuy nhiên, hiệu quả cụ thể còn phụ thuộc vào quản lý và thực hiện.</t>
  </si>
  <si>
    <t>Nhà nước đã giải thích rõ ràng về mức thuế mới, tạo cảm giác minh bạch cho người dân. Tuy nhiên, sự hiểu biết đầy đủ vẫn cần thời gian để hình thành.</t>
  </si>
  <si>
    <t>Bản thân tôi ủng hộ các thay đổi nhằm giảm gánh nặng thuế và đơn giản hóa quy trình khai báo. Đồng thời, quyết định tuân thủ cũng phụ thuộc vào mức độ tin tưởng vào việc thực thi chính sách.</t>
  </si>
  <si>
    <t>Mức giảm trừ gia cảnh tăng, điều này làm giảm gánh nặng thuế cho nhiều người, nhưng không biết liệu cơ quan thuế có đủ công nghệ để phát hiện trốn thuế hay không.</t>
  </si>
  <si>
    <t>Có sự cải cách về quản lý thuế, tăng cường công nghệ và quản lý mạnh mẽ hơn sẽ giúp phát hiện trốn thuế hiệu quả. Cơ quan thuế có tiềm năng để thực hiện điều này.</t>
  </si>
  <si>
    <t>Biểu thuế đơn giản hóa từ 7 bậc xuống còn 5, giảm gánh nặng công việc cho người nộp thuế và cơ quan thuế. Quy trình làm việc cũng được cải thiện đáng kể.</t>
  </si>
  <si>
    <t>Cách tính thuế mới rõ ràng hơn so với trước đây, các bậc thuế suất dễ hiểu và dễ thực hiện hơn. Điều này giúp người dân dễ dàng tuân thủ chính sách.</t>
  </si>
  <si>
    <t>Nhà nước đã cải cách thuế nhằm tạo ra sự công bằng hơn đối với mọi người nộp thuế, việc tăng giảm trừ gia cảnh và đơn giản hóa biểu thuế đều phản ánh điều này.</t>
  </si>
  <si>
    <t>Mức thuế mới được thiết kế dựa trên thu nhập cá nhân. Tuy nhiên, tôi vẫn cần thời gian để đánh giá xem liệu nó có công bằng hay không.</t>
  </si>
  <si>
    <t>Thuế đóng góp vào việc cải thiện các dịch vụ công như y tế và đường xá, điều này làm tăng niềm tin của tôi rằng thuế được sử dụng hiệu quả.</t>
  </si>
  <si>
    <t>Nhà nước đã giải thích rõ ràng về mục tiêu cải cách thuế nhưng cần thêm thời gian để đánh giá sự minh bạch trong quá trình thực hiện chính sách mới.</t>
  </si>
  <si>
    <t>Do mức giảm trừ gia cảnh và đơn giản hóa biểu thuế, tôi có thể ủng hộ chính sách này. Tuy nhiên, cần thời gian để đánh giá hiệu quả của nó.</t>
  </si>
  <si>
    <t>Biện pháp quản lý thuế hiện nay bao gồm nhiều công cụ như cung cấp thông tin, giám sát và xử phạt. Mức giảm trừ gia cảnh tăng có thể giúp phát hiện gian lận dễ dàng hơn.</t>
  </si>
  <si>
    <t>Công nghệ hiện đại như AI, Big Data được áp dụng trong lĩnh vực thuế giúp phát hiện trốn thuế hiệu quả. Cơ quan thuế cũng có nhiều biện pháp xử lý nghiêm minh.</t>
  </si>
  <si>
    <t>Số bậc thuế giảm và mức giảm trừ gia cảnh tăng khiến việc khai báo thuế đơn giản hơn, nhanh chóng hơn. Tuy nhiên, quy trình làm việc với cơ quan thuế vẫn chưa tối ưu.</t>
  </si>
  <si>
    <t>Biểu thuế đơn giản hóa giúp người dân dễ hiểu và thực hiện được các bước tính toán. Tuy nhiên, cần thời gian để mọi người quen thuộc với phương án mới.</t>
  </si>
  <si>
    <t>Nhà nước đã cải thiện quy định về giảm trừ gia cảnh, tạo công bằng hơn cho người dân. Tuy nhiên, việc thực thi chính sách vẫn cần thêm thời gian để tăng niềm tin.</t>
  </si>
  <si>
    <t>Mức thuế mới được thiết kế dựa trên thu nhập, tạo cảm giác công bằng đối với tôi. Tuy nhiên, không phải ai cũng đồng ý với cách tính thuế mới.</t>
  </si>
  <si>
    <t>Giảm trừ gia cảnh tăng và mức thuế giảm giúp cải thiện dịch vụ công. Tuy nhiên, hiệu quả sử dụng nguồn thu thuế vẫn đang được đánh giá.</t>
  </si>
  <si>
    <t>Nhà nước đã giải thích rõ ràng về mục tiêu cải cách thuế nhưng cần thêm minh bạch trong quá trình thực thi mới làm tăng niềm tin.</t>
  </si>
  <si>
    <t>Sau cân nhắc, tôi đồng ý với chính sách mới. Tuy giảm trừ gia cảnh và mức thuế giảm, lợi ích về mặt công bằng vẫn mang lại sự ủng hộ.</t>
  </si>
  <si>
    <t>Mức giảm trừ gia cảnh tăng, giúp người nộp thuế tiết kiệm nhiều hơn. Tuy nhiên, khả năng phát hiện trốn thuế phụ thuộc vào nguồn lực và công nghệ của cơ quan thuế.</t>
  </si>
  <si>
    <t>Việc áp dụng công nghệ trong quản lý thuế sẽ giúp tăng cường khả năng phát hiện hành vi gian lận. Công nghệ như AI, Big Data có thể hỗ trợ việc này hiệu quả.</t>
  </si>
  <si>
    <t>Mức giảm trừ gia cảnh và biểu thuế đơn giản hơn làm cho quy trình khai báo thuế dễ dàng hơn. Tuy nhiên, vẫn còn cần cải thiện trong quá trình giao tiếp với cơ quan thuế.</t>
  </si>
  <si>
    <t>Biểu thuế được đơn giản hóa từ 7 bậc xuống còn 5 bậc, làm cho việc tính toán và thực hiện dễ dàng hơn. Điều này tăng tính minh bạch và sự hiểu biết của người nộp thuế.</t>
  </si>
  <si>
    <t>Tăng mức giảm trừ gia cảnh và đơn giản hóa biểu thuế mang lại cảm giác công bằng cho người nộp thuế. Tuy nhiên, việc thực thi chính sách còn phụ thuộc vào cách cơ quan thuế vận hành.</t>
  </si>
  <si>
    <t>Biểu thuế mới với mức giảm trừ gia cảnh cao hơn và số bậc thuế ít hơn làm cho gánh nặng thuế trở nên hợp lý. Tuy nhiên, vẫn còn cần sự minh bạch trong việc áp dụng.</t>
  </si>
  <si>
    <t>Tăng mức giảm trừ gia cảnh giúp cải thiện dịch vụ công và y tế, tạo ra cảm giác reciprocity cho người nộp thuế. Tuy nhiên, hiệu quả sử dụng ngân sách cần được giám sát chặt chẽ.</t>
  </si>
  <si>
    <t>Giải thích về chính sách mới chưa đầy đủ khiến nhiều người nghi ngờ về mục đích thực sự của việc sửa đổi thuế. Cần có thông tin minh bạch hơn để tăng niềm tin.</t>
  </si>
  <si>
    <t>Nhìn chung, tôi thấy lợi ích từ chính sách mới đáng kể và sẵn sàng tuân thủ. Tuy nhiên, cần cải thiện trong việc truyền thông và giải thích mục đích của chính sách để tăng độ tin cậy.</t>
  </si>
  <si>
    <t>Mức giảm trừ gia cảnh tăng, cùng với việc đơn giản hóa quy trình khai báo thuế, có thể giúp ngăn chặn gian lận. Tuy nhiên, công nghệ phát hiện trốn thuế vẫn còn hạn chế.</t>
  </si>
  <si>
    <t>Việc áp dụng công nghệ như AI trong quản lý thuế sẽ tăng khả năng phát hiện trốn thuế, nhưng cần thời gian để triển khai hoàn thiện.</t>
  </si>
  <si>
    <t>Biểu thuế đơn giản hơn và mức giảm trừ gia cảnh cao hơn có thể làm cho việc khai báo thuế dễ dàng hơn. Tuy nhiên, vẫn còn một số thủ tục cần cải tiến.</t>
  </si>
  <si>
    <t>Các bậc thuế mới đơn giản hóa quy trình tính thuế, nhưng do tôi chưa quen với phương án mới nên cảm thấy hơi phức tạp.</t>
  </si>
  <si>
    <t>Nợn thuế có thể tin rằng cơ quan thuế sẽ thực thi công bằng, nhưng cần thời gian để chứng minh thông qua hành động cụ thể.</t>
  </si>
  <si>
    <t>Các mức thuế mới được thiết kế dựa trên thu nhập cá nhân nên tôi thấy là công bằng. Tuy nhiên, việc cải cách chưa hoàn thiện vẫn còn nhiều nghi ngại.</t>
  </si>
  <si>
    <t>Thuế đóng góp vào các dịch vụ công quan trọng như y tế và giao thông, nhưng cần thời gian để thấy hiệu quả rõ ràng.</t>
  </si>
  <si>
    <t>Cơ quan thuế đã cung cấp thông tin về cải cách, nhưng cần nhiều hơn nữa về việc giải thích mục tiêu cụ thể của chính sách mới.</t>
  </si>
  <si>
    <t>Dù có những lợi ích từ chính sách mới như giảm trừ gia cảnh cao hơn và đơn giản hóa thuế, tôi vẫn chưa hoàn toàn tin tưởng nên sẽ tuân thủ nhưng không cam kết mạnh mẽ.</t>
  </si>
  <si>
    <t>Theo quy định mới, mức giảm trừ gia cảnh tăng lên và số bậc thuế được đơn giản hóa, tạo cơ sở cho việc phát hiện hành vi trốn thuế. Công nghệ tiên tiến cũng hỗ trợ cải thiện hiệu quả quản lý thuế.</t>
  </si>
  <si>
    <t>Công nghệ hiện đại như AI, big data và hệ thống thông tin điện tử giúp cơ quan thuế phát hiện các hành vi trốn thuế một cách nhanh chóng và chính xác hơn.</t>
  </si>
  <si>
    <t>Mức giảm trừ gia cảnh cao hơn và số bậc thuế ít hơn làm cho quy trình khai báo thuế đơn giản, thuận tiện hơn. Tuy nhiên, các bước thực hiện vẫn có thể phức tạp đối với một số người.</t>
  </si>
  <si>
    <t>Số bậc thuế được giảm từ 7 xuống còn 5, làm cho việc tính toán thuế trở nên đơn giản hơn. Tuy nhiên, các quy định chi tiết vẫn có thể gây ra sự bất tiện đối với một số người.</t>
  </si>
  <si>
    <t>Mức giảm trừ gia cảnh tăng lên và số bậc thuế được đơn giản hóa giúp tạo cảm giác công bằng hơn trong việc thực thi chính sách. Tuy nhiên, tôi vẫn có một chút nghi ngờ về cách thực hiện của cơ quan thuế.</t>
  </si>
  <si>
    <t>Mức thuế mới được tính dựa trên thu nhập và giảm trừ gia cảnh, tạo cảm giác công bằng hơn. Tuy nhiên, tôi nghĩ mức thuế vẫn có thể được điều chỉnh để phù hợp hơn với tình hình thực tế của người dân.</t>
  </si>
  <si>
    <t>Mức thuế mới được tính dựa trên thu nhập và giảm trừ gia cảnh, tạo cảm giác công bằng hơn. Tuy nhiên, tôi vẫn có một số lo ngại về việc sử dụng hiệu quả số tiền thuế đã đóng.</t>
  </si>
  <si>
    <t>Các thông tin về chính sách mới được truyền tải rõ ràng hơn so với trước đây, tạo cảm giác rằng nhà nước đã minh bạch trong việc thực hiện chính sách. Tuy nhiên, tôi vẫn có một chút nghi ngờ về tính minh bạch của các thông điệp.</t>
  </si>
  <si>
    <t>Tôi ủng hộ và tuân thủ chính sách mới vì mức giảm trừ gia cảnh và số bậc thuế đơn giản hóa làm cho việc khai báo thuế trở nên thuận tiện hơn. Tuy nhiên, tôi vẫn có một chút lo ngại về thực thi chính sách.</t>
  </si>
  <si>
    <t>Nâng cao mức giảm trừ gia cảnh có thể làm tăng việc phát hiện trốn thuế do thu nhập thực tế của cá nhân được minh bạch hơn. Công nghệ và quy định quản lý thuế hiện đại cũng giúp phát hiện gian lận.</t>
  </si>
  <si>
    <t>Việc áp dụng công nghệ tiên tiến trong quản lý thuế đồng nghĩa với khả năng phát hiện trốn thuế được cải thiện đáng kể. Tuy nhiên, vẫn cần sự kết hợp giữa công nghệ và quy định pháp luật.</t>
  </si>
  <si>
    <t>Biểu thuế đơn giản hơn giúp quá trình khai báo thuế dễ dàng hơn. Ngoài ra, việc giảm mức giảm trừ gia cảnh có thể làm tăng gian lận nhưng cũng đồng nghĩa với việc quản lý thuế trở nên thuận tiện hơn.</t>
  </si>
  <si>
    <t>Biểu thuế đơn giản hóa từ 7 bậc xuống còn 5 bậc giúp tính toán và hiểu rõ quy định thuế dễ dàng hơn. Tuy nhiên, mức thuế suất tăng có thể khiến việc áp dụng thuế trở nên phức tạp hơn.</t>
  </si>
  <si>
    <t>Điều chỉnh giảm trừ gia cảnh mang lại lợi ích cho người nộp thuế nhưng không chắc chắn về sự công bằng trong cách thực thi chính sách. Tuy nhiên, mức độ minh bạch và khách quan của quy định pháp luật vẫn được duy trì.</t>
  </si>
  <si>
    <t>Các bậc thuế mới có thể làm tăng gánh nặng cho người thu nhập cao hơn nhưng giảm nhẹ cho người thu nhập thấp. Tuy nhiên, mức độ công bằng này phụ thuộc vào cách áp dụng thực tế.</t>
  </si>
  <si>
    <t>Điều chỉnh thuế có thể giúp cải thiện dịch vụ công nhưng không rõ ràng về hiệu quả sử dụng số tiền thu được. Tuy nhiên, việc minh bạch trong quy định pháp luật vẫn mang lại niềm tin nhất định.</t>
  </si>
  <si>
    <t>Nâng cao mức giảm trừ gia cảnh và đơn giản hóa biểu thuế có thể làm tăng sự minh bạch nhưng không rõ ràng về lý do và mục tiêu của việc sửa đổi. Tuy nhiên, quy định pháp luật vẫn được duy trì.</t>
  </si>
  <si>
    <t>Điều chỉnh giảm trừ gia cảnh và đơn giản hóa biểu thuế mang lại lợi ích cho người thu nhập thấp nhưng gánh nặng cho người có thu nhập cao. Tuy nhiên, quyết định tuân thủ vẫn phụ thuộc vào mức độ hiểu biết và đánh giá tổng hợp về chính sách.</t>
  </si>
  <si>
    <t>Quy định quản lý thuế mới tăng mức giảm trừ gia cảnh và đơn giản hóa biểu thuế, giúp phát hiện hành vi gian lận khó khăn hơn.</t>
  </si>
  <si>
    <t>Công nghệ hiện đại có thể hỗ trợ phát hiện trốn thuế nhanh chóng, nhưng thực tế khả năng này phụ thuộc vào nguồn lực và chính sách của cơ quan thuế.</t>
  </si>
  <si>
    <t>Mức giảm trừ gia cảnh tăng và đơn giản hóa biểu thuế có thể làm thủ tục khai báo thuế dễ dàng hơn, nhưng vẫn cần thời gian để điều chỉnh quy trình.</t>
  </si>
  <si>
    <t>Biểu thuế mới với ít bậc hơn có thể giúp việc tính toán thuế đơn giản hóa, tuy nhiên phương án mới chưa thực sự thay đổi nhiều so với trước đây.</t>
  </si>
  <si>
    <t>Mức giảm trừ gia cảnh tăng và các quy định công bằng hơn về thuế suất có thể làm tăng niềm tin vào hệ thống thuế, nhưng vẫn cần thời gian để thực thi</t>
  </si>
  <si>
    <t>Thuế mới có thể hợp lý với thu nhập hiện tại, nhưng mức độ công bằng còn phụ thuộc vào cách áp dụng và quản lý thuế.</t>
  </si>
  <si>
    <t>Niềm tin về việc sử dụng số tiền thuế đóng để cải thiện dịch vụ công còn phụ thuộc vào hiệu quả thực tế của chính sách mới</t>
  </si>
  <si>
    <t>Chính phủ đã giải thích rõ ràng về các thay đổi trong thuế, nhưng mức độ minh bạch và thuyết phục còn phụ thuộc vào việc truyền thông sau này.</t>
  </si>
  <si>
    <t>Niềm tin và cảm giác công bằng có thể làm tăng khả năng tuân thủ, nhưng vẫn cần xem xét các rủi ro và bất định trong thực thi chính sách mới</t>
  </si>
  <si>
    <t>Chính sách mới có mức giảm trừ gia cảnh cao hơn, nhưng không rõ liệu công nghệ phát hiện trốn thuế đã cải thiện đáng kể chưa.</t>
  </si>
  <si>
    <t>Công nghệ hiện đại ngày càng tiên tiến, nhưng vẫn cần sự giám sát chặt chẽ và quy định quản lý thuế hiệu quả để phát hiện trốn thuế.</t>
  </si>
  <si>
    <t>Biểu thuế đơn giản hơn, nhưng việc khai báo thuế vẫn có thể phức tạp. Mức giảm trừ gia cảnh cao giúp thuận tiện hơn cho người dân.</t>
  </si>
  <si>
    <t>Cách tính thuế và bậc thuế mới dễ hiểu hơn so với trước đây, giúp giảm bớt sự phức tạp trong việc tính toán thuế</t>
  </si>
  <si>
    <t>Mức giảm trừ gia cảnh cao giúp mọi người cảm thấy công bằng hơn, nhưng vẫn cần xem xét liệu cách thực thi chính sách có khách quan không.</t>
  </si>
  <si>
    <t>Mức thuế mới có thể hợp lý đối với thu nhập hiện tại, nhưng việc phân bổ nguồn lực từ thuế còn phụ thuộc vào hiệu quả sử dụng của Nhà nước</t>
  </si>
  <si>
    <t>Tăng mức giảm trừ gia cảnh giúp người dân tin rằng tiền thuế đóng có thể được sử dụng hiệu quả cho dịch vụ công, nhưng cần xem xét liệu thực tế có như vậy không.</t>
  </si>
  <si>
    <t>Thông điệp giải thích về chính sách mới chưa rõ ràng và minh bạch, đặc biệt là với những người đã quen với cách tính thuế trước đây</t>
  </si>
  <si>
    <t>Thuật toán giảm trừ gia cảnh cao giúp thuận lợi cho việc tuân thủ, nhưng vẫn cần xem xét kỹ lưỡng về hiệu quả thực tế của chính sách mới.</t>
  </si>
  <si>
    <t>Dựa trên cải cách thuế mới, với mức giảm trừ gia cảnh tăng mạnh và quy định quản lý thuế rõ ràng hơn, hành vi gian lận sẽ khó xảy ra. Công nghệ hiện đại cũng giúp phát hiện nhanh chóng.</t>
  </si>
  <si>
    <t>Nhà nước đã đầu tư vào công nghệ và đội ngũ để đảm bảo phát hiện trốn thuế hiệu quả, tuy nhiên vẫn cần sự hợp tác từ người dân.</t>
  </si>
  <si>
    <t>Cải cách giảm trừ gia cảnh và đơn giản hóa biểu thuế tạo thuận lợi hơn cho việc khai báo. Quy trình làm việc với cơ quan thuế cũng dễ dàng hơn trước đây.</t>
  </si>
  <si>
    <t>Biểu thuế mới có số bậc giảm, do đó dễ hiểu và thực hiện nhanh chóng hơn so với biểu thuế cũ.</t>
  </si>
  <si>
    <t>Nhà nước đã thể hiện rõ ràng về mục tiêu cải cách và cố gắng thực thi công bằng thông qua mức giảm trừ gia cảnh mới.</t>
  </si>
  <si>
    <t>Mức thuế mới được thiết kế dựa trên thu nhập, tạo cảm giác công bằng cho người nộp thuế. Tuy nhiên vẫn cần thời gian để đánh giá hiệu quả thực tế.</t>
  </si>
  <si>
    <t>Thuế được sử dụng để cải thiện dịch vụ công và hạ tầng, nhưng hiệu quả cụ thể cần xem xét sau khi chính sách đã đi vào thực hiện.</t>
  </si>
  <si>
    <t>Nhà nước đã giải thích rõ về mục tiêu cải cách, tuy nhiên vẫn cần thêm thông tin để người dân hiểu đầy đủ hơn về lý do.</t>
  </si>
  <si>
    <t>Sau khi xem xét các quyền lợi và nghĩa vụ, tôi ủng hộ chính sách mới. Mức thuế phù hợp với thu nhập hiện tại, tạo cảm giác công bằng.</t>
  </si>
  <si>
    <t>Quy định quản lý thuế hiện nay có nhiều biện pháp phát hiện gian lận và trốn thuế, nhưng vẫn cần công nghệ hỗ trợ để tăng hiệu quả.</t>
  </si>
  <si>
    <t>Nhà nước đã đầu tư vào công nghệ để phát hiện trốn thuế, tuy nhiên khả năng phát hiện hoàn toàn phụ thuộc vào sự tuân thủ của người nộp thuế và chất lượng dữ liệu.</t>
  </si>
  <si>
    <t>Mức giảm trừ gia cảnh tăng, quy trình khai báo thuế đơn giản hơn, nhưng vẫn cần cải thiện về độ chính xác và nhanh chóng khi làm việc với cơ quan thuế.</t>
  </si>
  <si>
    <t>Biểu thuế được đơn giản hóa, các bậc thuế rõ ràng hơn, dễ hiểu và thực hiện dễ dàng hơn so với trước đây.</t>
  </si>
  <si>
    <t>Nhà nước đã cải thiện quy định về giảm trừ gia cảnh, nhưng công bằng của hệ thống thuế vẫn cần đánh giá thêm dựa trên tổng thể thu nhập cá nhân.</t>
  </si>
  <si>
    <t>Mức thuế mới có phần công bằng hơn so với trước đây, nhưng mức độ công bằng phụ thuộc vào thu nhập cá nhân và khả năng chịu đựng của người nộp thuế.</t>
  </si>
  <si>
    <t>Thuế đóng góp cho cải thiện dịch vụ công là cần thiết, tuy nhiên hiệu quả sử dụng số tiền này vẫn còn cần đánh giá.</t>
  </si>
  <si>
    <t>Giải thích về mục tiêu của việc sửa đổi thuế có phần rõ ràng hơn so với trước đây, nhưng vẫn chưa đầy đủ và thuyết phục đối với mọi người.</t>
  </si>
  <si>
    <t>Các quyền lợi từ giảm trừ gia cảnh tăng và quy trình khai báo thuế đơn giản, tuy nhiên rủi ro về tuân thủ và hiểu rõ ràng các thông tin vẫn còn tồn tại.</t>
  </si>
  <si>
    <t>Các quy định quản lý thuế hiện nay được cải thiện, nhưng do chưa có nhiều thông tin về công nghệ phát hiện trốn thuế nên vẫn còn nghi ngờ.</t>
  </si>
  <si>
    <t>Nhà nước và cơ quan thuế đã áp dụng công nghệ tiên tiến hơn để phát hiện trốn thuế, tăng khả năng giám sát</t>
  </si>
  <si>
    <t>Mức giảm trừ gia cảnh cao hơn giúp đơn giản hóa khai báo thuế. Quy trình làm việc với cơ quan thuế cũng được cải thiện.</t>
  </si>
  <si>
    <t>Biểu thuế đơn giản, bậc thuế ít đi nên cách tính và thực hiện thuế dễ dàng hơn so với trước đây</t>
  </si>
  <si>
    <t>Những cải tiến về giảm trừ gia cảnh và mức thuế giúp tôi cảm thấy công bằng hơn trong việc đóng thuế.</t>
  </si>
  <si>
    <t>Thuế mới có vẻ công bằng, nhưng vẫn chưa hoàn toàn chắc chắn</t>
  </si>
  <si>
    <t>Mức thuế tôi phải đóng được sử dụng để cải thiện dịch vụ công, giúp tăng niềm tin vào chính sách.</t>
  </si>
  <si>
    <t>Nhà nước đã giải thích rõ ràng về mục tiêu cải cách, nhưng vẫn cần thêm thông tin chi tiết</t>
  </si>
  <si>
    <t>Niềm tin và công bằng trong việc đóng thuế tăng lên, đồng thời cải tiến thủ tục giúp tôi tuân thủ dễ dàng hơn.</t>
  </si>
  <si>
    <t>Tăng mức giảm trừ gia cảnh và đơn giản hóa biểu thuế có thể làm tăng khả năng phát hiện hành vi gian lận. Tuy nhiên, không có thông tin cụ thể về công nghệ và nguồn lực để đảm bảo xử lý nghiêm các hành vi trốn thuế.</t>
  </si>
  <si>
    <t>Nâng cao mức giảm trừ gia cảnh và đơn giản hóa biểu thuế giúp cải thiện khả năng tuân thủ. Tuy nhiên, không có thông tin cụ thể về công nghệ và nguồn lực để đảm bảo phát hiện trốn thuế.</t>
  </si>
  <si>
    <t>Bậc thuế được rút gọn từ 7 bậc xuống còn 5 bậc, đơn giản hóa quy trình khai báo. Mức giảm trừ gia cảnh tăng cũng giúp tạo thuận lợi cho người nộp thuế.</t>
  </si>
  <si>
    <t>Số bậc thuế giảm đi và mức giảm trừ gia cảnh tăng, khiến quá trình tính toán thuế trở nên dễ hiểu và thực hiện đơn giản hơn so với trước đây.</t>
  </si>
  <si>
    <t>Mức giảm trừ gia cảnh tăng lên và quy định mới tạo ra sự công bằng cho người nộp thuế có thu nhập thấp. Tuy nhiên, không rõ ràng về việc thực thi chính sách một cách khách quan.</t>
  </si>
  <si>
    <t>Mức thuế mới được thiết kế theo mức độ thu nhập của người nộp thuế, tạo cảm giác công bằng. Tuy nhiên, không có thông tin cụ thể về việc giải thích rõ ràng về lý do và mục tiêu.</t>
  </si>
  <si>
    <t>Thuộc tính mới tăng lên và mức giảm trừ gia cảnh cao hơn tạo ra cảm giác số tiền thuế đóng sẽ được sử dụng hiệu quả. Tuy nhiên, không có thông tin cụ thể về việc thực thi chính sách một cách công bằng.</t>
  </si>
  <si>
    <t>Mức giảm trừ gia cảnh tăng và đơn giản hóa biểu thuế tạo ra cảm giác giải thích rõ ràng và minh bạch. Tuy nhiên, không có thông tin cụ thể về việc thực thi chính sách một cách công bằng.</t>
  </si>
  <si>
    <t>Thu nhập cá nhân của tôi ở mức trung bình, nên mức thuế mới tạo ra cảm giác công bằng và thuận lợi. Tuy nhiên, không có thông tin cụ thể về việc thực thi chính sách một cách công bằng.</t>
  </si>
  <si>
    <t>Tăng mức giảm trừ gia cảnh và đơn giản hóa biểu thuế có thể làm tăng độ phức tạp trong việc phát hiện trốn thuế. Tuy nhiên, với các quy định quản lý thuế hiện tại, khả năng phát hiện gian lận vẫn ở mức khá.</t>
  </si>
  <si>
    <t>Biểu thuế đơn giản và giảm trừ gia cảnh cao hơn có thể làm giảm cơ hội trốn thuế. Công nghệ hiện đại cũng hỗ trợ tốt trong việc giám sát thuế, tuy nhiên khả năng phát hiện vẫn phụ thuộc vào hiệu quả của hệ thống quản lý.</t>
  </si>
  <si>
    <t>Mức giảm trừ gia cảnh cao hơn và biểu thuế đơn giản có thể làm thủ tục khai báo trở nên dễ dàng. Tuy nhiên, quy trình làm việc với cơ quan thuế vẫn cần cải thiện để đạt được mức độ tiện lợi hoàn toàn.</t>
  </si>
  <si>
    <t>Biểu thuế đơn giản và giảm trừ gia cảnh cao hơn có thể giúp người dân hiểu rõ cách tính thuế. Tuy nhiên, sự phức tạp của quy trình khai báo vẫn cần cải thiện để dễ thực hiện hơn.</t>
  </si>
  <si>
    <t>Tăng mức giảm trừ gia cảnh và đơn giản hóa biểu thuế có thể tạo ra niềm tin rằng Nhà nước đối xử công bằng với tất cả người nộp thuế. Tuy nhiên, niềm tin này vẫn phụ thuộc vào thực thi chính sách.</t>
  </si>
  <si>
    <t>Thu nhập tính thuế thấp hơn và mức thuế suất giảm có thể tạo cảm giác rằng mức thuế mới là công bằng. Tuy nhiên, sự công bằng hoàn toàn còn phụ thuộc vào cách áp dụng thực tế.</t>
  </si>
  <si>
    <t>Tăng mức giảm trừ gia cảnh có thể giúp số tiền thuế đóng trở nên hợp lý hơn. Tuy nhiên, niềm tin về việc sử dụng hiệu quả số thuế thu được vẫn phụ thuộc vào hành động thực tế của chính phủ.</t>
  </si>
  <si>
    <t>Giảm bậc thuế và đơn giản hóa biểu thuế có thể làm cho thông điệp giải thích dễ hiểu hơn. Tuy nhiên, sự minh bạch về mục tiêu cải cách vẫn cần được cải thiện.</t>
  </si>
  <si>
    <t>Tăng mức giảm trừ gia cảnh và đơn giản hóa biểu thuế có thể làm tăng khả năng tuân thủ. Tuy nhiên, quyết định cuối cùng phụ thuộc vào sự tin tưởng vào thực thi chính sách và công bằng của nó.</t>
  </si>
  <si>
    <t>Tăng mức giảm trừ gia cảnh có thể làm giảm số người nộp thuế, nhưng không đảm bảo phát hiện trốn thuế dễ dàng hơn. Công nghệ hỗ trợ cần thời gian triển khai.</t>
  </si>
  <si>
    <t>Công nghệ hiện đại giúp kiểm soát thuế tốt hơn, nhất là với giảm trừ gia cảnh mới. Tuy nhiên, vẫn phụ thuộc vào quản lý và ứng dụng công nghệ.</t>
  </si>
  <si>
    <t>Biểu thuế đơn giản hơn nhưng không phải tất cả quy trình khai báo đã trở nên thuận tiện hơn. Cần thời gian để điều chỉnh hệ thống.</t>
  </si>
  <si>
    <t>Cách tính thuế mới dễ hiểu hơn, đặc biệt với số bậc thuế giảm từ 7 xuống 5. Điều này tăng sự minh bạch cho người nộp thuế.</t>
  </si>
  <si>
    <t>Giảm trừ gia cảnh lớn hơn và biểu thuế đơn giản làm giảm gánh nặng thuế, tạo niềm tin về công bằng trong việc thực thi chính sách.</t>
  </si>
  <si>
    <t>Thuế suất mới có thể coi là hợp lý với thu nhập hiện tại. Tuy nhiên, vẫn cần thời gian để kiểm chứng hiệu quả của chính sách.</t>
  </si>
  <si>
    <t>Giảm trừ gia cảnh lớn hơn giúp cải thiện dịch vụ công. Tuy vậy, việc sử dụng ngân sách hiệu quả còn phụ thuộc vào quản lý.</t>
  </si>
  <si>
    <t>Các thông tin về thuế mới được truyền tải rõ ràng hơn nhưng cần thêm thời gian để người dân hình thành niềm tin và hiểu rõ mục tiêu chính sách.</t>
  </si>
  <si>
    <t>Tăng mức giảm trừ gia cảnh làm giảm gánh nặng thuế, tăng khả năng tuân thủ. Tuy nhiên, vẫn cần thời gian để kiểm chứng hiệu quả thực thi.</t>
  </si>
  <si>
    <t>Mức giảm trừ gia cảnh tăng đáng kể, nhưng việc phát hiện trốn thuế phụ thuộc nhiều vào công nghệ và thực thi nên không hoàn toàn chắc chắn.</t>
  </si>
  <si>
    <t>Công nghệ hiện đại giúp phát hiện trốn thuế hiệu quả hơn, tuy nhiên vẫn cần sự phối hợp giữa cơ quan chức năng và người nộp thuế.</t>
  </si>
  <si>
    <t>Thủ tục khai báo thuế đơn giản hơn với ít bậc thuế, nhưng quy trình làm việc với cơ quan thuế vẫn chưa tối ưu như mong đợi.</t>
  </si>
  <si>
    <t>Cách tính thuế và bậc thuế mới đơn giản hóa so với trước, dễ hiểu và thực hiện nhanh chóng hơn.</t>
  </si>
  <si>
    <t>Nhìn chung các quy định mới khách quan và công bằng hơn, giảm gánh nặng cho người thu nhập thấp.</t>
  </si>
  <si>
    <t>Mức thuế mới được thiết kế để hợp lý với thu nhập cá nhân hiện nay, tạo cảm giác công bằng.</t>
  </si>
  <si>
    <t>Thuế đóng góp vào cải thiện dịch vụ công, tuy nhiên hiệu quả sử dụng nguồn vốn còn phụ thuộc vào quản trị nhà nước.</t>
  </si>
  <si>
    <t>Đã có giải thích về thay đổi thuế nhưng chưa đủ minh bạch và thuyết phục mọi người.</t>
  </si>
  <si>
    <t>Sau cân nhắc, tôi ủng hộ chính sách mới nhờ lợi ích tài chính và đơn giản hóa thủ tục.</t>
  </si>
  <si>
    <t>Các quy định quản lý thuế hiện nay có mức giảm trừ gia cảnh cao hơn, nhưng thực tế khả năng phát hiện trốn thuế phụ thuộc nhiều vào công nghệ và nguồn lực của cơ quan thuế, chưa chắc đã hiệu quả.</t>
  </si>
  <si>
    <t>Việc áp dụng công nghệ trong quản lý thuế sẽ giúp phát hiện trốn thuế nhanh chóng hơn. Tuy nhiên, mức độ thực thi phụ thuộc vào nguồn lực và quy định cụ thể của cơ quan thuế.</t>
  </si>
  <si>
    <t>Số bậc thuế giảm đi từ 7 xuống 5 có thể làm quá trình khai báo đơn giản hơn, nhưng việc áp dụng công nghệ trong làm việc với cơ quan thuế chưa chắc đã cải thiện đáng kể.</t>
  </si>
  <si>
    <t>Biểu thuế đơn giản hóa từ 7 bậc xuống 5 có thể giúp người dân dễ hiểu và tính toán hơn, nhưng cách tính cụ thể vẫn cần thời gian để quen với nó.</t>
  </si>
  <si>
    <t>Mức giảm trừ gia cảnh tăng lên cùng mức thuế suất mới có thể làm cho việc nộp thuế công bằng hơn. Tuy nhiên, niềm tin vào sự khách quan và công tâm của cơ quan thuế vẫn cần thời gian để xây dựng.</t>
  </si>
  <si>
    <t>Mức thuế mới được thiết kế dựa trên thu nhập, nên người thu nhập như tôi thấy mức thuế này hợp lý. Tuy nhiên, việc thực thi chính sách và minh bạch thông tin còn phụ thuộc vào quyết định cụ thể của cơ quan thuế.</t>
  </si>
  <si>
    <t>Giảm trừ gia cảnh tăng lên cùng mức thuế suất mới có thể giúp cải thiện dịch vụ công. Tuy nhiên, niềm tin về việc sử dụng hiệu quả số tiền thuế còn phụ thuộc vào quản lý tài chính của cơ quan quản lý.</t>
  </si>
  <si>
    <t>Đã có thông báo rõ ràng về mức thuế mới, nhưng sự minh bạch và giải thích cụ thể về mục tiêu cải cách thuế vẫn còn hạn chế. Tuy nhiên, tôi đồng ý với mục đích cải thiện hệ thống thuế.</t>
  </si>
  <si>
    <t>Tăng giảm trừ gia cảnh và mức thuế mới có thể làm tăng niềm tin và cảm giác công bằng. Tuy nhiên, quyết định ủng hộ và tuân thủ chính sách còn phụ thuộc vào thực tế việc thực thi và quản lý hiệu quả của cơ quan thuế.</t>
  </si>
  <si>
    <t>Biện pháp quản lý thuế hiện nay được cải thiện, tăng mức giảm trừ gia cảnh và đơn giản hóa biểu thuế, nhưng khả năng phát hiện trốn thuế vẫn phụ thuộc vào công nghệ và nguồn lực của cơ quan thuế.</t>
  </si>
  <si>
    <t>Công nghệ hiện đại có thể giúp phát hiện gian lận thuế nhanh chóng hơn, tuy nhiên, việc thực thi cần sự phối hợp giữa nhiều bộ phận và nguồn lực</t>
  </si>
  <si>
    <t>Các quy định giảm trừ gia cảnh và đơn giản hóa biểu thuế tạo điều kiện thuận lợi cho người nộp thuế. Thủ tục khai báo thuế trở nên nhanh chóng hơn, nhưng vẫn cần thời gian để quen với các thay đổi.</t>
  </si>
  <si>
    <t>Cách tính thuế mới đơn giản hóa quy trình và dễ hiểu hơn so với trước đây. Tuy nhiên, việc thực hiện cần sự tuân thủ từ phía người nộp thuế</t>
  </si>
  <si>
    <t>Nhà nước đã cải thiện mức giảm trừ gia cảnh và đơn giản hóa biểu thuế, tạo cảm giác công bằng hơn cho người nộp thuế. Tuy nhiên, việc thực thi chính sách còn phụ thuộc vào nhiều yếu tố</t>
  </si>
  <si>
    <t>Mức thuế mới được thiết kế để phù hợp với thu nhập hiện tại của tôi và các bậc thuế mới tạo cảm giác công bằng. Tuy nhiên, việc đánh giá mức độ công bằng còn phụ thuộc vào nhiều yếu tố khác</t>
  </si>
  <si>
    <t>Các cải cách thuế có thể giúp tăng nguồn thu cho nhà nước và cải thiện dịch vụ công, nhưng hiệu quả thực tế vẫn cần thời gian để đánh giá. Tôi tin rằng số tiền thuế tôi đóng sẽ được sử dụng hiệu quả</t>
  </si>
  <si>
    <t>Nhà nước đã giải thích rõ ràng về các thay đổi trong biểu thuế, nhưng việc thực hiện vẫn phụ thuộc vào nhiều yếu tố như nguồn lực và sự tuân thủ của người nộp thuế.</t>
  </si>
  <si>
    <t>Sau khi cân nhắc lợi ích từ việc giảm trừ gia cảnh và đơn giản hóa quy trình khai báo, tôi thấy chính sách mới có lợi cho người dân. Tôi sẽ tiếp tục tuân thủ các quy định mới.</t>
  </si>
  <si>
    <t>Trình tự và công nghệ hiện tại có thể phát hiện hành vi gian lận hoặc trốn thuế, nhưng không chắc chắn 100%.</t>
  </si>
  <si>
    <t>Công nghệ và khả năng của cơ quan thuế đã được cải thiện đáng kể, tuy nhiên vẫn cần thời gian kiểm chứng thực tế.</t>
  </si>
  <si>
    <t>Mức giảm trừ gia cảnh cao hơn giúp đơn giản hóa quy trình khai báo, nhưng vẫn có một số thủ tục cần làm rõ.</t>
  </si>
  <si>
    <t>Biểu thuế đơn giản hơn và các bậc thuế mới dễ hiểu hơn so với trước đây, giúp người dân tính toán nhanh chóng.</t>
  </si>
  <si>
    <t>Niềm tin vào khả năng công bằng của cơ quan thuế cao hơn do tăng giảm trừ gia cảnh và đơn giản hóa quy trình.</t>
  </si>
  <si>
    <t>Mức thuế mới phù hợp với thu nhập cá nhân hiện tại, tạo cảm giác công bằng.</t>
  </si>
  <si>
    <t>Tin tưởng số tiền đóng góp sẽ được sử dụng hiệu quả để cải thiện dịch vụ công, nhưng cần thời gian kiểm chứng thực tế.</t>
  </si>
  <si>
    <t>Công khai về lý do và mục tiêu của việc sửa đổi thuế tăng niềm tin vào khả năng minh bạch của cơ quan quản lý</t>
  </si>
  <si>
    <t>Sau khi cân nhắc, quyết định ủng hộ vì lợi ích tài chính và đơn giản hóa quy trình làm việc với cơ quan thuế.</t>
  </si>
  <si>
    <t>Các quy định quản lý thuế hiện nay được cải thiện với giảm trừ gia cảnh và đơn giản hóa biểu thuế, tuy nhiên khả năng phát hiện trốn thuế phụ thuộc nhiều vào công nghệ và nguồn lực của cơ quan thuế.</t>
  </si>
  <si>
    <t>Nhà nước đã đầu tư mạnh mẽ vào công nghệ để cải thiện quản lý thuế, việc tăng giảm trừ gia cảnh cũng góp phần hạn chế trốn thuế. Tuy nhiên, cần thời gian thực hiện và đánh giá hiệu quả.</t>
  </si>
  <si>
    <t>Các quy trình làm việc với cơ quan thuế trở nên đơn giản hơn sau khi cải cách biểu thuế, giảm số bậc thuế giúp người dân dễ dàng khai báo hơn.</t>
  </si>
  <si>
    <t>Thay đổi về biểu thuế và mức giảm trừ gia cảnh tạo cảm giác đơn giản hóa quy trình làm việc với cơ quan thuế.</t>
  </si>
  <si>
    <t>Mức giảm trừ gia cảnh tăng lên giúp người dân nhận thấy sự công bằng trong việc đóng thuế. Tuy nhiên, mức độ tin tưởng vào cách thực thi chính sách còn phụ thuộc nhiều vào hiệu quả quản lý.</t>
  </si>
  <si>
    <t>Mức thuế mới được thiết kế để cân đối giữa các nhóm thu nhập, người có thu nhập thấp như tôi thấy công bằng hơn so với trước đây.</t>
  </si>
  <si>
    <t>Tăng mức giảm trừ gia cảnh giúp cải thiện dịch vụ công và tạo cảm giác số thuế đóng góp vào lợi ích chung. Tuy nhiên, hiệu quả sử dụng nguồn thu còn phụ thuộc nhiều yếu tố khác.</t>
  </si>
  <si>
    <t>Truyền thông về chính sách mới được cải thiện nhưng vẫn chưa thuyết phục hoàn toàn, nhất là với những người có kiến thức ít về thuế.</t>
  </si>
  <si>
    <t>Mức giảm trừ gia cảnh tăng lên và việc đơn giản hóa biểu thuế tạo cảm giác thuận lợi. Tuy nhiên, quyết định tuân thủ phụ thuộc nhiều vào niềm tin và hiểu biết về chính sách.</t>
  </si>
  <si>
    <t>Chính sách mới có mức giảm trừ gia cảnh cao hơn, nhưng không đủ để phát hiện trốn thuế hiệu quả. Công nghệ phát hiện trốn thuế cần được cải thiện.</t>
  </si>
  <si>
    <t>Nhà nước và cơ quan thuế đã đầu tư công nghệ kiểm soát thuế, tuy nhiên, việc xử lý nghiêm vẫn còn hạn chế do thiếu thông tin cá nhân.</t>
  </si>
  <si>
    <t>Thủ tục khai báo thuế được đơn giản hóa nhưng chưa đáng kể. Các quy định về thuế vẫn khá phức tạp.</t>
  </si>
  <si>
    <t>Cách tính thuế mới có phần đơn giản hơn so với trước đây, các bậc thuế ít đi giúp việc tính toán dễ dàng hơn.</t>
  </si>
  <si>
    <t>Nhà nước đã cải thiện mức giảm trừ gia cảnh nhưng chưa đầy đủ để đảm bảo công bằng cho mọi người. Thực thi vẫn cần cải thiện.</t>
  </si>
  <si>
    <t>Mức thuế mới có phần hợp lý đối với thu nhập trung bình, song không phải là mức cao nhất nên còn thiếu tính minh bạch.</t>
  </si>
  <si>
    <t>Thuế đóng góp cho dịch vụ công nhưng chưa rõ ràng về việc sử dụng hiệu quả. Cải cách cần được thực hiện để cải thiện.</t>
  </si>
  <si>
    <t>Nội dung giải thích chính sách mới chưa đầy đủ và thuyết phục, đặc biệt đối với những người không quan tâm nhiều đến thông tin.</t>
  </si>
  <si>
    <t>Thu nhập của tôi đã giảm nên thuế cũng ít đi. Tuy nhiên, vẫn còn lo ngại về việc thực thi chính sách mới. Tuân thủ sẽ được xem xét sau khi hiểu rõ hơn.</t>
  </si>
  <si>
    <t>Chính sách mới có mức giảm trừ gia cảnh cao hơn, nhưng không đủ để đảm bảo việc phát hiện trốn thuế dễ dàng. Cơ chế quản lý vẫn chưa được cải thiện nhiều.</t>
  </si>
  <si>
    <t>Có công nghệ hỗ trợ trong việc phát hiện trốn thuế, nhưng khả năng thực thi còn phụ thuộc vào sự quyết tâm của cơ quan chức năng.</t>
  </si>
  <si>
    <t>Thủ tục khai báo thuế trở nên đơn giản hơn với số bậc thuế giảm đi, giúp người dân dễ dàng làm việc với cơ quan thuế hơn.</t>
  </si>
  <si>
    <t>Cách tính thuế và các bậc thuế mới được đơn giản hóa, dễ hiểu và thực hiện thuận lợi hơn so với trước đây.</t>
  </si>
  <si>
    <t>Niềm tin vào sự công bằng của chính sách mới tăng lên do mức giảm trừ gia cảnh cao hơn, nhưng vẫn có một số nghi ngờ về cách thực thi.</t>
  </si>
  <si>
    <t>Mức thuế mới được cho là công bằng với thu nhập hiện tại, tuy nhiên vẫn cần thêm thông tin để hoàn toàn chắc chắn.</t>
  </si>
  <si>
    <t>Tin tưởng vào việc số tiền thuế đóng sẽ được sử dụng hiệu quả để cải thiện dịch vụ công, nhưng không thể đánh giá cao vì thiếu dữ liệu thực tế.</t>
  </si>
  <si>
    <t>Nhà nước đã giải thích rõ ràng về mục tiêu của chính sách mới, tuy nhiên còn nhiều thông tin cần thêm để minh bạch hơn.</t>
  </si>
  <si>
    <t>Dù cảm thấy thuận tiện với chính sách mới nhưng vẫn có sự nghi ngờ về thực thi và công bằng, nên quyết định tuân thủ một cách thận trọng.</t>
  </si>
  <si>
    <t>Cải cách thuế này không tăng cường quản lý thuế hiệu quả, do đó khả năng phát hiện hành vi gian lận hoặc trốn thuế vẫn hạn chế.</t>
  </si>
  <si>
    <t>Việc áp dụng công nghệ mới trong quản lý thuế chưa được đề cập cụ thể, và cải cách này chủ yếu là về giảm trừ gia cảnh và đơn giản hóa biểu thuế.</t>
  </si>
  <si>
    <t>Đơn giản hóa biểu thuế từ 7 bậc xuống 5 bậc giúp quy trình khai báo dễ dàng hơn, nhưng vẫn còn nhiều thủ tục cần cải thiện.</t>
  </si>
  <si>
    <t>Cách tính thuế mới đơn giản hơn so với trước đây, đặc biệt là khi có nhiều mức thu nhập chịu thuế và bậc thuế suất được giảm.</t>
  </si>
  <si>
    <t>Mức giảm trừ gia cảnh tăng giúp người dân cảm thấy công bằng hơn về việc đóng thuế, nhưng vẫn còn nhiều nghi ngờ về cách thực thi chính sách.</t>
  </si>
  <si>
    <t>Thu nhập chịu thuế mới được phân chia rõ ràng và có mức thuế suất hợp lý, tuy nhiên mức thuế cụ thể cần nhìn vào tổng thu nhập hàng tháng.</t>
  </si>
  <si>
    <t>Người dân cảm thấy tin tưởng hơn về việc sử dụng số tiền thuế đóng để cải thiện dịch vụ công, nhưng vẫn có nhiều nghi vấn về hiệu quả thực tế.</t>
  </si>
  <si>
    <t>Giải thích về mục tiêu của chính sách mới chưa đủ rõ ràng và minh bạch, dẫn đến sự hoài nghi từ người dân.</t>
  </si>
  <si>
    <t>Các quyền lợi tăng lên do mức giảm trừ gia cảnh và thuế suất mới giúp người dân cảm thấy công bằng hơn, nhưng vẫn còn nhiều nghi ngờ về thực thi chính sách.</t>
  </si>
  <si>
    <t>Mức giảm trừ gia cảnh tăng lên, giúp người thu nhập thấp ít chịu thuế. Sự đơn giản hóa biểu thuế cũng làm giảm rủi ro trốn thuế.</t>
  </si>
  <si>
    <t>Cải cách thuế TNCN có công nghệ và quy định mới giúp phát hiện gian lận, nhưng thực tế việc áp dụng còn phụ thuộc vào năng lực quản lý của cơ quan thuế.</t>
  </si>
  <si>
    <t>Giảm từ 7 bậc xuống 5 bậc, đơn giản hóa quy trình khai báo. Tuy nhiên, người thu nhập cao vẫn phải đối mặt với nhiều bước phức tạp.</t>
  </si>
  <si>
    <t>Cách tính thuế mới rõ ràng hơn, giảm số bậc từ 7 xuống 5. Điều này giúp người nộp thuế dễ hiểu và thực hiện.</t>
  </si>
  <si>
    <t>Giảm trừ gia cảnh tăng cho người thu nhập thấp, tạo cảm giác công bằng. Tuy nhiên, mức thuế cao vẫn áp dụng cho người có thu nhập lớn, khiến một số người nghi ngờ về sự khách quan.</t>
  </si>
  <si>
    <t>Mức thuế mới được thiết kế dựa trên thu nhập, tăng cường cảm giác công bằng. Tuy nhiên, đối với người có thu nhập cao, mức thuế vẫn khá cao, tạo ra sự nghi ngờ về tính công bằng.</t>
  </si>
  <si>
    <t>Giảm trừ gia cảnh và đơn giản hóa biểu thuế tạo cảm giác tin tưởng vào việc sử dụng tiền thuế hiệu quả. Tuy nhiên, đối với người thu nhập cao, mức thuế vẫn cao nên sự tin tưởng có thể giảm.</t>
  </si>
  <si>
    <t>Thông tin về cải cách thuế được truyền tải rõ ràng hơn so với trước đây. Tuy nhiên, nhiều người nghi ngờ về việc thực thi và hiệu quả của chính sách.</t>
  </si>
  <si>
    <t>Cải cách thuế có lợi cho người thu nhập thấp nhưng đối mặt với rủi ro từ mức thuế cao. Sự tin tưởng vào cơ quan thuế và hiệu quả sử dụng tiền thuế vẫn còn hạn chế nên quyết định tuân thủ chưa chắc chắn.</t>
  </si>
  <si>
    <t>Tăng mức giảm trừ gia cảnh và đơn giản hóa quy trình khai báo thuế có thể làm tăng khả năng phát hiện trốn thuế, nhưng không phải là đảm bảo 100%.</t>
  </si>
  <si>
    <t>Việc Nhà nước, cơ quan thuế đã áp dụng công nghệ để phát hiện trốn thuế cho thấy họ có đủ khả năng, nhưng vẫn cần cải thiện.</t>
  </si>
  <si>
    <t>Mức giảm trừ gia cảnh tăng và đơn giản hóa biểu thuế làm quy trình khai báo trở nên dễ dàng hơn, thuận tiện hơn cho người dân.</t>
  </si>
  <si>
    <t>Biểu thuế mới với ít bậc thuế hơn có thể giúp việc tính toán thuế trở nên rõ ràng và dễ hiểu hơn, nhưng vẫn cần thời gian để quen thuộc.</t>
  </si>
  <si>
    <t>Niềm tin rằng cơ quan thuế sẽ thực thi chính sách công bằng là khá cao do mức giảm trừ gia cảnh tăng, song vẫn có sự đa dạng trong cách hiểu về công bằng.</t>
  </si>
  <si>
    <t>Mức thuế mới được thiết kế dựa trên thu nhập nên cảm thấy công bằng đối với người nộp thuế như tôi, nhưng cần thời gian để đánh giá hiệu quả thực tế.</t>
  </si>
  <si>
    <t>Nhìn chung, mức thuế giảm và đơn giản hóa biểu thuế làm tăng niềm tin rằng tiền thuế sẽ được sử dụng hiệu quả hơn trong cải thiện dịch vụ công.</t>
  </si>
  <si>
    <t>Truyền thông về lý do và mục tiêu của chính sách mới chưa đủ rõ ràng, nhưng đã có sự cải thiện so với trước đây.</t>
  </si>
  <si>
    <t>Niềm tin và cảm giác công bằng cao giúp tăng khả năng tuân thủ, song vẫn cần thêm thời gian để đánh giá hiệu quả thực tế của chính sách.</t>
  </si>
  <si>
    <t>Nâng cao giảm trừ gia cảnh và đơn giản hóa biểu thuế có thể làm tăng cơ hội phát hiện trốn thuế, nhưng không rõ liệu công nghệ mới có áp dụng rộng rãi chưa.</t>
  </si>
  <si>
    <t>Việc Nhà nước ban hành luật sửa đổi thuế cho thấy họ mong muốn xử lý nghiêm các trường hợp trốn thuế, tuy nhiên hiệu quả thực tế phụ thuộc vào việc triển khai công nghệ mới.</t>
  </si>
  <si>
    <t>Đơn giản hóa biểu thuế có thể làm thủ tục khai báo thuận tiện hơn, nhưng vẫn còn các bước cần hoàn thiện.</t>
  </si>
  <si>
    <t>Cách tính thuế mới rõ ràng và dễ hiểu hơn so với trước đây, giảm bớt rào cản cho người nộp thuế.</t>
  </si>
  <si>
    <t>Nâng cao giảm trừ gia cảnh có thể làm tăng niềm tin vào sự công bằng trong việc đánh giá thu nhập và áp dụng mức thuế.</t>
  </si>
  <si>
    <t>Mức thuế mới dựa trên thu nhập, nhưng vẫn chưa rõ liệu nó có phù hợp với thực tế tài chính của người dân hay không.</t>
  </si>
  <si>
    <t>Nâng cao giảm trừ gia cảnh và đơn giản hóa biểu thuế có thể làm tăng niềm tin vào việc sử dụng hiệu quả số tiền thuế đã đóng để cải thiện dịch vụ công, nhưng cần thời gian chứng minh.</t>
  </si>
  <si>
    <t>Biểu thuế mới rõ ràng hơn so với trước đây, giảm bớt rào cản trong việc hiểu rõ mục tiêu và lý do của chính sách mới, tuy nhiên chưa đủ thuyết phục đối với một số người.</t>
  </si>
  <si>
    <t>Nâng cao giảm trừ gia cảnh và đơn giản hóa biểu thuế có thể làm tăng sự ủng hộ và tuân thủ, nhưng cần thời gian để chứng minh hiệu quả thực tế của chính sách mới.</t>
  </si>
  <si>
    <t>AI_ENF1_Norm</t>
  </si>
  <si>
    <t>Human_ENF1_Norm</t>
  </si>
  <si>
    <t>AI_ENF2_Norm</t>
  </si>
  <si>
    <t>Human_ENF2_Norm</t>
  </si>
  <si>
    <t>AI_ENF</t>
  </si>
  <si>
    <t>Human_ENF</t>
  </si>
  <si>
    <t>AI_FAC1_Norm</t>
  </si>
  <si>
    <t>Human_FAC1_Norm</t>
  </si>
  <si>
    <t>AI_FAC2_Norm</t>
  </si>
  <si>
    <t>Human_FAC2_Norm</t>
  </si>
  <si>
    <t>AI_FAC</t>
  </si>
  <si>
    <t>Human_FAC</t>
  </si>
  <si>
    <t>AI_TRU1_Norm</t>
  </si>
  <si>
    <t>Human_TRU1_Norm</t>
  </si>
  <si>
    <t>AI_TRU2_Norm</t>
  </si>
  <si>
    <t>Human_TRU2_Norm</t>
  </si>
  <si>
    <t>AI_TRU3_Norm</t>
  </si>
  <si>
    <t>Human_TRU3_Norm</t>
  </si>
  <si>
    <t>AI_TRU4_Norm</t>
  </si>
  <si>
    <t>AI_TRU</t>
  </si>
  <si>
    <t>Human_TRU</t>
  </si>
  <si>
    <t>AI_AIx</t>
  </si>
  <si>
    <t>Human_AIx</t>
  </si>
  <si>
    <t>AI_OUT1_Norm</t>
  </si>
  <si>
    <t>Human_OUT1_Norm</t>
  </si>
  <si>
    <t>OUT</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</si>
  <si>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</si>
  <si>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</si>
  <si>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</si>
  <si>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</si>
  <si>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</si>
  <si>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</si>
  <si>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</si>
  <si>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</si>
  <si>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</si>
  <si>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</si>
  <si>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</si>
  <si>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</si>
  <si>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</si>
  <si>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</si>
  <si>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</si>
  <si>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</si>
  <si>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</si>
  <si>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</si>
  <si>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</si>
  <si>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</si>
  <si>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</si>
  <si>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</si>
  <si>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</si>
  <si>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OUT_Binary</t>
  </si>
  <si>
    <t>AIx_norm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</si>
</sst>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6"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
      <i/>
      <sz val="11"/>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10" fontId="0" fillId="0" borderId="1" xfId="0" applyNumberFormat="1" applyBorder="1"/>
    <xf numFmtId="166" fontId="0" fillId="0" borderId="1" xfId="0" applyNumberFormat="1" applyBorder="1"/>
    <xf numFmtId="0" fontId="2" fillId="8" borderId="1" xfId="0" applyFont="1" applyFill="1" applyBorder="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Fill="1" applyBorder="1" applyAlignment="1"/>
    <xf numFmtId="0" fontId="0" fillId="0" borderId="8" xfId="0" applyFill="1" applyBorder="1" applyAlignment="1"/>
    <xf numFmtId="0" fontId="5" fillId="0" borderId="9" xfId="0" applyFont="1" applyFill="1" applyBorder="1" applyAlignment="1">
      <alignment horizontal="center"/>
    </xf>
    <xf numFmtId="0" fontId="5" fillId="0" borderId="9" xfId="0" applyFont="1" applyFill="1" applyBorder="1" applyAlignment="1">
      <alignment horizontal="centerContinuous"/>
    </xf>
    <xf numFmtId="11" fontId="0" fillId="0" borderId="8" xfId="0" applyNumberFormat="1" applyFill="1" applyBorder="1" applyAlignmen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1"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4"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topLeftCell="A374"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197</v>
      </c>
      <c r="C1" t="s">
        <v>38</v>
      </c>
      <c r="D1" t="s">
        <v>169</v>
      </c>
      <c r="E1" t="s">
        <v>40</v>
      </c>
      <c r="F1" t="s">
        <v>41</v>
      </c>
      <c r="G1" t="s">
        <v>42</v>
      </c>
      <c r="H1" t="s">
        <v>43</v>
      </c>
      <c r="I1" t="s">
        <v>44</v>
      </c>
      <c r="J1" t="s">
        <v>170</v>
      </c>
      <c r="K1" t="s">
        <v>46</v>
      </c>
      <c r="L1" t="s">
        <v>171</v>
      </c>
      <c r="M1" t="s">
        <v>172</v>
      </c>
      <c r="N1" t="s">
        <v>49</v>
      </c>
      <c r="O1" t="s">
        <v>173</v>
      </c>
      <c r="P1" t="s">
        <v>174</v>
      </c>
      <c r="Q1" t="s">
        <v>52</v>
      </c>
      <c r="R1" t="s">
        <v>175</v>
      </c>
      <c r="S1" t="s">
        <v>176</v>
      </c>
      <c r="T1" t="s">
        <v>55</v>
      </c>
      <c r="U1" t="s">
        <v>177</v>
      </c>
      <c r="V1" t="s">
        <v>178</v>
      </c>
      <c r="W1" t="s">
        <v>58</v>
      </c>
      <c r="X1" t="s">
        <v>179</v>
      </c>
      <c r="Y1" t="s">
        <v>180</v>
      </c>
      <c r="Z1" t="s">
        <v>61</v>
      </c>
      <c r="AA1" t="s">
        <v>181</v>
      </c>
      <c r="AB1" t="s">
        <v>182</v>
      </c>
      <c r="AC1" t="s">
        <v>64</v>
      </c>
      <c r="AD1" t="s">
        <v>183</v>
      </c>
      <c r="AE1" t="s">
        <v>184</v>
      </c>
      <c r="AF1" t="s">
        <v>67</v>
      </c>
      <c r="AG1" t="s">
        <v>185</v>
      </c>
      <c r="AH1" t="s">
        <v>186</v>
      </c>
      <c r="AI1" t="s">
        <v>70</v>
      </c>
      <c r="AJ1" t="s">
        <v>187</v>
      </c>
      <c r="AK1" t="s">
        <v>47</v>
      </c>
      <c r="AL1" t="s">
        <v>50</v>
      </c>
      <c r="AM1" t="s">
        <v>53</v>
      </c>
      <c r="AN1" t="s">
        <v>56</v>
      </c>
      <c r="AO1" t="s">
        <v>59</v>
      </c>
      <c r="AP1" t="s">
        <v>62</v>
      </c>
      <c r="AQ1" t="s">
        <v>65</v>
      </c>
      <c r="AR1" t="s">
        <v>68</v>
      </c>
      <c r="AS1" t="s">
        <v>71</v>
      </c>
    </row>
    <row r="2" spans="1:45" x14ac:dyDescent="0.45">
      <c r="A2">
        <v>1</v>
      </c>
      <c r="B2">
        <v>42</v>
      </c>
      <c r="C2" t="s">
        <v>72</v>
      </c>
      <c r="D2" t="s">
        <v>81</v>
      </c>
      <c r="E2" t="s">
        <v>74</v>
      </c>
      <c r="F2" t="s">
        <v>77</v>
      </c>
      <c r="G2" t="s">
        <v>76</v>
      </c>
      <c r="H2">
        <v>15.869780242779816</v>
      </c>
      <c r="I2">
        <v>1</v>
      </c>
      <c r="J2">
        <v>8</v>
      </c>
      <c r="K2">
        <v>10</v>
      </c>
      <c r="L2">
        <v>-2</v>
      </c>
      <c r="M2">
        <v>7</v>
      </c>
      <c r="N2">
        <v>8</v>
      </c>
      <c r="O2">
        <v>-1</v>
      </c>
      <c r="P2">
        <v>6</v>
      </c>
      <c r="Q2">
        <v>5</v>
      </c>
      <c r="R2">
        <v>1</v>
      </c>
      <c r="S2">
        <v>8</v>
      </c>
      <c r="T2">
        <v>5</v>
      </c>
      <c r="U2">
        <v>3</v>
      </c>
      <c r="V2">
        <v>7</v>
      </c>
      <c r="W2">
        <v>10</v>
      </c>
      <c r="X2">
        <v>-3</v>
      </c>
      <c r="Y2">
        <v>6</v>
      </c>
      <c r="Z2">
        <v>10</v>
      </c>
      <c r="AA2">
        <v>-4</v>
      </c>
      <c r="AB2">
        <v>6</v>
      </c>
      <c r="AC2">
        <v>10</v>
      </c>
      <c r="AD2">
        <v>-4</v>
      </c>
      <c r="AE2">
        <v>7</v>
      </c>
      <c r="AF2">
        <v>10</v>
      </c>
      <c r="AG2">
        <v>-3</v>
      </c>
      <c r="AH2">
        <v>7</v>
      </c>
      <c r="AI2">
        <v>10</v>
      </c>
      <c r="AJ2">
        <v>-3</v>
      </c>
      <c r="AK2" t="s">
        <v>226</v>
      </c>
      <c r="AL2" t="s">
        <v>227</v>
      </c>
      <c r="AM2" t="s">
        <v>228</v>
      </c>
      <c r="AN2" t="s">
        <v>229</v>
      </c>
      <c r="AO2" t="s">
        <v>230</v>
      </c>
      <c r="AP2" t="s">
        <v>231</v>
      </c>
      <c r="AQ2" t="s">
        <v>232</v>
      </c>
      <c r="AR2" t="s">
        <v>233</v>
      </c>
      <c r="AS2" t="s">
        <v>234</v>
      </c>
    </row>
    <row r="3" spans="1:45" x14ac:dyDescent="0.45">
      <c r="A3">
        <v>2</v>
      </c>
      <c r="B3">
        <v>43</v>
      </c>
      <c r="C3" t="s">
        <v>72</v>
      </c>
      <c r="D3" t="s">
        <v>81</v>
      </c>
      <c r="E3" t="s">
        <v>74</v>
      </c>
      <c r="F3" t="s">
        <v>77</v>
      </c>
      <c r="G3" t="s">
        <v>76</v>
      </c>
      <c r="H3">
        <v>15.261496313504553</v>
      </c>
      <c r="I3">
        <v>0</v>
      </c>
      <c r="J3">
        <v>8</v>
      </c>
      <c r="K3">
        <v>8</v>
      </c>
      <c r="L3">
        <v>0</v>
      </c>
      <c r="M3">
        <v>7</v>
      </c>
      <c r="N3">
        <v>8</v>
      </c>
      <c r="O3">
        <v>-1</v>
      </c>
      <c r="P3">
        <v>9</v>
      </c>
      <c r="Q3">
        <v>6</v>
      </c>
      <c r="R3">
        <v>3</v>
      </c>
      <c r="S3">
        <v>8</v>
      </c>
      <c r="T3">
        <v>9</v>
      </c>
      <c r="U3">
        <v>-1</v>
      </c>
      <c r="V3">
        <v>7</v>
      </c>
      <c r="W3">
        <v>10</v>
      </c>
      <c r="X3">
        <v>-3</v>
      </c>
      <c r="Y3">
        <v>5</v>
      </c>
      <c r="Z3">
        <v>9</v>
      </c>
      <c r="AA3">
        <v>-4</v>
      </c>
      <c r="AB3">
        <v>6</v>
      </c>
      <c r="AC3">
        <v>8</v>
      </c>
      <c r="AD3">
        <v>-2</v>
      </c>
      <c r="AE3">
        <v>4</v>
      </c>
      <c r="AF3">
        <v>9</v>
      </c>
      <c r="AG3">
        <v>-5</v>
      </c>
      <c r="AH3">
        <v>6</v>
      </c>
      <c r="AI3">
        <v>10</v>
      </c>
      <c r="AJ3">
        <v>-4</v>
      </c>
      <c r="AK3" t="s">
        <v>235</v>
      </c>
      <c r="AL3" t="s">
        <v>236</v>
      </c>
      <c r="AM3" t="s">
        <v>237</v>
      </c>
      <c r="AN3" t="s">
        <v>238</v>
      </c>
      <c r="AO3" t="s">
        <v>239</v>
      </c>
      <c r="AP3" t="s">
        <v>240</v>
      </c>
      <c r="AQ3" t="s">
        <v>241</v>
      </c>
      <c r="AR3" t="s">
        <v>242</v>
      </c>
      <c r="AS3" t="s">
        <v>243</v>
      </c>
    </row>
    <row r="4" spans="1:45" x14ac:dyDescent="0.45">
      <c r="A4">
        <v>3</v>
      </c>
      <c r="B4">
        <v>44</v>
      </c>
      <c r="C4" t="s">
        <v>78</v>
      </c>
      <c r="D4" t="s">
        <v>79</v>
      </c>
      <c r="E4" t="s">
        <v>74</v>
      </c>
      <c r="F4" t="s">
        <v>75</v>
      </c>
      <c r="G4" t="s">
        <v>76</v>
      </c>
      <c r="H4">
        <v>50.573875703151302</v>
      </c>
      <c r="I4">
        <v>3</v>
      </c>
      <c r="J4">
        <v>9</v>
      </c>
      <c r="K4">
        <v>6</v>
      </c>
      <c r="L4">
        <v>3</v>
      </c>
      <c r="M4">
        <v>8</v>
      </c>
      <c r="N4">
        <v>5</v>
      </c>
      <c r="O4">
        <v>3</v>
      </c>
      <c r="P4">
        <v>6</v>
      </c>
      <c r="Q4">
        <v>4</v>
      </c>
      <c r="R4">
        <v>2</v>
      </c>
      <c r="S4">
        <v>7</v>
      </c>
      <c r="T4">
        <v>5</v>
      </c>
      <c r="U4">
        <v>2</v>
      </c>
      <c r="V4">
        <v>7</v>
      </c>
      <c r="W4">
        <v>4</v>
      </c>
      <c r="X4">
        <v>3</v>
      </c>
      <c r="Y4">
        <v>6</v>
      </c>
      <c r="Z4">
        <v>4</v>
      </c>
      <c r="AA4">
        <v>2</v>
      </c>
      <c r="AB4">
        <v>5</v>
      </c>
      <c r="AC4">
        <v>4</v>
      </c>
      <c r="AD4">
        <v>1</v>
      </c>
      <c r="AE4">
        <v>4</v>
      </c>
      <c r="AF4">
        <v>10</v>
      </c>
      <c r="AG4">
        <v>-6</v>
      </c>
      <c r="AH4">
        <v>5</v>
      </c>
      <c r="AI4">
        <v>4</v>
      </c>
      <c r="AJ4">
        <v>1</v>
      </c>
      <c r="AK4" t="s">
        <v>244</v>
      </c>
      <c r="AL4" t="s">
        <v>245</v>
      </c>
      <c r="AM4" t="s">
        <v>246</v>
      </c>
      <c r="AN4" t="s">
        <v>247</v>
      </c>
      <c r="AO4" t="s">
        <v>248</v>
      </c>
      <c r="AP4" t="s">
        <v>249</v>
      </c>
      <c r="AQ4" t="s">
        <v>250</v>
      </c>
      <c r="AR4" t="s">
        <v>251</v>
      </c>
      <c r="AS4" t="s">
        <v>252</v>
      </c>
    </row>
    <row r="5" spans="1:45" x14ac:dyDescent="0.45">
      <c r="A5">
        <v>4</v>
      </c>
      <c r="B5">
        <v>45</v>
      </c>
      <c r="C5" t="s">
        <v>72</v>
      </c>
      <c r="D5" t="s">
        <v>188</v>
      </c>
      <c r="E5" t="s">
        <v>74</v>
      </c>
      <c r="F5" t="s">
        <v>77</v>
      </c>
      <c r="G5" t="s">
        <v>76</v>
      </c>
      <c r="H5">
        <v>12</v>
      </c>
      <c r="I5">
        <v>0</v>
      </c>
      <c r="J5">
        <v>7</v>
      </c>
      <c r="K5">
        <v>10</v>
      </c>
      <c r="L5">
        <v>-3</v>
      </c>
      <c r="M5">
        <v>6</v>
      </c>
      <c r="N5">
        <v>10</v>
      </c>
      <c r="O5">
        <v>-4</v>
      </c>
      <c r="P5">
        <v>8</v>
      </c>
      <c r="Q5">
        <v>8</v>
      </c>
      <c r="R5">
        <v>0</v>
      </c>
      <c r="S5">
        <v>9</v>
      </c>
      <c r="T5">
        <v>9</v>
      </c>
      <c r="U5">
        <v>0</v>
      </c>
      <c r="V5">
        <v>8</v>
      </c>
      <c r="W5">
        <v>9</v>
      </c>
      <c r="X5">
        <v>-1</v>
      </c>
      <c r="Y5">
        <v>7</v>
      </c>
      <c r="Z5">
        <v>7</v>
      </c>
      <c r="AA5">
        <v>0</v>
      </c>
      <c r="AB5">
        <v>7</v>
      </c>
      <c r="AC5">
        <v>10</v>
      </c>
      <c r="AD5">
        <v>-3</v>
      </c>
      <c r="AE5">
        <v>6</v>
      </c>
      <c r="AF5">
        <v>7</v>
      </c>
      <c r="AG5">
        <v>-1</v>
      </c>
      <c r="AH5">
        <v>8</v>
      </c>
      <c r="AI5">
        <v>10</v>
      </c>
      <c r="AJ5">
        <v>-2</v>
      </c>
      <c r="AK5" t="s">
        <v>253</v>
      </c>
      <c r="AL5" t="s">
        <v>254</v>
      </c>
      <c r="AM5" t="s">
        <v>255</v>
      </c>
      <c r="AN5" t="s">
        <v>256</v>
      </c>
      <c r="AO5" t="s">
        <v>257</v>
      </c>
      <c r="AP5" t="s">
        <v>258</v>
      </c>
      <c r="AQ5" t="s">
        <v>259</v>
      </c>
      <c r="AR5" t="s">
        <v>260</v>
      </c>
      <c r="AS5" t="s">
        <v>261</v>
      </c>
    </row>
    <row r="6" spans="1:45" x14ac:dyDescent="0.45">
      <c r="A6">
        <v>5</v>
      </c>
      <c r="B6">
        <v>46</v>
      </c>
      <c r="C6" t="s">
        <v>72</v>
      </c>
      <c r="D6" t="s">
        <v>81</v>
      </c>
      <c r="E6" t="s">
        <v>74</v>
      </c>
      <c r="F6" t="s">
        <v>77</v>
      </c>
      <c r="G6" t="s">
        <v>76</v>
      </c>
      <c r="H6">
        <v>12</v>
      </c>
      <c r="I6">
        <v>0</v>
      </c>
      <c r="J6">
        <v>7</v>
      </c>
      <c r="K6">
        <v>9</v>
      </c>
      <c r="L6">
        <v>-2</v>
      </c>
      <c r="M6">
        <v>7</v>
      </c>
      <c r="N6">
        <v>9</v>
      </c>
      <c r="O6">
        <v>-2</v>
      </c>
      <c r="P6">
        <v>6</v>
      </c>
      <c r="Q6">
        <v>10</v>
      </c>
      <c r="R6">
        <v>-4</v>
      </c>
      <c r="S6">
        <v>8</v>
      </c>
      <c r="T6">
        <v>9</v>
      </c>
      <c r="U6">
        <v>-1</v>
      </c>
      <c r="V6">
        <v>6</v>
      </c>
      <c r="W6">
        <v>9</v>
      </c>
      <c r="X6">
        <v>-3</v>
      </c>
      <c r="Y6">
        <v>7</v>
      </c>
      <c r="Z6">
        <v>9</v>
      </c>
      <c r="AA6">
        <v>-2</v>
      </c>
      <c r="AB6">
        <v>6</v>
      </c>
      <c r="AC6">
        <v>9</v>
      </c>
      <c r="AD6">
        <v>-3</v>
      </c>
      <c r="AE6">
        <v>5</v>
      </c>
      <c r="AF6">
        <v>9</v>
      </c>
      <c r="AG6">
        <v>-4</v>
      </c>
      <c r="AH6">
        <v>6</v>
      </c>
      <c r="AI6">
        <v>9</v>
      </c>
      <c r="AJ6">
        <v>-3</v>
      </c>
      <c r="AK6" t="s">
        <v>262</v>
      </c>
      <c r="AL6" t="s">
        <v>263</v>
      </c>
      <c r="AM6" t="s">
        <v>264</v>
      </c>
      <c r="AN6" t="s">
        <v>265</v>
      </c>
      <c r="AO6" t="s">
        <v>266</v>
      </c>
      <c r="AP6" t="s">
        <v>267</v>
      </c>
      <c r="AQ6" t="s">
        <v>268</v>
      </c>
      <c r="AR6" t="s">
        <v>269</v>
      </c>
      <c r="AS6" t="s">
        <v>270</v>
      </c>
    </row>
    <row r="7" spans="1:45" x14ac:dyDescent="0.45">
      <c r="A7">
        <v>6</v>
      </c>
      <c r="B7">
        <v>47</v>
      </c>
      <c r="C7" t="s">
        <v>72</v>
      </c>
      <c r="D7" t="s">
        <v>73</v>
      </c>
      <c r="E7" t="s">
        <v>74</v>
      </c>
      <c r="F7" t="s">
        <v>75</v>
      </c>
      <c r="G7" t="s">
        <v>76</v>
      </c>
      <c r="H7">
        <v>92.995861833919378</v>
      </c>
      <c r="I7">
        <v>4</v>
      </c>
      <c r="J7">
        <v>6</v>
      </c>
      <c r="K7">
        <v>8</v>
      </c>
      <c r="L7">
        <v>-2</v>
      </c>
      <c r="M7">
        <v>5</v>
      </c>
      <c r="N7">
        <v>8</v>
      </c>
      <c r="O7">
        <v>-3</v>
      </c>
      <c r="P7">
        <v>7</v>
      </c>
      <c r="Q7">
        <v>5</v>
      </c>
      <c r="R7">
        <v>2</v>
      </c>
      <c r="S7">
        <v>8</v>
      </c>
      <c r="T7">
        <v>8</v>
      </c>
      <c r="U7">
        <v>0</v>
      </c>
      <c r="V7">
        <v>7</v>
      </c>
      <c r="W7">
        <v>6</v>
      </c>
      <c r="X7">
        <v>1</v>
      </c>
      <c r="Y7">
        <v>8</v>
      </c>
      <c r="Z7">
        <v>6</v>
      </c>
      <c r="AA7">
        <v>2</v>
      </c>
      <c r="AB7">
        <v>6</v>
      </c>
      <c r="AC7">
        <v>4</v>
      </c>
      <c r="AD7">
        <v>2</v>
      </c>
      <c r="AE7">
        <v>5</v>
      </c>
      <c r="AF7">
        <v>5</v>
      </c>
      <c r="AG7">
        <v>0</v>
      </c>
      <c r="AH7">
        <v>7</v>
      </c>
      <c r="AI7">
        <v>6</v>
      </c>
      <c r="AJ7">
        <v>1</v>
      </c>
      <c r="AK7" t="s">
        <v>271</v>
      </c>
      <c r="AL7" t="s">
        <v>272</v>
      </c>
      <c r="AM7" t="s">
        <v>273</v>
      </c>
      <c r="AN7" t="s">
        <v>274</v>
      </c>
      <c r="AO7" t="s">
        <v>275</v>
      </c>
      <c r="AP7" t="s">
        <v>276</v>
      </c>
      <c r="AQ7" t="s">
        <v>277</v>
      </c>
      <c r="AR7" t="s">
        <v>278</v>
      </c>
      <c r="AS7" t="s">
        <v>279</v>
      </c>
    </row>
    <row r="8" spans="1:45" x14ac:dyDescent="0.45">
      <c r="A8">
        <v>7</v>
      </c>
      <c r="B8">
        <v>48</v>
      </c>
      <c r="C8" t="s">
        <v>72</v>
      </c>
      <c r="D8" t="s">
        <v>73</v>
      </c>
      <c r="E8" t="s">
        <v>74</v>
      </c>
      <c r="F8" t="s">
        <v>77</v>
      </c>
      <c r="G8" t="s">
        <v>76</v>
      </c>
      <c r="H8">
        <v>19.550799489142378</v>
      </c>
      <c r="I8">
        <v>2</v>
      </c>
      <c r="J8">
        <v>7</v>
      </c>
      <c r="K8">
        <v>5</v>
      </c>
      <c r="L8">
        <v>2</v>
      </c>
      <c r="M8">
        <v>8</v>
      </c>
      <c r="N8">
        <v>4</v>
      </c>
      <c r="O8">
        <v>4</v>
      </c>
      <c r="P8">
        <v>9</v>
      </c>
      <c r="Q8">
        <v>4</v>
      </c>
      <c r="R8">
        <v>5</v>
      </c>
      <c r="S8">
        <v>8</v>
      </c>
      <c r="T8">
        <v>6</v>
      </c>
      <c r="U8">
        <v>2</v>
      </c>
      <c r="V8">
        <v>7</v>
      </c>
      <c r="W8">
        <v>6</v>
      </c>
      <c r="X8">
        <v>1</v>
      </c>
      <c r="Y8">
        <v>9</v>
      </c>
      <c r="Z8">
        <v>7</v>
      </c>
      <c r="AA8">
        <v>2</v>
      </c>
      <c r="AB8">
        <v>6</v>
      </c>
      <c r="AC8">
        <v>2</v>
      </c>
      <c r="AD8">
        <v>4</v>
      </c>
      <c r="AE8">
        <v>8</v>
      </c>
      <c r="AF8">
        <v>4</v>
      </c>
      <c r="AG8">
        <v>4</v>
      </c>
      <c r="AH8">
        <v>9</v>
      </c>
      <c r="AI8">
        <v>4</v>
      </c>
      <c r="AJ8">
        <v>5</v>
      </c>
      <c r="AK8" t="s">
        <v>280</v>
      </c>
      <c r="AL8" t="s">
        <v>281</v>
      </c>
      <c r="AM8" t="s">
        <v>282</v>
      </c>
      <c r="AN8" t="s">
        <v>283</v>
      </c>
      <c r="AO8" t="s">
        <v>284</v>
      </c>
      <c r="AP8" t="s">
        <v>285</v>
      </c>
      <c r="AQ8" t="s">
        <v>286</v>
      </c>
      <c r="AR8" t="s">
        <v>287</v>
      </c>
      <c r="AS8" t="s">
        <v>288</v>
      </c>
    </row>
    <row r="9" spans="1:45" x14ac:dyDescent="0.45">
      <c r="A9">
        <v>8</v>
      </c>
      <c r="B9">
        <v>49</v>
      </c>
      <c r="C9" t="s">
        <v>78</v>
      </c>
      <c r="D9" t="s">
        <v>79</v>
      </c>
      <c r="E9" t="s">
        <v>74</v>
      </c>
      <c r="F9" t="s">
        <v>75</v>
      </c>
      <c r="G9" t="s">
        <v>76</v>
      </c>
      <c r="H9">
        <v>12</v>
      </c>
      <c r="I9">
        <v>2</v>
      </c>
      <c r="J9">
        <v>9</v>
      </c>
      <c r="K9">
        <v>1</v>
      </c>
      <c r="L9">
        <v>8</v>
      </c>
      <c r="M9">
        <v>8</v>
      </c>
      <c r="N9">
        <v>1</v>
      </c>
      <c r="O9">
        <v>7</v>
      </c>
      <c r="P9">
        <v>7</v>
      </c>
      <c r="Q9">
        <v>2</v>
      </c>
      <c r="R9">
        <v>5</v>
      </c>
      <c r="S9">
        <v>8</v>
      </c>
      <c r="T9">
        <v>3</v>
      </c>
      <c r="U9">
        <v>5</v>
      </c>
      <c r="V9">
        <v>7</v>
      </c>
      <c r="W9">
        <v>6</v>
      </c>
      <c r="X9">
        <v>1</v>
      </c>
      <c r="Y9">
        <v>8</v>
      </c>
      <c r="Z9">
        <v>2</v>
      </c>
      <c r="AA9">
        <v>6</v>
      </c>
      <c r="AB9">
        <v>7</v>
      </c>
      <c r="AC9">
        <v>7</v>
      </c>
      <c r="AD9">
        <v>0</v>
      </c>
      <c r="AE9">
        <v>8</v>
      </c>
      <c r="AF9">
        <v>3</v>
      </c>
      <c r="AG9">
        <v>5</v>
      </c>
      <c r="AH9">
        <v>9</v>
      </c>
      <c r="AI9">
        <v>3</v>
      </c>
      <c r="AJ9">
        <v>6</v>
      </c>
      <c r="AK9" t="s">
        <v>289</v>
      </c>
      <c r="AL9" t="s">
        <v>290</v>
      </c>
      <c r="AM9" t="s">
        <v>291</v>
      </c>
      <c r="AN9" t="s">
        <v>292</v>
      </c>
      <c r="AO9" t="s">
        <v>293</v>
      </c>
      <c r="AP9" t="s">
        <v>294</v>
      </c>
      <c r="AQ9" t="s">
        <v>295</v>
      </c>
      <c r="AR9" t="s">
        <v>296</v>
      </c>
      <c r="AS9" t="s">
        <v>297</v>
      </c>
    </row>
    <row r="10" spans="1:45" x14ac:dyDescent="0.45">
      <c r="A10">
        <v>9</v>
      </c>
      <c r="B10">
        <v>50</v>
      </c>
      <c r="C10" t="s">
        <v>72</v>
      </c>
      <c r="D10" t="s">
        <v>81</v>
      </c>
      <c r="E10" t="s">
        <v>80</v>
      </c>
      <c r="F10" t="s">
        <v>77</v>
      </c>
      <c r="G10" t="s">
        <v>161</v>
      </c>
      <c r="H10">
        <v>15.937113459433117</v>
      </c>
      <c r="I10">
        <v>1</v>
      </c>
      <c r="J10">
        <v>7</v>
      </c>
      <c r="K10">
        <v>10</v>
      </c>
      <c r="L10">
        <v>-3</v>
      </c>
      <c r="M10">
        <v>6</v>
      </c>
      <c r="N10">
        <v>10</v>
      </c>
      <c r="O10">
        <v>-4</v>
      </c>
      <c r="P10">
        <v>8</v>
      </c>
      <c r="Q10">
        <v>8</v>
      </c>
      <c r="R10">
        <v>0</v>
      </c>
      <c r="S10">
        <v>9</v>
      </c>
      <c r="T10">
        <v>7</v>
      </c>
      <c r="U10">
        <v>2</v>
      </c>
      <c r="V10">
        <v>7</v>
      </c>
      <c r="W10">
        <v>7</v>
      </c>
      <c r="X10">
        <v>0</v>
      </c>
      <c r="Y10">
        <v>6</v>
      </c>
      <c r="Z10">
        <v>5</v>
      </c>
      <c r="AA10">
        <v>1</v>
      </c>
      <c r="AB10">
        <v>7</v>
      </c>
      <c r="AC10">
        <v>5</v>
      </c>
      <c r="AD10">
        <v>2</v>
      </c>
      <c r="AE10">
        <v>5</v>
      </c>
      <c r="AF10">
        <v>9</v>
      </c>
      <c r="AG10">
        <v>-4</v>
      </c>
      <c r="AH10">
        <v>6</v>
      </c>
      <c r="AI10">
        <v>8</v>
      </c>
      <c r="AJ10">
        <v>-2</v>
      </c>
      <c r="AK10" t="s">
        <v>298</v>
      </c>
      <c r="AL10" t="s">
        <v>299</v>
      </c>
      <c r="AM10" t="s">
        <v>300</v>
      </c>
      <c r="AN10" t="s">
        <v>301</v>
      </c>
      <c r="AO10" t="s">
        <v>302</v>
      </c>
      <c r="AP10" t="s">
        <v>303</v>
      </c>
      <c r="AQ10" t="s">
        <v>304</v>
      </c>
      <c r="AR10" t="s">
        <v>305</v>
      </c>
      <c r="AS10" t="s">
        <v>306</v>
      </c>
    </row>
    <row r="11" spans="1:45" x14ac:dyDescent="0.45">
      <c r="A11">
        <v>10</v>
      </c>
      <c r="B11">
        <v>51</v>
      </c>
      <c r="C11" t="s">
        <v>72</v>
      </c>
      <c r="D11" t="s">
        <v>81</v>
      </c>
      <c r="E11" t="s">
        <v>74</v>
      </c>
      <c r="F11" t="s">
        <v>77</v>
      </c>
      <c r="G11" t="s">
        <v>76</v>
      </c>
      <c r="H11">
        <v>21.769764785081666</v>
      </c>
      <c r="I11">
        <v>0</v>
      </c>
      <c r="J11">
        <v>7</v>
      </c>
      <c r="K11">
        <v>7</v>
      </c>
      <c r="L11">
        <v>0</v>
      </c>
      <c r="M11">
        <v>8</v>
      </c>
      <c r="N11">
        <v>10</v>
      </c>
      <c r="O11">
        <v>-2</v>
      </c>
      <c r="P11">
        <v>6</v>
      </c>
      <c r="Q11">
        <v>1</v>
      </c>
      <c r="R11">
        <v>5</v>
      </c>
      <c r="S11">
        <v>9</v>
      </c>
      <c r="T11">
        <v>5</v>
      </c>
      <c r="U11">
        <v>4</v>
      </c>
      <c r="V11">
        <v>7</v>
      </c>
      <c r="W11">
        <v>8</v>
      </c>
      <c r="X11">
        <v>-1</v>
      </c>
      <c r="Y11">
        <v>6</v>
      </c>
      <c r="Z11">
        <v>5</v>
      </c>
      <c r="AA11">
        <v>1</v>
      </c>
      <c r="AB11">
        <v>7</v>
      </c>
      <c r="AC11">
        <v>5</v>
      </c>
      <c r="AD11">
        <v>2</v>
      </c>
      <c r="AE11">
        <v>5</v>
      </c>
      <c r="AF11">
        <v>5</v>
      </c>
      <c r="AG11">
        <v>0</v>
      </c>
      <c r="AH11">
        <v>7</v>
      </c>
      <c r="AI11">
        <v>10</v>
      </c>
      <c r="AJ11">
        <v>-3</v>
      </c>
      <c r="AK11" t="s">
        <v>307</v>
      </c>
      <c r="AL11" t="s">
        <v>308</v>
      </c>
      <c r="AM11" t="s">
        <v>309</v>
      </c>
      <c r="AN11" t="s">
        <v>310</v>
      </c>
      <c r="AO11" t="s">
        <v>311</v>
      </c>
      <c r="AP11" t="s">
        <v>312</v>
      </c>
      <c r="AQ11" t="s">
        <v>313</v>
      </c>
      <c r="AR11" t="s">
        <v>314</v>
      </c>
      <c r="AS11" t="s">
        <v>315</v>
      </c>
    </row>
    <row r="12" spans="1:45" x14ac:dyDescent="0.45">
      <c r="A12">
        <v>11</v>
      </c>
      <c r="B12">
        <v>52</v>
      </c>
      <c r="C12" t="s">
        <v>78</v>
      </c>
      <c r="D12" t="s">
        <v>73</v>
      </c>
      <c r="E12" t="s">
        <v>74</v>
      </c>
      <c r="F12" t="s">
        <v>75</v>
      </c>
      <c r="G12" t="s">
        <v>161</v>
      </c>
      <c r="H12">
        <v>41.23644432203649</v>
      </c>
      <c r="I12">
        <v>4</v>
      </c>
      <c r="J12">
        <v>7</v>
      </c>
      <c r="K12">
        <v>10</v>
      </c>
      <c r="L12">
        <v>-3</v>
      </c>
      <c r="M12">
        <v>8</v>
      </c>
      <c r="N12">
        <v>3</v>
      </c>
      <c r="O12">
        <v>5</v>
      </c>
      <c r="P12">
        <v>8</v>
      </c>
      <c r="Q12">
        <v>1</v>
      </c>
      <c r="R12">
        <v>7</v>
      </c>
      <c r="S12">
        <v>6</v>
      </c>
      <c r="T12">
        <v>7</v>
      </c>
      <c r="U12">
        <v>-1</v>
      </c>
      <c r="V12">
        <v>7</v>
      </c>
      <c r="W12">
        <v>1</v>
      </c>
      <c r="X12">
        <v>6</v>
      </c>
      <c r="Y12">
        <v>8</v>
      </c>
      <c r="Z12">
        <v>5</v>
      </c>
      <c r="AA12">
        <v>3</v>
      </c>
      <c r="AB12">
        <v>7</v>
      </c>
      <c r="AC12">
        <v>1</v>
      </c>
      <c r="AD12">
        <v>6</v>
      </c>
      <c r="AE12">
        <v>6</v>
      </c>
      <c r="AF12">
        <v>8</v>
      </c>
      <c r="AG12">
        <v>-2</v>
      </c>
      <c r="AH12">
        <v>8</v>
      </c>
      <c r="AI12">
        <v>6</v>
      </c>
      <c r="AJ12">
        <v>2</v>
      </c>
      <c r="AK12" t="s">
        <v>316</v>
      </c>
      <c r="AL12" t="s">
        <v>317</v>
      </c>
      <c r="AM12" t="s">
        <v>318</v>
      </c>
      <c r="AN12" t="s">
        <v>319</v>
      </c>
      <c r="AO12" t="s">
        <v>320</v>
      </c>
      <c r="AP12" t="s">
        <v>321</v>
      </c>
      <c r="AQ12" t="s">
        <v>322</v>
      </c>
      <c r="AR12" t="s">
        <v>323</v>
      </c>
      <c r="AS12" t="s">
        <v>324</v>
      </c>
    </row>
    <row r="13" spans="1:45" x14ac:dyDescent="0.45">
      <c r="A13">
        <v>12</v>
      </c>
      <c r="B13">
        <v>53</v>
      </c>
      <c r="C13" t="s">
        <v>72</v>
      </c>
      <c r="D13" t="s">
        <v>188</v>
      </c>
      <c r="E13" t="s">
        <v>74</v>
      </c>
      <c r="F13" t="s">
        <v>77</v>
      </c>
      <c r="G13" t="s">
        <v>76</v>
      </c>
      <c r="H13">
        <v>12</v>
      </c>
      <c r="I13">
        <v>0</v>
      </c>
      <c r="J13">
        <v>6</v>
      </c>
      <c r="K13">
        <v>5</v>
      </c>
      <c r="L13">
        <v>1</v>
      </c>
      <c r="M13">
        <v>7</v>
      </c>
      <c r="N13">
        <v>8</v>
      </c>
      <c r="O13">
        <v>-1</v>
      </c>
      <c r="P13">
        <v>8</v>
      </c>
      <c r="Q13">
        <v>5</v>
      </c>
      <c r="R13">
        <v>3</v>
      </c>
      <c r="S13">
        <v>7</v>
      </c>
      <c r="T13">
        <v>5</v>
      </c>
      <c r="U13">
        <v>2</v>
      </c>
      <c r="V13">
        <v>8</v>
      </c>
      <c r="W13">
        <v>6</v>
      </c>
      <c r="X13">
        <v>2</v>
      </c>
      <c r="Y13">
        <v>6</v>
      </c>
      <c r="Z13">
        <v>5</v>
      </c>
      <c r="AA13">
        <v>1</v>
      </c>
      <c r="AB13">
        <v>7</v>
      </c>
      <c r="AC13">
        <v>5</v>
      </c>
      <c r="AD13">
        <v>2</v>
      </c>
      <c r="AE13">
        <v>6</v>
      </c>
      <c r="AF13">
        <v>5</v>
      </c>
      <c r="AG13">
        <v>1</v>
      </c>
      <c r="AH13">
        <v>7</v>
      </c>
      <c r="AI13">
        <v>5</v>
      </c>
      <c r="AJ13">
        <v>2</v>
      </c>
      <c r="AK13" t="s">
        <v>325</v>
      </c>
      <c r="AL13" t="s">
        <v>326</v>
      </c>
      <c r="AM13" t="s">
        <v>327</v>
      </c>
      <c r="AN13" t="s">
        <v>328</v>
      </c>
      <c r="AO13" t="s">
        <v>329</v>
      </c>
      <c r="AP13" t="s">
        <v>330</v>
      </c>
      <c r="AQ13" t="s">
        <v>331</v>
      </c>
      <c r="AR13" t="s">
        <v>332</v>
      </c>
      <c r="AS13" t="s">
        <v>333</v>
      </c>
    </row>
    <row r="14" spans="1:45" x14ac:dyDescent="0.45">
      <c r="A14">
        <v>13</v>
      </c>
      <c r="B14">
        <v>54</v>
      </c>
      <c r="C14" t="s">
        <v>72</v>
      </c>
      <c r="D14" t="s">
        <v>188</v>
      </c>
      <c r="E14" t="s">
        <v>74</v>
      </c>
      <c r="F14" t="s">
        <v>77</v>
      </c>
      <c r="G14" t="s">
        <v>76</v>
      </c>
      <c r="H14">
        <v>12</v>
      </c>
      <c r="I14">
        <v>0</v>
      </c>
      <c r="J14">
        <v>6</v>
      </c>
      <c r="K14">
        <v>8</v>
      </c>
      <c r="L14">
        <v>-2</v>
      </c>
      <c r="M14">
        <v>7</v>
      </c>
      <c r="N14">
        <v>7</v>
      </c>
      <c r="O14">
        <v>0</v>
      </c>
      <c r="P14">
        <v>5</v>
      </c>
      <c r="Q14">
        <v>7</v>
      </c>
      <c r="R14">
        <v>-2</v>
      </c>
      <c r="S14">
        <v>8</v>
      </c>
      <c r="T14">
        <v>7</v>
      </c>
      <c r="U14">
        <v>1</v>
      </c>
      <c r="V14">
        <v>7</v>
      </c>
      <c r="W14">
        <v>7</v>
      </c>
      <c r="X14">
        <v>0</v>
      </c>
      <c r="Y14">
        <v>6</v>
      </c>
      <c r="Z14">
        <v>8</v>
      </c>
      <c r="AA14">
        <v>-2</v>
      </c>
      <c r="AB14">
        <v>7</v>
      </c>
      <c r="AC14">
        <v>7</v>
      </c>
      <c r="AD14">
        <v>0</v>
      </c>
      <c r="AE14">
        <v>5</v>
      </c>
      <c r="AF14">
        <v>7</v>
      </c>
      <c r="AG14">
        <v>-2</v>
      </c>
      <c r="AH14">
        <v>8</v>
      </c>
      <c r="AI14">
        <v>7</v>
      </c>
      <c r="AJ14">
        <v>1</v>
      </c>
      <c r="AK14" t="s">
        <v>216</v>
      </c>
      <c r="AL14" t="s">
        <v>216</v>
      </c>
      <c r="AM14" t="s">
        <v>216</v>
      </c>
      <c r="AN14" t="s">
        <v>216</v>
      </c>
      <c r="AO14" t="s">
        <v>216</v>
      </c>
      <c r="AP14" t="s">
        <v>216</v>
      </c>
      <c r="AQ14" t="s">
        <v>216</v>
      </c>
      <c r="AR14" t="s">
        <v>216</v>
      </c>
      <c r="AS14" t="s">
        <v>216</v>
      </c>
    </row>
    <row r="15" spans="1:45" x14ac:dyDescent="0.45">
      <c r="A15">
        <v>14</v>
      </c>
      <c r="B15">
        <v>55</v>
      </c>
      <c r="C15" t="s">
        <v>72</v>
      </c>
      <c r="D15" t="s">
        <v>73</v>
      </c>
      <c r="E15" t="s">
        <v>74</v>
      </c>
      <c r="F15" t="s">
        <v>75</v>
      </c>
      <c r="G15" t="s">
        <v>76</v>
      </c>
      <c r="H15">
        <v>21.329008733819801</v>
      </c>
      <c r="I15">
        <v>0</v>
      </c>
      <c r="J15">
        <v>8</v>
      </c>
      <c r="K15">
        <v>10</v>
      </c>
      <c r="L15">
        <v>-2</v>
      </c>
      <c r="M15">
        <v>7</v>
      </c>
      <c r="N15">
        <v>10</v>
      </c>
      <c r="O15">
        <v>-3</v>
      </c>
      <c r="P15">
        <v>9</v>
      </c>
      <c r="Q15">
        <v>8</v>
      </c>
      <c r="R15">
        <v>1</v>
      </c>
      <c r="S15">
        <v>8</v>
      </c>
      <c r="T15">
        <v>8</v>
      </c>
      <c r="U15">
        <v>0</v>
      </c>
      <c r="V15">
        <v>9</v>
      </c>
      <c r="W15">
        <v>8</v>
      </c>
      <c r="X15">
        <v>1</v>
      </c>
      <c r="Y15">
        <v>7</v>
      </c>
      <c r="Z15">
        <v>6</v>
      </c>
      <c r="AA15">
        <v>1</v>
      </c>
      <c r="AB15">
        <v>8</v>
      </c>
      <c r="AC15">
        <v>6</v>
      </c>
      <c r="AD15">
        <v>2</v>
      </c>
      <c r="AE15">
        <v>6</v>
      </c>
      <c r="AF15">
        <v>5</v>
      </c>
      <c r="AG15">
        <v>1</v>
      </c>
      <c r="AH15">
        <v>7</v>
      </c>
      <c r="AI15">
        <v>5</v>
      </c>
      <c r="AJ15">
        <v>2</v>
      </c>
      <c r="AK15" t="s">
        <v>334</v>
      </c>
      <c r="AL15" t="s">
        <v>335</v>
      </c>
      <c r="AM15" t="s">
        <v>336</v>
      </c>
      <c r="AN15" t="s">
        <v>337</v>
      </c>
      <c r="AO15" t="s">
        <v>338</v>
      </c>
      <c r="AP15" t="s">
        <v>339</v>
      </c>
      <c r="AQ15" t="s">
        <v>340</v>
      </c>
      <c r="AR15" t="s">
        <v>341</v>
      </c>
      <c r="AS15" t="s">
        <v>342</v>
      </c>
    </row>
    <row r="16" spans="1:45" x14ac:dyDescent="0.45">
      <c r="A16">
        <v>15</v>
      </c>
      <c r="B16">
        <v>56</v>
      </c>
      <c r="C16" t="s">
        <v>78</v>
      </c>
      <c r="D16" t="s">
        <v>73</v>
      </c>
      <c r="E16" t="s">
        <v>74</v>
      </c>
      <c r="F16" t="s">
        <v>75</v>
      </c>
      <c r="G16" t="s">
        <v>76</v>
      </c>
      <c r="H16">
        <v>42.891890749453097</v>
      </c>
      <c r="I16">
        <v>2</v>
      </c>
      <c r="J16">
        <v>7</v>
      </c>
      <c r="K16">
        <v>7</v>
      </c>
      <c r="L16">
        <v>0</v>
      </c>
      <c r="M16">
        <v>6</v>
      </c>
      <c r="N16">
        <v>9</v>
      </c>
      <c r="O16">
        <v>-3</v>
      </c>
      <c r="P16">
        <v>8</v>
      </c>
      <c r="Q16">
        <v>3</v>
      </c>
      <c r="R16">
        <v>5</v>
      </c>
      <c r="S16">
        <v>7</v>
      </c>
      <c r="T16">
        <v>6</v>
      </c>
      <c r="U16">
        <v>1</v>
      </c>
      <c r="V16">
        <v>6</v>
      </c>
      <c r="W16">
        <v>1</v>
      </c>
      <c r="X16">
        <v>5</v>
      </c>
      <c r="Y16">
        <v>5</v>
      </c>
      <c r="Z16">
        <v>1</v>
      </c>
      <c r="AA16">
        <v>4</v>
      </c>
      <c r="AB16">
        <v>6</v>
      </c>
      <c r="AC16">
        <v>1</v>
      </c>
      <c r="AD16">
        <v>5</v>
      </c>
      <c r="AE16">
        <v>5</v>
      </c>
      <c r="AF16">
        <v>1</v>
      </c>
      <c r="AG16">
        <v>4</v>
      </c>
      <c r="AH16">
        <v>7</v>
      </c>
      <c r="AI16">
        <v>1</v>
      </c>
      <c r="AJ16">
        <v>6</v>
      </c>
      <c r="AK16" t="s">
        <v>343</v>
      </c>
      <c r="AL16" t="s">
        <v>344</v>
      </c>
      <c r="AM16" t="s">
        <v>345</v>
      </c>
      <c r="AN16" t="s">
        <v>346</v>
      </c>
      <c r="AO16" t="s">
        <v>347</v>
      </c>
      <c r="AP16" t="s">
        <v>348</v>
      </c>
      <c r="AQ16" t="s">
        <v>349</v>
      </c>
      <c r="AR16" t="s">
        <v>350</v>
      </c>
      <c r="AS16" t="s">
        <v>351</v>
      </c>
    </row>
    <row r="17" spans="1:45" x14ac:dyDescent="0.45">
      <c r="A17">
        <v>16</v>
      </c>
      <c r="B17">
        <v>57</v>
      </c>
      <c r="C17" t="s">
        <v>78</v>
      </c>
      <c r="D17" t="s">
        <v>79</v>
      </c>
      <c r="E17" t="s">
        <v>74</v>
      </c>
      <c r="F17" t="s">
        <v>75</v>
      </c>
      <c r="G17" t="s">
        <v>76</v>
      </c>
      <c r="H17">
        <v>91.209167797821792</v>
      </c>
      <c r="I17">
        <v>4</v>
      </c>
      <c r="J17">
        <v>7</v>
      </c>
      <c r="K17">
        <v>8</v>
      </c>
      <c r="L17">
        <v>-1</v>
      </c>
      <c r="M17">
        <v>8</v>
      </c>
      <c r="N17">
        <v>8</v>
      </c>
      <c r="O17">
        <v>0</v>
      </c>
      <c r="P17">
        <v>9</v>
      </c>
      <c r="Q17">
        <v>8</v>
      </c>
      <c r="R17">
        <v>1</v>
      </c>
      <c r="S17">
        <v>8</v>
      </c>
      <c r="T17">
        <v>9</v>
      </c>
      <c r="U17">
        <v>-1</v>
      </c>
      <c r="V17">
        <v>9</v>
      </c>
      <c r="W17">
        <v>7</v>
      </c>
      <c r="X17">
        <v>2</v>
      </c>
      <c r="Y17">
        <v>7</v>
      </c>
      <c r="Z17">
        <v>7</v>
      </c>
      <c r="AA17">
        <v>0</v>
      </c>
      <c r="AB17">
        <v>8</v>
      </c>
      <c r="AC17">
        <v>9</v>
      </c>
      <c r="AD17">
        <v>-1</v>
      </c>
      <c r="AE17">
        <v>6</v>
      </c>
      <c r="AF17">
        <v>8</v>
      </c>
      <c r="AG17">
        <v>-2</v>
      </c>
      <c r="AH17">
        <v>7</v>
      </c>
      <c r="AI17">
        <v>7</v>
      </c>
      <c r="AJ17">
        <v>0</v>
      </c>
      <c r="AK17" t="s">
        <v>352</v>
      </c>
      <c r="AL17" t="s">
        <v>353</v>
      </c>
      <c r="AM17" t="s">
        <v>354</v>
      </c>
      <c r="AN17" t="s">
        <v>355</v>
      </c>
      <c r="AO17" t="s">
        <v>356</v>
      </c>
      <c r="AP17" t="s">
        <v>357</v>
      </c>
      <c r="AQ17" t="s">
        <v>358</v>
      </c>
      <c r="AR17" t="s">
        <v>359</v>
      </c>
      <c r="AS17" t="s">
        <v>360</v>
      </c>
    </row>
    <row r="18" spans="1:45" x14ac:dyDescent="0.45">
      <c r="A18">
        <v>17</v>
      </c>
      <c r="B18">
        <v>58</v>
      </c>
      <c r="C18" t="s">
        <v>72</v>
      </c>
      <c r="D18" t="s">
        <v>81</v>
      </c>
      <c r="E18" t="s">
        <v>74</v>
      </c>
      <c r="F18" t="s">
        <v>77</v>
      </c>
      <c r="G18" t="s">
        <v>76</v>
      </c>
      <c r="H18">
        <v>19.236047202264977</v>
      </c>
      <c r="I18">
        <v>2</v>
      </c>
      <c r="J18">
        <v>7</v>
      </c>
      <c r="K18">
        <v>6</v>
      </c>
      <c r="L18">
        <v>1</v>
      </c>
      <c r="M18">
        <v>8</v>
      </c>
      <c r="N18">
        <v>7</v>
      </c>
      <c r="O18">
        <v>1</v>
      </c>
      <c r="P18">
        <v>6</v>
      </c>
      <c r="Q18">
        <v>5</v>
      </c>
      <c r="R18">
        <v>1</v>
      </c>
      <c r="S18">
        <v>8</v>
      </c>
      <c r="T18">
        <v>5</v>
      </c>
      <c r="U18">
        <v>3</v>
      </c>
      <c r="V18">
        <v>7</v>
      </c>
      <c r="W18">
        <v>6</v>
      </c>
      <c r="X18">
        <v>1</v>
      </c>
      <c r="Y18">
        <v>6</v>
      </c>
      <c r="Z18">
        <v>7</v>
      </c>
      <c r="AA18">
        <v>-1</v>
      </c>
      <c r="AB18">
        <v>7</v>
      </c>
      <c r="AC18">
        <v>3</v>
      </c>
      <c r="AD18">
        <v>4</v>
      </c>
      <c r="AE18">
        <v>6</v>
      </c>
      <c r="AF18">
        <v>4</v>
      </c>
      <c r="AG18">
        <v>2</v>
      </c>
      <c r="AH18">
        <v>7</v>
      </c>
      <c r="AI18">
        <v>5</v>
      </c>
      <c r="AJ18">
        <v>2</v>
      </c>
      <c r="AK18" t="s">
        <v>361</v>
      </c>
      <c r="AL18" t="s">
        <v>362</v>
      </c>
      <c r="AM18" t="s">
        <v>363</v>
      </c>
      <c r="AN18" t="s">
        <v>364</v>
      </c>
      <c r="AO18" t="s">
        <v>365</v>
      </c>
      <c r="AP18" t="s">
        <v>366</v>
      </c>
      <c r="AQ18" t="s">
        <v>367</v>
      </c>
      <c r="AR18" t="s">
        <v>368</v>
      </c>
      <c r="AS18" t="s">
        <v>369</v>
      </c>
    </row>
    <row r="19" spans="1:45" x14ac:dyDescent="0.45">
      <c r="A19">
        <v>18</v>
      </c>
      <c r="B19">
        <v>59</v>
      </c>
      <c r="C19" t="s">
        <v>78</v>
      </c>
      <c r="D19" t="s">
        <v>79</v>
      </c>
      <c r="E19" t="s">
        <v>74</v>
      </c>
      <c r="F19" t="s">
        <v>77</v>
      </c>
      <c r="G19" t="s">
        <v>161</v>
      </c>
      <c r="H19">
        <v>14.938735793331821</v>
      </c>
      <c r="I19">
        <v>0</v>
      </c>
      <c r="J19">
        <v>7</v>
      </c>
      <c r="K19">
        <v>6</v>
      </c>
      <c r="L19">
        <v>1</v>
      </c>
      <c r="M19">
        <v>8</v>
      </c>
      <c r="N19">
        <v>8</v>
      </c>
      <c r="O19">
        <v>0</v>
      </c>
      <c r="P19">
        <v>9</v>
      </c>
      <c r="Q19">
        <v>7</v>
      </c>
      <c r="R19">
        <v>2</v>
      </c>
      <c r="S19">
        <v>9</v>
      </c>
      <c r="T19">
        <v>8</v>
      </c>
      <c r="U19">
        <v>1</v>
      </c>
      <c r="V19">
        <v>7</v>
      </c>
      <c r="W19">
        <v>8</v>
      </c>
      <c r="X19">
        <v>-1</v>
      </c>
      <c r="Y19">
        <v>8</v>
      </c>
      <c r="Z19">
        <v>7</v>
      </c>
      <c r="AA19">
        <v>1</v>
      </c>
      <c r="AB19">
        <v>6</v>
      </c>
      <c r="AC19">
        <v>7</v>
      </c>
      <c r="AD19">
        <v>-1</v>
      </c>
      <c r="AE19">
        <v>7</v>
      </c>
      <c r="AF19">
        <v>6</v>
      </c>
      <c r="AG19">
        <v>1</v>
      </c>
      <c r="AH19">
        <v>8</v>
      </c>
      <c r="AI19">
        <v>8</v>
      </c>
      <c r="AJ19">
        <v>0</v>
      </c>
      <c r="AK19" t="s">
        <v>370</v>
      </c>
      <c r="AL19" t="s">
        <v>371</v>
      </c>
      <c r="AM19" t="s">
        <v>372</v>
      </c>
      <c r="AN19" t="s">
        <v>373</v>
      </c>
      <c r="AO19" t="s">
        <v>374</v>
      </c>
      <c r="AP19" t="s">
        <v>375</v>
      </c>
      <c r="AQ19" t="s">
        <v>376</v>
      </c>
      <c r="AR19" t="s">
        <v>377</v>
      </c>
      <c r="AS19" t="s">
        <v>378</v>
      </c>
    </row>
    <row r="20" spans="1:45" x14ac:dyDescent="0.45">
      <c r="A20">
        <v>19</v>
      </c>
      <c r="B20">
        <v>60</v>
      </c>
      <c r="C20" t="s">
        <v>78</v>
      </c>
      <c r="D20" t="s">
        <v>79</v>
      </c>
      <c r="E20" t="s">
        <v>74</v>
      </c>
      <c r="F20" t="s">
        <v>77</v>
      </c>
      <c r="G20" t="s">
        <v>76</v>
      </c>
      <c r="H20">
        <v>149.99400427978892</v>
      </c>
      <c r="I20">
        <v>4</v>
      </c>
      <c r="J20">
        <v>6</v>
      </c>
      <c r="K20">
        <v>10</v>
      </c>
      <c r="L20">
        <v>-4</v>
      </c>
      <c r="M20">
        <v>5</v>
      </c>
      <c r="N20">
        <v>10</v>
      </c>
      <c r="O20">
        <v>-5</v>
      </c>
      <c r="P20">
        <v>8</v>
      </c>
      <c r="Q20">
        <v>5</v>
      </c>
      <c r="R20">
        <v>3</v>
      </c>
      <c r="S20">
        <v>7</v>
      </c>
      <c r="T20">
        <v>5</v>
      </c>
      <c r="U20">
        <v>2</v>
      </c>
      <c r="V20">
        <v>8</v>
      </c>
      <c r="W20">
        <v>5</v>
      </c>
      <c r="X20">
        <v>3</v>
      </c>
      <c r="Y20">
        <v>7</v>
      </c>
      <c r="Z20">
        <v>3</v>
      </c>
      <c r="AA20">
        <v>4</v>
      </c>
      <c r="AB20">
        <v>6</v>
      </c>
      <c r="AC20">
        <v>2</v>
      </c>
      <c r="AD20">
        <v>4</v>
      </c>
      <c r="AE20">
        <v>5</v>
      </c>
      <c r="AF20">
        <v>5</v>
      </c>
      <c r="AG20">
        <v>0</v>
      </c>
      <c r="AH20">
        <v>7</v>
      </c>
      <c r="AI20">
        <v>8</v>
      </c>
      <c r="AJ20">
        <v>-1</v>
      </c>
      <c r="AK20" t="s">
        <v>379</v>
      </c>
      <c r="AL20" t="s">
        <v>380</v>
      </c>
      <c r="AM20" t="s">
        <v>381</v>
      </c>
      <c r="AN20" t="s">
        <v>382</v>
      </c>
      <c r="AO20" t="s">
        <v>383</v>
      </c>
      <c r="AP20" t="s">
        <v>384</v>
      </c>
      <c r="AQ20" t="s">
        <v>385</v>
      </c>
      <c r="AR20" t="s">
        <v>386</v>
      </c>
      <c r="AS20" t="s">
        <v>387</v>
      </c>
    </row>
    <row r="21" spans="1:45" x14ac:dyDescent="0.45">
      <c r="A21">
        <v>20</v>
      </c>
      <c r="B21">
        <v>61</v>
      </c>
      <c r="C21" t="s">
        <v>78</v>
      </c>
      <c r="D21" t="s">
        <v>73</v>
      </c>
      <c r="E21" t="s">
        <v>74</v>
      </c>
      <c r="F21" t="s">
        <v>75</v>
      </c>
      <c r="G21" t="s">
        <v>76</v>
      </c>
      <c r="H21">
        <v>55.861859940430463</v>
      </c>
      <c r="I21">
        <v>2</v>
      </c>
      <c r="J21">
        <v>8</v>
      </c>
      <c r="K21">
        <v>9</v>
      </c>
      <c r="L21">
        <v>-1</v>
      </c>
      <c r="M21">
        <v>9</v>
      </c>
      <c r="N21">
        <v>9</v>
      </c>
      <c r="O21">
        <v>0</v>
      </c>
      <c r="P21">
        <v>7</v>
      </c>
      <c r="Q21">
        <v>7</v>
      </c>
      <c r="R21">
        <v>0</v>
      </c>
      <c r="S21">
        <v>8</v>
      </c>
      <c r="T21">
        <v>9</v>
      </c>
      <c r="U21">
        <v>-1</v>
      </c>
      <c r="V21">
        <v>7</v>
      </c>
      <c r="W21">
        <v>7</v>
      </c>
      <c r="X21">
        <v>0</v>
      </c>
      <c r="Y21">
        <v>8</v>
      </c>
      <c r="Z21">
        <v>8</v>
      </c>
      <c r="AA21">
        <v>0</v>
      </c>
      <c r="AB21">
        <v>7</v>
      </c>
      <c r="AC21">
        <v>5</v>
      </c>
      <c r="AD21">
        <v>2</v>
      </c>
      <c r="AE21">
        <v>8</v>
      </c>
      <c r="AF21">
        <v>5</v>
      </c>
      <c r="AG21">
        <v>3</v>
      </c>
      <c r="AH21">
        <v>9</v>
      </c>
      <c r="AI21">
        <v>6</v>
      </c>
      <c r="AJ21">
        <v>3</v>
      </c>
      <c r="AK21" t="s">
        <v>388</v>
      </c>
      <c r="AL21" t="s">
        <v>389</v>
      </c>
      <c r="AM21" t="s">
        <v>390</v>
      </c>
      <c r="AN21" t="s">
        <v>391</v>
      </c>
      <c r="AO21" t="s">
        <v>392</v>
      </c>
      <c r="AP21" t="s">
        <v>393</v>
      </c>
      <c r="AQ21" t="s">
        <v>394</v>
      </c>
      <c r="AR21" t="s">
        <v>395</v>
      </c>
      <c r="AS21" t="s">
        <v>396</v>
      </c>
    </row>
    <row r="22" spans="1:45" x14ac:dyDescent="0.45">
      <c r="A22">
        <v>21</v>
      </c>
      <c r="B22">
        <v>62</v>
      </c>
      <c r="C22" t="s">
        <v>72</v>
      </c>
      <c r="D22" t="s">
        <v>79</v>
      </c>
      <c r="E22" t="s">
        <v>74</v>
      </c>
      <c r="F22" t="s">
        <v>77</v>
      </c>
      <c r="G22" t="s">
        <v>76</v>
      </c>
      <c r="H22">
        <v>192.17938469495905</v>
      </c>
      <c r="I22">
        <v>3</v>
      </c>
      <c r="J22">
        <v>6</v>
      </c>
      <c r="K22">
        <v>10</v>
      </c>
      <c r="L22">
        <v>-4</v>
      </c>
      <c r="M22">
        <v>7</v>
      </c>
      <c r="N22">
        <v>10</v>
      </c>
      <c r="O22">
        <v>-3</v>
      </c>
      <c r="P22">
        <v>8</v>
      </c>
      <c r="Q22">
        <v>8</v>
      </c>
      <c r="R22">
        <v>0</v>
      </c>
      <c r="S22">
        <v>9</v>
      </c>
      <c r="T22">
        <v>7</v>
      </c>
      <c r="U22">
        <v>2</v>
      </c>
      <c r="V22">
        <v>7</v>
      </c>
      <c r="W22">
        <v>7</v>
      </c>
      <c r="X22">
        <v>0</v>
      </c>
      <c r="Y22">
        <v>8</v>
      </c>
      <c r="Z22">
        <v>7</v>
      </c>
      <c r="AA22">
        <v>1</v>
      </c>
      <c r="AB22">
        <v>7</v>
      </c>
      <c r="AC22">
        <v>2</v>
      </c>
      <c r="AD22">
        <v>5</v>
      </c>
      <c r="AE22">
        <v>6</v>
      </c>
      <c r="AF22">
        <v>3</v>
      </c>
      <c r="AG22">
        <v>3</v>
      </c>
      <c r="AI22">
        <v>3</v>
      </c>
      <c r="AK22" t="s">
        <v>397</v>
      </c>
      <c r="AL22" t="s">
        <v>398</v>
      </c>
      <c r="AM22" t="s">
        <v>399</v>
      </c>
      <c r="AN22" t="s">
        <v>400</v>
      </c>
      <c r="AO22" t="s">
        <v>401</v>
      </c>
      <c r="AP22" t="s">
        <v>402</v>
      </c>
      <c r="AQ22" t="s">
        <v>403</v>
      </c>
      <c r="AR22" t="s">
        <v>404</v>
      </c>
      <c r="AS22" t="s">
        <v>216</v>
      </c>
    </row>
    <row r="23" spans="1:45" x14ac:dyDescent="0.45">
      <c r="A23">
        <v>22</v>
      </c>
      <c r="B23">
        <v>63</v>
      </c>
      <c r="C23" t="s">
        <v>72</v>
      </c>
      <c r="D23" t="s">
        <v>188</v>
      </c>
      <c r="E23" t="s">
        <v>74</v>
      </c>
      <c r="F23" t="s">
        <v>77</v>
      </c>
      <c r="G23" t="s">
        <v>76</v>
      </c>
      <c r="H23">
        <v>14.800396859477839</v>
      </c>
      <c r="I23">
        <v>0</v>
      </c>
      <c r="J23">
        <v>9</v>
      </c>
      <c r="K23">
        <v>8</v>
      </c>
      <c r="L23">
        <v>1</v>
      </c>
      <c r="M23">
        <v>8</v>
      </c>
      <c r="N23">
        <v>8</v>
      </c>
      <c r="O23">
        <v>0</v>
      </c>
      <c r="P23">
        <v>8</v>
      </c>
      <c r="Q23">
        <v>5</v>
      </c>
      <c r="R23">
        <v>3</v>
      </c>
      <c r="S23">
        <v>8</v>
      </c>
      <c r="T23">
        <v>8</v>
      </c>
      <c r="U23">
        <v>0</v>
      </c>
      <c r="V23">
        <v>8</v>
      </c>
      <c r="W23">
        <v>8</v>
      </c>
      <c r="X23">
        <v>0</v>
      </c>
      <c r="Y23">
        <v>6</v>
      </c>
      <c r="Z23">
        <v>8</v>
      </c>
      <c r="AA23">
        <v>-2</v>
      </c>
      <c r="AB23">
        <v>5</v>
      </c>
      <c r="AC23">
        <v>8</v>
      </c>
      <c r="AD23">
        <v>-3</v>
      </c>
      <c r="AE23">
        <v>6</v>
      </c>
      <c r="AF23">
        <v>8</v>
      </c>
      <c r="AG23">
        <v>-2</v>
      </c>
      <c r="AH23">
        <v>7</v>
      </c>
      <c r="AI23">
        <v>8</v>
      </c>
      <c r="AJ23">
        <v>-1</v>
      </c>
      <c r="AK23" t="s">
        <v>405</v>
      </c>
      <c r="AL23" t="s">
        <v>406</v>
      </c>
      <c r="AM23" t="s">
        <v>407</v>
      </c>
      <c r="AN23" t="s">
        <v>408</v>
      </c>
      <c r="AO23" t="s">
        <v>409</v>
      </c>
      <c r="AP23" t="s">
        <v>410</v>
      </c>
      <c r="AQ23" t="s">
        <v>411</v>
      </c>
      <c r="AR23" t="s">
        <v>412</v>
      </c>
      <c r="AS23" t="s">
        <v>413</v>
      </c>
    </row>
    <row r="24" spans="1:45" x14ac:dyDescent="0.45">
      <c r="A24">
        <v>23</v>
      </c>
      <c r="B24">
        <v>64</v>
      </c>
      <c r="C24" t="s">
        <v>72</v>
      </c>
      <c r="D24" t="s">
        <v>79</v>
      </c>
      <c r="E24" t="s">
        <v>74</v>
      </c>
      <c r="F24" t="s">
        <v>75</v>
      </c>
      <c r="G24" t="s">
        <v>76</v>
      </c>
      <c r="H24">
        <v>99.248297034952515</v>
      </c>
      <c r="I24">
        <v>3</v>
      </c>
      <c r="J24">
        <v>6</v>
      </c>
      <c r="K24">
        <v>5</v>
      </c>
      <c r="L24">
        <v>1</v>
      </c>
      <c r="M24">
        <v>5</v>
      </c>
      <c r="N24">
        <v>5</v>
      </c>
      <c r="O24">
        <v>0</v>
      </c>
      <c r="P24">
        <v>8</v>
      </c>
      <c r="Q24">
        <v>5</v>
      </c>
      <c r="R24">
        <v>3</v>
      </c>
      <c r="S24">
        <v>7</v>
      </c>
      <c r="T24">
        <v>5</v>
      </c>
      <c r="U24">
        <v>2</v>
      </c>
      <c r="V24">
        <v>7</v>
      </c>
      <c r="W24">
        <v>5</v>
      </c>
      <c r="X24">
        <v>2</v>
      </c>
      <c r="Y24">
        <v>6</v>
      </c>
      <c r="Z24">
        <v>5</v>
      </c>
      <c r="AA24">
        <v>1</v>
      </c>
      <c r="AB24">
        <v>5</v>
      </c>
      <c r="AC24">
        <v>5</v>
      </c>
      <c r="AD24">
        <v>0</v>
      </c>
      <c r="AE24">
        <v>6</v>
      </c>
      <c r="AF24">
        <v>5</v>
      </c>
      <c r="AG24">
        <v>1</v>
      </c>
      <c r="AH24">
        <v>7</v>
      </c>
      <c r="AI24">
        <v>5</v>
      </c>
      <c r="AJ24">
        <v>2</v>
      </c>
      <c r="AK24" t="s">
        <v>414</v>
      </c>
      <c r="AL24" t="s">
        <v>415</v>
      </c>
      <c r="AM24" t="s">
        <v>416</v>
      </c>
      <c r="AN24" t="s">
        <v>417</v>
      </c>
      <c r="AO24" t="s">
        <v>418</v>
      </c>
      <c r="AP24" t="s">
        <v>419</v>
      </c>
      <c r="AQ24" t="s">
        <v>420</v>
      </c>
      <c r="AR24" t="s">
        <v>421</v>
      </c>
      <c r="AS24" t="s">
        <v>422</v>
      </c>
    </row>
    <row r="25" spans="1:45" x14ac:dyDescent="0.45">
      <c r="A25">
        <v>24</v>
      </c>
      <c r="B25">
        <v>65</v>
      </c>
      <c r="C25" t="s">
        <v>72</v>
      </c>
      <c r="D25" t="s">
        <v>73</v>
      </c>
      <c r="E25" t="s">
        <v>80</v>
      </c>
      <c r="F25" t="s">
        <v>77</v>
      </c>
      <c r="G25" t="s">
        <v>76</v>
      </c>
      <c r="H25">
        <v>23.379131883707768</v>
      </c>
      <c r="I25">
        <v>2</v>
      </c>
      <c r="J25">
        <v>8</v>
      </c>
      <c r="K25">
        <v>9</v>
      </c>
      <c r="L25">
        <v>-1</v>
      </c>
      <c r="M25">
        <v>7</v>
      </c>
      <c r="N25">
        <v>8</v>
      </c>
      <c r="O25">
        <v>-1</v>
      </c>
      <c r="P25">
        <v>9</v>
      </c>
      <c r="Q25">
        <v>6</v>
      </c>
      <c r="R25">
        <v>3</v>
      </c>
      <c r="S25">
        <v>8</v>
      </c>
      <c r="T25">
        <v>9</v>
      </c>
      <c r="U25">
        <v>-1</v>
      </c>
      <c r="V25">
        <v>7</v>
      </c>
      <c r="W25">
        <v>8</v>
      </c>
      <c r="X25">
        <v>-1</v>
      </c>
      <c r="Y25">
        <v>8</v>
      </c>
      <c r="Z25">
        <v>10</v>
      </c>
      <c r="AA25">
        <v>-2</v>
      </c>
      <c r="AB25">
        <v>6</v>
      </c>
      <c r="AC25">
        <v>6</v>
      </c>
      <c r="AD25">
        <v>0</v>
      </c>
      <c r="AE25">
        <v>7</v>
      </c>
      <c r="AF25">
        <v>6</v>
      </c>
      <c r="AG25">
        <v>1</v>
      </c>
      <c r="AH25">
        <v>6</v>
      </c>
      <c r="AI25">
        <v>8</v>
      </c>
      <c r="AJ25">
        <v>-2</v>
      </c>
      <c r="AK25" t="s">
        <v>423</v>
      </c>
      <c r="AL25" t="s">
        <v>424</v>
      </c>
      <c r="AM25" t="s">
        <v>425</v>
      </c>
      <c r="AN25" t="s">
        <v>426</v>
      </c>
      <c r="AO25" t="s">
        <v>427</v>
      </c>
      <c r="AP25" t="s">
        <v>428</v>
      </c>
      <c r="AQ25" t="s">
        <v>429</v>
      </c>
      <c r="AR25" t="s">
        <v>430</v>
      </c>
      <c r="AS25" t="s">
        <v>431</v>
      </c>
    </row>
    <row r="26" spans="1:45" x14ac:dyDescent="0.45">
      <c r="A26">
        <v>25</v>
      </c>
      <c r="B26">
        <v>66</v>
      </c>
      <c r="C26" t="s">
        <v>78</v>
      </c>
      <c r="D26" t="s">
        <v>73</v>
      </c>
      <c r="E26" t="s">
        <v>74</v>
      </c>
      <c r="F26" t="s">
        <v>75</v>
      </c>
      <c r="G26" t="s">
        <v>76</v>
      </c>
      <c r="H26">
        <v>45.856008169038972</v>
      </c>
      <c r="I26">
        <v>1</v>
      </c>
      <c r="J26">
        <v>5</v>
      </c>
      <c r="K26">
        <v>6</v>
      </c>
      <c r="L26">
        <v>-1</v>
      </c>
      <c r="M26">
        <v>6</v>
      </c>
      <c r="N26">
        <v>7</v>
      </c>
      <c r="O26">
        <v>-1</v>
      </c>
      <c r="P26">
        <v>7</v>
      </c>
      <c r="Q26">
        <v>5</v>
      </c>
      <c r="R26">
        <v>2</v>
      </c>
      <c r="S26">
        <v>8</v>
      </c>
      <c r="T26">
        <v>6</v>
      </c>
      <c r="U26">
        <v>2</v>
      </c>
      <c r="V26">
        <v>7</v>
      </c>
      <c r="W26">
        <v>7</v>
      </c>
      <c r="X26">
        <v>0</v>
      </c>
      <c r="Y26">
        <v>6</v>
      </c>
      <c r="Z26">
        <v>7</v>
      </c>
      <c r="AA26">
        <v>-1</v>
      </c>
      <c r="AB26">
        <v>5</v>
      </c>
      <c r="AC26">
        <v>3</v>
      </c>
      <c r="AD26">
        <v>2</v>
      </c>
      <c r="AE26">
        <v>4</v>
      </c>
      <c r="AF26">
        <v>3</v>
      </c>
      <c r="AG26">
        <v>1</v>
      </c>
      <c r="AH26">
        <v>8</v>
      </c>
      <c r="AI26">
        <v>5</v>
      </c>
      <c r="AJ26">
        <v>3</v>
      </c>
      <c r="AK26" t="s">
        <v>432</v>
      </c>
      <c r="AL26" t="s">
        <v>433</v>
      </c>
      <c r="AM26" t="s">
        <v>434</v>
      </c>
      <c r="AN26" t="s">
        <v>435</v>
      </c>
      <c r="AO26" t="s">
        <v>436</v>
      </c>
      <c r="AP26" t="s">
        <v>437</v>
      </c>
      <c r="AQ26" t="s">
        <v>438</v>
      </c>
      <c r="AR26" t="s">
        <v>439</v>
      </c>
      <c r="AS26" t="s">
        <v>440</v>
      </c>
    </row>
    <row r="27" spans="1:45" x14ac:dyDescent="0.45">
      <c r="A27">
        <v>26</v>
      </c>
      <c r="B27">
        <v>67</v>
      </c>
      <c r="C27" t="s">
        <v>78</v>
      </c>
      <c r="D27" t="s">
        <v>73</v>
      </c>
      <c r="E27" t="s">
        <v>74</v>
      </c>
      <c r="F27" t="s">
        <v>75</v>
      </c>
      <c r="G27" t="s">
        <v>76</v>
      </c>
      <c r="H27">
        <v>12</v>
      </c>
      <c r="I27">
        <v>4</v>
      </c>
      <c r="J27">
        <v>7</v>
      </c>
      <c r="K27">
        <v>10</v>
      </c>
      <c r="L27">
        <v>-3</v>
      </c>
      <c r="M27">
        <v>8</v>
      </c>
      <c r="N27">
        <v>10</v>
      </c>
      <c r="O27">
        <v>-2</v>
      </c>
      <c r="P27">
        <v>6</v>
      </c>
      <c r="Q27">
        <v>10</v>
      </c>
      <c r="R27">
        <v>-4</v>
      </c>
      <c r="S27">
        <v>8</v>
      </c>
      <c r="T27">
        <v>6</v>
      </c>
      <c r="U27">
        <v>2</v>
      </c>
      <c r="V27">
        <v>6</v>
      </c>
      <c r="W27">
        <v>6</v>
      </c>
      <c r="X27">
        <v>0</v>
      </c>
      <c r="Y27">
        <v>7</v>
      </c>
      <c r="Z27">
        <v>10</v>
      </c>
      <c r="AA27">
        <v>-3</v>
      </c>
      <c r="AB27">
        <v>5</v>
      </c>
      <c r="AC27">
        <v>1</v>
      </c>
      <c r="AD27">
        <v>4</v>
      </c>
      <c r="AE27">
        <v>6</v>
      </c>
      <c r="AF27">
        <v>4</v>
      </c>
      <c r="AG27">
        <v>2</v>
      </c>
      <c r="AH27">
        <v>7</v>
      </c>
      <c r="AI27">
        <v>10</v>
      </c>
      <c r="AJ27">
        <v>-3</v>
      </c>
      <c r="AK27" t="s">
        <v>441</v>
      </c>
      <c r="AL27" t="s">
        <v>442</v>
      </c>
      <c r="AM27" t="s">
        <v>443</v>
      </c>
      <c r="AN27" t="s">
        <v>444</v>
      </c>
      <c r="AO27" t="s">
        <v>445</v>
      </c>
      <c r="AP27" t="s">
        <v>446</v>
      </c>
      <c r="AQ27" t="s">
        <v>447</v>
      </c>
      <c r="AR27" t="s">
        <v>448</v>
      </c>
      <c r="AS27" t="s">
        <v>449</v>
      </c>
    </row>
    <row r="28" spans="1:45" x14ac:dyDescent="0.45">
      <c r="A28">
        <v>27</v>
      </c>
      <c r="B28">
        <v>68</v>
      </c>
      <c r="C28" t="s">
        <v>78</v>
      </c>
      <c r="D28" t="s">
        <v>188</v>
      </c>
      <c r="E28" t="s">
        <v>74</v>
      </c>
      <c r="F28" t="s">
        <v>77</v>
      </c>
      <c r="G28" t="s">
        <v>76</v>
      </c>
      <c r="H28">
        <v>12</v>
      </c>
      <c r="I28">
        <v>0</v>
      </c>
      <c r="J28">
        <v>8</v>
      </c>
      <c r="K28">
        <v>1</v>
      </c>
      <c r="L28">
        <v>7</v>
      </c>
      <c r="M28">
        <v>7</v>
      </c>
      <c r="N28">
        <v>1</v>
      </c>
      <c r="O28">
        <v>6</v>
      </c>
      <c r="P28">
        <v>9</v>
      </c>
      <c r="Q28">
        <v>1</v>
      </c>
      <c r="R28">
        <v>8</v>
      </c>
      <c r="S28">
        <v>8</v>
      </c>
      <c r="T28">
        <v>1</v>
      </c>
      <c r="U28">
        <v>7</v>
      </c>
      <c r="V28">
        <v>7</v>
      </c>
      <c r="W28">
        <v>1</v>
      </c>
      <c r="X28">
        <v>6</v>
      </c>
      <c r="Y28">
        <v>6</v>
      </c>
      <c r="Z28">
        <v>1</v>
      </c>
      <c r="AA28">
        <v>5</v>
      </c>
      <c r="AB28">
        <v>5</v>
      </c>
      <c r="AC28">
        <v>1</v>
      </c>
      <c r="AD28">
        <v>4</v>
      </c>
      <c r="AE28">
        <v>4</v>
      </c>
      <c r="AF28">
        <v>1</v>
      </c>
      <c r="AG28">
        <v>3</v>
      </c>
      <c r="AH28">
        <v>7</v>
      </c>
      <c r="AI28">
        <v>1</v>
      </c>
      <c r="AJ28">
        <v>6</v>
      </c>
      <c r="AK28" t="s">
        <v>450</v>
      </c>
      <c r="AL28" t="s">
        <v>451</v>
      </c>
      <c r="AM28" t="s">
        <v>452</v>
      </c>
      <c r="AN28" t="s">
        <v>453</v>
      </c>
      <c r="AO28" t="s">
        <v>454</v>
      </c>
      <c r="AP28" t="s">
        <v>222</v>
      </c>
      <c r="AQ28" t="s">
        <v>455</v>
      </c>
      <c r="AR28" t="s">
        <v>456</v>
      </c>
      <c r="AS28" t="s">
        <v>457</v>
      </c>
    </row>
    <row r="29" spans="1:45" x14ac:dyDescent="0.45">
      <c r="A29">
        <v>28</v>
      </c>
      <c r="B29">
        <v>69</v>
      </c>
      <c r="C29" t="s">
        <v>78</v>
      </c>
      <c r="D29" t="s">
        <v>81</v>
      </c>
      <c r="E29" t="s">
        <v>74</v>
      </c>
      <c r="F29" t="s">
        <v>77</v>
      </c>
      <c r="G29" t="s">
        <v>76</v>
      </c>
      <c r="H29">
        <v>14.901861876078375</v>
      </c>
      <c r="I29">
        <v>0</v>
      </c>
      <c r="J29">
        <v>8</v>
      </c>
      <c r="K29">
        <v>1</v>
      </c>
      <c r="L29">
        <v>7</v>
      </c>
      <c r="M29">
        <v>7</v>
      </c>
      <c r="N29">
        <v>1</v>
      </c>
      <c r="O29">
        <v>6</v>
      </c>
      <c r="P29">
        <v>9</v>
      </c>
      <c r="Q29">
        <v>1</v>
      </c>
      <c r="R29">
        <v>8</v>
      </c>
      <c r="S29">
        <v>8</v>
      </c>
      <c r="T29">
        <v>1</v>
      </c>
      <c r="U29">
        <v>7</v>
      </c>
      <c r="V29">
        <v>7</v>
      </c>
      <c r="W29">
        <v>1</v>
      </c>
      <c r="X29">
        <v>6</v>
      </c>
      <c r="Y29">
        <v>8</v>
      </c>
      <c r="Z29">
        <v>1</v>
      </c>
      <c r="AA29">
        <v>7</v>
      </c>
      <c r="AB29">
        <v>7</v>
      </c>
      <c r="AC29">
        <v>1</v>
      </c>
      <c r="AD29">
        <v>6</v>
      </c>
      <c r="AE29">
        <v>6</v>
      </c>
      <c r="AF29">
        <v>1</v>
      </c>
      <c r="AG29">
        <v>5</v>
      </c>
      <c r="AH29">
        <v>7</v>
      </c>
      <c r="AI29">
        <v>1</v>
      </c>
      <c r="AJ29">
        <v>6</v>
      </c>
      <c r="AK29" t="s">
        <v>458</v>
      </c>
      <c r="AL29" t="s">
        <v>459</v>
      </c>
      <c r="AM29" t="s">
        <v>460</v>
      </c>
      <c r="AN29" t="s">
        <v>461</v>
      </c>
      <c r="AO29" t="s">
        <v>462</v>
      </c>
      <c r="AP29" t="s">
        <v>463</v>
      </c>
      <c r="AQ29" t="s">
        <v>464</v>
      </c>
      <c r="AR29" t="s">
        <v>465</v>
      </c>
      <c r="AS29" t="s">
        <v>466</v>
      </c>
    </row>
    <row r="30" spans="1:45" x14ac:dyDescent="0.45">
      <c r="A30">
        <v>29</v>
      </c>
      <c r="B30">
        <v>70</v>
      </c>
      <c r="C30" t="s">
        <v>72</v>
      </c>
      <c r="D30" t="s">
        <v>188</v>
      </c>
      <c r="E30" t="s">
        <v>74</v>
      </c>
      <c r="F30" t="s">
        <v>77</v>
      </c>
      <c r="G30" t="s">
        <v>76</v>
      </c>
      <c r="H30">
        <v>13.903674226075715</v>
      </c>
      <c r="I30">
        <v>0</v>
      </c>
      <c r="J30">
        <v>7</v>
      </c>
      <c r="K30">
        <v>10</v>
      </c>
      <c r="L30">
        <v>-3</v>
      </c>
      <c r="M30">
        <v>8</v>
      </c>
      <c r="N30">
        <v>10</v>
      </c>
      <c r="O30">
        <v>-2</v>
      </c>
      <c r="P30">
        <v>6</v>
      </c>
      <c r="Q30">
        <v>9</v>
      </c>
      <c r="R30">
        <v>-3</v>
      </c>
      <c r="S30">
        <v>8</v>
      </c>
      <c r="T30">
        <v>10</v>
      </c>
      <c r="U30">
        <v>-2</v>
      </c>
      <c r="V30">
        <v>7</v>
      </c>
      <c r="W30">
        <v>10</v>
      </c>
      <c r="X30">
        <v>-3</v>
      </c>
      <c r="Y30">
        <v>6</v>
      </c>
      <c r="Z30">
        <v>9</v>
      </c>
      <c r="AA30">
        <v>-3</v>
      </c>
      <c r="AB30">
        <v>7</v>
      </c>
      <c r="AC30">
        <v>10</v>
      </c>
      <c r="AD30">
        <v>-3</v>
      </c>
      <c r="AE30">
        <v>6</v>
      </c>
      <c r="AF30">
        <v>10</v>
      </c>
      <c r="AG30">
        <v>-4</v>
      </c>
      <c r="AH30">
        <v>7</v>
      </c>
      <c r="AI30">
        <v>10</v>
      </c>
      <c r="AJ30">
        <v>-3</v>
      </c>
      <c r="AK30" t="s">
        <v>467</v>
      </c>
      <c r="AL30" t="s">
        <v>468</v>
      </c>
      <c r="AM30" t="s">
        <v>469</v>
      </c>
      <c r="AN30" t="s">
        <v>470</v>
      </c>
      <c r="AO30" t="s">
        <v>471</v>
      </c>
      <c r="AP30" t="s">
        <v>472</v>
      </c>
      <c r="AQ30" t="s">
        <v>473</v>
      </c>
      <c r="AR30" t="s">
        <v>474</v>
      </c>
      <c r="AS30" t="s">
        <v>475</v>
      </c>
    </row>
    <row r="31" spans="1:45" x14ac:dyDescent="0.45">
      <c r="A31">
        <v>30</v>
      </c>
      <c r="B31">
        <v>71</v>
      </c>
      <c r="C31" t="s">
        <v>72</v>
      </c>
      <c r="D31" t="s">
        <v>188</v>
      </c>
      <c r="E31" t="s">
        <v>74</v>
      </c>
      <c r="F31" t="s">
        <v>77</v>
      </c>
      <c r="G31" t="s">
        <v>76</v>
      </c>
      <c r="H31">
        <v>13.267068387186514</v>
      </c>
      <c r="I31">
        <v>0</v>
      </c>
      <c r="J31">
        <v>8</v>
      </c>
      <c r="K31">
        <v>10</v>
      </c>
      <c r="L31">
        <v>-2</v>
      </c>
      <c r="M31">
        <v>9</v>
      </c>
      <c r="N31">
        <v>10</v>
      </c>
      <c r="O31">
        <v>-1</v>
      </c>
      <c r="P31">
        <v>6</v>
      </c>
      <c r="Q31">
        <v>9</v>
      </c>
      <c r="R31">
        <v>-3</v>
      </c>
      <c r="S31">
        <v>7</v>
      </c>
      <c r="T31">
        <v>10</v>
      </c>
      <c r="U31">
        <v>-3</v>
      </c>
      <c r="V31">
        <v>6</v>
      </c>
      <c r="W31">
        <v>10</v>
      </c>
      <c r="X31">
        <v>-4</v>
      </c>
      <c r="Y31">
        <v>8</v>
      </c>
      <c r="Z31">
        <v>10</v>
      </c>
      <c r="AA31">
        <v>-2</v>
      </c>
      <c r="AB31">
        <v>4</v>
      </c>
      <c r="AC31">
        <v>10</v>
      </c>
      <c r="AD31">
        <v>-6</v>
      </c>
      <c r="AE31">
        <v>6</v>
      </c>
      <c r="AF31">
        <v>10</v>
      </c>
      <c r="AG31">
        <v>-4</v>
      </c>
      <c r="AH31">
        <v>7</v>
      </c>
      <c r="AI31">
        <v>10</v>
      </c>
      <c r="AJ31">
        <v>-3</v>
      </c>
      <c r="AK31" t="s">
        <v>476</v>
      </c>
      <c r="AL31" t="s">
        <v>477</v>
      </c>
      <c r="AM31" t="s">
        <v>478</v>
      </c>
      <c r="AN31" t="s">
        <v>479</v>
      </c>
      <c r="AO31" t="s">
        <v>480</v>
      </c>
      <c r="AP31" t="s">
        <v>481</v>
      </c>
      <c r="AQ31" t="s">
        <v>482</v>
      </c>
      <c r="AR31" t="s">
        <v>483</v>
      </c>
      <c r="AS31" t="s">
        <v>484</v>
      </c>
    </row>
    <row r="32" spans="1:45" x14ac:dyDescent="0.45">
      <c r="A32">
        <v>31</v>
      </c>
      <c r="B32">
        <v>72</v>
      </c>
      <c r="C32" t="s">
        <v>72</v>
      </c>
      <c r="D32" t="s">
        <v>81</v>
      </c>
      <c r="E32" t="s">
        <v>74</v>
      </c>
      <c r="F32" t="s">
        <v>77</v>
      </c>
      <c r="G32" t="s">
        <v>76</v>
      </c>
      <c r="H32">
        <v>29.702693875790402</v>
      </c>
      <c r="I32">
        <v>0</v>
      </c>
      <c r="J32">
        <v>8</v>
      </c>
      <c r="K32">
        <v>10</v>
      </c>
      <c r="L32">
        <v>-2</v>
      </c>
      <c r="M32">
        <v>7</v>
      </c>
      <c r="N32">
        <v>7</v>
      </c>
      <c r="O32">
        <v>0</v>
      </c>
      <c r="P32">
        <v>6</v>
      </c>
      <c r="Q32">
        <v>10</v>
      </c>
      <c r="R32">
        <v>-4</v>
      </c>
      <c r="S32">
        <v>8</v>
      </c>
      <c r="T32">
        <v>7</v>
      </c>
      <c r="U32">
        <v>1</v>
      </c>
      <c r="V32">
        <v>7</v>
      </c>
      <c r="W32">
        <v>10</v>
      </c>
      <c r="X32">
        <v>-3</v>
      </c>
      <c r="Y32">
        <v>6</v>
      </c>
      <c r="Z32">
        <v>10</v>
      </c>
      <c r="AA32">
        <v>-4</v>
      </c>
      <c r="AB32">
        <v>5</v>
      </c>
      <c r="AC32">
        <v>3</v>
      </c>
      <c r="AD32">
        <v>2</v>
      </c>
      <c r="AE32">
        <v>6</v>
      </c>
      <c r="AF32">
        <v>5</v>
      </c>
      <c r="AG32">
        <v>1</v>
      </c>
      <c r="AH32">
        <v>7</v>
      </c>
      <c r="AI32">
        <v>8</v>
      </c>
      <c r="AJ32">
        <v>-1</v>
      </c>
      <c r="AK32" t="s">
        <v>485</v>
      </c>
      <c r="AL32" t="s">
        <v>486</v>
      </c>
      <c r="AM32" t="s">
        <v>487</v>
      </c>
      <c r="AN32" t="s">
        <v>488</v>
      </c>
      <c r="AO32" t="s">
        <v>489</v>
      </c>
      <c r="AP32" t="s">
        <v>490</v>
      </c>
      <c r="AQ32" t="s">
        <v>491</v>
      </c>
      <c r="AR32" t="s">
        <v>492</v>
      </c>
      <c r="AS32" t="s">
        <v>493</v>
      </c>
    </row>
    <row r="33" spans="1:45" x14ac:dyDescent="0.45">
      <c r="A33">
        <v>32</v>
      </c>
      <c r="B33">
        <v>73</v>
      </c>
      <c r="C33" t="s">
        <v>72</v>
      </c>
      <c r="D33" t="s">
        <v>188</v>
      </c>
      <c r="E33" t="s">
        <v>74</v>
      </c>
      <c r="F33" t="s">
        <v>77</v>
      </c>
      <c r="G33" t="s">
        <v>76</v>
      </c>
      <c r="H33">
        <v>26.941089514305542</v>
      </c>
      <c r="I33">
        <v>0</v>
      </c>
      <c r="J33">
        <v>7</v>
      </c>
      <c r="K33">
        <v>5</v>
      </c>
      <c r="L33">
        <v>2</v>
      </c>
      <c r="M33">
        <v>6</v>
      </c>
      <c r="N33">
        <v>5</v>
      </c>
      <c r="O33">
        <v>1</v>
      </c>
      <c r="P33">
        <v>8</v>
      </c>
      <c r="Q33">
        <v>5</v>
      </c>
      <c r="R33">
        <v>3</v>
      </c>
      <c r="S33">
        <v>9</v>
      </c>
      <c r="T33">
        <v>5</v>
      </c>
      <c r="U33">
        <v>4</v>
      </c>
      <c r="V33">
        <v>6</v>
      </c>
      <c r="W33">
        <v>5</v>
      </c>
      <c r="X33">
        <v>1</v>
      </c>
      <c r="Y33">
        <v>8</v>
      </c>
      <c r="Z33">
        <v>5</v>
      </c>
      <c r="AA33">
        <v>3</v>
      </c>
      <c r="AB33">
        <v>7</v>
      </c>
      <c r="AC33">
        <v>5</v>
      </c>
      <c r="AD33">
        <v>2</v>
      </c>
      <c r="AE33">
        <v>6</v>
      </c>
      <c r="AF33">
        <v>5</v>
      </c>
      <c r="AG33">
        <v>1</v>
      </c>
      <c r="AH33">
        <v>8</v>
      </c>
      <c r="AI33">
        <v>5</v>
      </c>
      <c r="AJ33">
        <v>3</v>
      </c>
      <c r="AK33" t="s">
        <v>494</v>
      </c>
      <c r="AL33" t="s">
        <v>495</v>
      </c>
      <c r="AM33" t="s">
        <v>496</v>
      </c>
      <c r="AN33" t="s">
        <v>497</v>
      </c>
      <c r="AO33" t="s">
        <v>498</v>
      </c>
      <c r="AP33" t="s">
        <v>499</v>
      </c>
      <c r="AQ33" t="s">
        <v>500</v>
      </c>
      <c r="AR33" t="s">
        <v>501</v>
      </c>
      <c r="AS33" t="s">
        <v>502</v>
      </c>
    </row>
    <row r="34" spans="1:45" x14ac:dyDescent="0.45">
      <c r="A34">
        <v>33</v>
      </c>
      <c r="B34">
        <v>74</v>
      </c>
      <c r="C34" t="s">
        <v>72</v>
      </c>
      <c r="D34" t="s">
        <v>81</v>
      </c>
      <c r="E34" t="s">
        <v>74</v>
      </c>
      <c r="F34" t="s">
        <v>77</v>
      </c>
      <c r="G34" t="s">
        <v>76</v>
      </c>
      <c r="H34">
        <v>30.155026147511258</v>
      </c>
      <c r="I34">
        <v>0</v>
      </c>
      <c r="J34">
        <v>8</v>
      </c>
      <c r="K34">
        <v>8</v>
      </c>
      <c r="L34">
        <v>0</v>
      </c>
      <c r="M34">
        <v>9</v>
      </c>
      <c r="N34">
        <v>9</v>
      </c>
      <c r="O34">
        <v>0</v>
      </c>
      <c r="P34">
        <v>8</v>
      </c>
      <c r="Q34">
        <v>7</v>
      </c>
      <c r="R34">
        <v>1</v>
      </c>
      <c r="S34">
        <v>7</v>
      </c>
      <c r="T34">
        <v>8</v>
      </c>
      <c r="U34">
        <v>-1</v>
      </c>
      <c r="V34">
        <v>8</v>
      </c>
      <c r="W34">
        <v>8</v>
      </c>
      <c r="X34">
        <v>0</v>
      </c>
      <c r="Y34">
        <v>7</v>
      </c>
      <c r="Z34">
        <v>8</v>
      </c>
      <c r="AA34">
        <v>-1</v>
      </c>
      <c r="AB34">
        <v>6</v>
      </c>
      <c r="AC34">
        <v>3</v>
      </c>
      <c r="AD34">
        <v>3</v>
      </c>
      <c r="AE34">
        <v>7</v>
      </c>
      <c r="AF34">
        <v>6</v>
      </c>
      <c r="AG34">
        <v>1</v>
      </c>
      <c r="AH34">
        <v>8</v>
      </c>
      <c r="AI34">
        <v>7</v>
      </c>
      <c r="AJ34">
        <v>1</v>
      </c>
      <c r="AK34" t="s">
        <v>503</v>
      </c>
      <c r="AL34" t="s">
        <v>504</v>
      </c>
      <c r="AM34" t="s">
        <v>505</v>
      </c>
      <c r="AN34" t="s">
        <v>506</v>
      </c>
      <c r="AO34" t="s">
        <v>507</v>
      </c>
      <c r="AP34" t="s">
        <v>508</v>
      </c>
      <c r="AQ34" t="s">
        <v>509</v>
      </c>
      <c r="AR34" t="s">
        <v>510</v>
      </c>
      <c r="AS34" t="s">
        <v>511</v>
      </c>
    </row>
    <row r="35" spans="1:45" x14ac:dyDescent="0.45">
      <c r="A35">
        <v>34</v>
      </c>
      <c r="B35">
        <v>75</v>
      </c>
      <c r="C35" t="s">
        <v>78</v>
      </c>
      <c r="D35" t="s">
        <v>81</v>
      </c>
      <c r="E35" t="s">
        <v>74</v>
      </c>
      <c r="F35" t="s">
        <v>77</v>
      </c>
      <c r="G35" t="s">
        <v>76</v>
      </c>
      <c r="H35">
        <v>13.066458407630989</v>
      </c>
      <c r="I35">
        <v>1</v>
      </c>
      <c r="J35">
        <v>6</v>
      </c>
      <c r="K35">
        <v>10</v>
      </c>
      <c r="L35">
        <v>-4</v>
      </c>
      <c r="M35">
        <v>7</v>
      </c>
      <c r="N35">
        <v>10</v>
      </c>
      <c r="O35">
        <v>-3</v>
      </c>
      <c r="P35">
        <v>5</v>
      </c>
      <c r="Q35">
        <v>10</v>
      </c>
      <c r="R35">
        <v>-5</v>
      </c>
      <c r="S35">
        <v>8</v>
      </c>
      <c r="T35">
        <v>10</v>
      </c>
      <c r="U35">
        <v>-2</v>
      </c>
      <c r="V35">
        <v>4</v>
      </c>
      <c r="W35">
        <v>10</v>
      </c>
      <c r="X35">
        <v>-6</v>
      </c>
      <c r="Y35">
        <v>6</v>
      </c>
      <c r="Z35">
        <v>10</v>
      </c>
      <c r="AA35">
        <v>-4</v>
      </c>
      <c r="AB35">
        <v>5</v>
      </c>
      <c r="AC35">
        <v>10</v>
      </c>
      <c r="AD35">
        <v>-5</v>
      </c>
      <c r="AE35">
        <v>3</v>
      </c>
      <c r="AF35">
        <v>10</v>
      </c>
      <c r="AG35">
        <v>-7</v>
      </c>
      <c r="AH35">
        <v>5</v>
      </c>
      <c r="AI35">
        <v>10</v>
      </c>
      <c r="AJ35">
        <v>-5</v>
      </c>
      <c r="AK35" t="s">
        <v>512</v>
      </c>
      <c r="AL35" t="s">
        <v>513</v>
      </c>
      <c r="AM35" t="s">
        <v>514</v>
      </c>
      <c r="AN35" t="s">
        <v>515</v>
      </c>
      <c r="AO35" t="s">
        <v>516</v>
      </c>
      <c r="AP35" t="s">
        <v>517</v>
      </c>
      <c r="AQ35" t="s">
        <v>518</v>
      </c>
      <c r="AR35" t="s">
        <v>519</v>
      </c>
      <c r="AS35" t="s">
        <v>520</v>
      </c>
    </row>
    <row r="36" spans="1:45" x14ac:dyDescent="0.45">
      <c r="A36">
        <v>35</v>
      </c>
      <c r="B36">
        <v>76</v>
      </c>
      <c r="C36" t="s">
        <v>72</v>
      </c>
      <c r="D36" t="s">
        <v>73</v>
      </c>
      <c r="E36" t="s">
        <v>74</v>
      </c>
      <c r="F36" t="s">
        <v>189</v>
      </c>
      <c r="G36" t="s">
        <v>76</v>
      </c>
      <c r="H36">
        <v>16.031657545787478</v>
      </c>
      <c r="I36">
        <v>3</v>
      </c>
      <c r="J36">
        <v>7</v>
      </c>
      <c r="K36">
        <v>10</v>
      </c>
      <c r="L36">
        <v>-3</v>
      </c>
      <c r="M36">
        <v>8</v>
      </c>
      <c r="N36">
        <v>10</v>
      </c>
      <c r="O36">
        <v>-2</v>
      </c>
      <c r="P36">
        <v>6</v>
      </c>
      <c r="Q36">
        <v>10</v>
      </c>
      <c r="R36">
        <v>-4</v>
      </c>
      <c r="S36">
        <v>7</v>
      </c>
      <c r="T36">
        <v>10</v>
      </c>
      <c r="U36">
        <v>-3</v>
      </c>
      <c r="V36">
        <v>8</v>
      </c>
      <c r="W36">
        <v>10</v>
      </c>
      <c r="X36">
        <v>-2</v>
      </c>
      <c r="Y36">
        <v>8</v>
      </c>
      <c r="Z36">
        <v>10</v>
      </c>
      <c r="AA36">
        <v>-2</v>
      </c>
      <c r="AB36">
        <v>6</v>
      </c>
      <c r="AC36">
        <v>10</v>
      </c>
      <c r="AD36">
        <v>-4</v>
      </c>
      <c r="AE36">
        <v>7</v>
      </c>
      <c r="AF36">
        <v>10</v>
      </c>
      <c r="AG36">
        <v>-3</v>
      </c>
      <c r="AH36">
        <v>8</v>
      </c>
      <c r="AI36">
        <v>10</v>
      </c>
      <c r="AJ36">
        <v>-2</v>
      </c>
      <c r="AK36" t="s">
        <v>521</v>
      </c>
      <c r="AL36" t="s">
        <v>522</v>
      </c>
      <c r="AM36" t="s">
        <v>523</v>
      </c>
      <c r="AN36" t="s">
        <v>524</v>
      </c>
      <c r="AO36" t="s">
        <v>525</v>
      </c>
      <c r="AP36" t="s">
        <v>526</v>
      </c>
      <c r="AQ36" t="s">
        <v>527</v>
      </c>
      <c r="AR36" t="s">
        <v>528</v>
      </c>
      <c r="AS36" t="s">
        <v>529</v>
      </c>
    </row>
    <row r="37" spans="1:45" x14ac:dyDescent="0.45">
      <c r="A37">
        <v>36</v>
      </c>
      <c r="B37">
        <v>77</v>
      </c>
      <c r="C37" t="s">
        <v>72</v>
      </c>
      <c r="D37" t="s">
        <v>188</v>
      </c>
      <c r="E37" t="s">
        <v>74</v>
      </c>
      <c r="F37" t="s">
        <v>77</v>
      </c>
      <c r="G37" t="s">
        <v>76</v>
      </c>
      <c r="H37">
        <v>15.929661542712465</v>
      </c>
      <c r="I37">
        <v>0</v>
      </c>
      <c r="J37">
        <v>8</v>
      </c>
      <c r="K37">
        <v>10</v>
      </c>
      <c r="L37">
        <v>-2</v>
      </c>
      <c r="M37">
        <v>9</v>
      </c>
      <c r="N37">
        <v>9</v>
      </c>
      <c r="O37">
        <v>0</v>
      </c>
      <c r="P37">
        <v>7</v>
      </c>
      <c r="Q37">
        <v>10</v>
      </c>
      <c r="R37">
        <v>-3</v>
      </c>
      <c r="S37">
        <v>8</v>
      </c>
      <c r="T37">
        <v>8</v>
      </c>
      <c r="U37">
        <v>0</v>
      </c>
      <c r="V37">
        <v>7</v>
      </c>
      <c r="W37">
        <v>10</v>
      </c>
      <c r="X37">
        <v>-3</v>
      </c>
      <c r="Y37">
        <v>6</v>
      </c>
      <c r="Z37">
        <v>9</v>
      </c>
      <c r="AA37">
        <v>-3</v>
      </c>
      <c r="AB37">
        <v>6</v>
      </c>
      <c r="AC37">
        <v>10</v>
      </c>
      <c r="AD37">
        <v>-4</v>
      </c>
      <c r="AE37">
        <v>5</v>
      </c>
      <c r="AF37">
        <v>10</v>
      </c>
      <c r="AG37">
        <v>-5</v>
      </c>
      <c r="AH37">
        <v>7</v>
      </c>
      <c r="AI37">
        <v>10</v>
      </c>
      <c r="AJ37">
        <v>-3</v>
      </c>
      <c r="AK37" t="s">
        <v>530</v>
      </c>
      <c r="AL37" t="s">
        <v>531</v>
      </c>
      <c r="AM37" t="s">
        <v>532</v>
      </c>
      <c r="AN37" t="s">
        <v>533</v>
      </c>
      <c r="AO37" t="s">
        <v>534</v>
      </c>
      <c r="AP37" t="s">
        <v>535</v>
      </c>
      <c r="AQ37" t="s">
        <v>536</v>
      </c>
      <c r="AR37" t="s">
        <v>537</v>
      </c>
      <c r="AS37" t="s">
        <v>538</v>
      </c>
    </row>
    <row r="38" spans="1:45" x14ac:dyDescent="0.45">
      <c r="A38">
        <v>37</v>
      </c>
      <c r="B38">
        <v>78</v>
      </c>
      <c r="C38" t="s">
        <v>78</v>
      </c>
      <c r="D38" t="s">
        <v>188</v>
      </c>
      <c r="E38" t="s">
        <v>74</v>
      </c>
      <c r="F38" t="s">
        <v>77</v>
      </c>
      <c r="G38" t="s">
        <v>76</v>
      </c>
      <c r="H38">
        <v>14.094315439151609</v>
      </c>
      <c r="I38">
        <v>0</v>
      </c>
      <c r="J38">
        <v>8</v>
      </c>
      <c r="K38">
        <v>10</v>
      </c>
      <c r="L38">
        <v>-2</v>
      </c>
      <c r="M38">
        <v>7</v>
      </c>
      <c r="N38">
        <v>10</v>
      </c>
      <c r="O38">
        <v>-3</v>
      </c>
      <c r="P38">
        <v>6</v>
      </c>
      <c r="Q38">
        <v>10</v>
      </c>
      <c r="R38">
        <v>-4</v>
      </c>
      <c r="S38">
        <v>6</v>
      </c>
      <c r="T38">
        <v>10</v>
      </c>
      <c r="U38">
        <v>-4</v>
      </c>
      <c r="V38">
        <v>7</v>
      </c>
      <c r="W38">
        <v>9</v>
      </c>
      <c r="X38">
        <v>-2</v>
      </c>
      <c r="Y38">
        <v>6</v>
      </c>
      <c r="Z38">
        <v>9</v>
      </c>
      <c r="AA38">
        <v>-3</v>
      </c>
      <c r="AB38">
        <v>5</v>
      </c>
      <c r="AC38">
        <v>9</v>
      </c>
      <c r="AD38">
        <v>-4</v>
      </c>
      <c r="AE38">
        <v>6</v>
      </c>
      <c r="AF38">
        <v>9</v>
      </c>
      <c r="AG38">
        <v>-3</v>
      </c>
      <c r="AH38">
        <v>7</v>
      </c>
      <c r="AI38">
        <v>8</v>
      </c>
      <c r="AJ38">
        <v>-1</v>
      </c>
      <c r="AK38" t="s">
        <v>539</v>
      </c>
      <c r="AL38" t="s">
        <v>540</v>
      </c>
      <c r="AM38" t="s">
        <v>541</v>
      </c>
      <c r="AN38" t="s">
        <v>542</v>
      </c>
      <c r="AO38" t="s">
        <v>543</v>
      </c>
      <c r="AP38" t="s">
        <v>544</v>
      </c>
      <c r="AQ38" t="s">
        <v>545</v>
      </c>
      <c r="AR38" t="s">
        <v>546</v>
      </c>
      <c r="AS38" t="s">
        <v>547</v>
      </c>
    </row>
    <row r="39" spans="1:45" x14ac:dyDescent="0.45">
      <c r="A39">
        <v>38</v>
      </c>
      <c r="B39">
        <v>79</v>
      </c>
      <c r="C39" t="s">
        <v>72</v>
      </c>
      <c r="D39" t="s">
        <v>73</v>
      </c>
      <c r="E39" t="s">
        <v>74</v>
      </c>
      <c r="F39" t="s">
        <v>77</v>
      </c>
      <c r="G39" t="s">
        <v>76</v>
      </c>
      <c r="H39">
        <v>45.794035810652829</v>
      </c>
      <c r="I39">
        <v>1</v>
      </c>
      <c r="J39">
        <v>8</v>
      </c>
      <c r="K39">
        <v>8</v>
      </c>
      <c r="L39">
        <v>0</v>
      </c>
      <c r="M39">
        <v>7</v>
      </c>
      <c r="N39">
        <v>8</v>
      </c>
      <c r="O39">
        <v>-1</v>
      </c>
      <c r="P39">
        <v>9</v>
      </c>
      <c r="Q39">
        <v>8</v>
      </c>
      <c r="R39">
        <v>1</v>
      </c>
      <c r="S39">
        <v>9</v>
      </c>
      <c r="T39">
        <v>8</v>
      </c>
      <c r="U39">
        <v>1</v>
      </c>
      <c r="V39">
        <v>8</v>
      </c>
      <c r="W39">
        <v>8</v>
      </c>
      <c r="X39">
        <v>0</v>
      </c>
      <c r="Y39">
        <v>8</v>
      </c>
      <c r="Z39">
        <v>8</v>
      </c>
      <c r="AA39">
        <v>0</v>
      </c>
      <c r="AB39">
        <v>7</v>
      </c>
      <c r="AC39">
        <v>8</v>
      </c>
      <c r="AD39">
        <v>-1</v>
      </c>
      <c r="AE39">
        <v>6</v>
      </c>
      <c r="AF39">
        <v>8</v>
      </c>
      <c r="AG39">
        <v>-2</v>
      </c>
      <c r="AH39">
        <v>7</v>
      </c>
      <c r="AI39">
        <v>8</v>
      </c>
      <c r="AJ39">
        <v>-1</v>
      </c>
      <c r="AK39" t="s">
        <v>548</v>
      </c>
      <c r="AL39" t="s">
        <v>549</v>
      </c>
      <c r="AM39" t="s">
        <v>550</v>
      </c>
      <c r="AN39" t="s">
        <v>551</v>
      </c>
      <c r="AO39" t="s">
        <v>552</v>
      </c>
      <c r="AP39" t="s">
        <v>553</v>
      </c>
      <c r="AQ39" t="s">
        <v>554</v>
      </c>
      <c r="AR39" t="s">
        <v>555</v>
      </c>
      <c r="AS39" t="s">
        <v>556</v>
      </c>
    </row>
    <row r="40" spans="1:45" x14ac:dyDescent="0.45">
      <c r="A40">
        <v>39</v>
      </c>
      <c r="B40">
        <v>80</v>
      </c>
      <c r="C40" t="s">
        <v>78</v>
      </c>
      <c r="D40" t="s">
        <v>81</v>
      </c>
      <c r="E40" t="s">
        <v>74</v>
      </c>
      <c r="F40" t="s">
        <v>77</v>
      </c>
      <c r="G40" t="s">
        <v>76</v>
      </c>
      <c r="H40">
        <v>15.682456656717269</v>
      </c>
      <c r="I40">
        <v>0</v>
      </c>
      <c r="J40">
        <v>7</v>
      </c>
      <c r="K40">
        <v>10</v>
      </c>
      <c r="L40">
        <v>-3</v>
      </c>
      <c r="M40">
        <v>8</v>
      </c>
      <c r="N40">
        <v>10</v>
      </c>
      <c r="O40">
        <v>-2</v>
      </c>
      <c r="P40">
        <v>9</v>
      </c>
      <c r="Q40">
        <v>10</v>
      </c>
      <c r="R40">
        <v>-1</v>
      </c>
      <c r="S40">
        <v>8</v>
      </c>
      <c r="T40">
        <v>10</v>
      </c>
      <c r="U40">
        <v>-2</v>
      </c>
      <c r="V40">
        <v>7</v>
      </c>
      <c r="W40">
        <v>10</v>
      </c>
      <c r="X40">
        <v>-3</v>
      </c>
      <c r="Y40">
        <v>8</v>
      </c>
      <c r="Z40">
        <v>10</v>
      </c>
      <c r="AA40">
        <v>-2</v>
      </c>
      <c r="AB40">
        <v>7</v>
      </c>
      <c r="AC40">
        <v>10</v>
      </c>
      <c r="AD40">
        <v>-3</v>
      </c>
      <c r="AE40">
        <v>6</v>
      </c>
      <c r="AF40">
        <v>10</v>
      </c>
      <c r="AG40">
        <v>-4</v>
      </c>
      <c r="AH40">
        <v>9</v>
      </c>
      <c r="AI40">
        <v>10</v>
      </c>
      <c r="AJ40">
        <v>-1</v>
      </c>
      <c r="AK40" t="s">
        <v>557</v>
      </c>
      <c r="AL40" t="s">
        <v>558</v>
      </c>
      <c r="AM40" t="s">
        <v>559</v>
      </c>
      <c r="AN40" t="s">
        <v>560</v>
      </c>
      <c r="AO40" t="s">
        <v>561</v>
      </c>
      <c r="AP40" t="s">
        <v>562</v>
      </c>
      <c r="AQ40" t="s">
        <v>563</v>
      </c>
      <c r="AR40" t="s">
        <v>564</v>
      </c>
      <c r="AS40" t="s">
        <v>565</v>
      </c>
    </row>
    <row r="41" spans="1:45" x14ac:dyDescent="0.45">
      <c r="A41">
        <v>40</v>
      </c>
      <c r="B41">
        <v>81</v>
      </c>
      <c r="C41" t="s">
        <v>78</v>
      </c>
      <c r="D41" t="s">
        <v>73</v>
      </c>
      <c r="E41" t="s">
        <v>74</v>
      </c>
      <c r="F41" t="s">
        <v>77</v>
      </c>
      <c r="G41" t="s">
        <v>76</v>
      </c>
      <c r="H41">
        <v>166.24876708363354</v>
      </c>
      <c r="I41">
        <v>1</v>
      </c>
      <c r="J41">
        <v>7</v>
      </c>
      <c r="K41">
        <v>8</v>
      </c>
      <c r="L41">
        <v>-1</v>
      </c>
      <c r="M41">
        <v>8</v>
      </c>
      <c r="N41">
        <v>8</v>
      </c>
      <c r="O41">
        <v>0</v>
      </c>
      <c r="P41">
        <v>9</v>
      </c>
      <c r="Q41">
        <v>6</v>
      </c>
      <c r="R41">
        <v>3</v>
      </c>
      <c r="S41">
        <v>8</v>
      </c>
      <c r="T41">
        <v>8</v>
      </c>
      <c r="U41">
        <v>0</v>
      </c>
      <c r="V41">
        <v>9</v>
      </c>
      <c r="W41">
        <v>7</v>
      </c>
      <c r="X41">
        <v>2</v>
      </c>
      <c r="Y41">
        <v>7</v>
      </c>
      <c r="Z41">
        <v>8</v>
      </c>
      <c r="AA41">
        <v>-1</v>
      </c>
      <c r="AB41">
        <v>6</v>
      </c>
      <c r="AC41">
        <v>5</v>
      </c>
      <c r="AD41">
        <v>1</v>
      </c>
      <c r="AE41">
        <v>5</v>
      </c>
      <c r="AF41">
        <v>6</v>
      </c>
      <c r="AG41">
        <v>-1</v>
      </c>
      <c r="AH41">
        <v>7</v>
      </c>
      <c r="AI41">
        <v>7</v>
      </c>
      <c r="AJ41">
        <v>0</v>
      </c>
      <c r="AK41" t="s">
        <v>566</v>
      </c>
      <c r="AL41" t="s">
        <v>567</v>
      </c>
      <c r="AM41" t="s">
        <v>568</v>
      </c>
      <c r="AN41" t="s">
        <v>569</v>
      </c>
      <c r="AO41" t="s">
        <v>570</v>
      </c>
      <c r="AP41" t="s">
        <v>571</v>
      </c>
      <c r="AQ41" t="s">
        <v>572</v>
      </c>
      <c r="AR41" t="s">
        <v>573</v>
      </c>
      <c r="AS41" t="s">
        <v>574</v>
      </c>
    </row>
    <row r="42" spans="1:45" x14ac:dyDescent="0.45">
      <c r="A42">
        <v>41</v>
      </c>
      <c r="B42">
        <v>82</v>
      </c>
      <c r="C42" t="s">
        <v>78</v>
      </c>
      <c r="D42" t="s">
        <v>73</v>
      </c>
      <c r="E42" t="s">
        <v>74</v>
      </c>
      <c r="F42" t="s">
        <v>77</v>
      </c>
      <c r="G42" t="s">
        <v>76</v>
      </c>
      <c r="H42">
        <v>100.92680132394321</v>
      </c>
      <c r="I42">
        <v>2</v>
      </c>
      <c r="J42">
        <v>7</v>
      </c>
      <c r="K42">
        <v>9</v>
      </c>
      <c r="L42">
        <v>-2</v>
      </c>
      <c r="M42">
        <v>8</v>
      </c>
      <c r="N42">
        <v>8</v>
      </c>
      <c r="O42">
        <v>0</v>
      </c>
      <c r="P42">
        <v>6</v>
      </c>
      <c r="Q42">
        <v>7</v>
      </c>
      <c r="R42">
        <v>-1</v>
      </c>
      <c r="S42">
        <v>9</v>
      </c>
      <c r="T42">
        <v>8</v>
      </c>
      <c r="U42">
        <v>1</v>
      </c>
      <c r="V42">
        <v>8</v>
      </c>
      <c r="W42">
        <v>7</v>
      </c>
      <c r="X42">
        <v>1</v>
      </c>
      <c r="Y42">
        <v>9</v>
      </c>
      <c r="Z42">
        <v>4</v>
      </c>
      <c r="AA42">
        <v>5</v>
      </c>
      <c r="AB42">
        <v>7</v>
      </c>
      <c r="AC42">
        <v>2</v>
      </c>
      <c r="AD42">
        <v>5</v>
      </c>
      <c r="AE42">
        <v>6</v>
      </c>
      <c r="AF42">
        <v>8</v>
      </c>
      <c r="AG42">
        <v>-2</v>
      </c>
      <c r="AH42">
        <v>8</v>
      </c>
      <c r="AI42">
        <v>8</v>
      </c>
      <c r="AJ42">
        <v>0</v>
      </c>
      <c r="AK42" t="s">
        <v>575</v>
      </c>
      <c r="AL42" t="s">
        <v>576</v>
      </c>
      <c r="AM42" t="s">
        <v>577</v>
      </c>
      <c r="AN42" t="s">
        <v>578</v>
      </c>
      <c r="AO42" t="s">
        <v>579</v>
      </c>
      <c r="AP42" t="s">
        <v>580</v>
      </c>
      <c r="AQ42" t="s">
        <v>581</v>
      </c>
      <c r="AR42" t="s">
        <v>582</v>
      </c>
      <c r="AS42" t="s">
        <v>583</v>
      </c>
    </row>
    <row r="43" spans="1:45" x14ac:dyDescent="0.45">
      <c r="A43">
        <v>42</v>
      </c>
      <c r="B43">
        <v>83</v>
      </c>
      <c r="C43" t="s">
        <v>72</v>
      </c>
      <c r="D43" t="s">
        <v>73</v>
      </c>
      <c r="E43" t="s">
        <v>74</v>
      </c>
      <c r="F43" t="s">
        <v>77</v>
      </c>
      <c r="G43" t="s">
        <v>76</v>
      </c>
      <c r="H43">
        <v>36.746214797765028</v>
      </c>
      <c r="I43">
        <v>3</v>
      </c>
      <c r="J43">
        <v>7</v>
      </c>
      <c r="K43">
        <v>10</v>
      </c>
      <c r="L43">
        <v>-3</v>
      </c>
      <c r="M43">
        <v>8</v>
      </c>
      <c r="N43">
        <v>10</v>
      </c>
      <c r="O43">
        <v>-2</v>
      </c>
      <c r="P43">
        <v>9</v>
      </c>
      <c r="Q43">
        <v>9</v>
      </c>
      <c r="R43">
        <v>0</v>
      </c>
      <c r="S43">
        <v>8</v>
      </c>
      <c r="T43">
        <v>8</v>
      </c>
      <c r="U43">
        <v>0</v>
      </c>
      <c r="V43">
        <v>9</v>
      </c>
      <c r="W43">
        <v>7</v>
      </c>
      <c r="X43">
        <v>2</v>
      </c>
      <c r="Y43">
        <v>7</v>
      </c>
      <c r="Z43">
        <v>9</v>
      </c>
      <c r="AA43">
        <v>-2</v>
      </c>
      <c r="AB43">
        <v>8</v>
      </c>
      <c r="AC43">
        <v>9</v>
      </c>
      <c r="AD43">
        <v>-1</v>
      </c>
      <c r="AE43">
        <v>5</v>
      </c>
      <c r="AF43">
        <v>8</v>
      </c>
      <c r="AG43">
        <v>-3</v>
      </c>
      <c r="AH43">
        <v>6</v>
      </c>
      <c r="AI43">
        <v>8</v>
      </c>
      <c r="AJ43">
        <v>-2</v>
      </c>
      <c r="AK43" t="s">
        <v>584</v>
      </c>
      <c r="AL43" t="s">
        <v>585</v>
      </c>
      <c r="AM43" t="s">
        <v>586</v>
      </c>
      <c r="AN43" t="s">
        <v>587</v>
      </c>
      <c r="AO43" t="s">
        <v>588</v>
      </c>
      <c r="AP43" t="s">
        <v>589</v>
      </c>
      <c r="AQ43" t="s">
        <v>590</v>
      </c>
      <c r="AR43" t="s">
        <v>591</v>
      </c>
      <c r="AS43" t="s">
        <v>592</v>
      </c>
    </row>
    <row r="44" spans="1:45" x14ac:dyDescent="0.45">
      <c r="A44">
        <v>43</v>
      </c>
      <c r="B44">
        <v>84</v>
      </c>
      <c r="C44" t="s">
        <v>72</v>
      </c>
      <c r="D44" t="s">
        <v>73</v>
      </c>
      <c r="E44" t="s">
        <v>74</v>
      </c>
      <c r="F44" t="s">
        <v>77</v>
      </c>
      <c r="G44" t="s">
        <v>76</v>
      </c>
      <c r="H44">
        <v>210.3505393613315</v>
      </c>
      <c r="I44">
        <v>2</v>
      </c>
      <c r="J44">
        <v>7</v>
      </c>
      <c r="K44">
        <v>6</v>
      </c>
      <c r="L44">
        <v>1</v>
      </c>
      <c r="M44">
        <v>8</v>
      </c>
      <c r="N44">
        <v>6</v>
      </c>
      <c r="O44">
        <v>2</v>
      </c>
      <c r="P44">
        <v>6</v>
      </c>
      <c r="Q44">
        <v>8</v>
      </c>
      <c r="R44">
        <v>-2</v>
      </c>
      <c r="S44">
        <v>5</v>
      </c>
      <c r="T44">
        <v>10</v>
      </c>
      <c r="U44">
        <v>-5</v>
      </c>
      <c r="V44">
        <v>7</v>
      </c>
      <c r="W44">
        <v>9</v>
      </c>
      <c r="X44">
        <v>-2</v>
      </c>
      <c r="Y44">
        <v>6</v>
      </c>
      <c r="Z44">
        <v>1</v>
      </c>
      <c r="AA44">
        <v>5</v>
      </c>
      <c r="AB44">
        <v>7</v>
      </c>
      <c r="AC44">
        <v>7</v>
      </c>
      <c r="AD44">
        <v>0</v>
      </c>
      <c r="AE44">
        <v>5</v>
      </c>
      <c r="AF44">
        <v>7</v>
      </c>
      <c r="AG44">
        <v>-2</v>
      </c>
      <c r="AH44">
        <v>6</v>
      </c>
      <c r="AI44">
        <v>8</v>
      </c>
      <c r="AJ44">
        <v>-2</v>
      </c>
      <c r="AK44" t="s">
        <v>593</v>
      </c>
      <c r="AL44" t="s">
        <v>594</v>
      </c>
      <c r="AM44" t="s">
        <v>595</v>
      </c>
      <c r="AN44" t="s">
        <v>596</v>
      </c>
      <c r="AO44" t="s">
        <v>597</v>
      </c>
      <c r="AP44" t="s">
        <v>598</v>
      </c>
      <c r="AQ44" t="s">
        <v>597</v>
      </c>
      <c r="AR44" t="s">
        <v>599</v>
      </c>
      <c r="AS44" t="s">
        <v>600</v>
      </c>
    </row>
    <row r="45" spans="1:45" x14ac:dyDescent="0.45">
      <c r="A45">
        <v>44</v>
      </c>
      <c r="B45">
        <v>85</v>
      </c>
      <c r="C45" t="s">
        <v>78</v>
      </c>
      <c r="D45" t="s">
        <v>73</v>
      </c>
      <c r="E45" t="s">
        <v>74</v>
      </c>
      <c r="F45" t="s">
        <v>77</v>
      </c>
      <c r="G45" t="s">
        <v>76</v>
      </c>
      <c r="H45">
        <v>23.354583929687994</v>
      </c>
      <c r="I45">
        <v>1</v>
      </c>
      <c r="J45">
        <v>8</v>
      </c>
      <c r="K45">
        <v>8</v>
      </c>
      <c r="L45">
        <v>0</v>
      </c>
      <c r="M45">
        <v>7</v>
      </c>
      <c r="N45">
        <v>8</v>
      </c>
      <c r="O45">
        <v>-1</v>
      </c>
      <c r="P45">
        <v>6</v>
      </c>
      <c r="Q45">
        <v>8</v>
      </c>
      <c r="R45">
        <v>-2</v>
      </c>
      <c r="S45">
        <v>9</v>
      </c>
      <c r="T45">
        <v>8</v>
      </c>
      <c r="U45">
        <v>1</v>
      </c>
      <c r="V45">
        <v>7</v>
      </c>
      <c r="W45">
        <v>8</v>
      </c>
      <c r="X45">
        <v>-1</v>
      </c>
      <c r="Y45">
        <v>8</v>
      </c>
      <c r="Z45">
        <v>8</v>
      </c>
      <c r="AA45">
        <v>0</v>
      </c>
      <c r="AB45">
        <v>6</v>
      </c>
      <c r="AC45">
        <v>9</v>
      </c>
      <c r="AD45">
        <v>-3</v>
      </c>
      <c r="AE45">
        <v>7</v>
      </c>
      <c r="AF45">
        <v>5</v>
      </c>
      <c r="AG45">
        <v>2</v>
      </c>
      <c r="AH45">
        <v>8</v>
      </c>
      <c r="AI45">
        <v>9</v>
      </c>
      <c r="AJ45">
        <v>-1</v>
      </c>
      <c r="AK45" t="s">
        <v>601</v>
      </c>
      <c r="AL45" t="s">
        <v>602</v>
      </c>
      <c r="AM45" t="s">
        <v>603</v>
      </c>
      <c r="AN45" t="s">
        <v>604</v>
      </c>
      <c r="AO45" t="s">
        <v>605</v>
      </c>
      <c r="AP45" t="s">
        <v>606</v>
      </c>
      <c r="AQ45" t="s">
        <v>607</v>
      </c>
      <c r="AR45" t="s">
        <v>608</v>
      </c>
      <c r="AS45" t="s">
        <v>609</v>
      </c>
    </row>
    <row r="46" spans="1:45" x14ac:dyDescent="0.45">
      <c r="A46">
        <v>45</v>
      </c>
      <c r="B46">
        <v>86</v>
      </c>
      <c r="C46" t="s">
        <v>72</v>
      </c>
      <c r="D46" t="s">
        <v>79</v>
      </c>
      <c r="E46" t="s">
        <v>74</v>
      </c>
      <c r="F46" t="s">
        <v>77</v>
      </c>
      <c r="G46" t="s">
        <v>76</v>
      </c>
      <c r="H46">
        <v>27.923698546286271</v>
      </c>
      <c r="I46">
        <v>2</v>
      </c>
      <c r="J46">
        <v>6</v>
      </c>
      <c r="K46">
        <v>10</v>
      </c>
      <c r="L46">
        <v>-4</v>
      </c>
      <c r="M46">
        <v>7</v>
      </c>
      <c r="N46">
        <v>10</v>
      </c>
      <c r="O46">
        <v>-3</v>
      </c>
      <c r="P46">
        <v>8</v>
      </c>
      <c r="Q46">
        <v>10</v>
      </c>
      <c r="R46">
        <v>-2</v>
      </c>
      <c r="S46">
        <v>9</v>
      </c>
      <c r="T46">
        <v>9</v>
      </c>
      <c r="U46">
        <v>0</v>
      </c>
      <c r="V46">
        <v>7</v>
      </c>
      <c r="W46">
        <v>10</v>
      </c>
      <c r="X46">
        <v>-3</v>
      </c>
      <c r="Y46">
        <v>8</v>
      </c>
      <c r="Z46">
        <v>10</v>
      </c>
      <c r="AA46">
        <v>-2</v>
      </c>
      <c r="AB46">
        <v>6</v>
      </c>
      <c r="AC46">
        <v>10</v>
      </c>
      <c r="AD46">
        <v>-4</v>
      </c>
      <c r="AE46">
        <v>5</v>
      </c>
      <c r="AF46">
        <v>10</v>
      </c>
      <c r="AG46">
        <v>-5</v>
      </c>
      <c r="AH46">
        <v>7</v>
      </c>
      <c r="AI46">
        <v>10</v>
      </c>
      <c r="AJ46">
        <v>-3</v>
      </c>
      <c r="AK46" t="s">
        <v>610</v>
      </c>
      <c r="AL46" t="s">
        <v>611</v>
      </c>
      <c r="AM46" t="s">
        <v>612</v>
      </c>
      <c r="AN46" t="s">
        <v>613</v>
      </c>
      <c r="AO46" t="s">
        <v>614</v>
      </c>
      <c r="AP46" t="s">
        <v>615</v>
      </c>
      <c r="AQ46" t="s">
        <v>616</v>
      </c>
      <c r="AR46" t="s">
        <v>617</v>
      </c>
      <c r="AS46" t="s">
        <v>618</v>
      </c>
    </row>
    <row r="47" spans="1:45" x14ac:dyDescent="0.45">
      <c r="A47">
        <v>46</v>
      </c>
      <c r="B47">
        <v>87</v>
      </c>
      <c r="C47" t="s">
        <v>72</v>
      </c>
      <c r="D47" t="s">
        <v>190</v>
      </c>
      <c r="E47" t="s">
        <v>80</v>
      </c>
      <c r="F47" t="s">
        <v>77</v>
      </c>
      <c r="G47" t="s">
        <v>76</v>
      </c>
      <c r="H47">
        <v>12</v>
      </c>
      <c r="I47">
        <v>2</v>
      </c>
      <c r="J47">
        <v>7</v>
      </c>
      <c r="K47">
        <v>1</v>
      </c>
      <c r="L47">
        <v>6</v>
      </c>
      <c r="M47">
        <v>6</v>
      </c>
      <c r="N47">
        <v>1</v>
      </c>
      <c r="O47">
        <v>5</v>
      </c>
      <c r="P47">
        <v>6</v>
      </c>
      <c r="Q47">
        <v>2</v>
      </c>
      <c r="R47">
        <v>4</v>
      </c>
      <c r="S47">
        <v>7</v>
      </c>
      <c r="T47">
        <v>1</v>
      </c>
      <c r="U47">
        <v>6</v>
      </c>
      <c r="V47">
        <v>8</v>
      </c>
      <c r="W47">
        <v>1</v>
      </c>
      <c r="X47">
        <v>7</v>
      </c>
      <c r="Y47">
        <v>7</v>
      </c>
      <c r="Z47">
        <v>1</v>
      </c>
      <c r="AA47">
        <v>6</v>
      </c>
      <c r="AB47">
        <v>8</v>
      </c>
      <c r="AC47">
        <v>1</v>
      </c>
      <c r="AD47">
        <v>7</v>
      </c>
      <c r="AE47">
        <v>6</v>
      </c>
      <c r="AF47">
        <v>1</v>
      </c>
      <c r="AG47">
        <v>5</v>
      </c>
      <c r="AH47">
        <v>7</v>
      </c>
      <c r="AI47">
        <v>1</v>
      </c>
      <c r="AJ47">
        <v>6</v>
      </c>
      <c r="AK47" t="s">
        <v>619</v>
      </c>
      <c r="AL47" t="s">
        <v>620</v>
      </c>
      <c r="AM47" t="s">
        <v>621</v>
      </c>
      <c r="AN47" t="s">
        <v>622</v>
      </c>
      <c r="AO47" t="s">
        <v>623</v>
      </c>
      <c r="AP47" t="s">
        <v>624</v>
      </c>
      <c r="AQ47" t="s">
        <v>625</v>
      </c>
      <c r="AR47" t="s">
        <v>626</v>
      </c>
      <c r="AS47" t="s">
        <v>627</v>
      </c>
    </row>
    <row r="48" spans="1:45" x14ac:dyDescent="0.45">
      <c r="A48">
        <v>47</v>
      </c>
      <c r="B48">
        <v>88</v>
      </c>
      <c r="C48" t="s">
        <v>78</v>
      </c>
      <c r="D48" t="s">
        <v>73</v>
      </c>
      <c r="E48" t="s">
        <v>74</v>
      </c>
      <c r="F48" t="s">
        <v>77</v>
      </c>
      <c r="G48" t="s">
        <v>76</v>
      </c>
      <c r="H48">
        <v>12</v>
      </c>
      <c r="I48">
        <v>0</v>
      </c>
      <c r="J48">
        <v>7</v>
      </c>
      <c r="K48">
        <v>8</v>
      </c>
      <c r="L48">
        <v>-1</v>
      </c>
      <c r="M48">
        <v>6</v>
      </c>
      <c r="N48">
        <v>8</v>
      </c>
      <c r="O48">
        <v>-2</v>
      </c>
      <c r="P48">
        <v>8</v>
      </c>
      <c r="Q48">
        <v>8</v>
      </c>
      <c r="R48">
        <v>0</v>
      </c>
      <c r="S48">
        <v>9</v>
      </c>
      <c r="T48">
        <v>7</v>
      </c>
      <c r="U48">
        <v>2</v>
      </c>
      <c r="V48">
        <v>8</v>
      </c>
      <c r="W48">
        <v>6</v>
      </c>
      <c r="X48">
        <v>2</v>
      </c>
      <c r="Y48">
        <v>7</v>
      </c>
      <c r="Z48">
        <v>8</v>
      </c>
      <c r="AA48">
        <v>-1</v>
      </c>
      <c r="AB48">
        <v>8</v>
      </c>
      <c r="AC48">
        <v>8</v>
      </c>
      <c r="AD48">
        <v>0</v>
      </c>
      <c r="AE48">
        <v>5</v>
      </c>
      <c r="AF48">
        <v>9</v>
      </c>
      <c r="AG48">
        <v>-4</v>
      </c>
      <c r="AH48">
        <v>8</v>
      </c>
      <c r="AI48">
        <v>8</v>
      </c>
      <c r="AJ48">
        <v>0</v>
      </c>
      <c r="AK48" t="s">
        <v>628</v>
      </c>
      <c r="AL48" t="s">
        <v>629</v>
      </c>
      <c r="AM48" t="s">
        <v>630</v>
      </c>
      <c r="AN48" t="s">
        <v>631</v>
      </c>
      <c r="AO48" t="s">
        <v>632</v>
      </c>
      <c r="AP48" t="s">
        <v>633</v>
      </c>
      <c r="AQ48" t="s">
        <v>634</v>
      </c>
      <c r="AR48" t="s">
        <v>635</v>
      </c>
      <c r="AS48" t="s">
        <v>636</v>
      </c>
    </row>
    <row r="49" spans="1:45" x14ac:dyDescent="0.45">
      <c r="A49">
        <v>48</v>
      </c>
      <c r="B49">
        <v>89</v>
      </c>
      <c r="C49" t="s">
        <v>72</v>
      </c>
      <c r="D49" t="s">
        <v>73</v>
      </c>
      <c r="E49" t="s">
        <v>74</v>
      </c>
      <c r="F49" t="s">
        <v>77</v>
      </c>
      <c r="G49" t="s">
        <v>76</v>
      </c>
      <c r="H49">
        <v>40.636657127150492</v>
      </c>
      <c r="I49">
        <v>3</v>
      </c>
      <c r="J49">
        <v>7</v>
      </c>
      <c r="K49">
        <v>10</v>
      </c>
      <c r="L49">
        <v>-3</v>
      </c>
      <c r="M49">
        <v>6</v>
      </c>
      <c r="N49">
        <v>10</v>
      </c>
      <c r="O49">
        <v>-4</v>
      </c>
      <c r="P49">
        <v>8</v>
      </c>
      <c r="Q49">
        <v>10</v>
      </c>
      <c r="R49">
        <v>-2</v>
      </c>
      <c r="S49">
        <v>9</v>
      </c>
      <c r="T49">
        <v>10</v>
      </c>
      <c r="U49">
        <v>-1</v>
      </c>
      <c r="V49">
        <v>7</v>
      </c>
      <c r="W49">
        <v>10</v>
      </c>
      <c r="X49">
        <v>-3</v>
      </c>
      <c r="Y49">
        <v>6</v>
      </c>
      <c r="Z49">
        <v>10</v>
      </c>
      <c r="AA49">
        <v>-4</v>
      </c>
      <c r="AB49">
        <v>7</v>
      </c>
      <c r="AC49">
        <v>10</v>
      </c>
      <c r="AD49">
        <v>-3</v>
      </c>
      <c r="AE49">
        <v>6</v>
      </c>
      <c r="AF49">
        <v>10</v>
      </c>
      <c r="AG49">
        <v>-4</v>
      </c>
      <c r="AH49">
        <v>8</v>
      </c>
      <c r="AI49">
        <v>10</v>
      </c>
      <c r="AJ49">
        <v>-2</v>
      </c>
      <c r="AK49" t="s">
        <v>637</v>
      </c>
      <c r="AL49" t="s">
        <v>638</v>
      </c>
      <c r="AM49" t="s">
        <v>639</v>
      </c>
      <c r="AN49" t="s">
        <v>640</v>
      </c>
      <c r="AO49" t="s">
        <v>641</v>
      </c>
      <c r="AP49" t="s">
        <v>642</v>
      </c>
      <c r="AQ49" t="s">
        <v>643</v>
      </c>
      <c r="AR49" t="s">
        <v>644</v>
      </c>
      <c r="AS49" t="s">
        <v>645</v>
      </c>
    </row>
    <row r="50" spans="1:45" x14ac:dyDescent="0.45">
      <c r="A50">
        <v>49</v>
      </c>
      <c r="B50">
        <v>90</v>
      </c>
      <c r="C50" t="s">
        <v>78</v>
      </c>
      <c r="D50" t="s">
        <v>73</v>
      </c>
      <c r="E50" t="s">
        <v>74</v>
      </c>
      <c r="F50" t="s">
        <v>77</v>
      </c>
      <c r="G50" t="s">
        <v>76</v>
      </c>
      <c r="H50">
        <v>157.10525141680057</v>
      </c>
      <c r="I50">
        <v>2</v>
      </c>
      <c r="J50">
        <v>7</v>
      </c>
      <c r="K50">
        <v>8</v>
      </c>
      <c r="L50">
        <v>-1</v>
      </c>
      <c r="M50">
        <v>8</v>
      </c>
      <c r="N50">
        <v>8</v>
      </c>
      <c r="O50">
        <v>0</v>
      </c>
      <c r="P50">
        <v>6</v>
      </c>
      <c r="Q50">
        <v>7</v>
      </c>
      <c r="R50">
        <v>-1</v>
      </c>
      <c r="S50">
        <v>7</v>
      </c>
      <c r="T50">
        <v>8</v>
      </c>
      <c r="U50">
        <v>-1</v>
      </c>
      <c r="V50">
        <v>6</v>
      </c>
      <c r="W50">
        <v>6</v>
      </c>
      <c r="X50">
        <v>0</v>
      </c>
      <c r="Y50">
        <v>6</v>
      </c>
      <c r="Z50">
        <v>8</v>
      </c>
      <c r="AA50">
        <v>-2</v>
      </c>
      <c r="AB50">
        <v>6</v>
      </c>
      <c r="AC50">
        <v>6</v>
      </c>
      <c r="AD50">
        <v>0</v>
      </c>
      <c r="AE50">
        <v>5</v>
      </c>
      <c r="AF50">
        <v>5</v>
      </c>
      <c r="AG50">
        <v>0</v>
      </c>
      <c r="AH50">
        <v>6</v>
      </c>
      <c r="AI50">
        <v>8</v>
      </c>
      <c r="AJ50">
        <v>-2</v>
      </c>
      <c r="AK50" t="s">
        <v>646</v>
      </c>
      <c r="AL50" t="s">
        <v>647</v>
      </c>
      <c r="AM50" t="s">
        <v>648</v>
      </c>
      <c r="AN50" t="s">
        <v>649</v>
      </c>
      <c r="AO50" t="s">
        <v>650</v>
      </c>
      <c r="AP50" t="s">
        <v>651</v>
      </c>
      <c r="AQ50" t="s">
        <v>652</v>
      </c>
      <c r="AR50" t="s">
        <v>653</v>
      </c>
      <c r="AS50" t="s">
        <v>654</v>
      </c>
    </row>
    <row r="51" spans="1:45" x14ac:dyDescent="0.45">
      <c r="A51">
        <v>50</v>
      </c>
      <c r="B51">
        <v>91</v>
      </c>
      <c r="C51" t="s">
        <v>72</v>
      </c>
      <c r="D51" t="s">
        <v>73</v>
      </c>
      <c r="E51" t="s">
        <v>74</v>
      </c>
      <c r="F51" t="s">
        <v>77</v>
      </c>
      <c r="G51" t="s">
        <v>76</v>
      </c>
      <c r="H51">
        <v>19.132332230671341</v>
      </c>
      <c r="I51">
        <v>3</v>
      </c>
      <c r="J51">
        <v>8</v>
      </c>
      <c r="K51">
        <v>10</v>
      </c>
      <c r="L51">
        <v>-2</v>
      </c>
      <c r="M51">
        <v>9</v>
      </c>
      <c r="N51">
        <v>10</v>
      </c>
      <c r="O51">
        <v>-1</v>
      </c>
      <c r="P51">
        <v>8</v>
      </c>
      <c r="Q51">
        <v>10</v>
      </c>
      <c r="R51">
        <v>-2</v>
      </c>
      <c r="S51">
        <v>7</v>
      </c>
      <c r="T51">
        <v>8</v>
      </c>
      <c r="U51">
        <v>-1</v>
      </c>
      <c r="V51">
        <v>8</v>
      </c>
      <c r="W51">
        <v>8</v>
      </c>
      <c r="X51">
        <v>0</v>
      </c>
      <c r="Y51">
        <v>7</v>
      </c>
      <c r="Z51">
        <v>8</v>
      </c>
      <c r="AA51">
        <v>-1</v>
      </c>
      <c r="AB51">
        <v>8</v>
      </c>
      <c r="AC51">
        <v>8</v>
      </c>
      <c r="AD51">
        <v>0</v>
      </c>
      <c r="AE51">
        <v>7</v>
      </c>
      <c r="AF51">
        <v>8</v>
      </c>
      <c r="AG51">
        <v>-1</v>
      </c>
      <c r="AH51">
        <v>8</v>
      </c>
      <c r="AI51">
        <v>8</v>
      </c>
      <c r="AJ51">
        <v>0</v>
      </c>
      <c r="AK51" t="s">
        <v>655</v>
      </c>
      <c r="AL51" t="s">
        <v>656</v>
      </c>
      <c r="AM51" t="s">
        <v>657</v>
      </c>
      <c r="AN51" t="s">
        <v>658</v>
      </c>
      <c r="AO51" t="s">
        <v>659</v>
      </c>
      <c r="AP51" t="s">
        <v>660</v>
      </c>
      <c r="AQ51" t="s">
        <v>661</v>
      </c>
      <c r="AR51" t="s">
        <v>662</v>
      </c>
      <c r="AS51" t="s">
        <v>663</v>
      </c>
    </row>
    <row r="52" spans="1:45" x14ac:dyDescent="0.45">
      <c r="A52">
        <v>51</v>
      </c>
      <c r="B52">
        <v>92</v>
      </c>
      <c r="C52" t="s">
        <v>78</v>
      </c>
      <c r="D52" t="s">
        <v>81</v>
      </c>
      <c r="E52" t="s">
        <v>74</v>
      </c>
      <c r="F52" t="s">
        <v>77</v>
      </c>
      <c r="G52" t="s">
        <v>76</v>
      </c>
      <c r="H52">
        <v>15.004321480925476</v>
      </c>
      <c r="I52">
        <v>0</v>
      </c>
      <c r="J52">
        <v>9</v>
      </c>
      <c r="K52">
        <v>10</v>
      </c>
      <c r="L52">
        <v>-1</v>
      </c>
      <c r="M52">
        <v>7</v>
      </c>
      <c r="N52">
        <v>10</v>
      </c>
      <c r="O52">
        <v>-3</v>
      </c>
      <c r="P52">
        <v>8</v>
      </c>
      <c r="Q52">
        <v>10</v>
      </c>
      <c r="R52">
        <v>-2</v>
      </c>
      <c r="S52">
        <v>7</v>
      </c>
      <c r="T52">
        <v>10</v>
      </c>
      <c r="U52">
        <v>-3</v>
      </c>
      <c r="V52">
        <v>8</v>
      </c>
      <c r="W52">
        <v>10</v>
      </c>
      <c r="X52">
        <v>-2</v>
      </c>
      <c r="Y52">
        <v>7</v>
      </c>
      <c r="Z52">
        <v>10</v>
      </c>
      <c r="AA52">
        <v>-3</v>
      </c>
      <c r="AB52">
        <v>7</v>
      </c>
      <c r="AC52">
        <v>10</v>
      </c>
      <c r="AD52">
        <v>-3</v>
      </c>
      <c r="AE52">
        <v>7</v>
      </c>
      <c r="AF52">
        <v>10</v>
      </c>
      <c r="AG52">
        <v>-3</v>
      </c>
      <c r="AH52">
        <v>8</v>
      </c>
      <c r="AI52">
        <v>10</v>
      </c>
      <c r="AJ52">
        <v>-2</v>
      </c>
      <c r="AK52" t="s">
        <v>664</v>
      </c>
      <c r="AL52" t="s">
        <v>665</v>
      </c>
      <c r="AM52" t="s">
        <v>666</v>
      </c>
      <c r="AN52" t="s">
        <v>667</v>
      </c>
      <c r="AO52" t="s">
        <v>668</v>
      </c>
      <c r="AP52" t="s">
        <v>669</v>
      </c>
      <c r="AQ52" t="s">
        <v>670</v>
      </c>
      <c r="AR52" t="s">
        <v>671</v>
      </c>
      <c r="AS52" t="s">
        <v>672</v>
      </c>
    </row>
    <row r="53" spans="1:45" x14ac:dyDescent="0.45">
      <c r="A53">
        <v>52</v>
      </c>
      <c r="B53">
        <v>93</v>
      </c>
      <c r="C53" t="s">
        <v>72</v>
      </c>
      <c r="D53" t="s">
        <v>81</v>
      </c>
      <c r="E53" t="s">
        <v>74</v>
      </c>
      <c r="F53" t="s">
        <v>77</v>
      </c>
      <c r="G53" t="s">
        <v>76</v>
      </c>
      <c r="H53">
        <v>21.941961505409019</v>
      </c>
      <c r="I53">
        <v>1</v>
      </c>
      <c r="J53">
        <v>7</v>
      </c>
      <c r="K53">
        <v>10</v>
      </c>
      <c r="L53">
        <v>-3</v>
      </c>
      <c r="M53">
        <v>8</v>
      </c>
      <c r="N53">
        <v>10</v>
      </c>
      <c r="O53">
        <v>-2</v>
      </c>
      <c r="P53">
        <v>9</v>
      </c>
      <c r="Q53">
        <v>10</v>
      </c>
      <c r="R53">
        <v>-1</v>
      </c>
      <c r="S53">
        <v>8</v>
      </c>
      <c r="T53">
        <v>10</v>
      </c>
      <c r="U53">
        <v>-2</v>
      </c>
      <c r="V53">
        <v>7</v>
      </c>
      <c r="W53">
        <v>10</v>
      </c>
      <c r="X53">
        <v>-3</v>
      </c>
      <c r="Y53">
        <v>6</v>
      </c>
      <c r="Z53">
        <v>10</v>
      </c>
      <c r="AA53">
        <v>-4</v>
      </c>
      <c r="AB53">
        <v>7</v>
      </c>
      <c r="AC53">
        <v>10</v>
      </c>
      <c r="AD53">
        <v>-3</v>
      </c>
      <c r="AE53">
        <v>6</v>
      </c>
      <c r="AF53">
        <v>10</v>
      </c>
      <c r="AG53">
        <v>-4</v>
      </c>
      <c r="AH53">
        <v>7</v>
      </c>
      <c r="AI53">
        <v>8</v>
      </c>
      <c r="AJ53">
        <v>-1</v>
      </c>
      <c r="AK53" t="s">
        <v>673</v>
      </c>
      <c r="AL53" t="s">
        <v>674</v>
      </c>
      <c r="AM53" t="s">
        <v>675</v>
      </c>
      <c r="AN53" t="s">
        <v>676</v>
      </c>
      <c r="AO53" t="s">
        <v>677</v>
      </c>
      <c r="AP53" t="s">
        <v>678</v>
      </c>
      <c r="AQ53" t="s">
        <v>679</v>
      </c>
      <c r="AR53" t="s">
        <v>680</v>
      </c>
      <c r="AS53" t="s">
        <v>681</v>
      </c>
    </row>
    <row r="54" spans="1:45" x14ac:dyDescent="0.45">
      <c r="A54">
        <v>53</v>
      </c>
      <c r="B54">
        <v>94</v>
      </c>
      <c r="C54" t="s">
        <v>78</v>
      </c>
      <c r="D54" t="s">
        <v>81</v>
      </c>
      <c r="E54" t="s">
        <v>74</v>
      </c>
      <c r="F54" t="s">
        <v>75</v>
      </c>
      <c r="G54" t="s">
        <v>76</v>
      </c>
      <c r="H54">
        <v>13.198354627756014</v>
      </c>
      <c r="I54">
        <v>2</v>
      </c>
      <c r="J54">
        <v>6</v>
      </c>
      <c r="K54">
        <v>10</v>
      </c>
      <c r="L54">
        <v>-4</v>
      </c>
      <c r="M54">
        <v>6</v>
      </c>
      <c r="N54">
        <v>10</v>
      </c>
      <c r="O54">
        <v>-4</v>
      </c>
      <c r="P54">
        <v>8</v>
      </c>
      <c r="Q54">
        <v>10</v>
      </c>
      <c r="R54">
        <v>-2</v>
      </c>
      <c r="S54">
        <v>8</v>
      </c>
      <c r="T54">
        <v>10</v>
      </c>
      <c r="U54">
        <v>-2</v>
      </c>
      <c r="V54">
        <v>7</v>
      </c>
      <c r="W54">
        <v>10</v>
      </c>
      <c r="X54">
        <v>-3</v>
      </c>
      <c r="Y54">
        <v>7</v>
      </c>
      <c r="Z54">
        <v>10</v>
      </c>
      <c r="AA54">
        <v>-3</v>
      </c>
      <c r="AB54">
        <v>7</v>
      </c>
      <c r="AC54">
        <v>10</v>
      </c>
      <c r="AD54">
        <v>-3</v>
      </c>
      <c r="AE54">
        <v>7</v>
      </c>
      <c r="AF54">
        <v>10</v>
      </c>
      <c r="AG54">
        <v>-3</v>
      </c>
      <c r="AH54">
        <v>6</v>
      </c>
      <c r="AI54">
        <v>10</v>
      </c>
      <c r="AJ54">
        <v>-4</v>
      </c>
      <c r="AK54" t="s">
        <v>682</v>
      </c>
      <c r="AL54" t="s">
        <v>683</v>
      </c>
      <c r="AM54" t="s">
        <v>684</v>
      </c>
      <c r="AN54" t="s">
        <v>685</v>
      </c>
      <c r="AO54" t="s">
        <v>686</v>
      </c>
      <c r="AP54" t="s">
        <v>687</v>
      </c>
      <c r="AQ54" t="s">
        <v>688</v>
      </c>
      <c r="AR54" t="s">
        <v>689</v>
      </c>
      <c r="AS54" t="s">
        <v>690</v>
      </c>
    </row>
    <row r="55" spans="1:45" x14ac:dyDescent="0.45">
      <c r="A55">
        <v>54</v>
      </c>
      <c r="B55">
        <v>95</v>
      </c>
      <c r="C55" t="s">
        <v>72</v>
      </c>
      <c r="D55" t="s">
        <v>79</v>
      </c>
      <c r="E55" t="s">
        <v>74</v>
      </c>
      <c r="F55" t="s">
        <v>77</v>
      </c>
      <c r="G55" t="s">
        <v>76</v>
      </c>
      <c r="H55">
        <v>40.121847610861892</v>
      </c>
      <c r="I55">
        <v>2</v>
      </c>
      <c r="J55">
        <v>7</v>
      </c>
      <c r="K55">
        <v>8</v>
      </c>
      <c r="L55">
        <v>-1</v>
      </c>
      <c r="M55">
        <v>6</v>
      </c>
      <c r="N55">
        <v>7</v>
      </c>
      <c r="O55">
        <v>-1</v>
      </c>
      <c r="P55">
        <v>8</v>
      </c>
      <c r="Q55">
        <v>7</v>
      </c>
      <c r="R55">
        <v>1</v>
      </c>
      <c r="S55">
        <v>9</v>
      </c>
      <c r="T55">
        <v>8</v>
      </c>
      <c r="U55">
        <v>1</v>
      </c>
      <c r="V55">
        <v>8</v>
      </c>
      <c r="W55">
        <v>7</v>
      </c>
      <c r="X55">
        <v>1</v>
      </c>
      <c r="Y55">
        <v>7</v>
      </c>
      <c r="Z55">
        <v>8</v>
      </c>
      <c r="AA55">
        <v>-1</v>
      </c>
      <c r="AB55">
        <v>6</v>
      </c>
      <c r="AC55">
        <v>7</v>
      </c>
      <c r="AD55">
        <v>-1</v>
      </c>
      <c r="AE55">
        <v>5</v>
      </c>
      <c r="AF55">
        <v>7</v>
      </c>
      <c r="AG55">
        <v>-2</v>
      </c>
      <c r="AH55">
        <v>8</v>
      </c>
      <c r="AI55">
        <v>8</v>
      </c>
      <c r="AJ55">
        <v>0</v>
      </c>
      <c r="AK55" t="s">
        <v>691</v>
      </c>
      <c r="AL55" t="s">
        <v>692</v>
      </c>
      <c r="AM55" t="s">
        <v>693</v>
      </c>
      <c r="AN55" t="s">
        <v>694</v>
      </c>
      <c r="AO55" t="s">
        <v>695</v>
      </c>
      <c r="AP55" t="s">
        <v>696</v>
      </c>
      <c r="AQ55" t="s">
        <v>697</v>
      </c>
      <c r="AR55" t="s">
        <v>698</v>
      </c>
      <c r="AS55" t="s">
        <v>699</v>
      </c>
    </row>
    <row r="56" spans="1:45" x14ac:dyDescent="0.45">
      <c r="A56">
        <v>55</v>
      </c>
      <c r="B56">
        <v>96</v>
      </c>
      <c r="C56" t="s">
        <v>72</v>
      </c>
      <c r="D56" t="s">
        <v>73</v>
      </c>
      <c r="E56" t="s">
        <v>74</v>
      </c>
      <c r="F56" t="s">
        <v>77</v>
      </c>
      <c r="G56" t="s">
        <v>76</v>
      </c>
      <c r="H56">
        <v>42.937535333774413</v>
      </c>
      <c r="I56">
        <v>1</v>
      </c>
      <c r="J56">
        <v>8</v>
      </c>
      <c r="K56">
        <v>10</v>
      </c>
      <c r="L56">
        <v>-2</v>
      </c>
      <c r="M56">
        <v>9</v>
      </c>
      <c r="N56">
        <v>9</v>
      </c>
      <c r="O56">
        <v>0</v>
      </c>
      <c r="P56">
        <v>7</v>
      </c>
      <c r="Q56">
        <v>3</v>
      </c>
      <c r="R56">
        <v>4</v>
      </c>
      <c r="S56">
        <v>8</v>
      </c>
      <c r="T56">
        <v>4</v>
      </c>
      <c r="U56">
        <v>4</v>
      </c>
      <c r="V56">
        <v>7</v>
      </c>
      <c r="W56">
        <v>3</v>
      </c>
      <c r="X56">
        <v>4</v>
      </c>
      <c r="Y56">
        <v>8</v>
      </c>
      <c r="Z56">
        <v>3</v>
      </c>
      <c r="AA56">
        <v>5</v>
      </c>
      <c r="AB56">
        <v>7</v>
      </c>
      <c r="AC56">
        <v>1</v>
      </c>
      <c r="AD56">
        <v>6</v>
      </c>
      <c r="AE56">
        <v>6</v>
      </c>
      <c r="AF56">
        <v>1</v>
      </c>
      <c r="AG56">
        <v>5</v>
      </c>
      <c r="AH56">
        <v>7</v>
      </c>
      <c r="AI56">
        <v>3</v>
      </c>
      <c r="AJ56">
        <v>4</v>
      </c>
      <c r="AK56" t="s">
        <v>700</v>
      </c>
      <c r="AL56" t="s">
        <v>701</v>
      </c>
      <c r="AM56" t="s">
        <v>702</v>
      </c>
      <c r="AN56" t="s">
        <v>703</v>
      </c>
      <c r="AO56" t="s">
        <v>704</v>
      </c>
      <c r="AP56" t="s">
        <v>705</v>
      </c>
      <c r="AQ56" t="s">
        <v>706</v>
      </c>
      <c r="AR56" t="s">
        <v>707</v>
      </c>
      <c r="AS56" t="s">
        <v>708</v>
      </c>
    </row>
    <row r="57" spans="1:45" x14ac:dyDescent="0.45">
      <c r="A57">
        <v>56</v>
      </c>
      <c r="B57">
        <v>97</v>
      </c>
      <c r="C57" t="s">
        <v>78</v>
      </c>
      <c r="D57" t="s">
        <v>81</v>
      </c>
      <c r="E57" t="s">
        <v>74</v>
      </c>
      <c r="F57" t="s">
        <v>77</v>
      </c>
      <c r="G57" t="s">
        <v>76</v>
      </c>
      <c r="H57">
        <v>12</v>
      </c>
      <c r="I57">
        <v>0</v>
      </c>
      <c r="J57">
        <v>6</v>
      </c>
      <c r="K57">
        <v>10</v>
      </c>
      <c r="L57">
        <v>-4</v>
      </c>
      <c r="M57">
        <v>7</v>
      </c>
      <c r="N57">
        <v>10</v>
      </c>
      <c r="O57">
        <v>-3</v>
      </c>
      <c r="P57">
        <v>8</v>
      </c>
      <c r="Q57">
        <v>9</v>
      </c>
      <c r="R57">
        <v>-1</v>
      </c>
      <c r="S57">
        <v>6</v>
      </c>
      <c r="T57">
        <v>10</v>
      </c>
      <c r="U57">
        <v>-4</v>
      </c>
      <c r="V57">
        <v>7</v>
      </c>
      <c r="W57">
        <v>9</v>
      </c>
      <c r="X57">
        <v>-2</v>
      </c>
      <c r="Y57">
        <v>5</v>
      </c>
      <c r="Z57">
        <v>10</v>
      </c>
      <c r="AA57">
        <v>-5</v>
      </c>
      <c r="AB57">
        <v>7</v>
      </c>
      <c r="AC57">
        <v>9</v>
      </c>
      <c r="AD57">
        <v>-2</v>
      </c>
      <c r="AE57">
        <v>6</v>
      </c>
      <c r="AF57">
        <v>10</v>
      </c>
      <c r="AG57">
        <v>-4</v>
      </c>
      <c r="AH57">
        <v>7</v>
      </c>
      <c r="AI57">
        <v>9</v>
      </c>
      <c r="AJ57">
        <v>-2</v>
      </c>
      <c r="AK57" t="s">
        <v>709</v>
      </c>
      <c r="AL57" t="s">
        <v>710</v>
      </c>
      <c r="AM57" t="s">
        <v>711</v>
      </c>
      <c r="AN57" t="s">
        <v>712</v>
      </c>
      <c r="AO57" t="s">
        <v>713</v>
      </c>
      <c r="AP57" t="s">
        <v>714</v>
      </c>
      <c r="AQ57" t="s">
        <v>715</v>
      </c>
      <c r="AR57" t="s">
        <v>716</v>
      </c>
      <c r="AS57" t="s">
        <v>717</v>
      </c>
    </row>
    <row r="58" spans="1:45" x14ac:dyDescent="0.45">
      <c r="A58">
        <v>57</v>
      </c>
      <c r="B58">
        <v>98</v>
      </c>
      <c r="C58" t="s">
        <v>72</v>
      </c>
      <c r="D58" t="s">
        <v>73</v>
      </c>
      <c r="E58" t="s">
        <v>74</v>
      </c>
      <c r="F58" t="s">
        <v>77</v>
      </c>
      <c r="G58" t="s">
        <v>76</v>
      </c>
      <c r="H58">
        <v>16.718277705058973</v>
      </c>
      <c r="I58">
        <v>2</v>
      </c>
      <c r="J58">
        <v>8</v>
      </c>
      <c r="K58">
        <v>10</v>
      </c>
      <c r="L58">
        <v>-2</v>
      </c>
      <c r="M58">
        <v>7</v>
      </c>
      <c r="N58">
        <v>10</v>
      </c>
      <c r="O58">
        <v>-3</v>
      </c>
      <c r="P58">
        <v>8</v>
      </c>
      <c r="Q58">
        <v>1</v>
      </c>
      <c r="R58">
        <v>7</v>
      </c>
      <c r="S58">
        <v>9</v>
      </c>
      <c r="T58">
        <v>5</v>
      </c>
      <c r="U58">
        <v>4</v>
      </c>
      <c r="V58">
        <v>7</v>
      </c>
      <c r="W58">
        <v>7</v>
      </c>
      <c r="X58">
        <v>0</v>
      </c>
      <c r="Y58">
        <v>8</v>
      </c>
      <c r="Z58">
        <v>10</v>
      </c>
      <c r="AA58">
        <v>-2</v>
      </c>
      <c r="AB58">
        <v>7</v>
      </c>
      <c r="AC58">
        <v>9</v>
      </c>
      <c r="AD58">
        <v>-2</v>
      </c>
      <c r="AE58">
        <v>6</v>
      </c>
      <c r="AF58">
        <v>9</v>
      </c>
      <c r="AG58">
        <v>-3</v>
      </c>
      <c r="AH58">
        <v>8</v>
      </c>
      <c r="AI58">
        <v>10</v>
      </c>
      <c r="AJ58">
        <v>-2</v>
      </c>
      <c r="AK58" t="s">
        <v>718</v>
      </c>
      <c r="AL58" t="s">
        <v>719</v>
      </c>
      <c r="AM58" t="s">
        <v>720</v>
      </c>
      <c r="AN58" t="s">
        <v>721</v>
      </c>
      <c r="AO58" t="s">
        <v>722</v>
      </c>
      <c r="AP58" t="s">
        <v>723</v>
      </c>
      <c r="AQ58" t="s">
        <v>724</v>
      </c>
      <c r="AR58" t="s">
        <v>725</v>
      </c>
      <c r="AS58" t="s">
        <v>726</v>
      </c>
    </row>
    <row r="59" spans="1:45" x14ac:dyDescent="0.45">
      <c r="A59">
        <v>58</v>
      </c>
      <c r="B59">
        <v>99</v>
      </c>
      <c r="C59" t="s">
        <v>72</v>
      </c>
      <c r="D59" t="s">
        <v>79</v>
      </c>
      <c r="E59" t="s">
        <v>74</v>
      </c>
      <c r="F59" t="s">
        <v>75</v>
      </c>
      <c r="G59" t="s">
        <v>76</v>
      </c>
      <c r="H59">
        <v>27.048245396387156</v>
      </c>
      <c r="I59">
        <v>1</v>
      </c>
      <c r="J59">
        <v>7</v>
      </c>
      <c r="K59">
        <v>5</v>
      </c>
      <c r="L59">
        <v>2</v>
      </c>
      <c r="M59">
        <v>6</v>
      </c>
      <c r="N59">
        <v>5</v>
      </c>
      <c r="O59">
        <v>1</v>
      </c>
      <c r="P59">
        <v>5</v>
      </c>
      <c r="Q59">
        <v>4</v>
      </c>
      <c r="R59">
        <v>1</v>
      </c>
      <c r="S59">
        <v>7</v>
      </c>
      <c r="T59">
        <v>8</v>
      </c>
      <c r="U59">
        <v>-1</v>
      </c>
      <c r="V59">
        <v>4</v>
      </c>
      <c r="W59">
        <v>5</v>
      </c>
      <c r="X59">
        <v>-1</v>
      </c>
      <c r="Y59">
        <v>5</v>
      </c>
      <c r="Z59">
        <v>7</v>
      </c>
      <c r="AA59">
        <v>-2</v>
      </c>
      <c r="AB59">
        <v>4</v>
      </c>
      <c r="AC59">
        <v>7</v>
      </c>
      <c r="AD59">
        <v>-3</v>
      </c>
      <c r="AE59">
        <v>5</v>
      </c>
      <c r="AF59">
        <v>7</v>
      </c>
      <c r="AG59">
        <v>-2</v>
      </c>
      <c r="AH59">
        <v>5</v>
      </c>
      <c r="AI59">
        <v>7</v>
      </c>
      <c r="AJ59">
        <v>-2</v>
      </c>
      <c r="AK59" t="s">
        <v>727</v>
      </c>
      <c r="AL59" t="s">
        <v>728</v>
      </c>
      <c r="AM59" t="s">
        <v>729</v>
      </c>
      <c r="AN59" t="s">
        <v>730</v>
      </c>
      <c r="AO59" t="s">
        <v>731</v>
      </c>
      <c r="AP59" t="s">
        <v>732</v>
      </c>
      <c r="AQ59" t="s">
        <v>733</v>
      </c>
      <c r="AR59" t="s">
        <v>734</v>
      </c>
      <c r="AS59" t="s">
        <v>735</v>
      </c>
    </row>
    <row r="60" spans="1:45" x14ac:dyDescent="0.45">
      <c r="A60">
        <v>59</v>
      </c>
      <c r="B60">
        <v>100</v>
      </c>
      <c r="C60" t="s">
        <v>72</v>
      </c>
      <c r="D60" t="s">
        <v>188</v>
      </c>
      <c r="E60" t="s">
        <v>74</v>
      </c>
      <c r="F60" t="s">
        <v>77</v>
      </c>
      <c r="G60" t="s">
        <v>161</v>
      </c>
      <c r="H60">
        <v>12</v>
      </c>
      <c r="I60">
        <v>0</v>
      </c>
      <c r="J60">
        <v>6</v>
      </c>
      <c r="K60">
        <v>9</v>
      </c>
      <c r="L60">
        <v>-3</v>
      </c>
      <c r="M60">
        <v>8</v>
      </c>
      <c r="N60">
        <v>9</v>
      </c>
      <c r="O60">
        <v>-1</v>
      </c>
      <c r="P60">
        <v>7</v>
      </c>
      <c r="Q60">
        <v>9</v>
      </c>
      <c r="R60">
        <v>-2</v>
      </c>
      <c r="S60">
        <v>9</v>
      </c>
      <c r="T60">
        <v>7</v>
      </c>
      <c r="U60">
        <v>2</v>
      </c>
      <c r="V60">
        <v>8</v>
      </c>
      <c r="W60">
        <v>7</v>
      </c>
      <c r="X60">
        <v>1</v>
      </c>
      <c r="Y60">
        <v>7</v>
      </c>
      <c r="Z60">
        <v>8</v>
      </c>
      <c r="AA60">
        <v>-1</v>
      </c>
      <c r="AB60">
        <v>6</v>
      </c>
      <c r="AC60">
        <v>8</v>
      </c>
      <c r="AD60">
        <v>-2</v>
      </c>
      <c r="AE60">
        <v>7</v>
      </c>
      <c r="AF60">
        <v>6</v>
      </c>
      <c r="AG60">
        <v>1</v>
      </c>
      <c r="AH60">
        <v>8</v>
      </c>
      <c r="AI60">
        <v>5</v>
      </c>
      <c r="AJ60">
        <v>3</v>
      </c>
      <c r="AK60" t="s">
        <v>736</v>
      </c>
      <c r="AL60" t="s">
        <v>737</v>
      </c>
      <c r="AM60" t="s">
        <v>738</v>
      </c>
      <c r="AN60" t="s">
        <v>220</v>
      </c>
      <c r="AO60" t="s">
        <v>739</v>
      </c>
      <c r="AP60" t="s">
        <v>740</v>
      </c>
      <c r="AQ60" t="s">
        <v>741</v>
      </c>
      <c r="AR60" t="s">
        <v>742</v>
      </c>
      <c r="AS60" t="s">
        <v>743</v>
      </c>
    </row>
    <row r="61" spans="1:45" x14ac:dyDescent="0.45">
      <c r="A61">
        <v>60</v>
      </c>
      <c r="B61">
        <v>101</v>
      </c>
      <c r="C61" t="s">
        <v>78</v>
      </c>
      <c r="D61" t="s">
        <v>81</v>
      </c>
      <c r="E61" t="s">
        <v>74</v>
      </c>
      <c r="F61" t="s">
        <v>77</v>
      </c>
      <c r="G61" t="s">
        <v>76</v>
      </c>
      <c r="H61">
        <v>16.71766252805277</v>
      </c>
      <c r="I61">
        <v>0</v>
      </c>
      <c r="J61">
        <v>8</v>
      </c>
      <c r="K61">
        <v>5</v>
      </c>
      <c r="L61">
        <v>3</v>
      </c>
      <c r="M61">
        <v>7</v>
      </c>
      <c r="N61">
        <v>5</v>
      </c>
      <c r="O61">
        <v>2</v>
      </c>
      <c r="P61">
        <v>9</v>
      </c>
      <c r="Q61">
        <v>5</v>
      </c>
      <c r="R61">
        <v>4</v>
      </c>
      <c r="S61">
        <v>8</v>
      </c>
      <c r="T61">
        <v>5</v>
      </c>
      <c r="U61">
        <v>3</v>
      </c>
      <c r="V61">
        <v>9</v>
      </c>
      <c r="W61">
        <v>5</v>
      </c>
      <c r="X61">
        <v>4</v>
      </c>
      <c r="Y61">
        <v>7</v>
      </c>
      <c r="Z61">
        <v>8</v>
      </c>
      <c r="AA61">
        <v>-1</v>
      </c>
      <c r="AB61">
        <v>6</v>
      </c>
      <c r="AC61">
        <v>4</v>
      </c>
      <c r="AD61">
        <v>2</v>
      </c>
      <c r="AE61">
        <v>7</v>
      </c>
      <c r="AF61">
        <v>5</v>
      </c>
      <c r="AG61">
        <v>2</v>
      </c>
      <c r="AH61">
        <v>8</v>
      </c>
      <c r="AI61">
        <v>5</v>
      </c>
      <c r="AJ61">
        <v>3</v>
      </c>
      <c r="AK61" t="s">
        <v>744</v>
      </c>
      <c r="AL61" t="s">
        <v>745</v>
      </c>
      <c r="AM61" t="s">
        <v>746</v>
      </c>
      <c r="AN61" t="s">
        <v>747</v>
      </c>
      <c r="AO61" t="s">
        <v>748</v>
      </c>
      <c r="AP61" t="s">
        <v>749</v>
      </c>
      <c r="AQ61" t="s">
        <v>750</v>
      </c>
      <c r="AR61" t="s">
        <v>751</v>
      </c>
      <c r="AS61" t="s">
        <v>752</v>
      </c>
    </row>
    <row r="62" spans="1:45" x14ac:dyDescent="0.45">
      <c r="A62">
        <v>61</v>
      </c>
      <c r="B62">
        <v>102</v>
      </c>
      <c r="C62" t="s">
        <v>72</v>
      </c>
      <c r="D62" t="s">
        <v>73</v>
      </c>
      <c r="E62" t="s">
        <v>74</v>
      </c>
      <c r="F62" t="s">
        <v>75</v>
      </c>
      <c r="G62" t="s">
        <v>76</v>
      </c>
      <c r="H62">
        <v>18.639964580017214</v>
      </c>
      <c r="I62">
        <v>1</v>
      </c>
      <c r="J62">
        <v>6</v>
      </c>
      <c r="K62">
        <v>8</v>
      </c>
      <c r="L62">
        <v>-2</v>
      </c>
      <c r="M62">
        <v>5</v>
      </c>
      <c r="N62">
        <v>9</v>
      </c>
      <c r="O62">
        <v>-4</v>
      </c>
      <c r="P62">
        <v>7</v>
      </c>
      <c r="Q62">
        <v>9</v>
      </c>
      <c r="R62">
        <v>-2</v>
      </c>
      <c r="S62">
        <v>8</v>
      </c>
      <c r="T62">
        <v>9</v>
      </c>
      <c r="U62">
        <v>-1</v>
      </c>
      <c r="V62">
        <v>6</v>
      </c>
      <c r="W62">
        <v>9</v>
      </c>
      <c r="X62">
        <v>-3</v>
      </c>
      <c r="Y62">
        <v>7</v>
      </c>
      <c r="Z62">
        <v>8</v>
      </c>
      <c r="AA62">
        <v>-1</v>
      </c>
      <c r="AB62">
        <v>6</v>
      </c>
      <c r="AC62">
        <v>8</v>
      </c>
      <c r="AD62">
        <v>-2</v>
      </c>
      <c r="AE62">
        <v>7</v>
      </c>
      <c r="AF62">
        <v>8</v>
      </c>
      <c r="AG62">
        <v>-1</v>
      </c>
      <c r="AH62">
        <v>8</v>
      </c>
      <c r="AI62">
        <v>9</v>
      </c>
      <c r="AJ62">
        <v>-1</v>
      </c>
      <c r="AK62" t="s">
        <v>753</v>
      </c>
      <c r="AL62" t="s">
        <v>754</v>
      </c>
      <c r="AM62" t="s">
        <v>755</v>
      </c>
      <c r="AN62" t="s">
        <v>756</v>
      </c>
      <c r="AO62" t="s">
        <v>757</v>
      </c>
      <c r="AP62" t="s">
        <v>758</v>
      </c>
      <c r="AQ62" t="s">
        <v>759</v>
      </c>
      <c r="AR62" t="s">
        <v>760</v>
      </c>
      <c r="AS62" t="s">
        <v>761</v>
      </c>
    </row>
    <row r="63" spans="1:45" x14ac:dyDescent="0.45">
      <c r="A63">
        <v>62</v>
      </c>
      <c r="B63">
        <v>103</v>
      </c>
      <c r="C63" t="s">
        <v>72</v>
      </c>
      <c r="D63" t="s">
        <v>81</v>
      </c>
      <c r="E63" t="s">
        <v>74</v>
      </c>
      <c r="F63" t="s">
        <v>75</v>
      </c>
      <c r="G63" t="s">
        <v>76</v>
      </c>
      <c r="H63">
        <v>25.501465861783579</v>
      </c>
      <c r="I63">
        <v>0</v>
      </c>
      <c r="J63">
        <v>7</v>
      </c>
      <c r="K63">
        <v>9</v>
      </c>
      <c r="L63">
        <v>-2</v>
      </c>
      <c r="M63">
        <v>7</v>
      </c>
      <c r="N63">
        <v>9</v>
      </c>
      <c r="O63">
        <v>-2</v>
      </c>
      <c r="P63">
        <v>8</v>
      </c>
      <c r="Q63">
        <v>7</v>
      </c>
      <c r="R63">
        <v>1</v>
      </c>
      <c r="S63">
        <v>9</v>
      </c>
      <c r="T63">
        <v>6</v>
      </c>
      <c r="U63">
        <v>3</v>
      </c>
      <c r="V63">
        <v>7</v>
      </c>
      <c r="W63">
        <v>7</v>
      </c>
      <c r="X63">
        <v>0</v>
      </c>
      <c r="Y63">
        <v>7</v>
      </c>
      <c r="Z63">
        <v>5</v>
      </c>
      <c r="AA63">
        <v>2</v>
      </c>
      <c r="AB63">
        <v>7</v>
      </c>
      <c r="AC63">
        <v>6</v>
      </c>
      <c r="AD63">
        <v>1</v>
      </c>
      <c r="AE63">
        <v>6</v>
      </c>
      <c r="AF63">
        <v>8</v>
      </c>
      <c r="AG63">
        <v>-2</v>
      </c>
      <c r="AH63">
        <v>7</v>
      </c>
      <c r="AI63">
        <v>5</v>
      </c>
      <c r="AJ63">
        <v>2</v>
      </c>
      <c r="AK63" t="s">
        <v>762</v>
      </c>
      <c r="AL63" t="s">
        <v>763</v>
      </c>
      <c r="AM63" t="s">
        <v>764</v>
      </c>
      <c r="AN63" t="s">
        <v>765</v>
      </c>
      <c r="AO63" t="s">
        <v>766</v>
      </c>
      <c r="AP63" t="s">
        <v>767</v>
      </c>
      <c r="AQ63" t="s">
        <v>768</v>
      </c>
      <c r="AR63" t="s">
        <v>769</v>
      </c>
      <c r="AS63" t="s">
        <v>770</v>
      </c>
    </row>
    <row r="64" spans="1:45" x14ac:dyDescent="0.45">
      <c r="A64">
        <v>63</v>
      </c>
      <c r="B64">
        <v>104</v>
      </c>
      <c r="C64" t="s">
        <v>72</v>
      </c>
      <c r="D64" t="s">
        <v>190</v>
      </c>
      <c r="E64" t="s">
        <v>80</v>
      </c>
      <c r="F64" t="s">
        <v>77</v>
      </c>
      <c r="G64" t="s">
        <v>76</v>
      </c>
      <c r="H64">
        <v>21.354259249478144</v>
      </c>
      <c r="I64">
        <v>1</v>
      </c>
      <c r="J64">
        <v>6</v>
      </c>
      <c r="K64">
        <v>9</v>
      </c>
      <c r="L64">
        <v>-3</v>
      </c>
      <c r="M64">
        <v>7</v>
      </c>
      <c r="N64">
        <v>9</v>
      </c>
      <c r="O64">
        <v>-2</v>
      </c>
      <c r="P64">
        <v>8</v>
      </c>
      <c r="Q64">
        <v>9</v>
      </c>
      <c r="R64">
        <v>-1</v>
      </c>
      <c r="S64">
        <v>9</v>
      </c>
      <c r="T64">
        <v>9</v>
      </c>
      <c r="U64">
        <v>0</v>
      </c>
      <c r="V64">
        <v>5</v>
      </c>
      <c r="W64">
        <v>8</v>
      </c>
      <c r="X64">
        <v>-3</v>
      </c>
      <c r="Y64">
        <v>6</v>
      </c>
      <c r="Z64">
        <v>9</v>
      </c>
      <c r="AA64">
        <v>-3</v>
      </c>
      <c r="AB64">
        <v>4</v>
      </c>
      <c r="AC64">
        <v>9</v>
      </c>
      <c r="AD64">
        <v>-5</v>
      </c>
      <c r="AE64">
        <v>5</v>
      </c>
      <c r="AF64">
        <v>8</v>
      </c>
      <c r="AG64">
        <v>-3</v>
      </c>
      <c r="AH64">
        <v>6</v>
      </c>
      <c r="AI64">
        <v>7</v>
      </c>
      <c r="AJ64">
        <v>-1</v>
      </c>
      <c r="AK64" t="s">
        <v>771</v>
      </c>
      <c r="AL64" t="s">
        <v>772</v>
      </c>
      <c r="AM64" t="s">
        <v>773</v>
      </c>
      <c r="AN64" t="s">
        <v>774</v>
      </c>
      <c r="AO64" t="s">
        <v>775</v>
      </c>
      <c r="AP64" t="s">
        <v>776</v>
      </c>
      <c r="AQ64" t="s">
        <v>777</v>
      </c>
      <c r="AR64" t="s">
        <v>778</v>
      </c>
      <c r="AS64" t="s">
        <v>779</v>
      </c>
    </row>
    <row r="65" spans="1:45" x14ac:dyDescent="0.45">
      <c r="A65">
        <v>64</v>
      </c>
      <c r="B65">
        <v>105</v>
      </c>
      <c r="C65" t="s">
        <v>72</v>
      </c>
      <c r="D65" t="s">
        <v>73</v>
      </c>
      <c r="E65" t="s">
        <v>74</v>
      </c>
      <c r="F65" t="s">
        <v>77</v>
      </c>
      <c r="G65" t="s">
        <v>161</v>
      </c>
      <c r="H65">
        <v>196.4529093730286</v>
      </c>
      <c r="I65">
        <v>2</v>
      </c>
      <c r="J65">
        <v>8</v>
      </c>
      <c r="K65">
        <v>9</v>
      </c>
      <c r="L65">
        <v>-1</v>
      </c>
      <c r="M65">
        <v>7</v>
      </c>
      <c r="N65">
        <v>10</v>
      </c>
      <c r="O65">
        <v>-3</v>
      </c>
      <c r="P65">
        <v>9</v>
      </c>
      <c r="Q65">
        <v>9</v>
      </c>
      <c r="R65">
        <v>0</v>
      </c>
      <c r="S65">
        <v>8</v>
      </c>
      <c r="T65">
        <v>10</v>
      </c>
      <c r="U65">
        <v>-2</v>
      </c>
      <c r="V65">
        <v>7</v>
      </c>
      <c r="W65">
        <v>10</v>
      </c>
      <c r="X65">
        <v>-3</v>
      </c>
      <c r="Y65">
        <v>7</v>
      </c>
      <c r="Z65">
        <v>5</v>
      </c>
      <c r="AA65">
        <v>2</v>
      </c>
      <c r="AB65">
        <v>7</v>
      </c>
      <c r="AC65">
        <v>10</v>
      </c>
      <c r="AD65">
        <v>-3</v>
      </c>
      <c r="AE65">
        <v>7</v>
      </c>
      <c r="AF65">
        <v>7</v>
      </c>
      <c r="AG65">
        <v>0</v>
      </c>
      <c r="AH65">
        <v>6</v>
      </c>
      <c r="AI65">
        <v>9</v>
      </c>
      <c r="AJ65">
        <v>-3</v>
      </c>
      <c r="AK65" t="s">
        <v>780</v>
      </c>
      <c r="AL65" t="s">
        <v>781</v>
      </c>
      <c r="AM65" t="s">
        <v>782</v>
      </c>
      <c r="AN65" t="s">
        <v>783</v>
      </c>
      <c r="AO65" t="s">
        <v>784</v>
      </c>
      <c r="AP65" t="s">
        <v>785</v>
      </c>
      <c r="AQ65" t="s">
        <v>786</v>
      </c>
      <c r="AR65" t="s">
        <v>786</v>
      </c>
      <c r="AS65" t="s">
        <v>787</v>
      </c>
    </row>
    <row r="66" spans="1:45" x14ac:dyDescent="0.45">
      <c r="A66">
        <v>65</v>
      </c>
      <c r="B66">
        <v>106</v>
      </c>
      <c r="C66" t="s">
        <v>72</v>
      </c>
      <c r="D66" t="s">
        <v>79</v>
      </c>
      <c r="E66" t="s">
        <v>80</v>
      </c>
      <c r="F66" t="s">
        <v>77</v>
      </c>
      <c r="G66" t="s">
        <v>76</v>
      </c>
      <c r="H66">
        <v>12</v>
      </c>
      <c r="I66">
        <v>2</v>
      </c>
      <c r="J66">
        <v>7</v>
      </c>
      <c r="K66">
        <v>10</v>
      </c>
      <c r="L66">
        <v>-3</v>
      </c>
      <c r="M66">
        <v>8</v>
      </c>
      <c r="N66">
        <v>10</v>
      </c>
      <c r="O66">
        <v>-2</v>
      </c>
      <c r="P66">
        <v>7</v>
      </c>
      <c r="Q66">
        <v>10</v>
      </c>
      <c r="R66">
        <v>-3</v>
      </c>
      <c r="S66">
        <v>8</v>
      </c>
      <c r="T66">
        <v>10</v>
      </c>
      <c r="U66">
        <v>-2</v>
      </c>
      <c r="V66">
        <v>6</v>
      </c>
      <c r="W66">
        <v>10</v>
      </c>
      <c r="X66">
        <v>-4</v>
      </c>
      <c r="Y66">
        <v>8</v>
      </c>
      <c r="Z66">
        <v>10</v>
      </c>
      <c r="AA66">
        <v>-2</v>
      </c>
      <c r="AB66">
        <v>7</v>
      </c>
      <c r="AC66">
        <v>10</v>
      </c>
      <c r="AD66">
        <v>-3</v>
      </c>
      <c r="AE66">
        <v>6</v>
      </c>
      <c r="AF66">
        <v>10</v>
      </c>
      <c r="AG66">
        <v>-4</v>
      </c>
      <c r="AH66">
        <v>8</v>
      </c>
      <c r="AI66">
        <v>10</v>
      </c>
      <c r="AJ66">
        <v>-2</v>
      </c>
      <c r="AK66" t="s">
        <v>788</v>
      </c>
      <c r="AL66" t="s">
        <v>789</v>
      </c>
      <c r="AM66" t="s">
        <v>790</v>
      </c>
      <c r="AN66" t="s">
        <v>791</v>
      </c>
      <c r="AO66" t="s">
        <v>792</v>
      </c>
      <c r="AP66" t="s">
        <v>793</v>
      </c>
      <c r="AQ66" t="s">
        <v>794</v>
      </c>
      <c r="AR66" t="s">
        <v>795</v>
      </c>
      <c r="AS66" t="s">
        <v>796</v>
      </c>
    </row>
    <row r="67" spans="1:45" x14ac:dyDescent="0.45">
      <c r="A67">
        <v>66</v>
      </c>
      <c r="B67">
        <v>107</v>
      </c>
      <c r="C67" t="s">
        <v>72</v>
      </c>
      <c r="D67" t="s">
        <v>81</v>
      </c>
      <c r="E67" t="s">
        <v>74</v>
      </c>
      <c r="F67" t="s">
        <v>189</v>
      </c>
      <c r="G67" t="s">
        <v>76</v>
      </c>
      <c r="H67">
        <v>15.242679597001288</v>
      </c>
      <c r="I67">
        <v>0</v>
      </c>
      <c r="J67">
        <v>8</v>
      </c>
      <c r="K67">
        <v>7</v>
      </c>
      <c r="L67">
        <v>1</v>
      </c>
      <c r="M67">
        <v>7</v>
      </c>
      <c r="N67">
        <v>5</v>
      </c>
      <c r="O67">
        <v>2</v>
      </c>
      <c r="P67">
        <v>8</v>
      </c>
      <c r="Q67">
        <v>3</v>
      </c>
      <c r="R67">
        <v>5</v>
      </c>
      <c r="S67">
        <v>9</v>
      </c>
      <c r="T67">
        <v>5</v>
      </c>
      <c r="U67">
        <v>4</v>
      </c>
      <c r="V67">
        <v>8</v>
      </c>
      <c r="W67">
        <v>4</v>
      </c>
      <c r="X67">
        <v>4</v>
      </c>
      <c r="Y67">
        <v>7</v>
      </c>
      <c r="Z67">
        <v>3</v>
      </c>
      <c r="AA67">
        <v>4</v>
      </c>
      <c r="AB67">
        <v>8</v>
      </c>
      <c r="AC67">
        <v>5</v>
      </c>
      <c r="AD67">
        <v>3</v>
      </c>
      <c r="AE67">
        <v>7</v>
      </c>
      <c r="AF67">
        <v>6</v>
      </c>
      <c r="AG67">
        <v>1</v>
      </c>
      <c r="AH67">
        <v>8</v>
      </c>
      <c r="AI67">
        <v>6</v>
      </c>
      <c r="AJ67">
        <v>2</v>
      </c>
      <c r="AK67" t="s">
        <v>797</v>
      </c>
      <c r="AL67" t="s">
        <v>798</v>
      </c>
      <c r="AM67" t="s">
        <v>799</v>
      </c>
      <c r="AN67" t="s">
        <v>800</v>
      </c>
      <c r="AO67" t="s">
        <v>801</v>
      </c>
      <c r="AP67" t="s">
        <v>802</v>
      </c>
      <c r="AQ67" t="s">
        <v>803</v>
      </c>
      <c r="AR67" t="s">
        <v>804</v>
      </c>
      <c r="AS67" t="s">
        <v>805</v>
      </c>
    </row>
    <row r="68" spans="1:45" x14ac:dyDescent="0.45">
      <c r="A68">
        <v>67</v>
      </c>
      <c r="B68">
        <v>108</v>
      </c>
      <c r="C68" t="s">
        <v>78</v>
      </c>
      <c r="D68" t="s">
        <v>79</v>
      </c>
      <c r="E68" t="s">
        <v>74</v>
      </c>
      <c r="F68" t="s">
        <v>75</v>
      </c>
      <c r="G68" t="s">
        <v>76</v>
      </c>
      <c r="H68">
        <v>96.535808337186438</v>
      </c>
      <c r="I68">
        <v>2</v>
      </c>
      <c r="J68">
        <v>7</v>
      </c>
      <c r="K68">
        <v>5</v>
      </c>
      <c r="L68">
        <v>2</v>
      </c>
      <c r="M68">
        <v>6</v>
      </c>
      <c r="N68">
        <v>5</v>
      </c>
      <c r="O68">
        <v>1</v>
      </c>
      <c r="P68">
        <v>5</v>
      </c>
      <c r="Q68">
        <v>4</v>
      </c>
      <c r="R68">
        <v>1</v>
      </c>
      <c r="S68">
        <v>4</v>
      </c>
      <c r="T68">
        <v>4</v>
      </c>
      <c r="U68">
        <v>0</v>
      </c>
      <c r="V68">
        <v>6</v>
      </c>
      <c r="W68">
        <v>2</v>
      </c>
      <c r="X68">
        <v>4</v>
      </c>
      <c r="Y68">
        <v>7</v>
      </c>
      <c r="Z68">
        <v>3</v>
      </c>
      <c r="AA68">
        <v>4</v>
      </c>
      <c r="AB68">
        <v>5</v>
      </c>
      <c r="AC68">
        <v>2</v>
      </c>
      <c r="AD68">
        <v>3</v>
      </c>
      <c r="AE68">
        <v>6</v>
      </c>
      <c r="AF68">
        <v>3</v>
      </c>
      <c r="AG68">
        <v>3</v>
      </c>
      <c r="AH68">
        <v>7</v>
      </c>
      <c r="AI68">
        <v>3</v>
      </c>
      <c r="AJ68">
        <v>4</v>
      </c>
      <c r="AK68" t="s">
        <v>806</v>
      </c>
      <c r="AL68" t="s">
        <v>807</v>
      </c>
      <c r="AM68" t="s">
        <v>808</v>
      </c>
      <c r="AN68" t="s">
        <v>809</v>
      </c>
      <c r="AO68" t="s">
        <v>810</v>
      </c>
      <c r="AP68" t="s">
        <v>811</v>
      </c>
      <c r="AQ68" t="s">
        <v>812</v>
      </c>
      <c r="AR68" t="s">
        <v>813</v>
      </c>
      <c r="AS68" t="s">
        <v>814</v>
      </c>
    </row>
    <row r="69" spans="1:45" x14ac:dyDescent="0.45">
      <c r="A69">
        <v>68</v>
      </c>
      <c r="B69">
        <v>109</v>
      </c>
      <c r="C69" t="s">
        <v>72</v>
      </c>
      <c r="D69" t="s">
        <v>79</v>
      </c>
      <c r="E69" t="s">
        <v>74</v>
      </c>
      <c r="F69" t="s">
        <v>77</v>
      </c>
      <c r="G69" t="s">
        <v>76</v>
      </c>
      <c r="H69">
        <v>59.418587227273363</v>
      </c>
      <c r="I69">
        <v>2</v>
      </c>
      <c r="J69">
        <v>7</v>
      </c>
      <c r="K69">
        <v>4</v>
      </c>
      <c r="L69">
        <v>3</v>
      </c>
      <c r="M69">
        <v>8</v>
      </c>
      <c r="N69">
        <v>3</v>
      </c>
      <c r="O69">
        <v>5</v>
      </c>
      <c r="P69">
        <v>7</v>
      </c>
      <c r="Q69">
        <v>1</v>
      </c>
      <c r="R69">
        <v>6</v>
      </c>
      <c r="S69">
        <v>8</v>
      </c>
      <c r="T69">
        <v>5</v>
      </c>
      <c r="U69">
        <v>3</v>
      </c>
      <c r="V69">
        <v>9</v>
      </c>
      <c r="W69">
        <v>4</v>
      </c>
      <c r="X69">
        <v>5</v>
      </c>
      <c r="Y69">
        <v>8</v>
      </c>
      <c r="Z69">
        <v>3</v>
      </c>
      <c r="AA69">
        <v>5</v>
      </c>
      <c r="AB69">
        <v>7</v>
      </c>
      <c r="AC69">
        <v>1</v>
      </c>
      <c r="AD69">
        <v>6</v>
      </c>
      <c r="AE69">
        <v>6</v>
      </c>
      <c r="AF69">
        <v>3</v>
      </c>
      <c r="AG69">
        <v>3</v>
      </c>
      <c r="AH69">
        <v>8</v>
      </c>
      <c r="AI69">
        <v>5</v>
      </c>
      <c r="AJ69">
        <v>3</v>
      </c>
      <c r="AK69" t="s">
        <v>815</v>
      </c>
      <c r="AL69" t="s">
        <v>816</v>
      </c>
      <c r="AM69" t="s">
        <v>817</v>
      </c>
      <c r="AN69" t="s">
        <v>818</v>
      </c>
      <c r="AO69" t="s">
        <v>819</v>
      </c>
      <c r="AP69" t="s">
        <v>820</v>
      </c>
      <c r="AQ69" t="s">
        <v>821</v>
      </c>
      <c r="AR69" t="s">
        <v>822</v>
      </c>
      <c r="AS69" t="s">
        <v>823</v>
      </c>
    </row>
    <row r="70" spans="1:45" x14ac:dyDescent="0.45">
      <c r="A70">
        <v>69</v>
      </c>
      <c r="B70">
        <v>110</v>
      </c>
      <c r="C70" t="s">
        <v>78</v>
      </c>
      <c r="D70" t="s">
        <v>81</v>
      </c>
      <c r="E70" t="s">
        <v>74</v>
      </c>
      <c r="F70" t="s">
        <v>77</v>
      </c>
      <c r="G70" t="s">
        <v>76</v>
      </c>
      <c r="H70">
        <v>21.7219712460412</v>
      </c>
      <c r="I70">
        <v>0</v>
      </c>
      <c r="J70">
        <v>7</v>
      </c>
      <c r="K70">
        <v>7</v>
      </c>
      <c r="L70">
        <v>0</v>
      </c>
      <c r="M70">
        <v>8</v>
      </c>
      <c r="N70">
        <v>7</v>
      </c>
      <c r="O70">
        <v>1</v>
      </c>
      <c r="P70">
        <v>9</v>
      </c>
      <c r="Q70">
        <v>8</v>
      </c>
      <c r="R70">
        <v>1</v>
      </c>
      <c r="S70">
        <v>8</v>
      </c>
      <c r="T70">
        <v>9</v>
      </c>
      <c r="U70">
        <v>-1</v>
      </c>
      <c r="V70">
        <v>7</v>
      </c>
      <c r="W70">
        <v>8</v>
      </c>
      <c r="X70">
        <v>-1</v>
      </c>
      <c r="Y70">
        <v>6</v>
      </c>
      <c r="Z70">
        <v>10</v>
      </c>
      <c r="AA70">
        <v>-4</v>
      </c>
      <c r="AB70">
        <v>5</v>
      </c>
      <c r="AC70">
        <v>9</v>
      </c>
      <c r="AD70">
        <v>-4</v>
      </c>
      <c r="AE70">
        <v>4</v>
      </c>
      <c r="AF70">
        <v>9</v>
      </c>
      <c r="AG70">
        <v>-5</v>
      </c>
      <c r="AH70">
        <v>6</v>
      </c>
      <c r="AI70">
        <v>9</v>
      </c>
      <c r="AJ70">
        <v>-3</v>
      </c>
      <c r="AK70" t="s">
        <v>824</v>
      </c>
      <c r="AL70" t="s">
        <v>825</v>
      </c>
      <c r="AM70" t="s">
        <v>826</v>
      </c>
      <c r="AN70" t="s">
        <v>827</v>
      </c>
      <c r="AO70" t="s">
        <v>828</v>
      </c>
      <c r="AP70" t="s">
        <v>829</v>
      </c>
      <c r="AQ70" t="s">
        <v>830</v>
      </c>
      <c r="AR70" t="s">
        <v>831</v>
      </c>
      <c r="AS70" t="s">
        <v>832</v>
      </c>
    </row>
    <row r="71" spans="1:45" x14ac:dyDescent="0.45">
      <c r="A71">
        <v>70</v>
      </c>
      <c r="B71">
        <v>111</v>
      </c>
      <c r="C71" t="s">
        <v>78</v>
      </c>
      <c r="D71" t="s">
        <v>79</v>
      </c>
      <c r="E71" t="s">
        <v>74</v>
      </c>
      <c r="F71" t="s">
        <v>75</v>
      </c>
      <c r="G71" t="s">
        <v>161</v>
      </c>
      <c r="H71">
        <v>124.74188068094527</v>
      </c>
      <c r="I71">
        <v>1</v>
      </c>
      <c r="J71">
        <v>8</v>
      </c>
      <c r="K71">
        <v>6</v>
      </c>
      <c r="L71">
        <v>2</v>
      </c>
      <c r="M71">
        <v>9</v>
      </c>
      <c r="N71">
        <v>6</v>
      </c>
      <c r="O71">
        <v>3</v>
      </c>
      <c r="P71">
        <v>8</v>
      </c>
      <c r="Q71">
        <v>5</v>
      </c>
      <c r="R71">
        <v>3</v>
      </c>
      <c r="S71">
        <v>8</v>
      </c>
      <c r="T71">
        <v>5</v>
      </c>
      <c r="U71">
        <v>3</v>
      </c>
      <c r="V71">
        <v>9</v>
      </c>
      <c r="W71">
        <v>5</v>
      </c>
      <c r="X71">
        <v>4</v>
      </c>
      <c r="Y71">
        <v>7</v>
      </c>
      <c r="Z71">
        <v>1</v>
      </c>
      <c r="AA71">
        <v>6</v>
      </c>
      <c r="AB71">
        <v>6</v>
      </c>
      <c r="AC71">
        <v>5</v>
      </c>
      <c r="AD71">
        <v>1</v>
      </c>
      <c r="AE71">
        <v>8</v>
      </c>
      <c r="AF71">
        <v>5</v>
      </c>
      <c r="AG71">
        <v>3</v>
      </c>
      <c r="AH71">
        <v>7</v>
      </c>
      <c r="AI71">
        <v>5</v>
      </c>
      <c r="AJ71">
        <v>2</v>
      </c>
      <c r="AK71" t="s">
        <v>833</v>
      </c>
      <c r="AL71" t="s">
        <v>834</v>
      </c>
      <c r="AM71" t="s">
        <v>835</v>
      </c>
      <c r="AN71" t="s">
        <v>836</v>
      </c>
      <c r="AO71" t="s">
        <v>837</v>
      </c>
      <c r="AP71" t="s">
        <v>838</v>
      </c>
      <c r="AQ71" t="s">
        <v>839</v>
      </c>
      <c r="AR71" t="s">
        <v>840</v>
      </c>
      <c r="AS71" t="s">
        <v>841</v>
      </c>
    </row>
    <row r="72" spans="1:45" x14ac:dyDescent="0.45">
      <c r="A72">
        <v>71</v>
      </c>
      <c r="B72">
        <v>112</v>
      </c>
      <c r="C72" t="s">
        <v>72</v>
      </c>
      <c r="D72" t="s">
        <v>73</v>
      </c>
      <c r="E72" t="s">
        <v>74</v>
      </c>
      <c r="F72" t="s">
        <v>75</v>
      </c>
      <c r="G72" t="s">
        <v>76</v>
      </c>
      <c r="H72">
        <v>23.931672104061242</v>
      </c>
      <c r="I72">
        <v>2</v>
      </c>
      <c r="J72">
        <v>8</v>
      </c>
      <c r="K72">
        <v>3</v>
      </c>
      <c r="L72">
        <v>5</v>
      </c>
      <c r="M72">
        <v>7</v>
      </c>
      <c r="N72">
        <v>3</v>
      </c>
      <c r="O72">
        <v>4</v>
      </c>
      <c r="P72">
        <v>6</v>
      </c>
      <c r="Q72">
        <v>3</v>
      </c>
      <c r="R72">
        <v>3</v>
      </c>
      <c r="S72">
        <v>7</v>
      </c>
      <c r="T72">
        <v>5</v>
      </c>
      <c r="U72">
        <v>2</v>
      </c>
      <c r="V72">
        <v>8</v>
      </c>
      <c r="W72">
        <v>3</v>
      </c>
      <c r="X72">
        <v>5</v>
      </c>
      <c r="Y72">
        <v>7</v>
      </c>
      <c r="Z72">
        <v>3</v>
      </c>
      <c r="AA72">
        <v>4</v>
      </c>
      <c r="AB72">
        <v>6</v>
      </c>
      <c r="AC72">
        <v>3</v>
      </c>
      <c r="AD72">
        <v>3</v>
      </c>
      <c r="AE72">
        <v>7</v>
      </c>
      <c r="AF72">
        <v>3</v>
      </c>
      <c r="AG72">
        <v>4</v>
      </c>
      <c r="AH72">
        <v>8</v>
      </c>
      <c r="AI72">
        <v>4</v>
      </c>
      <c r="AJ72">
        <v>4</v>
      </c>
      <c r="AK72" t="s">
        <v>842</v>
      </c>
      <c r="AL72" t="s">
        <v>843</v>
      </c>
      <c r="AM72" t="s">
        <v>844</v>
      </c>
      <c r="AN72" t="s">
        <v>845</v>
      </c>
      <c r="AO72" t="s">
        <v>846</v>
      </c>
      <c r="AP72" t="s">
        <v>847</v>
      </c>
      <c r="AQ72" t="s">
        <v>848</v>
      </c>
      <c r="AR72" t="s">
        <v>849</v>
      </c>
      <c r="AS72" t="s">
        <v>850</v>
      </c>
    </row>
    <row r="73" spans="1:45" x14ac:dyDescent="0.45">
      <c r="A73">
        <v>72</v>
      </c>
      <c r="B73">
        <v>113</v>
      </c>
      <c r="C73" t="s">
        <v>78</v>
      </c>
      <c r="D73" t="s">
        <v>73</v>
      </c>
      <c r="E73" t="s">
        <v>74</v>
      </c>
      <c r="F73" t="s">
        <v>77</v>
      </c>
      <c r="G73" t="s">
        <v>161</v>
      </c>
      <c r="H73">
        <v>18.282312425122235</v>
      </c>
      <c r="I73">
        <v>3</v>
      </c>
      <c r="J73">
        <v>7</v>
      </c>
      <c r="K73">
        <v>8</v>
      </c>
      <c r="L73">
        <v>-1</v>
      </c>
      <c r="M73">
        <v>8</v>
      </c>
      <c r="N73">
        <v>8</v>
      </c>
      <c r="O73">
        <v>0</v>
      </c>
      <c r="P73">
        <v>6</v>
      </c>
      <c r="Q73">
        <v>4</v>
      </c>
      <c r="R73">
        <v>2</v>
      </c>
      <c r="S73">
        <v>8</v>
      </c>
      <c r="T73">
        <v>2</v>
      </c>
      <c r="U73">
        <v>6</v>
      </c>
      <c r="V73">
        <v>7</v>
      </c>
      <c r="W73">
        <v>6</v>
      </c>
      <c r="X73">
        <v>1</v>
      </c>
      <c r="Y73">
        <v>7</v>
      </c>
      <c r="Z73">
        <v>3</v>
      </c>
      <c r="AA73">
        <v>4</v>
      </c>
      <c r="AB73">
        <v>6</v>
      </c>
      <c r="AC73">
        <v>8</v>
      </c>
      <c r="AD73">
        <v>-2</v>
      </c>
      <c r="AE73">
        <v>7</v>
      </c>
      <c r="AF73">
        <v>4</v>
      </c>
      <c r="AG73">
        <v>3</v>
      </c>
      <c r="AH73">
        <v>6</v>
      </c>
      <c r="AI73">
        <v>8</v>
      </c>
      <c r="AJ73">
        <v>-2</v>
      </c>
      <c r="AK73" t="s">
        <v>851</v>
      </c>
      <c r="AL73" t="s">
        <v>852</v>
      </c>
      <c r="AM73" t="s">
        <v>853</v>
      </c>
      <c r="AN73" t="s">
        <v>854</v>
      </c>
      <c r="AO73" t="s">
        <v>855</v>
      </c>
      <c r="AP73" t="s">
        <v>856</v>
      </c>
      <c r="AQ73" t="s">
        <v>857</v>
      </c>
      <c r="AR73" t="s">
        <v>858</v>
      </c>
      <c r="AS73" t="s">
        <v>859</v>
      </c>
    </row>
    <row r="74" spans="1:45" x14ac:dyDescent="0.45">
      <c r="A74">
        <v>73</v>
      </c>
      <c r="B74">
        <v>114</v>
      </c>
      <c r="C74" t="s">
        <v>78</v>
      </c>
      <c r="D74" t="s">
        <v>188</v>
      </c>
      <c r="E74" t="s">
        <v>74</v>
      </c>
      <c r="F74" t="s">
        <v>191</v>
      </c>
      <c r="G74" t="s">
        <v>76</v>
      </c>
      <c r="H74">
        <v>15.639441372548426</v>
      </c>
      <c r="I74">
        <v>0</v>
      </c>
      <c r="J74">
        <v>7</v>
      </c>
      <c r="K74">
        <v>5</v>
      </c>
      <c r="L74">
        <v>2</v>
      </c>
      <c r="M74">
        <v>8</v>
      </c>
      <c r="N74">
        <v>5</v>
      </c>
      <c r="O74">
        <v>3</v>
      </c>
      <c r="P74">
        <v>6</v>
      </c>
      <c r="Q74">
        <v>5</v>
      </c>
      <c r="R74">
        <v>1</v>
      </c>
      <c r="S74">
        <v>7</v>
      </c>
      <c r="T74">
        <v>5</v>
      </c>
      <c r="U74">
        <v>2</v>
      </c>
      <c r="V74">
        <v>6</v>
      </c>
      <c r="W74">
        <v>5</v>
      </c>
      <c r="X74">
        <v>1</v>
      </c>
      <c r="Y74">
        <v>7</v>
      </c>
      <c r="Z74">
        <v>10</v>
      </c>
      <c r="AA74">
        <v>-3</v>
      </c>
      <c r="AB74">
        <v>6</v>
      </c>
      <c r="AC74">
        <v>5</v>
      </c>
      <c r="AD74">
        <v>1</v>
      </c>
      <c r="AE74">
        <v>7</v>
      </c>
      <c r="AF74">
        <v>5</v>
      </c>
      <c r="AG74">
        <v>2</v>
      </c>
      <c r="AH74">
        <v>6</v>
      </c>
      <c r="AI74">
        <v>10</v>
      </c>
      <c r="AJ74">
        <v>-4</v>
      </c>
      <c r="AK74" t="s">
        <v>860</v>
      </c>
      <c r="AL74" t="s">
        <v>861</v>
      </c>
      <c r="AM74" t="s">
        <v>862</v>
      </c>
      <c r="AN74" t="s">
        <v>863</v>
      </c>
      <c r="AO74" t="s">
        <v>864</v>
      </c>
      <c r="AP74" t="s">
        <v>865</v>
      </c>
      <c r="AQ74" t="s">
        <v>866</v>
      </c>
      <c r="AR74" t="s">
        <v>867</v>
      </c>
      <c r="AS74" t="s">
        <v>868</v>
      </c>
    </row>
    <row r="75" spans="1:45" x14ac:dyDescent="0.45">
      <c r="A75">
        <v>74</v>
      </c>
      <c r="B75">
        <v>115</v>
      </c>
      <c r="C75" t="s">
        <v>72</v>
      </c>
      <c r="D75" t="s">
        <v>73</v>
      </c>
      <c r="E75" t="s">
        <v>74</v>
      </c>
      <c r="F75" t="s">
        <v>77</v>
      </c>
      <c r="G75" t="s">
        <v>161</v>
      </c>
      <c r="H75">
        <v>20.80935209675512</v>
      </c>
      <c r="I75">
        <v>1</v>
      </c>
      <c r="J75">
        <v>7</v>
      </c>
      <c r="K75">
        <v>5</v>
      </c>
      <c r="L75">
        <v>2</v>
      </c>
      <c r="M75">
        <v>8</v>
      </c>
      <c r="N75">
        <v>10</v>
      </c>
      <c r="O75">
        <v>-2</v>
      </c>
      <c r="P75">
        <v>9</v>
      </c>
      <c r="Q75">
        <v>2</v>
      </c>
      <c r="R75">
        <v>7</v>
      </c>
      <c r="S75">
        <v>8</v>
      </c>
      <c r="T75">
        <v>8</v>
      </c>
      <c r="U75">
        <v>0</v>
      </c>
      <c r="V75">
        <v>7</v>
      </c>
      <c r="W75">
        <v>5</v>
      </c>
      <c r="X75">
        <v>2</v>
      </c>
      <c r="Y75">
        <v>8</v>
      </c>
      <c r="Z75">
        <v>5</v>
      </c>
      <c r="AA75">
        <v>3</v>
      </c>
      <c r="AB75">
        <v>7</v>
      </c>
      <c r="AC75">
        <v>1</v>
      </c>
      <c r="AD75">
        <v>6</v>
      </c>
      <c r="AE75">
        <v>8</v>
      </c>
      <c r="AF75">
        <v>4</v>
      </c>
      <c r="AG75">
        <v>4</v>
      </c>
      <c r="AH75">
        <v>9</v>
      </c>
      <c r="AI75">
        <v>5</v>
      </c>
      <c r="AJ75">
        <v>4</v>
      </c>
      <c r="AK75" t="s">
        <v>869</v>
      </c>
      <c r="AL75" t="s">
        <v>870</v>
      </c>
      <c r="AM75" t="s">
        <v>871</v>
      </c>
      <c r="AN75" t="s">
        <v>872</v>
      </c>
      <c r="AO75" t="s">
        <v>873</v>
      </c>
      <c r="AP75" t="s">
        <v>874</v>
      </c>
      <c r="AQ75" t="s">
        <v>875</v>
      </c>
      <c r="AR75" t="s">
        <v>876</v>
      </c>
      <c r="AS75" t="s">
        <v>877</v>
      </c>
    </row>
    <row r="76" spans="1:45" x14ac:dyDescent="0.45">
      <c r="A76">
        <v>75</v>
      </c>
      <c r="B76">
        <v>116</v>
      </c>
      <c r="C76" t="s">
        <v>78</v>
      </c>
      <c r="D76" t="s">
        <v>79</v>
      </c>
      <c r="E76" t="s">
        <v>74</v>
      </c>
      <c r="F76" t="s">
        <v>75</v>
      </c>
      <c r="G76" t="s">
        <v>76</v>
      </c>
      <c r="H76">
        <v>51.619765083298567</v>
      </c>
      <c r="I76">
        <v>2</v>
      </c>
      <c r="J76">
        <v>7</v>
      </c>
      <c r="K76">
        <v>8</v>
      </c>
      <c r="L76">
        <v>-1</v>
      </c>
      <c r="M76">
        <v>6</v>
      </c>
      <c r="N76">
        <v>9</v>
      </c>
      <c r="O76">
        <v>-3</v>
      </c>
      <c r="P76">
        <v>8</v>
      </c>
      <c r="Q76">
        <v>9</v>
      </c>
      <c r="R76">
        <v>-1</v>
      </c>
      <c r="S76">
        <v>7</v>
      </c>
      <c r="T76">
        <v>9</v>
      </c>
      <c r="U76">
        <v>-2</v>
      </c>
      <c r="V76">
        <v>5</v>
      </c>
      <c r="W76">
        <v>3</v>
      </c>
      <c r="X76">
        <v>2</v>
      </c>
      <c r="Y76">
        <v>8</v>
      </c>
      <c r="Z76">
        <v>3</v>
      </c>
      <c r="AA76">
        <v>5</v>
      </c>
      <c r="AB76">
        <v>6</v>
      </c>
      <c r="AC76">
        <v>2</v>
      </c>
      <c r="AD76">
        <v>4</v>
      </c>
      <c r="AE76">
        <v>5</v>
      </c>
      <c r="AF76">
        <v>2</v>
      </c>
      <c r="AG76">
        <v>3</v>
      </c>
      <c r="AH76">
        <v>7</v>
      </c>
      <c r="AI76">
        <v>6</v>
      </c>
      <c r="AJ76">
        <v>1</v>
      </c>
      <c r="AK76" t="s">
        <v>878</v>
      </c>
      <c r="AL76" t="s">
        <v>879</v>
      </c>
      <c r="AM76" t="s">
        <v>880</v>
      </c>
      <c r="AN76" t="s">
        <v>881</v>
      </c>
      <c r="AO76" t="s">
        <v>882</v>
      </c>
      <c r="AP76" t="s">
        <v>883</v>
      </c>
      <c r="AQ76" t="s">
        <v>884</v>
      </c>
      <c r="AR76" t="s">
        <v>885</v>
      </c>
      <c r="AS76" t="s">
        <v>886</v>
      </c>
    </row>
    <row r="77" spans="1:45" x14ac:dyDescent="0.45">
      <c r="A77">
        <v>76</v>
      </c>
      <c r="B77">
        <v>117</v>
      </c>
      <c r="C77" t="s">
        <v>78</v>
      </c>
      <c r="D77" t="s">
        <v>79</v>
      </c>
      <c r="E77" t="s">
        <v>80</v>
      </c>
      <c r="F77" t="s">
        <v>191</v>
      </c>
      <c r="G77" t="s">
        <v>161</v>
      </c>
      <c r="H77">
        <v>16.375058800369303</v>
      </c>
      <c r="I77">
        <v>3</v>
      </c>
      <c r="J77">
        <v>8</v>
      </c>
      <c r="K77">
        <v>5</v>
      </c>
      <c r="L77">
        <v>3</v>
      </c>
      <c r="M77">
        <v>7</v>
      </c>
      <c r="N77">
        <v>5</v>
      </c>
      <c r="O77">
        <v>2</v>
      </c>
      <c r="P77">
        <v>9</v>
      </c>
      <c r="Q77">
        <v>5</v>
      </c>
      <c r="R77">
        <v>4</v>
      </c>
      <c r="S77">
        <v>8</v>
      </c>
      <c r="T77">
        <v>5</v>
      </c>
      <c r="U77">
        <v>3</v>
      </c>
      <c r="V77">
        <v>7</v>
      </c>
      <c r="W77">
        <v>5</v>
      </c>
      <c r="X77">
        <v>2</v>
      </c>
      <c r="Y77">
        <v>8</v>
      </c>
      <c r="Z77">
        <v>5</v>
      </c>
      <c r="AA77">
        <v>3</v>
      </c>
      <c r="AB77">
        <v>6</v>
      </c>
      <c r="AC77">
        <v>5</v>
      </c>
      <c r="AD77">
        <v>1</v>
      </c>
      <c r="AE77">
        <v>7</v>
      </c>
      <c r="AF77">
        <v>5</v>
      </c>
      <c r="AG77">
        <v>2</v>
      </c>
      <c r="AH77">
        <v>8</v>
      </c>
      <c r="AI77">
        <v>5</v>
      </c>
      <c r="AJ77">
        <v>3</v>
      </c>
      <c r="AK77" t="s">
        <v>887</v>
      </c>
      <c r="AL77" t="s">
        <v>888</v>
      </c>
      <c r="AM77" t="s">
        <v>889</v>
      </c>
      <c r="AN77" t="s">
        <v>890</v>
      </c>
      <c r="AO77" t="s">
        <v>891</v>
      </c>
      <c r="AP77" t="s">
        <v>892</v>
      </c>
      <c r="AQ77" t="s">
        <v>893</v>
      </c>
      <c r="AR77" t="s">
        <v>894</v>
      </c>
      <c r="AS77" t="s">
        <v>895</v>
      </c>
    </row>
    <row r="78" spans="1:45" x14ac:dyDescent="0.45">
      <c r="A78">
        <v>77</v>
      </c>
      <c r="B78">
        <v>118</v>
      </c>
      <c r="C78" t="s">
        <v>72</v>
      </c>
      <c r="D78" t="s">
        <v>190</v>
      </c>
      <c r="E78" t="s">
        <v>74</v>
      </c>
      <c r="F78" t="s">
        <v>77</v>
      </c>
      <c r="G78" t="s">
        <v>76</v>
      </c>
      <c r="H78">
        <v>16.653448223125846</v>
      </c>
      <c r="I78">
        <v>2</v>
      </c>
      <c r="J78">
        <v>7</v>
      </c>
      <c r="K78">
        <v>8</v>
      </c>
      <c r="L78">
        <v>-1</v>
      </c>
      <c r="M78">
        <v>8</v>
      </c>
      <c r="N78">
        <v>8</v>
      </c>
      <c r="O78">
        <v>0</v>
      </c>
      <c r="P78">
        <v>6</v>
      </c>
      <c r="Q78">
        <v>8</v>
      </c>
      <c r="R78">
        <v>-2</v>
      </c>
      <c r="S78">
        <v>6</v>
      </c>
      <c r="T78">
        <v>8</v>
      </c>
      <c r="U78">
        <v>-2</v>
      </c>
      <c r="V78">
        <v>8</v>
      </c>
      <c r="W78">
        <v>9</v>
      </c>
      <c r="X78">
        <v>-1</v>
      </c>
      <c r="Y78">
        <v>7</v>
      </c>
      <c r="Z78">
        <v>7</v>
      </c>
      <c r="AA78">
        <v>0</v>
      </c>
      <c r="AB78">
        <v>7</v>
      </c>
      <c r="AC78">
        <v>9</v>
      </c>
      <c r="AD78">
        <v>-2</v>
      </c>
      <c r="AE78">
        <v>8</v>
      </c>
      <c r="AF78">
        <v>10</v>
      </c>
      <c r="AG78">
        <v>-2</v>
      </c>
      <c r="AH78">
        <v>7</v>
      </c>
      <c r="AI78">
        <v>8</v>
      </c>
      <c r="AJ78">
        <v>-1</v>
      </c>
      <c r="AK78" t="s">
        <v>896</v>
      </c>
      <c r="AL78" t="s">
        <v>897</v>
      </c>
      <c r="AM78" t="s">
        <v>898</v>
      </c>
      <c r="AN78" t="s">
        <v>899</v>
      </c>
      <c r="AO78" t="s">
        <v>900</v>
      </c>
      <c r="AP78" t="s">
        <v>901</v>
      </c>
      <c r="AQ78" t="s">
        <v>902</v>
      </c>
      <c r="AR78" t="s">
        <v>903</v>
      </c>
      <c r="AS78" t="s">
        <v>904</v>
      </c>
    </row>
    <row r="79" spans="1:45" x14ac:dyDescent="0.45">
      <c r="A79">
        <v>78</v>
      </c>
      <c r="B79">
        <v>119</v>
      </c>
      <c r="C79" t="s">
        <v>72</v>
      </c>
      <c r="D79" t="s">
        <v>73</v>
      </c>
      <c r="E79" t="s">
        <v>74</v>
      </c>
      <c r="F79" t="s">
        <v>75</v>
      </c>
      <c r="G79" t="s">
        <v>76</v>
      </c>
      <c r="H79">
        <v>46.343605990619146</v>
      </c>
      <c r="I79">
        <v>2</v>
      </c>
      <c r="J79">
        <v>6</v>
      </c>
      <c r="K79">
        <v>8</v>
      </c>
      <c r="L79">
        <v>-2</v>
      </c>
      <c r="M79">
        <v>7</v>
      </c>
      <c r="N79">
        <v>7</v>
      </c>
      <c r="O79">
        <v>0</v>
      </c>
      <c r="P79">
        <v>8</v>
      </c>
      <c r="Q79">
        <v>9</v>
      </c>
      <c r="R79">
        <v>-1</v>
      </c>
      <c r="S79">
        <v>7</v>
      </c>
      <c r="T79">
        <v>8</v>
      </c>
      <c r="U79">
        <v>-1</v>
      </c>
      <c r="V79">
        <v>5</v>
      </c>
      <c r="W79">
        <v>8</v>
      </c>
      <c r="X79">
        <v>-3</v>
      </c>
      <c r="Y79">
        <v>6</v>
      </c>
      <c r="Z79">
        <v>8</v>
      </c>
      <c r="AA79">
        <v>-2</v>
      </c>
      <c r="AB79">
        <v>6</v>
      </c>
      <c r="AC79">
        <v>6</v>
      </c>
      <c r="AD79">
        <v>0</v>
      </c>
      <c r="AE79">
        <v>5</v>
      </c>
      <c r="AF79">
        <v>6</v>
      </c>
      <c r="AG79">
        <v>-1</v>
      </c>
      <c r="AH79">
        <v>7</v>
      </c>
      <c r="AI79">
        <v>7</v>
      </c>
      <c r="AJ79">
        <v>0</v>
      </c>
      <c r="AK79" t="s">
        <v>905</v>
      </c>
      <c r="AL79" t="s">
        <v>906</v>
      </c>
      <c r="AM79" t="s">
        <v>907</v>
      </c>
      <c r="AN79" t="s">
        <v>908</v>
      </c>
      <c r="AO79" t="s">
        <v>909</v>
      </c>
      <c r="AP79" t="s">
        <v>910</v>
      </c>
      <c r="AQ79" t="s">
        <v>910</v>
      </c>
      <c r="AR79" t="s">
        <v>911</v>
      </c>
      <c r="AS79" t="s">
        <v>912</v>
      </c>
    </row>
    <row r="80" spans="1:45" x14ac:dyDescent="0.45">
      <c r="A80">
        <v>79</v>
      </c>
      <c r="B80">
        <v>120</v>
      </c>
      <c r="C80" t="s">
        <v>72</v>
      </c>
      <c r="D80" t="s">
        <v>192</v>
      </c>
      <c r="E80" t="s">
        <v>74</v>
      </c>
      <c r="F80" t="s">
        <v>191</v>
      </c>
      <c r="G80" t="s">
        <v>161</v>
      </c>
      <c r="H80">
        <v>16.268707796377921</v>
      </c>
      <c r="I80">
        <v>0</v>
      </c>
      <c r="J80">
        <v>7</v>
      </c>
      <c r="K80">
        <v>6</v>
      </c>
      <c r="L80">
        <v>1</v>
      </c>
      <c r="M80">
        <v>8</v>
      </c>
      <c r="N80">
        <v>2</v>
      </c>
      <c r="O80">
        <v>6</v>
      </c>
      <c r="P80">
        <v>6</v>
      </c>
      <c r="Q80">
        <v>3</v>
      </c>
      <c r="R80">
        <v>3</v>
      </c>
      <c r="S80">
        <v>5</v>
      </c>
      <c r="T80">
        <v>2</v>
      </c>
      <c r="U80">
        <v>3</v>
      </c>
      <c r="V80">
        <v>7</v>
      </c>
      <c r="W80">
        <v>3</v>
      </c>
      <c r="X80">
        <v>4</v>
      </c>
      <c r="Y80">
        <v>6</v>
      </c>
      <c r="Z80">
        <v>7</v>
      </c>
      <c r="AA80">
        <v>-1</v>
      </c>
      <c r="AB80">
        <v>7</v>
      </c>
      <c r="AC80">
        <v>5</v>
      </c>
      <c r="AD80">
        <v>2</v>
      </c>
      <c r="AE80">
        <v>6</v>
      </c>
      <c r="AF80">
        <v>5</v>
      </c>
      <c r="AG80">
        <v>1</v>
      </c>
      <c r="AH80">
        <v>8</v>
      </c>
      <c r="AI80">
        <v>7</v>
      </c>
      <c r="AJ80">
        <v>1</v>
      </c>
      <c r="AK80" t="s">
        <v>913</v>
      </c>
      <c r="AL80" t="s">
        <v>914</v>
      </c>
      <c r="AM80" t="s">
        <v>915</v>
      </c>
      <c r="AN80" t="s">
        <v>916</v>
      </c>
      <c r="AO80" t="s">
        <v>917</v>
      </c>
      <c r="AP80" t="s">
        <v>918</v>
      </c>
      <c r="AQ80" t="s">
        <v>919</v>
      </c>
      <c r="AR80" t="s">
        <v>920</v>
      </c>
      <c r="AS80" t="s">
        <v>921</v>
      </c>
    </row>
    <row r="81" spans="1:45" x14ac:dyDescent="0.45">
      <c r="A81">
        <v>80</v>
      </c>
      <c r="B81">
        <v>121</v>
      </c>
      <c r="C81" t="s">
        <v>78</v>
      </c>
      <c r="D81" t="s">
        <v>81</v>
      </c>
      <c r="E81" t="s">
        <v>74</v>
      </c>
      <c r="F81" t="s">
        <v>77</v>
      </c>
      <c r="G81" t="s">
        <v>76</v>
      </c>
      <c r="H81">
        <v>15.16407904409764</v>
      </c>
      <c r="I81">
        <v>0</v>
      </c>
      <c r="J81">
        <v>8</v>
      </c>
      <c r="K81">
        <v>8</v>
      </c>
      <c r="L81">
        <v>0</v>
      </c>
      <c r="M81">
        <v>7</v>
      </c>
      <c r="N81">
        <v>8</v>
      </c>
      <c r="O81">
        <v>-1</v>
      </c>
      <c r="P81">
        <v>9</v>
      </c>
      <c r="Q81">
        <v>8</v>
      </c>
      <c r="R81">
        <v>1</v>
      </c>
      <c r="S81">
        <v>8</v>
      </c>
      <c r="T81">
        <v>8</v>
      </c>
      <c r="U81">
        <v>0</v>
      </c>
      <c r="V81">
        <v>7</v>
      </c>
      <c r="W81">
        <v>8</v>
      </c>
      <c r="X81">
        <v>-1</v>
      </c>
      <c r="Y81">
        <v>8</v>
      </c>
      <c r="Z81">
        <v>8</v>
      </c>
      <c r="AA81">
        <v>0</v>
      </c>
      <c r="AB81">
        <v>7</v>
      </c>
      <c r="AC81">
        <v>8</v>
      </c>
      <c r="AD81">
        <v>-1</v>
      </c>
      <c r="AE81">
        <v>8</v>
      </c>
      <c r="AF81">
        <v>8</v>
      </c>
      <c r="AG81">
        <v>0</v>
      </c>
      <c r="AH81">
        <v>7</v>
      </c>
      <c r="AI81">
        <v>8</v>
      </c>
      <c r="AJ81">
        <v>-1</v>
      </c>
      <c r="AK81" t="s">
        <v>922</v>
      </c>
      <c r="AL81" t="s">
        <v>923</v>
      </c>
      <c r="AM81" t="s">
        <v>924</v>
      </c>
      <c r="AN81" t="s">
        <v>925</v>
      </c>
      <c r="AO81" t="s">
        <v>926</v>
      </c>
      <c r="AP81" t="s">
        <v>927</v>
      </c>
      <c r="AQ81" t="s">
        <v>928</v>
      </c>
      <c r="AR81" t="s">
        <v>929</v>
      </c>
      <c r="AS81" t="s">
        <v>930</v>
      </c>
    </row>
    <row r="82" spans="1:45" x14ac:dyDescent="0.45">
      <c r="A82">
        <v>81</v>
      </c>
      <c r="B82">
        <v>122</v>
      </c>
      <c r="C82" t="s">
        <v>78</v>
      </c>
      <c r="D82" t="s">
        <v>192</v>
      </c>
      <c r="E82" t="s">
        <v>74</v>
      </c>
      <c r="F82" t="s">
        <v>75</v>
      </c>
      <c r="G82" t="s">
        <v>161</v>
      </c>
      <c r="H82">
        <v>12</v>
      </c>
      <c r="I82">
        <v>0</v>
      </c>
      <c r="J82">
        <v>5</v>
      </c>
      <c r="K82">
        <v>7</v>
      </c>
      <c r="L82">
        <v>-2</v>
      </c>
      <c r="M82">
        <v>6</v>
      </c>
      <c r="N82">
        <v>7</v>
      </c>
      <c r="O82">
        <v>-1</v>
      </c>
      <c r="P82">
        <v>8</v>
      </c>
      <c r="Q82">
        <v>5</v>
      </c>
      <c r="R82">
        <v>3</v>
      </c>
      <c r="S82">
        <v>9</v>
      </c>
      <c r="T82">
        <v>5</v>
      </c>
      <c r="U82">
        <v>4</v>
      </c>
      <c r="V82">
        <v>7</v>
      </c>
      <c r="W82">
        <v>6</v>
      </c>
      <c r="X82">
        <v>1</v>
      </c>
      <c r="Y82">
        <v>8</v>
      </c>
      <c r="Z82">
        <v>5</v>
      </c>
      <c r="AA82">
        <v>3</v>
      </c>
      <c r="AB82">
        <v>7</v>
      </c>
      <c r="AC82">
        <v>8</v>
      </c>
      <c r="AD82">
        <v>-1</v>
      </c>
      <c r="AE82">
        <v>5</v>
      </c>
      <c r="AF82">
        <v>6</v>
      </c>
      <c r="AG82">
        <v>-1</v>
      </c>
      <c r="AH82">
        <v>6</v>
      </c>
      <c r="AI82">
        <v>8</v>
      </c>
      <c r="AJ82">
        <v>-2</v>
      </c>
      <c r="AK82" t="s">
        <v>931</v>
      </c>
      <c r="AL82" t="s">
        <v>932</v>
      </c>
      <c r="AM82" t="s">
        <v>933</v>
      </c>
      <c r="AN82" t="s">
        <v>934</v>
      </c>
      <c r="AO82" t="s">
        <v>935</v>
      </c>
      <c r="AP82" t="s">
        <v>936</v>
      </c>
      <c r="AQ82" t="s">
        <v>937</v>
      </c>
      <c r="AR82" t="s">
        <v>938</v>
      </c>
      <c r="AS82" t="s">
        <v>939</v>
      </c>
    </row>
    <row r="83" spans="1:45" x14ac:dyDescent="0.45">
      <c r="A83">
        <v>82</v>
      </c>
      <c r="B83">
        <v>123</v>
      </c>
      <c r="C83" t="s">
        <v>72</v>
      </c>
      <c r="D83" t="s">
        <v>192</v>
      </c>
      <c r="E83" t="s">
        <v>74</v>
      </c>
      <c r="F83" t="s">
        <v>77</v>
      </c>
      <c r="G83" t="s">
        <v>161</v>
      </c>
      <c r="H83">
        <v>15.411759316240717</v>
      </c>
      <c r="I83">
        <v>1</v>
      </c>
      <c r="J83">
        <v>8</v>
      </c>
      <c r="K83">
        <v>8</v>
      </c>
      <c r="L83">
        <v>0</v>
      </c>
      <c r="M83">
        <v>9</v>
      </c>
      <c r="N83">
        <v>9</v>
      </c>
      <c r="O83">
        <v>0</v>
      </c>
      <c r="P83">
        <v>8</v>
      </c>
      <c r="Q83">
        <v>5</v>
      </c>
      <c r="R83">
        <v>3</v>
      </c>
      <c r="S83">
        <v>9</v>
      </c>
      <c r="T83">
        <v>5</v>
      </c>
      <c r="U83">
        <v>4</v>
      </c>
      <c r="V83">
        <v>8</v>
      </c>
      <c r="W83">
        <v>5</v>
      </c>
      <c r="X83">
        <v>3</v>
      </c>
      <c r="Y83">
        <v>8</v>
      </c>
      <c r="Z83">
        <v>5</v>
      </c>
      <c r="AA83">
        <v>3</v>
      </c>
      <c r="AB83">
        <v>8</v>
      </c>
      <c r="AC83">
        <v>1</v>
      </c>
      <c r="AD83">
        <v>7</v>
      </c>
      <c r="AE83">
        <v>7</v>
      </c>
      <c r="AF83">
        <v>5</v>
      </c>
      <c r="AG83">
        <v>2</v>
      </c>
      <c r="AH83">
        <v>7</v>
      </c>
      <c r="AI83">
        <v>5</v>
      </c>
      <c r="AJ83">
        <v>2</v>
      </c>
      <c r="AK83" t="s">
        <v>940</v>
      </c>
      <c r="AL83" t="s">
        <v>941</v>
      </c>
      <c r="AM83" t="s">
        <v>942</v>
      </c>
      <c r="AN83" t="s">
        <v>943</v>
      </c>
      <c r="AO83" t="s">
        <v>944</v>
      </c>
      <c r="AP83" t="s">
        <v>945</v>
      </c>
      <c r="AQ83" t="s">
        <v>946</v>
      </c>
      <c r="AR83" t="s">
        <v>947</v>
      </c>
      <c r="AS83" t="s">
        <v>948</v>
      </c>
    </row>
    <row r="84" spans="1:45" x14ac:dyDescent="0.45">
      <c r="A84">
        <v>83</v>
      </c>
      <c r="B84">
        <v>124</v>
      </c>
      <c r="C84" t="s">
        <v>72</v>
      </c>
      <c r="D84" t="s">
        <v>79</v>
      </c>
      <c r="E84" t="s">
        <v>74</v>
      </c>
      <c r="F84" t="s">
        <v>75</v>
      </c>
      <c r="G84" t="s">
        <v>76</v>
      </c>
      <c r="H84">
        <v>15.926265570194589</v>
      </c>
      <c r="I84">
        <v>2</v>
      </c>
      <c r="J84">
        <v>7</v>
      </c>
      <c r="K84">
        <v>10</v>
      </c>
      <c r="L84">
        <v>-3</v>
      </c>
      <c r="M84">
        <v>7</v>
      </c>
      <c r="N84">
        <v>8</v>
      </c>
      <c r="O84">
        <v>-1</v>
      </c>
      <c r="P84">
        <v>8</v>
      </c>
      <c r="Q84">
        <v>8</v>
      </c>
      <c r="R84">
        <v>0</v>
      </c>
      <c r="S84">
        <v>9</v>
      </c>
      <c r="T84">
        <v>7</v>
      </c>
      <c r="U84">
        <v>2</v>
      </c>
      <c r="V84">
        <v>6</v>
      </c>
      <c r="W84">
        <v>7</v>
      </c>
      <c r="X84">
        <v>-1</v>
      </c>
      <c r="Y84">
        <v>7</v>
      </c>
      <c r="Z84">
        <v>6</v>
      </c>
      <c r="AA84">
        <v>1</v>
      </c>
      <c r="AB84">
        <v>6</v>
      </c>
      <c r="AC84">
        <v>7</v>
      </c>
      <c r="AD84">
        <v>-1</v>
      </c>
      <c r="AE84">
        <v>5</v>
      </c>
      <c r="AF84">
        <v>6</v>
      </c>
      <c r="AG84">
        <v>-1</v>
      </c>
      <c r="AH84">
        <v>6</v>
      </c>
      <c r="AI84">
        <v>8</v>
      </c>
      <c r="AJ84">
        <v>-2</v>
      </c>
      <c r="AK84" t="s">
        <v>949</v>
      </c>
      <c r="AL84" t="s">
        <v>949</v>
      </c>
      <c r="AM84" t="s">
        <v>950</v>
      </c>
      <c r="AN84" t="s">
        <v>951</v>
      </c>
      <c r="AO84" t="s">
        <v>952</v>
      </c>
      <c r="AP84" t="s">
        <v>953</v>
      </c>
      <c r="AQ84" t="s">
        <v>954</v>
      </c>
      <c r="AR84" t="s">
        <v>955</v>
      </c>
      <c r="AS84" t="s">
        <v>956</v>
      </c>
    </row>
    <row r="85" spans="1:45" x14ac:dyDescent="0.45">
      <c r="A85">
        <v>84</v>
      </c>
      <c r="B85">
        <v>125</v>
      </c>
      <c r="C85" t="s">
        <v>72</v>
      </c>
      <c r="D85" t="s">
        <v>73</v>
      </c>
      <c r="E85" t="s">
        <v>74</v>
      </c>
      <c r="F85" t="s">
        <v>189</v>
      </c>
      <c r="G85" t="s">
        <v>76</v>
      </c>
      <c r="H85">
        <v>16.258747418004365</v>
      </c>
      <c r="I85">
        <v>1</v>
      </c>
      <c r="J85">
        <v>8</v>
      </c>
      <c r="K85">
        <v>6</v>
      </c>
      <c r="L85">
        <v>2</v>
      </c>
      <c r="M85">
        <v>7</v>
      </c>
      <c r="N85">
        <v>7</v>
      </c>
      <c r="O85">
        <v>0</v>
      </c>
      <c r="P85">
        <v>9</v>
      </c>
      <c r="Q85">
        <v>5</v>
      </c>
      <c r="R85">
        <v>4</v>
      </c>
      <c r="S85">
        <v>8</v>
      </c>
      <c r="T85">
        <v>5</v>
      </c>
      <c r="U85">
        <v>3</v>
      </c>
      <c r="V85">
        <v>7</v>
      </c>
      <c r="W85">
        <v>5</v>
      </c>
      <c r="X85">
        <v>2</v>
      </c>
      <c r="Y85">
        <v>6</v>
      </c>
      <c r="Z85">
        <v>5</v>
      </c>
      <c r="AA85">
        <v>1</v>
      </c>
      <c r="AB85">
        <v>7</v>
      </c>
      <c r="AC85">
        <v>5</v>
      </c>
      <c r="AD85">
        <v>2</v>
      </c>
      <c r="AE85">
        <v>5</v>
      </c>
      <c r="AF85">
        <v>5</v>
      </c>
      <c r="AG85">
        <v>0</v>
      </c>
      <c r="AH85">
        <v>7</v>
      </c>
      <c r="AI85">
        <v>5</v>
      </c>
      <c r="AJ85">
        <v>2</v>
      </c>
      <c r="AK85" t="s">
        <v>957</v>
      </c>
      <c r="AL85" t="s">
        <v>958</v>
      </c>
      <c r="AM85" t="s">
        <v>959</v>
      </c>
      <c r="AN85" t="s">
        <v>960</v>
      </c>
      <c r="AO85" t="s">
        <v>961</v>
      </c>
      <c r="AP85" t="s">
        <v>962</v>
      </c>
      <c r="AQ85" t="s">
        <v>963</v>
      </c>
      <c r="AR85" t="s">
        <v>964</v>
      </c>
      <c r="AS85" t="s">
        <v>965</v>
      </c>
    </row>
    <row r="86" spans="1:45" x14ac:dyDescent="0.45">
      <c r="A86">
        <v>85</v>
      </c>
      <c r="B86">
        <v>126</v>
      </c>
      <c r="C86" t="s">
        <v>72</v>
      </c>
      <c r="D86" t="s">
        <v>79</v>
      </c>
      <c r="E86" t="s">
        <v>74</v>
      </c>
      <c r="F86" t="s">
        <v>77</v>
      </c>
      <c r="G86" t="s">
        <v>76</v>
      </c>
      <c r="H86">
        <v>12.030880379843296</v>
      </c>
      <c r="I86">
        <v>2</v>
      </c>
      <c r="J86">
        <v>8</v>
      </c>
      <c r="K86">
        <v>9</v>
      </c>
      <c r="L86">
        <v>-1</v>
      </c>
      <c r="M86">
        <v>7</v>
      </c>
      <c r="N86">
        <v>9</v>
      </c>
      <c r="O86">
        <v>-2</v>
      </c>
      <c r="P86">
        <v>8</v>
      </c>
      <c r="Q86">
        <v>8</v>
      </c>
      <c r="R86">
        <v>0</v>
      </c>
      <c r="S86">
        <v>9</v>
      </c>
      <c r="T86">
        <v>9</v>
      </c>
      <c r="U86">
        <v>0</v>
      </c>
      <c r="V86">
        <v>6</v>
      </c>
      <c r="W86">
        <v>9</v>
      </c>
      <c r="X86">
        <v>-3</v>
      </c>
      <c r="Y86">
        <v>8</v>
      </c>
      <c r="Z86">
        <v>9</v>
      </c>
      <c r="AA86">
        <v>-1</v>
      </c>
      <c r="AB86">
        <v>5</v>
      </c>
      <c r="AC86">
        <v>7</v>
      </c>
      <c r="AD86">
        <v>-2</v>
      </c>
      <c r="AE86">
        <v>7</v>
      </c>
      <c r="AF86">
        <v>8</v>
      </c>
      <c r="AG86">
        <v>-1</v>
      </c>
      <c r="AH86">
        <v>8</v>
      </c>
      <c r="AI86">
        <v>8</v>
      </c>
      <c r="AJ86">
        <v>0</v>
      </c>
      <c r="AK86" t="s">
        <v>966</v>
      </c>
      <c r="AL86" t="s">
        <v>967</v>
      </c>
      <c r="AM86" t="s">
        <v>968</v>
      </c>
      <c r="AN86" t="s">
        <v>969</v>
      </c>
      <c r="AO86" t="s">
        <v>970</v>
      </c>
      <c r="AP86" t="s">
        <v>971</v>
      </c>
      <c r="AQ86" t="s">
        <v>972</v>
      </c>
      <c r="AR86" t="s">
        <v>973</v>
      </c>
      <c r="AS86" t="s">
        <v>974</v>
      </c>
    </row>
    <row r="87" spans="1:45" x14ac:dyDescent="0.45">
      <c r="A87">
        <v>86</v>
      </c>
      <c r="B87">
        <v>127</v>
      </c>
      <c r="C87" t="s">
        <v>78</v>
      </c>
      <c r="D87" t="s">
        <v>73</v>
      </c>
      <c r="E87" t="s">
        <v>80</v>
      </c>
      <c r="F87" t="s">
        <v>77</v>
      </c>
      <c r="G87" t="s">
        <v>76</v>
      </c>
      <c r="H87">
        <v>12.312332838666865</v>
      </c>
      <c r="I87">
        <v>0</v>
      </c>
      <c r="J87">
        <v>7</v>
      </c>
      <c r="K87">
        <v>5</v>
      </c>
      <c r="L87">
        <v>2</v>
      </c>
      <c r="M87">
        <v>8</v>
      </c>
      <c r="N87">
        <v>5</v>
      </c>
      <c r="O87">
        <v>3</v>
      </c>
      <c r="P87">
        <v>9</v>
      </c>
      <c r="Q87">
        <v>10</v>
      </c>
      <c r="R87">
        <v>-1</v>
      </c>
      <c r="S87">
        <v>8</v>
      </c>
      <c r="T87">
        <v>4</v>
      </c>
      <c r="U87">
        <v>4</v>
      </c>
      <c r="V87">
        <v>7</v>
      </c>
      <c r="W87">
        <v>4</v>
      </c>
      <c r="X87">
        <v>3</v>
      </c>
      <c r="Y87">
        <v>6</v>
      </c>
      <c r="Z87">
        <v>5</v>
      </c>
      <c r="AA87">
        <v>1</v>
      </c>
      <c r="AB87">
        <v>6</v>
      </c>
      <c r="AC87">
        <v>5</v>
      </c>
      <c r="AD87">
        <v>1</v>
      </c>
      <c r="AE87">
        <v>5</v>
      </c>
      <c r="AF87">
        <v>8</v>
      </c>
      <c r="AG87">
        <v>-3</v>
      </c>
      <c r="AH87">
        <v>7</v>
      </c>
      <c r="AI87">
        <v>8</v>
      </c>
      <c r="AJ87">
        <v>-1</v>
      </c>
      <c r="AK87" t="s">
        <v>975</v>
      </c>
      <c r="AL87" t="s">
        <v>976</v>
      </c>
      <c r="AM87" t="s">
        <v>977</v>
      </c>
      <c r="AN87" t="s">
        <v>978</v>
      </c>
      <c r="AO87" t="s">
        <v>979</v>
      </c>
      <c r="AP87" t="s">
        <v>980</v>
      </c>
      <c r="AQ87" t="s">
        <v>981</v>
      </c>
      <c r="AR87" t="s">
        <v>982</v>
      </c>
      <c r="AS87" t="s">
        <v>983</v>
      </c>
    </row>
    <row r="88" spans="1:45" x14ac:dyDescent="0.45">
      <c r="A88">
        <v>87</v>
      </c>
      <c r="B88">
        <v>128</v>
      </c>
      <c r="C88" t="s">
        <v>78</v>
      </c>
      <c r="D88" t="s">
        <v>79</v>
      </c>
      <c r="E88" t="s">
        <v>74</v>
      </c>
      <c r="F88" t="s">
        <v>77</v>
      </c>
      <c r="G88" t="s">
        <v>76</v>
      </c>
      <c r="H88">
        <v>15.295896504667837</v>
      </c>
      <c r="I88">
        <v>2</v>
      </c>
      <c r="J88">
        <v>7</v>
      </c>
      <c r="K88">
        <v>10</v>
      </c>
      <c r="L88">
        <v>-3</v>
      </c>
      <c r="M88">
        <v>6</v>
      </c>
      <c r="N88">
        <v>9</v>
      </c>
      <c r="O88">
        <v>-3</v>
      </c>
      <c r="P88">
        <v>8</v>
      </c>
      <c r="Q88">
        <v>9</v>
      </c>
      <c r="R88">
        <v>-1</v>
      </c>
      <c r="S88">
        <v>7</v>
      </c>
      <c r="T88">
        <v>9</v>
      </c>
      <c r="U88">
        <v>-2</v>
      </c>
      <c r="V88">
        <v>8</v>
      </c>
      <c r="W88">
        <v>9</v>
      </c>
      <c r="X88">
        <v>-1</v>
      </c>
      <c r="Y88">
        <v>7</v>
      </c>
      <c r="Z88">
        <v>9</v>
      </c>
      <c r="AA88">
        <v>-2</v>
      </c>
      <c r="AB88">
        <v>8</v>
      </c>
      <c r="AC88">
        <v>10</v>
      </c>
      <c r="AD88">
        <v>-2</v>
      </c>
      <c r="AE88">
        <v>6</v>
      </c>
      <c r="AF88">
        <v>9</v>
      </c>
      <c r="AG88">
        <v>-3</v>
      </c>
      <c r="AH88">
        <v>8</v>
      </c>
      <c r="AI88">
        <v>10</v>
      </c>
      <c r="AJ88">
        <v>-2</v>
      </c>
      <c r="AK88" t="s">
        <v>984</v>
      </c>
      <c r="AL88" t="s">
        <v>985</v>
      </c>
      <c r="AM88" t="s">
        <v>986</v>
      </c>
      <c r="AN88" t="s">
        <v>987</v>
      </c>
      <c r="AO88" t="s">
        <v>988</v>
      </c>
      <c r="AP88" t="s">
        <v>989</v>
      </c>
      <c r="AQ88" t="s">
        <v>990</v>
      </c>
      <c r="AR88" t="s">
        <v>991</v>
      </c>
      <c r="AS88" t="s">
        <v>992</v>
      </c>
    </row>
    <row r="89" spans="1:45" x14ac:dyDescent="0.45">
      <c r="A89">
        <v>88</v>
      </c>
      <c r="B89">
        <v>129</v>
      </c>
      <c r="C89" t="s">
        <v>72</v>
      </c>
      <c r="D89" t="s">
        <v>79</v>
      </c>
      <c r="E89" t="s">
        <v>74</v>
      </c>
      <c r="F89" t="s">
        <v>191</v>
      </c>
      <c r="G89" t="s">
        <v>76</v>
      </c>
      <c r="H89">
        <v>12</v>
      </c>
      <c r="I89">
        <v>2</v>
      </c>
      <c r="J89">
        <v>8</v>
      </c>
      <c r="K89">
        <v>10</v>
      </c>
      <c r="L89">
        <v>-2</v>
      </c>
      <c r="M89">
        <v>7</v>
      </c>
      <c r="N89">
        <v>10</v>
      </c>
      <c r="O89">
        <v>-3</v>
      </c>
      <c r="P89">
        <v>9</v>
      </c>
      <c r="Q89">
        <v>10</v>
      </c>
      <c r="R89">
        <v>-1</v>
      </c>
      <c r="S89">
        <v>8</v>
      </c>
      <c r="T89">
        <v>10</v>
      </c>
      <c r="U89">
        <v>-2</v>
      </c>
      <c r="V89">
        <v>6</v>
      </c>
      <c r="W89">
        <v>10</v>
      </c>
      <c r="X89">
        <v>-4</v>
      </c>
      <c r="Y89">
        <v>7</v>
      </c>
      <c r="Z89">
        <v>10</v>
      </c>
      <c r="AA89">
        <v>-3</v>
      </c>
      <c r="AB89">
        <v>5</v>
      </c>
      <c r="AC89">
        <v>10</v>
      </c>
      <c r="AD89">
        <v>-5</v>
      </c>
      <c r="AE89">
        <v>6</v>
      </c>
      <c r="AF89">
        <v>10</v>
      </c>
      <c r="AG89">
        <v>-4</v>
      </c>
      <c r="AH89">
        <v>7</v>
      </c>
      <c r="AI89">
        <v>10</v>
      </c>
      <c r="AJ89">
        <v>-3</v>
      </c>
      <c r="AK89" t="s">
        <v>993</v>
      </c>
      <c r="AL89" t="s">
        <v>994</v>
      </c>
      <c r="AM89" t="s">
        <v>995</v>
      </c>
      <c r="AN89" t="s">
        <v>996</v>
      </c>
      <c r="AO89" t="s">
        <v>997</v>
      </c>
      <c r="AP89" t="s">
        <v>998</v>
      </c>
      <c r="AQ89" t="s">
        <v>999</v>
      </c>
      <c r="AR89" t="s">
        <v>1000</v>
      </c>
      <c r="AS89" t="s">
        <v>1001</v>
      </c>
    </row>
    <row r="90" spans="1:45" x14ac:dyDescent="0.45">
      <c r="A90">
        <v>89</v>
      </c>
      <c r="B90">
        <v>130</v>
      </c>
      <c r="C90" t="s">
        <v>72</v>
      </c>
      <c r="D90" t="s">
        <v>73</v>
      </c>
      <c r="E90" t="s">
        <v>74</v>
      </c>
      <c r="F90" t="s">
        <v>189</v>
      </c>
      <c r="G90" t="s">
        <v>76</v>
      </c>
      <c r="H90">
        <v>12</v>
      </c>
      <c r="I90">
        <v>1</v>
      </c>
      <c r="J90">
        <v>7</v>
      </c>
      <c r="K90">
        <v>10</v>
      </c>
      <c r="L90">
        <v>-3</v>
      </c>
      <c r="M90">
        <v>6</v>
      </c>
      <c r="N90">
        <v>9</v>
      </c>
      <c r="O90">
        <v>-3</v>
      </c>
      <c r="P90">
        <v>8</v>
      </c>
      <c r="Q90">
        <v>9</v>
      </c>
      <c r="R90">
        <v>-1</v>
      </c>
      <c r="S90">
        <v>7</v>
      </c>
      <c r="T90">
        <v>9</v>
      </c>
      <c r="U90">
        <v>-2</v>
      </c>
      <c r="V90">
        <v>8</v>
      </c>
      <c r="W90">
        <v>10</v>
      </c>
      <c r="X90">
        <v>-2</v>
      </c>
      <c r="Y90">
        <v>6</v>
      </c>
      <c r="Z90">
        <v>9</v>
      </c>
      <c r="AA90">
        <v>-3</v>
      </c>
      <c r="AB90">
        <v>7</v>
      </c>
      <c r="AC90">
        <v>9</v>
      </c>
      <c r="AD90">
        <v>-2</v>
      </c>
      <c r="AE90">
        <v>5</v>
      </c>
      <c r="AF90">
        <v>8</v>
      </c>
      <c r="AG90">
        <v>-3</v>
      </c>
      <c r="AH90">
        <v>7</v>
      </c>
      <c r="AI90">
        <v>9</v>
      </c>
      <c r="AJ90">
        <v>-2</v>
      </c>
      <c r="AK90" t="s">
        <v>1002</v>
      </c>
      <c r="AL90" t="s">
        <v>1003</v>
      </c>
      <c r="AM90" t="s">
        <v>1004</v>
      </c>
      <c r="AN90" t="s">
        <v>1005</v>
      </c>
      <c r="AO90" t="s">
        <v>1006</v>
      </c>
      <c r="AP90" t="s">
        <v>1007</v>
      </c>
      <c r="AQ90" t="s">
        <v>1008</v>
      </c>
      <c r="AR90" t="s">
        <v>1009</v>
      </c>
      <c r="AS90" t="s">
        <v>1010</v>
      </c>
    </row>
    <row r="91" spans="1:45" x14ac:dyDescent="0.45">
      <c r="A91">
        <v>90</v>
      </c>
      <c r="B91">
        <v>131</v>
      </c>
      <c r="C91" t="s">
        <v>72</v>
      </c>
      <c r="D91" t="s">
        <v>73</v>
      </c>
      <c r="E91" t="s">
        <v>80</v>
      </c>
      <c r="F91" t="s">
        <v>77</v>
      </c>
      <c r="G91" t="s">
        <v>76</v>
      </c>
      <c r="H91">
        <v>12</v>
      </c>
      <c r="I91">
        <v>4</v>
      </c>
      <c r="J91">
        <v>7</v>
      </c>
      <c r="K91">
        <v>6</v>
      </c>
      <c r="L91">
        <v>1</v>
      </c>
      <c r="M91">
        <v>6</v>
      </c>
      <c r="N91">
        <v>10</v>
      </c>
      <c r="O91">
        <v>-4</v>
      </c>
      <c r="P91">
        <v>8</v>
      </c>
      <c r="Q91">
        <v>8</v>
      </c>
      <c r="R91">
        <v>0</v>
      </c>
      <c r="S91">
        <v>7</v>
      </c>
      <c r="T91">
        <v>9</v>
      </c>
      <c r="U91">
        <v>-2</v>
      </c>
      <c r="V91">
        <v>8</v>
      </c>
      <c r="W91">
        <v>9</v>
      </c>
      <c r="X91">
        <v>-1</v>
      </c>
      <c r="Y91">
        <v>6</v>
      </c>
      <c r="Z91">
        <v>9</v>
      </c>
      <c r="AA91">
        <v>-3</v>
      </c>
      <c r="AB91">
        <v>7</v>
      </c>
      <c r="AC91">
        <v>8</v>
      </c>
      <c r="AD91">
        <v>-1</v>
      </c>
      <c r="AE91">
        <v>5</v>
      </c>
      <c r="AF91">
        <v>8</v>
      </c>
      <c r="AG91">
        <v>-3</v>
      </c>
      <c r="AH91">
        <v>6</v>
      </c>
      <c r="AI91">
        <v>9</v>
      </c>
      <c r="AJ91">
        <v>-3</v>
      </c>
      <c r="AK91" t="s">
        <v>1011</v>
      </c>
      <c r="AL91" t="s">
        <v>1012</v>
      </c>
      <c r="AM91" t="s">
        <v>1013</v>
      </c>
      <c r="AN91" t="s">
        <v>1014</v>
      </c>
      <c r="AO91" t="s">
        <v>1015</v>
      </c>
      <c r="AP91" t="s">
        <v>1016</v>
      </c>
      <c r="AQ91" t="s">
        <v>1017</v>
      </c>
      <c r="AR91" t="s">
        <v>1018</v>
      </c>
      <c r="AS91" t="s">
        <v>1019</v>
      </c>
    </row>
    <row r="92" spans="1:45" x14ac:dyDescent="0.45">
      <c r="A92">
        <v>91</v>
      </c>
      <c r="B92">
        <v>132</v>
      </c>
      <c r="C92" t="s">
        <v>72</v>
      </c>
      <c r="D92" t="s">
        <v>73</v>
      </c>
      <c r="E92" t="s">
        <v>74</v>
      </c>
      <c r="F92" t="s">
        <v>77</v>
      </c>
      <c r="G92" t="s">
        <v>76</v>
      </c>
      <c r="H92">
        <v>12</v>
      </c>
      <c r="I92">
        <v>2</v>
      </c>
      <c r="J92">
        <v>7</v>
      </c>
      <c r="K92">
        <v>10</v>
      </c>
      <c r="L92">
        <v>-3</v>
      </c>
      <c r="M92">
        <v>8</v>
      </c>
      <c r="N92">
        <v>9</v>
      </c>
      <c r="O92">
        <v>-1</v>
      </c>
      <c r="P92">
        <v>6</v>
      </c>
      <c r="Q92">
        <v>9</v>
      </c>
      <c r="R92">
        <v>-3</v>
      </c>
      <c r="S92">
        <v>8</v>
      </c>
      <c r="T92">
        <v>9</v>
      </c>
      <c r="U92">
        <v>-1</v>
      </c>
      <c r="V92">
        <v>7</v>
      </c>
      <c r="W92">
        <v>10</v>
      </c>
      <c r="X92">
        <v>-3</v>
      </c>
      <c r="Y92">
        <v>8</v>
      </c>
      <c r="Z92">
        <v>9</v>
      </c>
      <c r="AA92">
        <v>-1</v>
      </c>
      <c r="AB92">
        <v>7</v>
      </c>
      <c r="AC92">
        <v>8</v>
      </c>
      <c r="AD92">
        <v>-1</v>
      </c>
      <c r="AE92">
        <v>8</v>
      </c>
      <c r="AF92">
        <v>8</v>
      </c>
      <c r="AG92">
        <v>0</v>
      </c>
      <c r="AH92">
        <v>9</v>
      </c>
      <c r="AI92">
        <v>10</v>
      </c>
      <c r="AJ92">
        <v>-1</v>
      </c>
      <c r="AK92" t="s">
        <v>1020</v>
      </c>
      <c r="AL92" t="s">
        <v>1021</v>
      </c>
      <c r="AM92" t="s">
        <v>1022</v>
      </c>
      <c r="AN92" t="s">
        <v>1023</v>
      </c>
      <c r="AO92" t="s">
        <v>1024</v>
      </c>
      <c r="AP92" t="s">
        <v>1025</v>
      </c>
      <c r="AQ92" t="s">
        <v>1026</v>
      </c>
      <c r="AR92" t="s">
        <v>1027</v>
      </c>
      <c r="AS92" t="s">
        <v>1028</v>
      </c>
    </row>
    <row r="93" spans="1:45" x14ac:dyDescent="0.45">
      <c r="A93">
        <v>92</v>
      </c>
      <c r="B93">
        <v>133</v>
      </c>
      <c r="C93" t="s">
        <v>78</v>
      </c>
      <c r="D93" t="s">
        <v>73</v>
      </c>
      <c r="E93" t="s">
        <v>74</v>
      </c>
      <c r="F93" t="s">
        <v>77</v>
      </c>
      <c r="G93" t="s">
        <v>76</v>
      </c>
      <c r="H93">
        <v>12</v>
      </c>
      <c r="I93">
        <v>2</v>
      </c>
      <c r="J93">
        <v>7</v>
      </c>
      <c r="K93">
        <v>10</v>
      </c>
      <c r="L93">
        <v>-3</v>
      </c>
      <c r="M93">
        <v>6</v>
      </c>
      <c r="N93">
        <v>10</v>
      </c>
      <c r="O93">
        <v>-4</v>
      </c>
      <c r="P93">
        <v>8</v>
      </c>
      <c r="Q93">
        <v>10</v>
      </c>
      <c r="R93">
        <v>-2</v>
      </c>
      <c r="S93">
        <v>7</v>
      </c>
      <c r="T93">
        <v>10</v>
      </c>
      <c r="U93">
        <v>-3</v>
      </c>
      <c r="V93">
        <v>6</v>
      </c>
      <c r="W93">
        <v>10</v>
      </c>
      <c r="X93">
        <v>-4</v>
      </c>
      <c r="Y93">
        <v>7</v>
      </c>
      <c r="Z93">
        <v>1</v>
      </c>
      <c r="AA93">
        <v>6</v>
      </c>
      <c r="AB93">
        <v>6</v>
      </c>
      <c r="AC93">
        <v>10</v>
      </c>
      <c r="AD93">
        <v>-4</v>
      </c>
      <c r="AE93">
        <v>5</v>
      </c>
      <c r="AF93">
        <v>10</v>
      </c>
      <c r="AG93">
        <v>-5</v>
      </c>
      <c r="AH93">
        <v>6</v>
      </c>
      <c r="AI93">
        <v>10</v>
      </c>
      <c r="AJ93">
        <v>-4</v>
      </c>
      <c r="AK93" t="s">
        <v>1029</v>
      </c>
      <c r="AL93" t="s">
        <v>1030</v>
      </c>
      <c r="AM93" t="s">
        <v>1031</v>
      </c>
      <c r="AN93" t="s">
        <v>1032</v>
      </c>
      <c r="AO93" t="s">
        <v>1033</v>
      </c>
      <c r="AP93" t="s">
        <v>1034</v>
      </c>
      <c r="AQ93" t="s">
        <v>1035</v>
      </c>
      <c r="AR93" t="s">
        <v>1036</v>
      </c>
      <c r="AS93" t="s">
        <v>1037</v>
      </c>
    </row>
    <row r="94" spans="1:45" x14ac:dyDescent="0.45">
      <c r="A94">
        <v>93</v>
      </c>
      <c r="B94">
        <v>134</v>
      </c>
      <c r="C94" t="s">
        <v>78</v>
      </c>
      <c r="D94" t="s">
        <v>73</v>
      </c>
      <c r="E94" t="s">
        <v>74</v>
      </c>
      <c r="F94" t="s">
        <v>77</v>
      </c>
      <c r="G94" t="s">
        <v>76</v>
      </c>
      <c r="H94">
        <v>46.527087259745571</v>
      </c>
      <c r="I94">
        <v>2</v>
      </c>
      <c r="J94">
        <v>7</v>
      </c>
      <c r="K94">
        <v>5</v>
      </c>
      <c r="L94">
        <v>2</v>
      </c>
      <c r="M94">
        <v>8</v>
      </c>
      <c r="N94">
        <v>8</v>
      </c>
      <c r="O94">
        <v>0</v>
      </c>
      <c r="P94">
        <v>6</v>
      </c>
      <c r="Q94">
        <v>4</v>
      </c>
      <c r="R94">
        <v>2</v>
      </c>
      <c r="S94">
        <v>7</v>
      </c>
      <c r="T94">
        <v>9</v>
      </c>
      <c r="U94">
        <v>-2</v>
      </c>
      <c r="V94">
        <v>8</v>
      </c>
      <c r="W94">
        <v>7</v>
      </c>
      <c r="X94">
        <v>1</v>
      </c>
      <c r="Y94">
        <v>7</v>
      </c>
      <c r="Z94">
        <v>5</v>
      </c>
      <c r="AA94">
        <v>2</v>
      </c>
      <c r="AB94">
        <v>6</v>
      </c>
      <c r="AC94">
        <v>7</v>
      </c>
      <c r="AD94">
        <v>-1</v>
      </c>
      <c r="AE94">
        <v>5</v>
      </c>
      <c r="AF94">
        <v>8</v>
      </c>
      <c r="AG94">
        <v>-3</v>
      </c>
      <c r="AH94">
        <v>8</v>
      </c>
      <c r="AI94">
        <v>10</v>
      </c>
      <c r="AJ94">
        <v>-2</v>
      </c>
      <c r="AK94" t="s">
        <v>216</v>
      </c>
      <c r="AL94" t="s">
        <v>216</v>
      </c>
      <c r="AM94" t="s">
        <v>216</v>
      </c>
      <c r="AN94" t="s">
        <v>216</v>
      </c>
      <c r="AO94" t="s">
        <v>216</v>
      </c>
      <c r="AP94" t="s">
        <v>216</v>
      </c>
      <c r="AQ94" t="s">
        <v>216</v>
      </c>
      <c r="AR94" t="s">
        <v>216</v>
      </c>
      <c r="AS94" t="s">
        <v>216</v>
      </c>
    </row>
    <row r="95" spans="1:45" x14ac:dyDescent="0.45">
      <c r="A95">
        <v>94</v>
      </c>
      <c r="B95">
        <v>135</v>
      </c>
      <c r="C95" t="s">
        <v>72</v>
      </c>
      <c r="D95" t="s">
        <v>73</v>
      </c>
      <c r="E95" t="s">
        <v>74</v>
      </c>
      <c r="F95" t="s">
        <v>75</v>
      </c>
      <c r="G95" t="s">
        <v>76</v>
      </c>
      <c r="H95">
        <v>12</v>
      </c>
      <c r="I95">
        <v>0</v>
      </c>
      <c r="J95">
        <v>8</v>
      </c>
      <c r="K95">
        <v>9</v>
      </c>
      <c r="L95">
        <v>-1</v>
      </c>
      <c r="M95">
        <v>9</v>
      </c>
      <c r="N95">
        <v>7</v>
      </c>
      <c r="O95">
        <v>2</v>
      </c>
      <c r="P95">
        <v>8</v>
      </c>
      <c r="Q95">
        <v>5</v>
      </c>
      <c r="R95">
        <v>3</v>
      </c>
      <c r="S95">
        <v>7</v>
      </c>
      <c r="T95">
        <v>7</v>
      </c>
      <c r="U95">
        <v>0</v>
      </c>
      <c r="V95">
        <v>8</v>
      </c>
      <c r="W95">
        <v>5</v>
      </c>
      <c r="X95">
        <v>3</v>
      </c>
      <c r="Y95">
        <v>7</v>
      </c>
      <c r="Z95">
        <v>8</v>
      </c>
      <c r="AA95">
        <v>-1</v>
      </c>
      <c r="AB95">
        <v>8</v>
      </c>
      <c r="AC95">
        <v>5</v>
      </c>
      <c r="AD95">
        <v>3</v>
      </c>
      <c r="AE95">
        <v>7</v>
      </c>
      <c r="AF95">
        <v>5</v>
      </c>
      <c r="AG95">
        <v>2</v>
      </c>
      <c r="AH95">
        <v>8</v>
      </c>
      <c r="AI95">
        <v>7</v>
      </c>
      <c r="AJ95">
        <v>1</v>
      </c>
      <c r="AK95" t="s">
        <v>1038</v>
      </c>
      <c r="AL95" t="s">
        <v>1039</v>
      </c>
      <c r="AM95" t="s">
        <v>1040</v>
      </c>
      <c r="AN95" t="s">
        <v>1041</v>
      </c>
      <c r="AO95" t="s">
        <v>1042</v>
      </c>
      <c r="AP95" t="s">
        <v>1043</v>
      </c>
      <c r="AQ95" t="s">
        <v>1044</v>
      </c>
      <c r="AR95" t="s">
        <v>1045</v>
      </c>
      <c r="AS95" t="s">
        <v>1046</v>
      </c>
    </row>
    <row r="96" spans="1:45" x14ac:dyDescent="0.45">
      <c r="A96">
        <v>95</v>
      </c>
      <c r="B96">
        <v>136</v>
      </c>
      <c r="C96" t="s">
        <v>72</v>
      </c>
      <c r="D96" t="s">
        <v>79</v>
      </c>
      <c r="E96" t="s">
        <v>74</v>
      </c>
      <c r="F96" t="s">
        <v>77</v>
      </c>
      <c r="G96" t="s">
        <v>76</v>
      </c>
      <c r="H96">
        <v>33.911630313798995</v>
      </c>
      <c r="I96">
        <v>3</v>
      </c>
      <c r="J96">
        <v>8</v>
      </c>
      <c r="K96">
        <v>4</v>
      </c>
      <c r="L96">
        <v>4</v>
      </c>
      <c r="M96">
        <v>7</v>
      </c>
      <c r="N96">
        <v>6</v>
      </c>
      <c r="O96">
        <v>1</v>
      </c>
      <c r="P96">
        <v>6</v>
      </c>
      <c r="Q96">
        <v>5</v>
      </c>
      <c r="R96">
        <v>1</v>
      </c>
      <c r="S96">
        <v>5</v>
      </c>
      <c r="T96">
        <v>5</v>
      </c>
      <c r="U96">
        <v>0</v>
      </c>
      <c r="V96">
        <v>6</v>
      </c>
      <c r="W96">
        <v>4</v>
      </c>
      <c r="X96">
        <v>2</v>
      </c>
      <c r="Y96">
        <v>4</v>
      </c>
      <c r="Z96">
        <v>4</v>
      </c>
      <c r="AA96">
        <v>0</v>
      </c>
      <c r="AB96">
        <v>5</v>
      </c>
      <c r="AC96">
        <v>3</v>
      </c>
      <c r="AD96">
        <v>2</v>
      </c>
      <c r="AE96">
        <v>3</v>
      </c>
      <c r="AF96">
        <v>4</v>
      </c>
      <c r="AG96">
        <v>-1</v>
      </c>
      <c r="AH96">
        <v>7</v>
      </c>
      <c r="AI96">
        <v>3</v>
      </c>
      <c r="AJ96">
        <v>4</v>
      </c>
      <c r="AK96" t="s">
        <v>1047</v>
      </c>
      <c r="AL96" t="s">
        <v>1048</v>
      </c>
      <c r="AM96" t="s">
        <v>1049</v>
      </c>
      <c r="AN96" t="s">
        <v>1050</v>
      </c>
      <c r="AO96" t="s">
        <v>1051</v>
      </c>
      <c r="AP96" t="s">
        <v>1052</v>
      </c>
      <c r="AQ96" t="s">
        <v>1053</v>
      </c>
      <c r="AR96" t="s">
        <v>1054</v>
      </c>
      <c r="AS96" t="s">
        <v>1055</v>
      </c>
    </row>
    <row r="97" spans="1:45" x14ac:dyDescent="0.45">
      <c r="A97">
        <v>96</v>
      </c>
      <c r="B97">
        <v>137</v>
      </c>
      <c r="C97" t="s">
        <v>78</v>
      </c>
      <c r="D97" t="s">
        <v>188</v>
      </c>
      <c r="E97" t="s">
        <v>74</v>
      </c>
      <c r="F97" t="s">
        <v>77</v>
      </c>
      <c r="G97" t="s">
        <v>76</v>
      </c>
      <c r="H97">
        <v>12</v>
      </c>
      <c r="I97">
        <v>0</v>
      </c>
      <c r="J97">
        <v>6</v>
      </c>
      <c r="K97">
        <v>8</v>
      </c>
      <c r="L97">
        <v>-2</v>
      </c>
      <c r="M97">
        <v>5</v>
      </c>
      <c r="N97">
        <v>7</v>
      </c>
      <c r="O97">
        <v>-2</v>
      </c>
      <c r="P97">
        <v>7</v>
      </c>
      <c r="Q97">
        <v>5</v>
      </c>
      <c r="R97">
        <v>2</v>
      </c>
      <c r="S97">
        <v>8</v>
      </c>
      <c r="T97">
        <v>7</v>
      </c>
      <c r="U97">
        <v>1</v>
      </c>
      <c r="V97">
        <v>4</v>
      </c>
      <c r="W97">
        <v>7</v>
      </c>
      <c r="X97">
        <v>-3</v>
      </c>
      <c r="Y97">
        <v>6</v>
      </c>
      <c r="Z97">
        <v>5</v>
      </c>
      <c r="AA97">
        <v>1</v>
      </c>
      <c r="AB97">
        <v>5</v>
      </c>
      <c r="AC97">
        <v>5</v>
      </c>
      <c r="AD97">
        <v>0</v>
      </c>
      <c r="AE97">
        <v>6</v>
      </c>
      <c r="AF97">
        <v>7</v>
      </c>
      <c r="AG97">
        <v>-1</v>
      </c>
      <c r="AH97">
        <v>5</v>
      </c>
      <c r="AI97">
        <v>7</v>
      </c>
      <c r="AJ97">
        <v>-2</v>
      </c>
      <c r="AK97" t="s">
        <v>1056</v>
      </c>
      <c r="AL97" t="s">
        <v>1057</v>
      </c>
      <c r="AM97" t="s">
        <v>1058</v>
      </c>
      <c r="AN97" t="s">
        <v>1059</v>
      </c>
      <c r="AO97" t="s">
        <v>1060</v>
      </c>
      <c r="AP97" t="s">
        <v>1061</v>
      </c>
      <c r="AQ97" t="s">
        <v>1062</v>
      </c>
      <c r="AR97" t="s">
        <v>1063</v>
      </c>
      <c r="AS97" t="s">
        <v>1064</v>
      </c>
    </row>
    <row r="98" spans="1:45" x14ac:dyDescent="0.45">
      <c r="A98">
        <v>97</v>
      </c>
      <c r="B98">
        <v>138</v>
      </c>
      <c r="C98" t="s">
        <v>72</v>
      </c>
      <c r="D98" t="s">
        <v>192</v>
      </c>
      <c r="E98" t="s">
        <v>74</v>
      </c>
      <c r="F98" t="s">
        <v>77</v>
      </c>
      <c r="G98" t="s">
        <v>161</v>
      </c>
      <c r="H98">
        <v>186.82178729012267</v>
      </c>
      <c r="I98">
        <v>4</v>
      </c>
      <c r="J98">
        <v>7</v>
      </c>
      <c r="K98">
        <v>6</v>
      </c>
      <c r="L98">
        <v>1</v>
      </c>
      <c r="M98">
        <v>6</v>
      </c>
      <c r="N98">
        <v>6</v>
      </c>
      <c r="O98">
        <v>0</v>
      </c>
      <c r="P98">
        <v>8</v>
      </c>
      <c r="Q98">
        <v>5</v>
      </c>
      <c r="R98">
        <v>3</v>
      </c>
      <c r="S98">
        <v>9</v>
      </c>
      <c r="T98">
        <v>5</v>
      </c>
      <c r="U98">
        <v>4</v>
      </c>
      <c r="V98">
        <v>6</v>
      </c>
      <c r="W98">
        <v>5</v>
      </c>
      <c r="X98">
        <v>1</v>
      </c>
      <c r="Y98">
        <v>7</v>
      </c>
      <c r="Z98">
        <v>5</v>
      </c>
      <c r="AA98">
        <v>2</v>
      </c>
      <c r="AB98">
        <v>6</v>
      </c>
      <c r="AC98">
        <v>5</v>
      </c>
      <c r="AD98">
        <v>1</v>
      </c>
      <c r="AE98">
        <v>7</v>
      </c>
      <c r="AF98">
        <v>5</v>
      </c>
      <c r="AG98">
        <v>2</v>
      </c>
      <c r="AH98">
        <v>8</v>
      </c>
      <c r="AI98">
        <v>5</v>
      </c>
      <c r="AJ98">
        <v>3</v>
      </c>
      <c r="AK98" t="s">
        <v>1065</v>
      </c>
      <c r="AL98" t="s">
        <v>1066</v>
      </c>
      <c r="AM98" t="s">
        <v>1067</v>
      </c>
      <c r="AN98" t="s">
        <v>1068</v>
      </c>
      <c r="AO98" t="s">
        <v>1069</v>
      </c>
      <c r="AP98" t="s">
        <v>1070</v>
      </c>
      <c r="AQ98" t="s">
        <v>1071</v>
      </c>
      <c r="AR98" t="s">
        <v>1072</v>
      </c>
      <c r="AS98" t="s">
        <v>1073</v>
      </c>
    </row>
    <row r="99" spans="1:45" x14ac:dyDescent="0.45">
      <c r="A99">
        <v>98</v>
      </c>
      <c r="B99">
        <v>139</v>
      </c>
      <c r="C99" t="s">
        <v>72</v>
      </c>
      <c r="D99" t="s">
        <v>73</v>
      </c>
      <c r="E99" t="s">
        <v>80</v>
      </c>
      <c r="F99" t="s">
        <v>77</v>
      </c>
      <c r="G99" t="s">
        <v>76</v>
      </c>
      <c r="H99">
        <v>19.667050008143452</v>
      </c>
      <c r="I99">
        <v>0</v>
      </c>
      <c r="J99">
        <v>9</v>
      </c>
      <c r="K99">
        <v>8</v>
      </c>
      <c r="L99">
        <v>1</v>
      </c>
      <c r="M99">
        <v>8</v>
      </c>
      <c r="N99">
        <v>8</v>
      </c>
      <c r="O99">
        <v>0</v>
      </c>
      <c r="P99">
        <v>7</v>
      </c>
      <c r="Q99">
        <v>5</v>
      </c>
      <c r="R99">
        <v>2</v>
      </c>
      <c r="S99">
        <v>8</v>
      </c>
      <c r="T99">
        <v>8</v>
      </c>
      <c r="U99">
        <v>0</v>
      </c>
      <c r="V99">
        <v>8</v>
      </c>
      <c r="W99">
        <v>6</v>
      </c>
      <c r="X99">
        <v>2</v>
      </c>
      <c r="Y99">
        <v>7</v>
      </c>
      <c r="Z99">
        <v>9</v>
      </c>
      <c r="AA99">
        <v>-2</v>
      </c>
      <c r="AB99">
        <v>8</v>
      </c>
      <c r="AC99">
        <v>5</v>
      </c>
      <c r="AD99">
        <v>3</v>
      </c>
      <c r="AE99">
        <v>7</v>
      </c>
      <c r="AF99">
        <v>7</v>
      </c>
      <c r="AG99">
        <v>0</v>
      </c>
      <c r="AH99">
        <v>7</v>
      </c>
      <c r="AI99">
        <v>8</v>
      </c>
      <c r="AJ99">
        <v>-1</v>
      </c>
      <c r="AK99" t="s">
        <v>1074</v>
      </c>
      <c r="AL99" t="s">
        <v>1075</v>
      </c>
      <c r="AM99" t="s">
        <v>1076</v>
      </c>
      <c r="AN99" t="s">
        <v>1077</v>
      </c>
      <c r="AO99" t="s">
        <v>1078</v>
      </c>
      <c r="AP99" t="s">
        <v>1079</v>
      </c>
      <c r="AQ99" t="s">
        <v>1080</v>
      </c>
      <c r="AR99" t="s">
        <v>1081</v>
      </c>
      <c r="AS99" t="s">
        <v>1082</v>
      </c>
    </row>
    <row r="100" spans="1:45" x14ac:dyDescent="0.45">
      <c r="A100">
        <v>99</v>
      </c>
      <c r="B100">
        <v>140</v>
      </c>
      <c r="C100" t="s">
        <v>78</v>
      </c>
      <c r="D100" t="s">
        <v>81</v>
      </c>
      <c r="E100" t="s">
        <v>74</v>
      </c>
      <c r="F100" t="s">
        <v>77</v>
      </c>
      <c r="G100" t="s">
        <v>76</v>
      </c>
      <c r="H100">
        <v>28.340960399484587</v>
      </c>
      <c r="I100">
        <v>1</v>
      </c>
      <c r="J100">
        <v>8</v>
      </c>
      <c r="K100">
        <v>6</v>
      </c>
      <c r="L100">
        <v>2</v>
      </c>
      <c r="M100">
        <v>7</v>
      </c>
      <c r="N100">
        <v>6</v>
      </c>
      <c r="O100">
        <v>1</v>
      </c>
      <c r="P100">
        <v>9</v>
      </c>
      <c r="Q100">
        <v>3</v>
      </c>
      <c r="R100">
        <v>6</v>
      </c>
      <c r="S100">
        <v>8</v>
      </c>
      <c r="T100">
        <v>6</v>
      </c>
      <c r="U100">
        <v>2</v>
      </c>
      <c r="V100">
        <v>7</v>
      </c>
      <c r="W100">
        <v>5</v>
      </c>
      <c r="X100">
        <v>2</v>
      </c>
      <c r="Y100">
        <v>8</v>
      </c>
      <c r="Z100">
        <v>6</v>
      </c>
      <c r="AA100">
        <v>2</v>
      </c>
      <c r="AB100">
        <v>7</v>
      </c>
      <c r="AC100">
        <v>5</v>
      </c>
      <c r="AD100">
        <v>2</v>
      </c>
      <c r="AE100">
        <v>6</v>
      </c>
      <c r="AF100">
        <v>6</v>
      </c>
      <c r="AG100">
        <v>0</v>
      </c>
      <c r="AH100">
        <v>7</v>
      </c>
      <c r="AI100">
        <v>6</v>
      </c>
      <c r="AJ100">
        <v>1</v>
      </c>
      <c r="AK100" t="s">
        <v>1083</v>
      </c>
      <c r="AL100" t="s">
        <v>1084</v>
      </c>
      <c r="AM100" t="s">
        <v>1085</v>
      </c>
      <c r="AN100" t="s">
        <v>1086</v>
      </c>
      <c r="AO100" t="s">
        <v>1087</v>
      </c>
      <c r="AP100" t="s">
        <v>1088</v>
      </c>
      <c r="AQ100" t="s">
        <v>1089</v>
      </c>
      <c r="AR100" t="s">
        <v>1090</v>
      </c>
      <c r="AS100" t="s">
        <v>1091</v>
      </c>
    </row>
    <row r="101" spans="1:45" x14ac:dyDescent="0.45">
      <c r="A101">
        <v>100</v>
      </c>
      <c r="B101">
        <v>141</v>
      </c>
      <c r="C101" t="s">
        <v>72</v>
      </c>
      <c r="D101" t="s">
        <v>192</v>
      </c>
      <c r="E101" t="s">
        <v>74</v>
      </c>
      <c r="F101" t="s">
        <v>77</v>
      </c>
      <c r="G101" t="s">
        <v>76</v>
      </c>
      <c r="H101">
        <v>15.681482536940441</v>
      </c>
      <c r="I101">
        <v>1</v>
      </c>
      <c r="J101">
        <v>9</v>
      </c>
      <c r="K101">
        <v>8</v>
      </c>
      <c r="L101">
        <v>1</v>
      </c>
      <c r="M101">
        <v>8</v>
      </c>
      <c r="N101">
        <v>8</v>
      </c>
      <c r="O101">
        <v>0</v>
      </c>
      <c r="P101">
        <v>7</v>
      </c>
      <c r="Q101">
        <v>8</v>
      </c>
      <c r="R101">
        <v>-1</v>
      </c>
      <c r="S101">
        <v>8</v>
      </c>
      <c r="T101">
        <v>10</v>
      </c>
      <c r="U101">
        <v>-2</v>
      </c>
      <c r="V101">
        <v>6</v>
      </c>
      <c r="W101">
        <v>10</v>
      </c>
      <c r="X101">
        <v>-4</v>
      </c>
      <c r="Y101">
        <v>7</v>
      </c>
      <c r="Z101">
        <v>10</v>
      </c>
      <c r="AA101">
        <v>-3</v>
      </c>
      <c r="AB101">
        <v>5</v>
      </c>
      <c r="AC101">
        <v>10</v>
      </c>
      <c r="AD101">
        <v>-5</v>
      </c>
      <c r="AE101">
        <v>6</v>
      </c>
      <c r="AF101">
        <v>10</v>
      </c>
      <c r="AG101">
        <v>-4</v>
      </c>
      <c r="AH101">
        <v>7</v>
      </c>
      <c r="AI101">
        <v>10</v>
      </c>
      <c r="AJ101">
        <v>-3</v>
      </c>
      <c r="AK101" t="s">
        <v>1092</v>
      </c>
      <c r="AL101" t="s">
        <v>1093</v>
      </c>
      <c r="AM101" t="s">
        <v>1094</v>
      </c>
      <c r="AN101" t="s">
        <v>1095</v>
      </c>
      <c r="AO101" t="s">
        <v>1096</v>
      </c>
      <c r="AP101" t="s">
        <v>1097</v>
      </c>
      <c r="AQ101" t="s">
        <v>1098</v>
      </c>
      <c r="AR101" t="s">
        <v>1099</v>
      </c>
      <c r="AS101" t="s">
        <v>1100</v>
      </c>
    </row>
    <row r="102" spans="1:45" x14ac:dyDescent="0.45">
      <c r="A102">
        <v>101</v>
      </c>
      <c r="B102">
        <v>142</v>
      </c>
      <c r="C102" t="s">
        <v>72</v>
      </c>
      <c r="D102" t="s">
        <v>190</v>
      </c>
      <c r="E102" t="s">
        <v>74</v>
      </c>
      <c r="F102" t="s">
        <v>75</v>
      </c>
      <c r="G102" t="s">
        <v>76</v>
      </c>
      <c r="H102">
        <v>70.690992035318132</v>
      </c>
      <c r="I102">
        <v>4</v>
      </c>
      <c r="J102">
        <v>7</v>
      </c>
      <c r="K102">
        <v>8</v>
      </c>
      <c r="L102">
        <v>-1</v>
      </c>
      <c r="M102">
        <v>6</v>
      </c>
      <c r="N102">
        <v>8</v>
      </c>
      <c r="O102">
        <v>-2</v>
      </c>
      <c r="P102">
        <v>8</v>
      </c>
      <c r="Q102">
        <v>7</v>
      </c>
      <c r="R102">
        <v>1</v>
      </c>
      <c r="S102">
        <v>7</v>
      </c>
      <c r="T102">
        <v>8</v>
      </c>
      <c r="U102">
        <v>-1</v>
      </c>
      <c r="V102">
        <v>8</v>
      </c>
      <c r="W102">
        <v>8</v>
      </c>
      <c r="X102">
        <v>0</v>
      </c>
      <c r="Y102">
        <v>7</v>
      </c>
      <c r="Z102">
        <v>7</v>
      </c>
      <c r="AA102">
        <v>0</v>
      </c>
      <c r="AB102">
        <v>8</v>
      </c>
      <c r="AC102">
        <v>7</v>
      </c>
      <c r="AD102">
        <v>1</v>
      </c>
      <c r="AE102">
        <v>7</v>
      </c>
      <c r="AF102">
        <v>7</v>
      </c>
      <c r="AG102">
        <v>0</v>
      </c>
      <c r="AH102">
        <v>8</v>
      </c>
      <c r="AI102">
        <v>8</v>
      </c>
      <c r="AJ102">
        <v>0</v>
      </c>
      <c r="AK102" t="s">
        <v>1101</v>
      </c>
      <c r="AL102" t="s">
        <v>1102</v>
      </c>
      <c r="AM102" t="s">
        <v>1103</v>
      </c>
      <c r="AN102" t="s">
        <v>1104</v>
      </c>
      <c r="AO102" t="s">
        <v>1105</v>
      </c>
      <c r="AP102" t="s">
        <v>1106</v>
      </c>
      <c r="AQ102" t="s">
        <v>1107</v>
      </c>
      <c r="AR102" t="s">
        <v>1108</v>
      </c>
      <c r="AS102" t="s">
        <v>1109</v>
      </c>
    </row>
    <row r="103" spans="1:45" x14ac:dyDescent="0.45">
      <c r="A103">
        <v>102</v>
      </c>
      <c r="B103">
        <v>143</v>
      </c>
      <c r="C103" t="s">
        <v>78</v>
      </c>
      <c r="D103" t="s">
        <v>188</v>
      </c>
      <c r="E103" t="s">
        <v>74</v>
      </c>
      <c r="F103" t="s">
        <v>77</v>
      </c>
      <c r="G103" t="s">
        <v>76</v>
      </c>
      <c r="H103">
        <v>14.066600798773587</v>
      </c>
      <c r="I103">
        <v>0</v>
      </c>
      <c r="J103">
        <v>8</v>
      </c>
      <c r="K103">
        <v>5</v>
      </c>
      <c r="L103">
        <v>3</v>
      </c>
      <c r="M103">
        <v>7</v>
      </c>
      <c r="N103">
        <v>5</v>
      </c>
      <c r="O103">
        <v>2</v>
      </c>
      <c r="P103">
        <v>9</v>
      </c>
      <c r="Q103">
        <v>5</v>
      </c>
      <c r="R103">
        <v>4</v>
      </c>
      <c r="S103">
        <v>8</v>
      </c>
      <c r="T103">
        <v>5</v>
      </c>
      <c r="U103">
        <v>3</v>
      </c>
      <c r="V103">
        <v>7</v>
      </c>
      <c r="W103">
        <v>5</v>
      </c>
      <c r="X103">
        <v>2</v>
      </c>
      <c r="Y103">
        <v>8</v>
      </c>
      <c r="Z103">
        <v>5</v>
      </c>
      <c r="AA103">
        <v>3</v>
      </c>
      <c r="AB103">
        <v>7</v>
      </c>
      <c r="AC103">
        <v>5</v>
      </c>
      <c r="AD103">
        <v>2</v>
      </c>
      <c r="AE103">
        <v>6</v>
      </c>
      <c r="AF103">
        <v>5</v>
      </c>
      <c r="AG103">
        <v>1</v>
      </c>
      <c r="AH103">
        <v>7</v>
      </c>
      <c r="AI103">
        <v>5</v>
      </c>
      <c r="AJ103">
        <v>2</v>
      </c>
      <c r="AK103" t="s">
        <v>1110</v>
      </c>
      <c r="AL103" t="s">
        <v>1111</v>
      </c>
      <c r="AM103" t="s">
        <v>1112</v>
      </c>
      <c r="AN103" t="s">
        <v>1113</v>
      </c>
      <c r="AO103" t="s">
        <v>1114</v>
      </c>
      <c r="AP103" t="s">
        <v>1115</v>
      </c>
      <c r="AQ103" t="s">
        <v>1116</v>
      </c>
      <c r="AR103" t="s">
        <v>1117</v>
      </c>
      <c r="AS103" t="s">
        <v>1118</v>
      </c>
    </row>
    <row r="104" spans="1:45" x14ac:dyDescent="0.45">
      <c r="A104">
        <v>103</v>
      </c>
      <c r="B104">
        <v>144</v>
      </c>
      <c r="C104" t="s">
        <v>72</v>
      </c>
      <c r="D104" t="s">
        <v>192</v>
      </c>
      <c r="E104" t="s">
        <v>74</v>
      </c>
      <c r="F104" t="s">
        <v>77</v>
      </c>
      <c r="G104" t="s">
        <v>76</v>
      </c>
      <c r="H104">
        <v>43.891427599988567</v>
      </c>
      <c r="I104">
        <v>2</v>
      </c>
      <c r="J104">
        <v>7</v>
      </c>
      <c r="K104">
        <v>8</v>
      </c>
      <c r="L104">
        <v>-1</v>
      </c>
      <c r="M104">
        <v>8</v>
      </c>
      <c r="N104">
        <v>8</v>
      </c>
      <c r="O104">
        <v>0</v>
      </c>
      <c r="P104">
        <v>9</v>
      </c>
      <c r="Q104">
        <v>5</v>
      </c>
      <c r="R104">
        <v>4</v>
      </c>
      <c r="S104">
        <v>8</v>
      </c>
      <c r="T104">
        <v>8</v>
      </c>
      <c r="U104">
        <v>0</v>
      </c>
      <c r="V104">
        <v>6</v>
      </c>
      <c r="W104">
        <v>5</v>
      </c>
      <c r="X104">
        <v>1</v>
      </c>
      <c r="Y104">
        <v>7</v>
      </c>
      <c r="Z104">
        <v>5</v>
      </c>
      <c r="AA104">
        <v>2</v>
      </c>
      <c r="AB104">
        <v>5</v>
      </c>
      <c r="AC104">
        <v>6</v>
      </c>
      <c r="AD104">
        <v>-1</v>
      </c>
      <c r="AE104">
        <v>8</v>
      </c>
      <c r="AF104">
        <v>6</v>
      </c>
      <c r="AG104">
        <v>2</v>
      </c>
      <c r="AH104">
        <v>7</v>
      </c>
      <c r="AI104">
        <v>5</v>
      </c>
      <c r="AJ104">
        <v>2</v>
      </c>
      <c r="AK104" t="s">
        <v>1119</v>
      </c>
      <c r="AL104" t="s">
        <v>1120</v>
      </c>
      <c r="AM104" t="s">
        <v>1121</v>
      </c>
      <c r="AN104" t="s">
        <v>1122</v>
      </c>
      <c r="AO104" t="s">
        <v>1123</v>
      </c>
      <c r="AP104" t="s">
        <v>1124</v>
      </c>
      <c r="AQ104" t="s">
        <v>1125</v>
      </c>
      <c r="AR104" t="s">
        <v>1126</v>
      </c>
      <c r="AS104" t="s">
        <v>1127</v>
      </c>
    </row>
    <row r="105" spans="1:45" x14ac:dyDescent="0.45">
      <c r="A105">
        <v>104</v>
      </c>
      <c r="B105">
        <v>145</v>
      </c>
      <c r="C105" t="s">
        <v>78</v>
      </c>
      <c r="D105" t="s">
        <v>73</v>
      </c>
      <c r="E105" t="s">
        <v>74</v>
      </c>
      <c r="F105" t="s">
        <v>77</v>
      </c>
      <c r="G105" t="s">
        <v>76</v>
      </c>
      <c r="H105">
        <v>20.402522226352509</v>
      </c>
      <c r="I105">
        <v>0</v>
      </c>
      <c r="J105">
        <v>5</v>
      </c>
      <c r="K105">
        <v>6</v>
      </c>
      <c r="L105">
        <v>-1</v>
      </c>
      <c r="M105">
        <v>4</v>
      </c>
      <c r="N105">
        <v>7</v>
      </c>
      <c r="O105">
        <v>-3</v>
      </c>
      <c r="P105">
        <v>3</v>
      </c>
      <c r="Q105">
        <v>6</v>
      </c>
      <c r="R105">
        <v>-3</v>
      </c>
      <c r="S105">
        <v>5</v>
      </c>
      <c r="T105">
        <v>8</v>
      </c>
      <c r="U105">
        <v>-3</v>
      </c>
      <c r="V105">
        <v>4</v>
      </c>
      <c r="W105">
        <v>6</v>
      </c>
      <c r="X105">
        <v>-2</v>
      </c>
      <c r="Y105">
        <v>6</v>
      </c>
      <c r="Z105">
        <v>7</v>
      </c>
      <c r="AA105">
        <v>-1</v>
      </c>
      <c r="AB105">
        <v>4</v>
      </c>
      <c r="AC105">
        <v>6</v>
      </c>
      <c r="AD105">
        <v>-2</v>
      </c>
      <c r="AE105">
        <v>5</v>
      </c>
      <c r="AF105">
        <v>6</v>
      </c>
      <c r="AG105">
        <v>-1</v>
      </c>
      <c r="AH105">
        <v>6</v>
      </c>
      <c r="AI105">
        <v>7</v>
      </c>
      <c r="AJ105">
        <v>-1</v>
      </c>
      <c r="AK105" t="s">
        <v>1128</v>
      </c>
      <c r="AL105" t="s">
        <v>1129</v>
      </c>
      <c r="AM105" t="s">
        <v>1130</v>
      </c>
      <c r="AN105" t="s">
        <v>1131</v>
      </c>
      <c r="AO105" t="s">
        <v>1132</v>
      </c>
      <c r="AP105" t="s">
        <v>1133</v>
      </c>
      <c r="AQ105" t="s">
        <v>1134</v>
      </c>
      <c r="AR105" t="s">
        <v>1135</v>
      </c>
      <c r="AS105" t="s">
        <v>1136</v>
      </c>
    </row>
    <row r="106" spans="1:45" x14ac:dyDescent="0.45">
      <c r="A106">
        <v>105</v>
      </c>
      <c r="B106">
        <v>146</v>
      </c>
      <c r="C106" t="s">
        <v>78</v>
      </c>
      <c r="D106" t="s">
        <v>81</v>
      </c>
      <c r="E106" t="s">
        <v>74</v>
      </c>
      <c r="F106" t="s">
        <v>77</v>
      </c>
      <c r="G106" t="s">
        <v>76</v>
      </c>
      <c r="H106">
        <v>16.00252021368944</v>
      </c>
      <c r="I106">
        <v>1</v>
      </c>
      <c r="J106">
        <v>6</v>
      </c>
      <c r="K106">
        <v>9</v>
      </c>
      <c r="L106">
        <v>-3</v>
      </c>
      <c r="M106">
        <v>7</v>
      </c>
      <c r="N106">
        <v>10</v>
      </c>
      <c r="O106">
        <v>-3</v>
      </c>
      <c r="P106">
        <v>8</v>
      </c>
      <c r="Q106">
        <v>8</v>
      </c>
      <c r="R106">
        <v>0</v>
      </c>
      <c r="S106">
        <v>9</v>
      </c>
      <c r="T106">
        <v>8</v>
      </c>
      <c r="U106">
        <v>1</v>
      </c>
      <c r="V106">
        <v>7</v>
      </c>
      <c r="W106">
        <v>9</v>
      </c>
      <c r="X106">
        <v>-2</v>
      </c>
      <c r="Y106">
        <v>8</v>
      </c>
      <c r="Z106">
        <v>9</v>
      </c>
      <c r="AA106">
        <v>-1</v>
      </c>
      <c r="AB106">
        <v>7</v>
      </c>
      <c r="AC106">
        <v>8</v>
      </c>
      <c r="AD106">
        <v>-1</v>
      </c>
      <c r="AE106">
        <v>6</v>
      </c>
      <c r="AF106">
        <v>6</v>
      </c>
      <c r="AG106">
        <v>0</v>
      </c>
      <c r="AH106">
        <v>5</v>
      </c>
      <c r="AI106">
        <v>9</v>
      </c>
      <c r="AJ106">
        <v>-4</v>
      </c>
      <c r="AK106" t="s">
        <v>1137</v>
      </c>
      <c r="AL106" t="s">
        <v>1138</v>
      </c>
      <c r="AM106" t="s">
        <v>1139</v>
      </c>
      <c r="AN106" t="s">
        <v>1140</v>
      </c>
      <c r="AO106" t="s">
        <v>1141</v>
      </c>
      <c r="AP106" t="s">
        <v>1142</v>
      </c>
      <c r="AQ106" t="s">
        <v>1143</v>
      </c>
      <c r="AR106" t="s">
        <v>1144</v>
      </c>
      <c r="AS106" t="s">
        <v>1145</v>
      </c>
    </row>
    <row r="107" spans="1:45" x14ac:dyDescent="0.45">
      <c r="A107">
        <v>106</v>
      </c>
      <c r="B107">
        <v>147</v>
      </c>
      <c r="C107" t="s">
        <v>72</v>
      </c>
      <c r="D107" t="s">
        <v>81</v>
      </c>
      <c r="E107" t="s">
        <v>74</v>
      </c>
      <c r="F107" t="s">
        <v>77</v>
      </c>
      <c r="G107" t="s">
        <v>76</v>
      </c>
      <c r="H107">
        <v>12</v>
      </c>
      <c r="I107">
        <v>0</v>
      </c>
      <c r="J107">
        <v>9</v>
      </c>
      <c r="K107">
        <v>10</v>
      </c>
      <c r="L107">
        <v>-1</v>
      </c>
      <c r="M107">
        <v>8</v>
      </c>
      <c r="N107">
        <v>5</v>
      </c>
      <c r="O107">
        <v>3</v>
      </c>
      <c r="P107">
        <v>7</v>
      </c>
      <c r="Q107">
        <v>8</v>
      </c>
      <c r="R107">
        <v>-1</v>
      </c>
      <c r="S107">
        <v>8</v>
      </c>
      <c r="T107">
        <v>8</v>
      </c>
      <c r="U107">
        <v>0</v>
      </c>
      <c r="V107">
        <v>7</v>
      </c>
      <c r="W107">
        <v>10</v>
      </c>
      <c r="X107">
        <v>-3</v>
      </c>
      <c r="Y107">
        <v>8</v>
      </c>
      <c r="Z107">
        <v>10</v>
      </c>
      <c r="AA107">
        <v>-2</v>
      </c>
      <c r="AB107">
        <v>6</v>
      </c>
      <c r="AC107">
        <v>10</v>
      </c>
      <c r="AD107">
        <v>-4</v>
      </c>
      <c r="AE107">
        <v>5</v>
      </c>
      <c r="AF107">
        <v>10</v>
      </c>
      <c r="AG107">
        <v>-5</v>
      </c>
      <c r="AH107">
        <v>8</v>
      </c>
      <c r="AI107">
        <v>10</v>
      </c>
      <c r="AJ107">
        <v>-2</v>
      </c>
      <c r="AK107" t="s">
        <v>1146</v>
      </c>
      <c r="AL107" t="s">
        <v>1147</v>
      </c>
      <c r="AM107" t="s">
        <v>1148</v>
      </c>
      <c r="AN107" t="s">
        <v>1149</v>
      </c>
      <c r="AO107" t="s">
        <v>1150</v>
      </c>
      <c r="AP107" t="s">
        <v>1151</v>
      </c>
      <c r="AQ107" t="s">
        <v>1152</v>
      </c>
      <c r="AR107" t="s">
        <v>1153</v>
      </c>
      <c r="AS107" t="s">
        <v>1154</v>
      </c>
    </row>
    <row r="108" spans="1:45" x14ac:dyDescent="0.45">
      <c r="A108">
        <v>107</v>
      </c>
      <c r="B108">
        <v>148</v>
      </c>
      <c r="C108" t="s">
        <v>72</v>
      </c>
      <c r="D108" t="s">
        <v>79</v>
      </c>
      <c r="E108" t="s">
        <v>74</v>
      </c>
      <c r="F108" t="s">
        <v>77</v>
      </c>
      <c r="G108" t="s">
        <v>76</v>
      </c>
      <c r="H108">
        <v>28.099593980416227</v>
      </c>
      <c r="I108">
        <v>1</v>
      </c>
      <c r="J108">
        <v>7</v>
      </c>
      <c r="K108">
        <v>7</v>
      </c>
      <c r="L108">
        <v>0</v>
      </c>
      <c r="M108">
        <v>6</v>
      </c>
      <c r="N108">
        <v>7</v>
      </c>
      <c r="O108">
        <v>-1</v>
      </c>
      <c r="P108">
        <v>8</v>
      </c>
      <c r="Q108">
        <v>7</v>
      </c>
      <c r="R108">
        <v>1</v>
      </c>
      <c r="S108">
        <v>7</v>
      </c>
      <c r="T108">
        <v>7</v>
      </c>
      <c r="U108">
        <v>0</v>
      </c>
      <c r="V108">
        <v>8</v>
      </c>
      <c r="W108">
        <v>7</v>
      </c>
      <c r="X108">
        <v>1</v>
      </c>
      <c r="Y108">
        <v>6</v>
      </c>
      <c r="Z108">
        <v>7</v>
      </c>
      <c r="AA108">
        <v>-1</v>
      </c>
      <c r="AB108">
        <v>5</v>
      </c>
      <c r="AC108">
        <v>7</v>
      </c>
      <c r="AD108">
        <v>-2</v>
      </c>
      <c r="AE108">
        <v>6</v>
      </c>
      <c r="AF108">
        <v>7</v>
      </c>
      <c r="AG108">
        <v>-1</v>
      </c>
      <c r="AH108">
        <v>7</v>
      </c>
      <c r="AI108">
        <v>8</v>
      </c>
      <c r="AJ108">
        <v>-1</v>
      </c>
      <c r="AK108" t="s">
        <v>1155</v>
      </c>
      <c r="AL108" t="s">
        <v>1156</v>
      </c>
      <c r="AM108" t="s">
        <v>1157</v>
      </c>
      <c r="AN108" t="s">
        <v>1158</v>
      </c>
      <c r="AO108" t="s">
        <v>1159</v>
      </c>
      <c r="AP108" t="s">
        <v>1160</v>
      </c>
      <c r="AQ108" t="s">
        <v>1161</v>
      </c>
      <c r="AR108" t="s">
        <v>1162</v>
      </c>
      <c r="AS108" t="s">
        <v>1163</v>
      </c>
    </row>
    <row r="109" spans="1:45" x14ac:dyDescent="0.45">
      <c r="A109">
        <v>108</v>
      </c>
      <c r="B109">
        <v>149</v>
      </c>
      <c r="C109" t="s">
        <v>72</v>
      </c>
      <c r="D109" t="s">
        <v>79</v>
      </c>
      <c r="E109" t="s">
        <v>74</v>
      </c>
      <c r="F109" t="s">
        <v>77</v>
      </c>
      <c r="G109" t="s">
        <v>76</v>
      </c>
      <c r="H109">
        <v>12.410128499275165</v>
      </c>
      <c r="I109">
        <v>1</v>
      </c>
      <c r="J109">
        <v>6</v>
      </c>
      <c r="K109">
        <v>5</v>
      </c>
      <c r="L109">
        <v>1</v>
      </c>
      <c r="M109">
        <v>7</v>
      </c>
      <c r="N109">
        <v>10</v>
      </c>
      <c r="O109">
        <v>-3</v>
      </c>
      <c r="P109">
        <v>8</v>
      </c>
      <c r="Q109">
        <v>5</v>
      </c>
      <c r="R109">
        <v>3</v>
      </c>
      <c r="S109">
        <v>7</v>
      </c>
      <c r="T109">
        <v>5</v>
      </c>
      <c r="U109">
        <v>2</v>
      </c>
      <c r="V109">
        <v>9</v>
      </c>
      <c r="W109">
        <v>5</v>
      </c>
      <c r="X109">
        <v>4</v>
      </c>
      <c r="Y109">
        <v>8</v>
      </c>
      <c r="Z109">
        <v>5</v>
      </c>
      <c r="AA109">
        <v>3</v>
      </c>
      <c r="AB109">
        <v>9</v>
      </c>
      <c r="AC109">
        <v>8</v>
      </c>
      <c r="AD109">
        <v>1</v>
      </c>
      <c r="AE109">
        <v>7</v>
      </c>
      <c r="AF109">
        <v>5</v>
      </c>
      <c r="AG109">
        <v>2</v>
      </c>
      <c r="AH109">
        <v>8</v>
      </c>
      <c r="AI109">
        <v>6</v>
      </c>
      <c r="AJ109">
        <v>2</v>
      </c>
      <c r="AK109" t="s">
        <v>1164</v>
      </c>
      <c r="AL109" t="s">
        <v>1165</v>
      </c>
      <c r="AM109" t="s">
        <v>1166</v>
      </c>
      <c r="AN109" t="s">
        <v>1167</v>
      </c>
      <c r="AO109" t="s">
        <v>1168</v>
      </c>
      <c r="AP109" t="s">
        <v>1169</v>
      </c>
      <c r="AQ109" t="s">
        <v>1170</v>
      </c>
      <c r="AR109" t="s">
        <v>1171</v>
      </c>
      <c r="AS109" t="s">
        <v>1172</v>
      </c>
    </row>
    <row r="110" spans="1:45" x14ac:dyDescent="0.45">
      <c r="A110">
        <v>109</v>
      </c>
      <c r="B110">
        <v>150</v>
      </c>
      <c r="C110" t="s">
        <v>72</v>
      </c>
      <c r="D110" t="s">
        <v>79</v>
      </c>
      <c r="E110" t="s">
        <v>74</v>
      </c>
      <c r="F110" t="s">
        <v>77</v>
      </c>
      <c r="G110" t="s">
        <v>76</v>
      </c>
      <c r="H110">
        <v>12.024110220283054</v>
      </c>
      <c r="I110">
        <v>1</v>
      </c>
      <c r="J110">
        <v>6</v>
      </c>
      <c r="K110">
        <v>10</v>
      </c>
      <c r="L110">
        <v>-4</v>
      </c>
      <c r="M110">
        <v>8</v>
      </c>
      <c r="N110">
        <v>10</v>
      </c>
      <c r="O110">
        <v>-2</v>
      </c>
      <c r="P110">
        <v>9</v>
      </c>
      <c r="Q110">
        <v>10</v>
      </c>
      <c r="R110">
        <v>-1</v>
      </c>
      <c r="S110">
        <v>8</v>
      </c>
      <c r="T110">
        <v>10</v>
      </c>
      <c r="U110">
        <v>-2</v>
      </c>
      <c r="V110">
        <v>7</v>
      </c>
      <c r="W110">
        <v>10</v>
      </c>
      <c r="X110">
        <v>-3</v>
      </c>
      <c r="Y110">
        <v>7</v>
      </c>
      <c r="Z110">
        <v>10</v>
      </c>
      <c r="AA110">
        <v>-3</v>
      </c>
      <c r="AB110">
        <v>6</v>
      </c>
      <c r="AC110">
        <v>10</v>
      </c>
      <c r="AD110">
        <v>-4</v>
      </c>
      <c r="AE110">
        <v>6</v>
      </c>
      <c r="AF110">
        <v>10</v>
      </c>
      <c r="AG110">
        <v>-4</v>
      </c>
      <c r="AH110">
        <v>7</v>
      </c>
      <c r="AI110">
        <v>10</v>
      </c>
      <c r="AJ110">
        <v>-3</v>
      </c>
      <c r="AK110" t="s">
        <v>1173</v>
      </c>
      <c r="AL110" t="s">
        <v>1174</v>
      </c>
      <c r="AM110" t="s">
        <v>1175</v>
      </c>
      <c r="AN110" t="s">
        <v>1176</v>
      </c>
      <c r="AO110" t="s">
        <v>1177</v>
      </c>
      <c r="AP110" t="s">
        <v>1178</v>
      </c>
      <c r="AQ110" t="s">
        <v>1179</v>
      </c>
      <c r="AR110" t="s">
        <v>1180</v>
      </c>
      <c r="AS110" t="s">
        <v>1181</v>
      </c>
    </row>
    <row r="111" spans="1:45" x14ac:dyDescent="0.45">
      <c r="A111">
        <v>110</v>
      </c>
      <c r="B111">
        <v>151</v>
      </c>
      <c r="C111" t="s">
        <v>78</v>
      </c>
      <c r="D111" t="s">
        <v>73</v>
      </c>
      <c r="E111" t="s">
        <v>74</v>
      </c>
      <c r="F111" t="s">
        <v>77</v>
      </c>
      <c r="G111" t="s">
        <v>76</v>
      </c>
      <c r="H111">
        <v>58.327670691599721</v>
      </c>
      <c r="I111">
        <v>2</v>
      </c>
      <c r="J111">
        <v>9</v>
      </c>
      <c r="K111">
        <v>7</v>
      </c>
      <c r="L111">
        <v>2</v>
      </c>
      <c r="M111">
        <v>8</v>
      </c>
      <c r="N111">
        <v>6</v>
      </c>
      <c r="O111">
        <v>2</v>
      </c>
      <c r="P111">
        <v>8</v>
      </c>
      <c r="Q111">
        <v>8</v>
      </c>
      <c r="R111">
        <v>0</v>
      </c>
      <c r="S111">
        <v>7</v>
      </c>
      <c r="T111">
        <v>8</v>
      </c>
      <c r="U111">
        <v>-1</v>
      </c>
      <c r="V111">
        <v>6</v>
      </c>
      <c r="W111">
        <v>7</v>
      </c>
      <c r="X111">
        <v>-1</v>
      </c>
      <c r="Y111">
        <v>7</v>
      </c>
      <c r="Z111">
        <v>6</v>
      </c>
      <c r="AA111">
        <v>1</v>
      </c>
      <c r="AB111">
        <v>6</v>
      </c>
      <c r="AC111">
        <v>5</v>
      </c>
      <c r="AD111">
        <v>1</v>
      </c>
      <c r="AE111">
        <v>5</v>
      </c>
      <c r="AF111">
        <v>5</v>
      </c>
      <c r="AG111">
        <v>0</v>
      </c>
      <c r="AH111">
        <v>6</v>
      </c>
      <c r="AI111">
        <v>8</v>
      </c>
      <c r="AJ111">
        <v>-2</v>
      </c>
      <c r="AK111" t="s">
        <v>1182</v>
      </c>
      <c r="AL111" t="s">
        <v>1183</v>
      </c>
      <c r="AM111" t="s">
        <v>1184</v>
      </c>
      <c r="AN111" t="s">
        <v>1185</v>
      </c>
      <c r="AO111" t="s">
        <v>1186</v>
      </c>
      <c r="AP111" t="s">
        <v>1187</v>
      </c>
      <c r="AQ111" t="s">
        <v>1188</v>
      </c>
      <c r="AR111" t="s">
        <v>1189</v>
      </c>
      <c r="AS111" t="s">
        <v>1190</v>
      </c>
    </row>
    <row r="112" spans="1:45" x14ac:dyDescent="0.45">
      <c r="A112">
        <v>111</v>
      </c>
      <c r="B112">
        <v>152</v>
      </c>
      <c r="C112" t="s">
        <v>78</v>
      </c>
      <c r="D112" t="s">
        <v>190</v>
      </c>
      <c r="E112" t="s">
        <v>74</v>
      </c>
      <c r="F112" t="s">
        <v>77</v>
      </c>
      <c r="G112" t="s">
        <v>76</v>
      </c>
      <c r="H112">
        <v>24.748261613185669</v>
      </c>
      <c r="I112">
        <v>1</v>
      </c>
      <c r="J112">
        <v>7</v>
      </c>
      <c r="K112">
        <v>8</v>
      </c>
      <c r="L112">
        <v>-1</v>
      </c>
      <c r="M112">
        <v>8</v>
      </c>
      <c r="N112">
        <v>8</v>
      </c>
      <c r="O112">
        <v>0</v>
      </c>
      <c r="P112">
        <v>6</v>
      </c>
      <c r="Q112">
        <v>6</v>
      </c>
      <c r="R112">
        <v>0</v>
      </c>
      <c r="S112">
        <v>7</v>
      </c>
      <c r="T112">
        <v>7</v>
      </c>
      <c r="U112">
        <v>0</v>
      </c>
      <c r="V112">
        <v>8</v>
      </c>
      <c r="W112">
        <v>6</v>
      </c>
      <c r="X112">
        <v>2</v>
      </c>
      <c r="Y112">
        <v>7</v>
      </c>
      <c r="Z112">
        <v>7</v>
      </c>
      <c r="AA112">
        <v>0</v>
      </c>
      <c r="AB112">
        <v>8</v>
      </c>
      <c r="AC112">
        <v>5</v>
      </c>
      <c r="AD112">
        <v>3</v>
      </c>
      <c r="AE112">
        <v>6</v>
      </c>
      <c r="AF112">
        <v>5</v>
      </c>
      <c r="AG112">
        <v>1</v>
      </c>
      <c r="AH112">
        <v>5</v>
      </c>
      <c r="AI112">
        <v>5</v>
      </c>
      <c r="AJ112">
        <v>0</v>
      </c>
      <c r="AK112" t="s">
        <v>1191</v>
      </c>
      <c r="AL112" t="s">
        <v>1192</v>
      </c>
      <c r="AM112" t="s">
        <v>1193</v>
      </c>
      <c r="AN112" t="s">
        <v>1194</v>
      </c>
      <c r="AO112" t="s">
        <v>1195</v>
      </c>
      <c r="AP112" t="s">
        <v>1196</v>
      </c>
      <c r="AQ112" t="s">
        <v>1197</v>
      </c>
      <c r="AR112" t="s">
        <v>1198</v>
      </c>
      <c r="AS112" t="s">
        <v>1199</v>
      </c>
    </row>
    <row r="113" spans="1:45" x14ac:dyDescent="0.45">
      <c r="A113">
        <v>112</v>
      </c>
      <c r="B113">
        <v>153</v>
      </c>
      <c r="C113" t="s">
        <v>72</v>
      </c>
      <c r="D113" t="s">
        <v>79</v>
      </c>
      <c r="E113" t="s">
        <v>74</v>
      </c>
      <c r="F113" t="s">
        <v>77</v>
      </c>
      <c r="G113" t="s">
        <v>76</v>
      </c>
      <c r="H113">
        <v>21.740715099217272</v>
      </c>
      <c r="I113">
        <v>2</v>
      </c>
      <c r="J113">
        <v>6</v>
      </c>
      <c r="K113">
        <v>7</v>
      </c>
      <c r="L113">
        <v>-1</v>
      </c>
      <c r="M113">
        <v>7</v>
      </c>
      <c r="N113">
        <v>8</v>
      </c>
      <c r="O113">
        <v>-1</v>
      </c>
      <c r="P113">
        <v>8</v>
      </c>
      <c r="Q113">
        <v>8</v>
      </c>
      <c r="R113">
        <v>0</v>
      </c>
      <c r="S113">
        <v>7</v>
      </c>
      <c r="T113">
        <v>8</v>
      </c>
      <c r="U113">
        <v>-1</v>
      </c>
      <c r="V113">
        <v>6</v>
      </c>
      <c r="W113">
        <v>8</v>
      </c>
      <c r="X113">
        <v>-2</v>
      </c>
      <c r="Y113">
        <v>7</v>
      </c>
      <c r="Z113">
        <v>8</v>
      </c>
      <c r="AA113">
        <v>-1</v>
      </c>
      <c r="AB113">
        <v>6</v>
      </c>
      <c r="AC113">
        <v>8</v>
      </c>
      <c r="AD113">
        <v>-2</v>
      </c>
      <c r="AE113">
        <v>5</v>
      </c>
      <c r="AF113">
        <v>8</v>
      </c>
      <c r="AG113">
        <v>-3</v>
      </c>
      <c r="AH113">
        <v>7</v>
      </c>
      <c r="AI113">
        <v>8</v>
      </c>
      <c r="AJ113">
        <v>-1</v>
      </c>
      <c r="AK113" t="s">
        <v>1200</v>
      </c>
      <c r="AL113" t="s">
        <v>1201</v>
      </c>
      <c r="AM113" t="s">
        <v>1202</v>
      </c>
      <c r="AN113" t="s">
        <v>1203</v>
      </c>
      <c r="AO113" t="s">
        <v>1204</v>
      </c>
      <c r="AP113" t="s">
        <v>1205</v>
      </c>
      <c r="AQ113" t="s">
        <v>1206</v>
      </c>
      <c r="AR113" t="s">
        <v>1207</v>
      </c>
      <c r="AS113" t="s">
        <v>1208</v>
      </c>
    </row>
    <row r="114" spans="1:45" x14ac:dyDescent="0.45">
      <c r="A114">
        <v>113</v>
      </c>
      <c r="B114">
        <v>154</v>
      </c>
      <c r="C114" t="s">
        <v>72</v>
      </c>
      <c r="D114" t="s">
        <v>73</v>
      </c>
      <c r="E114" t="s">
        <v>74</v>
      </c>
      <c r="F114" t="s">
        <v>77</v>
      </c>
      <c r="G114" t="s">
        <v>76</v>
      </c>
      <c r="H114">
        <v>12</v>
      </c>
      <c r="I114">
        <v>3</v>
      </c>
      <c r="J114">
        <v>8</v>
      </c>
      <c r="K114">
        <v>1</v>
      </c>
      <c r="L114">
        <v>7</v>
      </c>
      <c r="M114">
        <v>7</v>
      </c>
      <c r="N114">
        <v>1</v>
      </c>
      <c r="O114">
        <v>6</v>
      </c>
      <c r="P114">
        <v>9</v>
      </c>
      <c r="Q114">
        <v>1</v>
      </c>
      <c r="R114">
        <v>8</v>
      </c>
      <c r="S114">
        <v>8</v>
      </c>
      <c r="T114">
        <v>1</v>
      </c>
      <c r="U114">
        <v>7</v>
      </c>
      <c r="V114">
        <v>7</v>
      </c>
      <c r="W114">
        <v>1</v>
      </c>
      <c r="X114">
        <v>6</v>
      </c>
      <c r="Y114">
        <v>6</v>
      </c>
      <c r="Z114">
        <v>1</v>
      </c>
      <c r="AA114">
        <v>5</v>
      </c>
      <c r="AB114">
        <v>5</v>
      </c>
      <c r="AC114">
        <v>1</v>
      </c>
      <c r="AD114">
        <v>4</v>
      </c>
      <c r="AE114">
        <v>7</v>
      </c>
      <c r="AF114">
        <v>1</v>
      </c>
      <c r="AG114">
        <v>6</v>
      </c>
      <c r="AH114">
        <v>8</v>
      </c>
      <c r="AI114">
        <v>1</v>
      </c>
      <c r="AJ114">
        <v>7</v>
      </c>
      <c r="AK114" t="s">
        <v>1209</v>
      </c>
      <c r="AL114" t="s">
        <v>1210</v>
      </c>
      <c r="AM114" t="s">
        <v>1211</v>
      </c>
      <c r="AN114" t="s">
        <v>1212</v>
      </c>
      <c r="AO114" t="s">
        <v>1213</v>
      </c>
      <c r="AP114" t="s">
        <v>1214</v>
      </c>
      <c r="AQ114" t="s">
        <v>1215</v>
      </c>
      <c r="AR114" t="s">
        <v>1216</v>
      </c>
      <c r="AS114" t="s">
        <v>1217</v>
      </c>
    </row>
    <row r="115" spans="1:45" x14ac:dyDescent="0.45">
      <c r="A115">
        <v>114</v>
      </c>
      <c r="B115">
        <v>155</v>
      </c>
      <c r="C115" t="s">
        <v>72</v>
      </c>
      <c r="D115" t="s">
        <v>79</v>
      </c>
      <c r="E115" t="s">
        <v>74</v>
      </c>
      <c r="F115" t="s">
        <v>77</v>
      </c>
      <c r="G115" t="s">
        <v>76</v>
      </c>
      <c r="H115">
        <v>19.245919311526606</v>
      </c>
      <c r="I115">
        <v>4</v>
      </c>
      <c r="J115">
        <v>7</v>
      </c>
      <c r="K115">
        <v>10</v>
      </c>
      <c r="L115">
        <v>-3</v>
      </c>
      <c r="M115">
        <v>8</v>
      </c>
      <c r="N115">
        <v>10</v>
      </c>
      <c r="O115">
        <v>-2</v>
      </c>
      <c r="P115">
        <v>9</v>
      </c>
      <c r="Q115">
        <v>10</v>
      </c>
      <c r="R115">
        <v>-1</v>
      </c>
      <c r="S115">
        <v>8</v>
      </c>
      <c r="T115">
        <v>10</v>
      </c>
      <c r="U115">
        <v>-2</v>
      </c>
      <c r="V115">
        <v>7</v>
      </c>
      <c r="W115">
        <v>10</v>
      </c>
      <c r="X115">
        <v>-3</v>
      </c>
      <c r="Y115">
        <v>6</v>
      </c>
      <c r="Z115">
        <v>10</v>
      </c>
      <c r="AA115">
        <v>-4</v>
      </c>
      <c r="AB115">
        <v>5</v>
      </c>
      <c r="AC115">
        <v>10</v>
      </c>
      <c r="AD115">
        <v>-5</v>
      </c>
      <c r="AE115">
        <v>4</v>
      </c>
      <c r="AF115">
        <v>10</v>
      </c>
      <c r="AG115">
        <v>-6</v>
      </c>
      <c r="AH115">
        <v>5</v>
      </c>
      <c r="AI115">
        <v>10</v>
      </c>
      <c r="AJ115">
        <v>-5</v>
      </c>
      <c r="AK115" t="s">
        <v>1218</v>
      </c>
      <c r="AL115" t="s">
        <v>1219</v>
      </c>
      <c r="AM115" t="s">
        <v>1220</v>
      </c>
      <c r="AN115" t="s">
        <v>1221</v>
      </c>
      <c r="AO115" t="s">
        <v>1222</v>
      </c>
      <c r="AP115" t="s">
        <v>1223</v>
      </c>
      <c r="AQ115" t="s">
        <v>1224</v>
      </c>
      <c r="AR115" t="s">
        <v>1225</v>
      </c>
      <c r="AS115" t="s">
        <v>1226</v>
      </c>
    </row>
    <row r="116" spans="1:45" x14ac:dyDescent="0.45">
      <c r="A116">
        <v>115</v>
      </c>
      <c r="B116">
        <v>156</v>
      </c>
      <c r="C116" t="s">
        <v>72</v>
      </c>
      <c r="D116" t="s">
        <v>79</v>
      </c>
      <c r="E116" t="s">
        <v>74</v>
      </c>
      <c r="F116" t="s">
        <v>75</v>
      </c>
      <c r="G116" t="s">
        <v>76</v>
      </c>
      <c r="H116">
        <v>12.693600521162054</v>
      </c>
      <c r="I116">
        <v>4</v>
      </c>
      <c r="J116">
        <v>7</v>
      </c>
      <c r="K116">
        <v>1</v>
      </c>
      <c r="L116">
        <v>6</v>
      </c>
      <c r="M116">
        <v>8</v>
      </c>
      <c r="N116">
        <v>1</v>
      </c>
      <c r="O116">
        <v>7</v>
      </c>
      <c r="P116">
        <v>6</v>
      </c>
      <c r="Q116">
        <v>1</v>
      </c>
      <c r="R116">
        <v>5</v>
      </c>
      <c r="S116">
        <v>6</v>
      </c>
      <c r="T116">
        <v>1</v>
      </c>
      <c r="U116">
        <v>5</v>
      </c>
      <c r="V116">
        <v>5</v>
      </c>
      <c r="W116">
        <v>1</v>
      </c>
      <c r="X116">
        <v>4</v>
      </c>
      <c r="Y116">
        <v>4</v>
      </c>
      <c r="Z116">
        <v>1</v>
      </c>
      <c r="AA116">
        <v>3</v>
      </c>
      <c r="AB116">
        <v>5</v>
      </c>
      <c r="AC116">
        <v>1</v>
      </c>
      <c r="AD116">
        <v>4</v>
      </c>
      <c r="AE116">
        <v>3</v>
      </c>
      <c r="AF116">
        <v>1</v>
      </c>
      <c r="AG116">
        <v>2</v>
      </c>
      <c r="AH116">
        <v>7</v>
      </c>
      <c r="AI116">
        <v>1</v>
      </c>
      <c r="AJ116">
        <v>6</v>
      </c>
      <c r="AK116" t="s">
        <v>1227</v>
      </c>
      <c r="AL116" t="s">
        <v>1228</v>
      </c>
      <c r="AM116" t="s">
        <v>1229</v>
      </c>
      <c r="AN116" t="s">
        <v>1230</v>
      </c>
      <c r="AO116" t="s">
        <v>1231</v>
      </c>
      <c r="AP116" t="s">
        <v>1232</v>
      </c>
      <c r="AQ116" t="s">
        <v>1233</v>
      </c>
      <c r="AR116" t="s">
        <v>1234</v>
      </c>
      <c r="AS116" t="s">
        <v>1235</v>
      </c>
    </row>
    <row r="117" spans="1:45" x14ac:dyDescent="0.45">
      <c r="A117">
        <v>116</v>
      </c>
      <c r="B117">
        <v>157</v>
      </c>
      <c r="C117" t="s">
        <v>72</v>
      </c>
      <c r="D117" t="s">
        <v>79</v>
      </c>
      <c r="E117" t="s">
        <v>74</v>
      </c>
      <c r="F117" t="s">
        <v>75</v>
      </c>
      <c r="G117" t="s">
        <v>76</v>
      </c>
      <c r="H117">
        <v>13.315458582292678</v>
      </c>
      <c r="I117">
        <v>0</v>
      </c>
      <c r="J117">
        <v>7</v>
      </c>
      <c r="K117">
        <v>9</v>
      </c>
      <c r="L117">
        <v>-2</v>
      </c>
      <c r="M117">
        <v>8</v>
      </c>
      <c r="N117">
        <v>9</v>
      </c>
      <c r="O117">
        <v>-1</v>
      </c>
      <c r="P117">
        <v>9</v>
      </c>
      <c r="Q117">
        <v>9</v>
      </c>
      <c r="R117">
        <v>0</v>
      </c>
      <c r="S117">
        <v>8</v>
      </c>
      <c r="T117">
        <v>9</v>
      </c>
      <c r="U117">
        <v>-1</v>
      </c>
      <c r="V117">
        <v>9</v>
      </c>
      <c r="W117">
        <v>9</v>
      </c>
      <c r="X117">
        <v>0</v>
      </c>
      <c r="Y117">
        <v>8</v>
      </c>
      <c r="Z117">
        <v>9</v>
      </c>
      <c r="AA117">
        <v>-1</v>
      </c>
      <c r="AB117">
        <v>9</v>
      </c>
      <c r="AC117">
        <v>9</v>
      </c>
      <c r="AD117">
        <v>0</v>
      </c>
      <c r="AE117">
        <v>8</v>
      </c>
      <c r="AF117">
        <v>8</v>
      </c>
      <c r="AG117">
        <v>0</v>
      </c>
      <c r="AH117">
        <v>9</v>
      </c>
      <c r="AI117">
        <v>9</v>
      </c>
      <c r="AJ117">
        <v>0</v>
      </c>
      <c r="AK117" t="s">
        <v>1236</v>
      </c>
      <c r="AL117" t="s">
        <v>1237</v>
      </c>
      <c r="AM117" t="s">
        <v>1238</v>
      </c>
      <c r="AN117" t="s">
        <v>1239</v>
      </c>
      <c r="AO117" t="s">
        <v>1240</v>
      </c>
      <c r="AP117" t="s">
        <v>1241</v>
      </c>
      <c r="AQ117" t="s">
        <v>1242</v>
      </c>
      <c r="AR117" t="s">
        <v>1243</v>
      </c>
      <c r="AS117" t="s">
        <v>1244</v>
      </c>
    </row>
    <row r="118" spans="1:45" x14ac:dyDescent="0.45">
      <c r="A118">
        <v>117</v>
      </c>
      <c r="B118">
        <v>158</v>
      </c>
      <c r="C118" t="s">
        <v>72</v>
      </c>
      <c r="D118" t="s">
        <v>79</v>
      </c>
      <c r="E118" t="s">
        <v>74</v>
      </c>
      <c r="F118" t="s">
        <v>77</v>
      </c>
      <c r="G118" t="s">
        <v>76</v>
      </c>
      <c r="H118">
        <v>68.351760817410138</v>
      </c>
      <c r="I118">
        <v>0</v>
      </c>
      <c r="J118">
        <v>7</v>
      </c>
      <c r="K118">
        <v>8</v>
      </c>
      <c r="L118">
        <v>-1</v>
      </c>
      <c r="M118">
        <v>8</v>
      </c>
      <c r="N118">
        <v>9</v>
      </c>
      <c r="O118">
        <v>-1</v>
      </c>
      <c r="P118">
        <v>6</v>
      </c>
      <c r="Q118">
        <v>8</v>
      </c>
      <c r="R118">
        <v>-2</v>
      </c>
      <c r="S118">
        <v>5</v>
      </c>
      <c r="T118">
        <v>6</v>
      </c>
      <c r="U118">
        <v>-1</v>
      </c>
      <c r="V118">
        <v>7</v>
      </c>
      <c r="W118">
        <v>8</v>
      </c>
      <c r="X118">
        <v>-1</v>
      </c>
      <c r="Y118">
        <v>6</v>
      </c>
      <c r="Z118">
        <v>8</v>
      </c>
      <c r="AA118">
        <v>-2</v>
      </c>
      <c r="AB118">
        <v>7</v>
      </c>
      <c r="AC118">
        <v>8</v>
      </c>
      <c r="AD118">
        <v>-1</v>
      </c>
      <c r="AE118">
        <v>6</v>
      </c>
      <c r="AF118">
        <v>8</v>
      </c>
      <c r="AG118">
        <v>-2</v>
      </c>
      <c r="AH118">
        <v>7</v>
      </c>
      <c r="AI118">
        <v>6</v>
      </c>
      <c r="AJ118">
        <v>1</v>
      </c>
      <c r="AK118" t="s">
        <v>1245</v>
      </c>
      <c r="AL118" t="s">
        <v>1246</v>
      </c>
      <c r="AM118" t="s">
        <v>1247</v>
      </c>
      <c r="AN118" t="s">
        <v>1248</v>
      </c>
      <c r="AO118" t="s">
        <v>1249</v>
      </c>
      <c r="AP118" t="s">
        <v>1250</v>
      </c>
      <c r="AQ118" t="s">
        <v>1251</v>
      </c>
      <c r="AR118" t="s">
        <v>1252</v>
      </c>
      <c r="AS118" t="s">
        <v>1253</v>
      </c>
    </row>
    <row r="119" spans="1:45" x14ac:dyDescent="0.45">
      <c r="A119">
        <v>118</v>
      </c>
      <c r="B119">
        <v>159</v>
      </c>
      <c r="C119" t="s">
        <v>78</v>
      </c>
      <c r="D119" t="s">
        <v>73</v>
      </c>
      <c r="E119" t="s">
        <v>74</v>
      </c>
      <c r="F119" t="s">
        <v>75</v>
      </c>
      <c r="G119" t="s">
        <v>76</v>
      </c>
      <c r="H119">
        <v>44.14911621603617</v>
      </c>
      <c r="I119">
        <v>1</v>
      </c>
      <c r="J119">
        <v>8</v>
      </c>
      <c r="K119">
        <v>4</v>
      </c>
      <c r="L119">
        <v>4</v>
      </c>
      <c r="M119">
        <v>7</v>
      </c>
      <c r="N119">
        <v>1</v>
      </c>
      <c r="O119">
        <v>6</v>
      </c>
      <c r="P119">
        <v>9</v>
      </c>
      <c r="Q119">
        <v>1</v>
      </c>
      <c r="R119">
        <v>8</v>
      </c>
      <c r="S119">
        <v>8</v>
      </c>
      <c r="T119">
        <v>5</v>
      </c>
      <c r="U119">
        <v>3</v>
      </c>
      <c r="V119">
        <v>7</v>
      </c>
      <c r="W119">
        <v>1</v>
      </c>
      <c r="X119">
        <v>6</v>
      </c>
      <c r="Y119">
        <v>8</v>
      </c>
      <c r="Z119">
        <v>3</v>
      </c>
      <c r="AA119">
        <v>5</v>
      </c>
      <c r="AB119">
        <v>7</v>
      </c>
      <c r="AC119">
        <v>1</v>
      </c>
      <c r="AD119">
        <v>6</v>
      </c>
      <c r="AE119">
        <v>6</v>
      </c>
      <c r="AF119">
        <v>1</v>
      </c>
      <c r="AG119">
        <v>5</v>
      </c>
      <c r="AH119">
        <v>8</v>
      </c>
      <c r="AI119">
        <v>5</v>
      </c>
      <c r="AJ119">
        <v>3</v>
      </c>
      <c r="AK119" t="s">
        <v>1254</v>
      </c>
      <c r="AL119" t="s">
        <v>1255</v>
      </c>
      <c r="AM119" t="s">
        <v>1256</v>
      </c>
      <c r="AN119" t="s">
        <v>1257</v>
      </c>
      <c r="AO119" t="s">
        <v>1258</v>
      </c>
      <c r="AP119" t="s">
        <v>1259</v>
      </c>
      <c r="AQ119" t="s">
        <v>1260</v>
      </c>
      <c r="AR119" t="s">
        <v>1261</v>
      </c>
      <c r="AS119" t="s">
        <v>1262</v>
      </c>
    </row>
    <row r="120" spans="1:45" x14ac:dyDescent="0.45">
      <c r="A120">
        <v>119</v>
      </c>
      <c r="B120">
        <v>160</v>
      </c>
      <c r="C120" t="s">
        <v>72</v>
      </c>
      <c r="D120" t="s">
        <v>192</v>
      </c>
      <c r="E120" t="s">
        <v>74</v>
      </c>
      <c r="F120" t="s">
        <v>77</v>
      </c>
      <c r="G120" t="s">
        <v>76</v>
      </c>
      <c r="H120">
        <v>59.646598336121926</v>
      </c>
      <c r="I120">
        <v>4</v>
      </c>
      <c r="J120">
        <v>8</v>
      </c>
      <c r="K120">
        <v>8</v>
      </c>
      <c r="L120">
        <v>0</v>
      </c>
      <c r="M120">
        <v>7</v>
      </c>
      <c r="N120">
        <v>8</v>
      </c>
      <c r="O120">
        <v>-1</v>
      </c>
      <c r="P120">
        <v>9</v>
      </c>
      <c r="Q120">
        <v>6</v>
      </c>
      <c r="R120">
        <v>3</v>
      </c>
      <c r="S120">
        <v>8</v>
      </c>
      <c r="T120">
        <v>9</v>
      </c>
      <c r="U120">
        <v>-1</v>
      </c>
      <c r="V120">
        <v>7</v>
      </c>
      <c r="W120">
        <v>8</v>
      </c>
      <c r="X120">
        <v>-1</v>
      </c>
      <c r="Y120">
        <v>8</v>
      </c>
      <c r="Z120">
        <v>7</v>
      </c>
      <c r="AA120">
        <v>1</v>
      </c>
      <c r="AB120">
        <v>7</v>
      </c>
      <c r="AC120">
        <v>7</v>
      </c>
      <c r="AD120">
        <v>0</v>
      </c>
      <c r="AE120">
        <v>6</v>
      </c>
      <c r="AF120">
        <v>7</v>
      </c>
      <c r="AG120">
        <v>-1</v>
      </c>
      <c r="AH120">
        <v>8</v>
      </c>
      <c r="AI120">
        <v>7</v>
      </c>
      <c r="AJ120">
        <v>1</v>
      </c>
      <c r="AK120" t="s">
        <v>1263</v>
      </c>
      <c r="AL120" t="s">
        <v>1264</v>
      </c>
      <c r="AM120" t="s">
        <v>1265</v>
      </c>
      <c r="AN120" t="s">
        <v>1266</v>
      </c>
      <c r="AO120" t="s">
        <v>1267</v>
      </c>
      <c r="AP120" t="s">
        <v>1268</v>
      </c>
      <c r="AQ120" t="s">
        <v>1269</v>
      </c>
      <c r="AR120" t="s">
        <v>1270</v>
      </c>
      <c r="AS120" t="s">
        <v>1271</v>
      </c>
    </row>
    <row r="121" spans="1:45" x14ac:dyDescent="0.45">
      <c r="A121">
        <v>120</v>
      </c>
      <c r="B121">
        <v>161</v>
      </c>
      <c r="C121" t="s">
        <v>72</v>
      </c>
      <c r="D121" t="s">
        <v>79</v>
      </c>
      <c r="E121" t="s">
        <v>80</v>
      </c>
      <c r="F121" t="s">
        <v>77</v>
      </c>
      <c r="G121" t="s">
        <v>76</v>
      </c>
      <c r="H121">
        <v>26.748876849169541</v>
      </c>
      <c r="I121">
        <v>3</v>
      </c>
      <c r="J121">
        <v>7</v>
      </c>
      <c r="K121">
        <v>6</v>
      </c>
      <c r="L121">
        <v>1</v>
      </c>
      <c r="M121">
        <v>6</v>
      </c>
      <c r="N121">
        <v>6</v>
      </c>
      <c r="O121">
        <v>0</v>
      </c>
      <c r="P121">
        <v>8</v>
      </c>
      <c r="Q121">
        <v>6</v>
      </c>
      <c r="R121">
        <v>2</v>
      </c>
      <c r="S121">
        <v>9</v>
      </c>
      <c r="T121">
        <v>6</v>
      </c>
      <c r="U121">
        <v>3</v>
      </c>
      <c r="V121">
        <v>5</v>
      </c>
      <c r="W121">
        <v>6</v>
      </c>
      <c r="X121">
        <v>-1</v>
      </c>
      <c r="Y121">
        <v>6</v>
      </c>
      <c r="Z121">
        <v>6</v>
      </c>
      <c r="AA121">
        <v>0</v>
      </c>
      <c r="AB121">
        <v>7</v>
      </c>
      <c r="AC121">
        <v>6</v>
      </c>
      <c r="AD121">
        <v>1</v>
      </c>
      <c r="AE121">
        <v>5</v>
      </c>
      <c r="AF121">
        <v>6</v>
      </c>
      <c r="AG121">
        <v>-1</v>
      </c>
      <c r="AH121">
        <v>7</v>
      </c>
      <c r="AI121">
        <v>6</v>
      </c>
      <c r="AJ121">
        <v>1</v>
      </c>
      <c r="AK121" t="s">
        <v>1272</v>
      </c>
      <c r="AL121" t="s">
        <v>1273</v>
      </c>
      <c r="AM121" t="s">
        <v>1274</v>
      </c>
      <c r="AN121" t="s">
        <v>1275</v>
      </c>
      <c r="AO121" t="s">
        <v>1276</v>
      </c>
      <c r="AP121" t="s">
        <v>1277</v>
      </c>
      <c r="AQ121" t="s">
        <v>1278</v>
      </c>
      <c r="AR121" t="s">
        <v>1279</v>
      </c>
      <c r="AS121" t="s">
        <v>1280</v>
      </c>
    </row>
    <row r="122" spans="1:45" x14ac:dyDescent="0.45">
      <c r="A122">
        <v>121</v>
      </c>
      <c r="B122">
        <v>162</v>
      </c>
      <c r="C122" t="s">
        <v>78</v>
      </c>
      <c r="D122" t="s">
        <v>190</v>
      </c>
      <c r="E122" t="s">
        <v>74</v>
      </c>
      <c r="F122" t="s">
        <v>75</v>
      </c>
      <c r="G122" t="s">
        <v>161</v>
      </c>
      <c r="H122">
        <v>112.61423553683534</v>
      </c>
      <c r="I122">
        <v>4</v>
      </c>
      <c r="J122">
        <v>7</v>
      </c>
      <c r="K122">
        <v>1</v>
      </c>
      <c r="L122">
        <v>6</v>
      </c>
      <c r="M122">
        <v>6</v>
      </c>
      <c r="N122">
        <v>1</v>
      </c>
      <c r="O122">
        <v>5</v>
      </c>
      <c r="P122">
        <v>8</v>
      </c>
      <c r="Q122">
        <v>1</v>
      </c>
      <c r="R122">
        <v>7</v>
      </c>
      <c r="S122">
        <v>9</v>
      </c>
      <c r="T122">
        <v>5</v>
      </c>
      <c r="U122">
        <v>4</v>
      </c>
      <c r="V122">
        <v>7</v>
      </c>
      <c r="W122">
        <v>1</v>
      </c>
      <c r="X122">
        <v>6</v>
      </c>
      <c r="Y122">
        <v>5</v>
      </c>
      <c r="Z122">
        <v>1</v>
      </c>
      <c r="AA122">
        <v>4</v>
      </c>
      <c r="AB122">
        <v>6</v>
      </c>
      <c r="AC122">
        <v>1</v>
      </c>
      <c r="AD122">
        <v>5</v>
      </c>
      <c r="AE122">
        <v>4</v>
      </c>
      <c r="AF122">
        <v>1</v>
      </c>
      <c r="AG122">
        <v>3</v>
      </c>
      <c r="AH122">
        <v>7</v>
      </c>
      <c r="AI122">
        <v>5</v>
      </c>
      <c r="AJ122">
        <v>2</v>
      </c>
      <c r="AK122" t="s">
        <v>1281</v>
      </c>
      <c r="AL122" t="s">
        <v>1282</v>
      </c>
      <c r="AM122" t="s">
        <v>1283</v>
      </c>
      <c r="AN122" t="s">
        <v>1284</v>
      </c>
      <c r="AO122" t="s">
        <v>1285</v>
      </c>
      <c r="AP122" t="s">
        <v>1286</v>
      </c>
      <c r="AQ122" t="s">
        <v>1287</v>
      </c>
      <c r="AR122" t="s">
        <v>1288</v>
      </c>
      <c r="AS122" t="s">
        <v>1289</v>
      </c>
    </row>
    <row r="123" spans="1:45" x14ac:dyDescent="0.45">
      <c r="A123">
        <v>122</v>
      </c>
      <c r="B123">
        <v>163</v>
      </c>
      <c r="C123" t="s">
        <v>78</v>
      </c>
      <c r="D123" t="s">
        <v>79</v>
      </c>
      <c r="E123" t="s">
        <v>74</v>
      </c>
      <c r="F123" t="s">
        <v>77</v>
      </c>
      <c r="G123" t="s">
        <v>76</v>
      </c>
      <c r="H123">
        <v>221.38288474133927</v>
      </c>
      <c r="I123">
        <v>0</v>
      </c>
      <c r="J123">
        <v>7</v>
      </c>
      <c r="K123">
        <v>4</v>
      </c>
      <c r="L123">
        <v>3</v>
      </c>
      <c r="M123">
        <v>6</v>
      </c>
      <c r="N123">
        <v>4</v>
      </c>
      <c r="O123">
        <v>2</v>
      </c>
      <c r="P123">
        <v>8</v>
      </c>
      <c r="Q123">
        <v>2</v>
      </c>
      <c r="R123">
        <v>6</v>
      </c>
      <c r="S123">
        <v>9</v>
      </c>
      <c r="T123">
        <v>5</v>
      </c>
      <c r="U123">
        <v>4</v>
      </c>
      <c r="V123">
        <v>5</v>
      </c>
      <c r="W123">
        <v>1</v>
      </c>
      <c r="X123">
        <v>4</v>
      </c>
      <c r="Y123">
        <v>7</v>
      </c>
      <c r="Z123">
        <v>1</v>
      </c>
      <c r="AA123">
        <v>6</v>
      </c>
      <c r="AB123">
        <v>6</v>
      </c>
      <c r="AC123">
        <v>1</v>
      </c>
      <c r="AD123">
        <v>5</v>
      </c>
      <c r="AE123">
        <v>5</v>
      </c>
      <c r="AF123">
        <v>4</v>
      </c>
      <c r="AG123">
        <v>1</v>
      </c>
      <c r="AH123">
        <v>7</v>
      </c>
      <c r="AI123">
        <v>4</v>
      </c>
      <c r="AJ123">
        <v>3</v>
      </c>
      <c r="AK123" t="s">
        <v>1290</v>
      </c>
      <c r="AL123" t="s">
        <v>1291</v>
      </c>
      <c r="AM123" t="s">
        <v>1292</v>
      </c>
      <c r="AN123" t="s">
        <v>1293</v>
      </c>
      <c r="AO123" t="s">
        <v>1294</v>
      </c>
      <c r="AP123" t="s">
        <v>1295</v>
      </c>
      <c r="AQ123" t="s">
        <v>1296</v>
      </c>
      <c r="AR123" t="s">
        <v>1297</v>
      </c>
      <c r="AS123" t="s">
        <v>1298</v>
      </c>
    </row>
    <row r="124" spans="1:45" x14ac:dyDescent="0.45">
      <c r="A124">
        <v>123</v>
      </c>
      <c r="B124">
        <v>164</v>
      </c>
      <c r="C124" t="s">
        <v>72</v>
      </c>
      <c r="D124" t="s">
        <v>188</v>
      </c>
      <c r="E124" t="s">
        <v>74</v>
      </c>
      <c r="F124" t="s">
        <v>77</v>
      </c>
      <c r="G124" t="s">
        <v>76</v>
      </c>
      <c r="H124">
        <v>12</v>
      </c>
      <c r="I124">
        <v>0</v>
      </c>
      <c r="J124">
        <v>8</v>
      </c>
      <c r="K124">
        <v>7</v>
      </c>
      <c r="L124">
        <v>1</v>
      </c>
      <c r="M124">
        <v>8</v>
      </c>
      <c r="N124">
        <v>7</v>
      </c>
      <c r="O124">
        <v>1</v>
      </c>
      <c r="P124">
        <v>7</v>
      </c>
      <c r="Q124">
        <v>7</v>
      </c>
      <c r="R124">
        <v>0</v>
      </c>
      <c r="S124">
        <v>6</v>
      </c>
      <c r="T124">
        <v>7</v>
      </c>
      <c r="U124">
        <v>-1</v>
      </c>
      <c r="V124">
        <v>7</v>
      </c>
      <c r="W124">
        <v>7</v>
      </c>
      <c r="X124">
        <v>0</v>
      </c>
      <c r="Y124">
        <v>5</v>
      </c>
      <c r="Z124">
        <v>7</v>
      </c>
      <c r="AA124">
        <v>-2</v>
      </c>
      <c r="AB124">
        <v>4</v>
      </c>
      <c r="AC124">
        <v>7</v>
      </c>
      <c r="AD124">
        <v>-3</v>
      </c>
      <c r="AE124">
        <v>6</v>
      </c>
      <c r="AF124">
        <v>7</v>
      </c>
      <c r="AG124">
        <v>-1</v>
      </c>
      <c r="AH124">
        <v>7</v>
      </c>
      <c r="AI124">
        <v>8</v>
      </c>
      <c r="AJ124">
        <v>-1</v>
      </c>
      <c r="AK124" t="s">
        <v>1299</v>
      </c>
      <c r="AL124" t="s">
        <v>1300</v>
      </c>
      <c r="AM124" t="s">
        <v>1301</v>
      </c>
      <c r="AN124" t="s">
        <v>1302</v>
      </c>
      <c r="AO124" t="s">
        <v>1303</v>
      </c>
      <c r="AP124" t="s">
        <v>1304</v>
      </c>
      <c r="AQ124" t="s">
        <v>1305</v>
      </c>
      <c r="AR124" t="s">
        <v>1306</v>
      </c>
      <c r="AS124" t="s">
        <v>1307</v>
      </c>
    </row>
    <row r="125" spans="1:45" x14ac:dyDescent="0.45">
      <c r="A125">
        <v>124</v>
      </c>
      <c r="B125">
        <v>165</v>
      </c>
      <c r="C125" t="s">
        <v>72</v>
      </c>
      <c r="D125" t="s">
        <v>190</v>
      </c>
      <c r="E125" t="s">
        <v>74</v>
      </c>
      <c r="F125" t="s">
        <v>75</v>
      </c>
      <c r="G125" t="s">
        <v>76</v>
      </c>
      <c r="H125">
        <v>38.94022557203845</v>
      </c>
      <c r="I125">
        <v>1</v>
      </c>
      <c r="J125">
        <v>7</v>
      </c>
      <c r="K125">
        <v>10</v>
      </c>
      <c r="L125">
        <v>-3</v>
      </c>
      <c r="M125">
        <v>8</v>
      </c>
      <c r="N125">
        <v>9</v>
      </c>
      <c r="O125">
        <v>-1</v>
      </c>
      <c r="P125">
        <v>6</v>
      </c>
      <c r="Q125">
        <v>10</v>
      </c>
      <c r="R125">
        <v>-4</v>
      </c>
      <c r="S125">
        <v>8</v>
      </c>
      <c r="T125">
        <v>10</v>
      </c>
      <c r="U125">
        <v>-2</v>
      </c>
      <c r="V125">
        <v>7</v>
      </c>
      <c r="W125">
        <v>10</v>
      </c>
      <c r="X125">
        <v>-3</v>
      </c>
      <c r="Y125">
        <v>8</v>
      </c>
      <c r="Z125">
        <v>8</v>
      </c>
      <c r="AA125">
        <v>0</v>
      </c>
      <c r="AB125">
        <v>7</v>
      </c>
      <c r="AC125">
        <v>9</v>
      </c>
      <c r="AD125">
        <v>-2</v>
      </c>
      <c r="AE125">
        <v>6</v>
      </c>
      <c r="AF125">
        <v>9</v>
      </c>
      <c r="AG125">
        <v>-3</v>
      </c>
      <c r="AH125">
        <v>8</v>
      </c>
      <c r="AI125">
        <v>9</v>
      </c>
      <c r="AJ125">
        <v>-1</v>
      </c>
      <c r="AK125" t="s">
        <v>1308</v>
      </c>
      <c r="AL125" t="s">
        <v>1309</v>
      </c>
      <c r="AM125" t="s">
        <v>1310</v>
      </c>
      <c r="AN125" t="s">
        <v>1311</v>
      </c>
      <c r="AO125" t="s">
        <v>1312</v>
      </c>
      <c r="AP125" t="s">
        <v>1313</v>
      </c>
      <c r="AQ125" t="s">
        <v>1314</v>
      </c>
      <c r="AR125" t="s">
        <v>1315</v>
      </c>
      <c r="AS125" t="s">
        <v>1316</v>
      </c>
    </row>
    <row r="126" spans="1:45" x14ac:dyDescent="0.45">
      <c r="A126">
        <v>125</v>
      </c>
      <c r="B126">
        <v>166</v>
      </c>
      <c r="C126" t="s">
        <v>72</v>
      </c>
      <c r="D126" t="s">
        <v>188</v>
      </c>
      <c r="E126" t="s">
        <v>74</v>
      </c>
      <c r="F126" t="s">
        <v>77</v>
      </c>
      <c r="G126" t="s">
        <v>76</v>
      </c>
      <c r="H126">
        <v>15.581206342119826</v>
      </c>
      <c r="I126">
        <v>2</v>
      </c>
      <c r="J126">
        <v>6</v>
      </c>
      <c r="K126">
        <v>10</v>
      </c>
      <c r="L126">
        <v>-4</v>
      </c>
      <c r="M126">
        <v>6</v>
      </c>
      <c r="N126">
        <v>10</v>
      </c>
      <c r="O126">
        <v>-4</v>
      </c>
      <c r="P126">
        <v>7</v>
      </c>
      <c r="Q126">
        <v>10</v>
      </c>
      <c r="R126">
        <v>-3</v>
      </c>
      <c r="S126">
        <v>8</v>
      </c>
      <c r="T126">
        <v>10</v>
      </c>
      <c r="U126">
        <v>-2</v>
      </c>
      <c r="V126">
        <v>7</v>
      </c>
      <c r="W126">
        <v>10</v>
      </c>
      <c r="X126">
        <v>-3</v>
      </c>
      <c r="Y126">
        <v>7</v>
      </c>
      <c r="Z126">
        <v>10</v>
      </c>
      <c r="AA126">
        <v>-3</v>
      </c>
      <c r="AB126">
        <v>6</v>
      </c>
      <c r="AC126">
        <v>10</v>
      </c>
      <c r="AD126">
        <v>-4</v>
      </c>
      <c r="AE126">
        <v>7</v>
      </c>
      <c r="AF126">
        <v>10</v>
      </c>
      <c r="AG126">
        <v>-3</v>
      </c>
      <c r="AH126">
        <v>7</v>
      </c>
      <c r="AI126">
        <v>10</v>
      </c>
      <c r="AJ126">
        <v>-3</v>
      </c>
      <c r="AK126" t="s">
        <v>1317</v>
      </c>
      <c r="AL126" t="s">
        <v>1318</v>
      </c>
      <c r="AM126" t="s">
        <v>1319</v>
      </c>
      <c r="AN126" t="s">
        <v>1320</v>
      </c>
      <c r="AO126" t="s">
        <v>1321</v>
      </c>
      <c r="AP126" t="s">
        <v>1322</v>
      </c>
      <c r="AQ126" t="s">
        <v>1323</v>
      </c>
      <c r="AR126" t="s">
        <v>1324</v>
      </c>
      <c r="AS126" t="s">
        <v>1325</v>
      </c>
    </row>
    <row r="127" spans="1:45" x14ac:dyDescent="0.45">
      <c r="A127">
        <v>126</v>
      </c>
      <c r="B127">
        <v>167</v>
      </c>
      <c r="C127" t="s">
        <v>78</v>
      </c>
      <c r="D127" t="s">
        <v>81</v>
      </c>
      <c r="E127" t="s">
        <v>74</v>
      </c>
      <c r="F127" t="s">
        <v>77</v>
      </c>
      <c r="G127" t="s">
        <v>76</v>
      </c>
      <c r="H127">
        <v>23.925234572528012</v>
      </c>
      <c r="I127">
        <v>0</v>
      </c>
      <c r="J127">
        <v>7</v>
      </c>
      <c r="K127">
        <v>8</v>
      </c>
      <c r="L127">
        <v>-1</v>
      </c>
      <c r="M127">
        <v>8</v>
      </c>
      <c r="N127">
        <v>8</v>
      </c>
      <c r="O127">
        <v>0</v>
      </c>
      <c r="P127">
        <v>6</v>
      </c>
      <c r="Q127">
        <v>5</v>
      </c>
      <c r="R127">
        <v>1</v>
      </c>
      <c r="S127">
        <v>9</v>
      </c>
      <c r="T127">
        <v>8</v>
      </c>
      <c r="U127">
        <v>1</v>
      </c>
      <c r="V127">
        <v>8</v>
      </c>
      <c r="W127">
        <v>8</v>
      </c>
      <c r="X127">
        <v>0</v>
      </c>
      <c r="Y127">
        <v>9</v>
      </c>
      <c r="Z127">
        <v>8</v>
      </c>
      <c r="AA127">
        <v>1</v>
      </c>
      <c r="AB127">
        <v>7</v>
      </c>
      <c r="AC127">
        <v>7</v>
      </c>
      <c r="AD127">
        <v>0</v>
      </c>
      <c r="AE127">
        <v>8</v>
      </c>
      <c r="AF127">
        <v>7</v>
      </c>
      <c r="AG127">
        <v>1</v>
      </c>
      <c r="AH127">
        <v>7</v>
      </c>
      <c r="AI127">
        <v>8</v>
      </c>
      <c r="AJ127">
        <v>-1</v>
      </c>
      <c r="AK127" t="s">
        <v>1326</v>
      </c>
      <c r="AL127" t="s">
        <v>1327</v>
      </c>
      <c r="AM127" t="s">
        <v>1328</v>
      </c>
      <c r="AN127" t="s">
        <v>1329</v>
      </c>
      <c r="AO127" t="s">
        <v>1330</v>
      </c>
      <c r="AP127" t="s">
        <v>1331</v>
      </c>
      <c r="AQ127" t="s">
        <v>1332</v>
      </c>
      <c r="AR127" t="s">
        <v>1333</v>
      </c>
      <c r="AS127" t="s">
        <v>1334</v>
      </c>
    </row>
    <row r="128" spans="1:45" x14ac:dyDescent="0.45">
      <c r="A128">
        <v>127</v>
      </c>
      <c r="B128">
        <v>168</v>
      </c>
      <c r="C128" t="s">
        <v>72</v>
      </c>
      <c r="D128" t="s">
        <v>79</v>
      </c>
      <c r="E128" t="s">
        <v>74</v>
      </c>
      <c r="F128" t="s">
        <v>77</v>
      </c>
      <c r="G128" t="s">
        <v>76</v>
      </c>
      <c r="H128">
        <v>141.99323765778593</v>
      </c>
      <c r="I128">
        <v>4</v>
      </c>
      <c r="J128">
        <v>7</v>
      </c>
      <c r="K128">
        <v>1</v>
      </c>
      <c r="L128">
        <v>6</v>
      </c>
      <c r="M128">
        <v>6</v>
      </c>
      <c r="N128">
        <v>1</v>
      </c>
      <c r="O128">
        <v>5</v>
      </c>
      <c r="P128">
        <v>8</v>
      </c>
      <c r="Q128">
        <v>1</v>
      </c>
      <c r="R128">
        <v>7</v>
      </c>
      <c r="S128">
        <v>7</v>
      </c>
      <c r="T128">
        <v>5</v>
      </c>
      <c r="U128">
        <v>2</v>
      </c>
      <c r="V128">
        <v>8</v>
      </c>
      <c r="W128">
        <v>1</v>
      </c>
      <c r="X128">
        <v>7</v>
      </c>
      <c r="Y128">
        <v>7</v>
      </c>
      <c r="Z128">
        <v>1</v>
      </c>
      <c r="AA128">
        <v>6</v>
      </c>
      <c r="AB128">
        <v>6</v>
      </c>
      <c r="AC128">
        <v>1</v>
      </c>
      <c r="AD128">
        <v>5</v>
      </c>
      <c r="AE128">
        <v>5</v>
      </c>
      <c r="AF128">
        <v>5</v>
      </c>
      <c r="AG128">
        <v>0</v>
      </c>
      <c r="AH128">
        <v>7</v>
      </c>
      <c r="AI128">
        <v>5</v>
      </c>
      <c r="AJ128">
        <v>2</v>
      </c>
      <c r="AK128" t="s">
        <v>1335</v>
      </c>
      <c r="AL128" t="s">
        <v>1336</v>
      </c>
      <c r="AM128" t="s">
        <v>1337</v>
      </c>
      <c r="AN128" t="s">
        <v>1338</v>
      </c>
      <c r="AO128" t="s">
        <v>1339</v>
      </c>
      <c r="AP128" t="s">
        <v>1340</v>
      </c>
      <c r="AQ128" t="s">
        <v>1341</v>
      </c>
      <c r="AR128" t="s">
        <v>1342</v>
      </c>
      <c r="AS128" t="s">
        <v>1343</v>
      </c>
    </row>
    <row r="129" spans="1:45" x14ac:dyDescent="0.45">
      <c r="A129">
        <v>128</v>
      </c>
      <c r="B129">
        <v>169</v>
      </c>
      <c r="C129" t="s">
        <v>78</v>
      </c>
      <c r="D129" t="s">
        <v>190</v>
      </c>
      <c r="E129" t="s">
        <v>74</v>
      </c>
      <c r="F129" t="s">
        <v>77</v>
      </c>
      <c r="G129" t="s">
        <v>76</v>
      </c>
      <c r="H129">
        <v>172.52203281731101</v>
      </c>
      <c r="I129">
        <v>4</v>
      </c>
      <c r="J129">
        <v>8</v>
      </c>
      <c r="K129">
        <v>6</v>
      </c>
      <c r="L129">
        <v>2</v>
      </c>
      <c r="M129">
        <v>8</v>
      </c>
      <c r="N129">
        <v>6</v>
      </c>
      <c r="O129">
        <v>2</v>
      </c>
      <c r="P129">
        <v>7</v>
      </c>
      <c r="Q129">
        <v>6</v>
      </c>
      <c r="R129">
        <v>1</v>
      </c>
      <c r="S129">
        <v>9</v>
      </c>
      <c r="T129">
        <v>8</v>
      </c>
      <c r="U129">
        <v>1</v>
      </c>
      <c r="V129">
        <v>6</v>
      </c>
      <c r="W129">
        <v>6</v>
      </c>
      <c r="X129">
        <v>0</v>
      </c>
      <c r="Y129">
        <v>7</v>
      </c>
      <c r="Z129">
        <v>3</v>
      </c>
      <c r="AA129">
        <v>4</v>
      </c>
      <c r="AB129">
        <v>6</v>
      </c>
      <c r="AC129">
        <v>5</v>
      </c>
      <c r="AD129">
        <v>1</v>
      </c>
      <c r="AE129">
        <v>5</v>
      </c>
      <c r="AF129">
        <v>5</v>
      </c>
      <c r="AG129">
        <v>0</v>
      </c>
      <c r="AH129">
        <v>7</v>
      </c>
      <c r="AI129">
        <v>4</v>
      </c>
      <c r="AJ129">
        <v>3</v>
      </c>
      <c r="AK129" t="s">
        <v>1344</v>
      </c>
      <c r="AL129" t="s">
        <v>1345</v>
      </c>
      <c r="AM129" t="s">
        <v>1346</v>
      </c>
      <c r="AN129" t="s">
        <v>1347</v>
      </c>
      <c r="AO129" t="s">
        <v>1348</v>
      </c>
      <c r="AP129" t="s">
        <v>1349</v>
      </c>
      <c r="AQ129" t="s">
        <v>1350</v>
      </c>
      <c r="AR129" t="s">
        <v>1351</v>
      </c>
      <c r="AS129" t="s">
        <v>1352</v>
      </c>
    </row>
    <row r="130" spans="1:45" x14ac:dyDescent="0.45">
      <c r="A130">
        <v>129</v>
      </c>
      <c r="B130">
        <v>170</v>
      </c>
      <c r="C130" t="s">
        <v>78</v>
      </c>
      <c r="D130" t="s">
        <v>190</v>
      </c>
      <c r="E130" t="s">
        <v>74</v>
      </c>
      <c r="F130" t="s">
        <v>75</v>
      </c>
      <c r="G130" t="s">
        <v>76</v>
      </c>
      <c r="H130">
        <v>218.53793831121524</v>
      </c>
      <c r="I130">
        <v>3</v>
      </c>
      <c r="J130">
        <v>7</v>
      </c>
      <c r="K130">
        <v>6</v>
      </c>
      <c r="L130">
        <v>1</v>
      </c>
      <c r="M130">
        <v>6</v>
      </c>
      <c r="N130">
        <v>6</v>
      </c>
      <c r="O130">
        <v>0</v>
      </c>
      <c r="P130">
        <v>8</v>
      </c>
      <c r="Q130">
        <v>4</v>
      </c>
      <c r="R130">
        <v>4</v>
      </c>
      <c r="S130">
        <v>9</v>
      </c>
      <c r="T130">
        <v>5</v>
      </c>
      <c r="U130">
        <v>4</v>
      </c>
      <c r="V130">
        <v>7</v>
      </c>
      <c r="W130">
        <v>5</v>
      </c>
      <c r="X130">
        <v>2</v>
      </c>
      <c r="Y130">
        <v>6</v>
      </c>
      <c r="Z130">
        <v>1</v>
      </c>
      <c r="AA130">
        <v>5</v>
      </c>
      <c r="AB130">
        <v>7</v>
      </c>
      <c r="AC130">
        <v>5</v>
      </c>
      <c r="AD130">
        <v>2</v>
      </c>
      <c r="AE130">
        <v>6</v>
      </c>
      <c r="AF130">
        <v>4</v>
      </c>
      <c r="AG130">
        <v>2</v>
      </c>
      <c r="AH130">
        <v>5</v>
      </c>
      <c r="AI130">
        <v>5</v>
      </c>
      <c r="AJ130">
        <v>0</v>
      </c>
      <c r="AK130" t="s">
        <v>1353</v>
      </c>
      <c r="AL130" t="s">
        <v>1354</v>
      </c>
      <c r="AM130" t="s">
        <v>1355</v>
      </c>
      <c r="AN130" t="s">
        <v>1356</v>
      </c>
      <c r="AO130" t="s">
        <v>1357</v>
      </c>
      <c r="AP130" t="s">
        <v>1358</v>
      </c>
      <c r="AQ130" t="s">
        <v>1359</v>
      </c>
      <c r="AR130" t="s">
        <v>1360</v>
      </c>
      <c r="AS130" t="s">
        <v>1361</v>
      </c>
    </row>
    <row r="131" spans="1:45" x14ac:dyDescent="0.45">
      <c r="A131">
        <v>130</v>
      </c>
      <c r="B131">
        <v>171</v>
      </c>
      <c r="C131" t="s">
        <v>72</v>
      </c>
      <c r="D131" t="s">
        <v>192</v>
      </c>
      <c r="E131" t="s">
        <v>74</v>
      </c>
      <c r="F131" t="s">
        <v>75</v>
      </c>
      <c r="G131" t="s">
        <v>76</v>
      </c>
      <c r="H131">
        <v>73.177324348544801</v>
      </c>
      <c r="I131">
        <v>2</v>
      </c>
      <c r="J131">
        <v>4</v>
      </c>
      <c r="K131">
        <v>5</v>
      </c>
      <c r="L131">
        <v>-1</v>
      </c>
      <c r="M131">
        <v>6</v>
      </c>
      <c r="N131">
        <v>5</v>
      </c>
      <c r="O131">
        <v>1</v>
      </c>
      <c r="P131">
        <v>7</v>
      </c>
      <c r="Q131">
        <v>1</v>
      </c>
      <c r="R131">
        <v>6</v>
      </c>
      <c r="S131">
        <v>8</v>
      </c>
      <c r="T131">
        <v>4</v>
      </c>
      <c r="U131">
        <v>4</v>
      </c>
      <c r="V131">
        <v>6</v>
      </c>
      <c r="W131">
        <v>2</v>
      </c>
      <c r="X131">
        <v>4</v>
      </c>
      <c r="Y131">
        <v>5</v>
      </c>
      <c r="Z131">
        <v>1</v>
      </c>
      <c r="AA131">
        <v>4</v>
      </c>
      <c r="AB131">
        <v>6</v>
      </c>
      <c r="AC131">
        <v>1</v>
      </c>
      <c r="AD131">
        <v>5</v>
      </c>
      <c r="AE131">
        <v>4</v>
      </c>
      <c r="AF131">
        <v>1</v>
      </c>
      <c r="AG131">
        <v>3</v>
      </c>
      <c r="AH131">
        <v>5</v>
      </c>
      <c r="AI131">
        <v>5</v>
      </c>
      <c r="AJ131">
        <v>0</v>
      </c>
      <c r="AK131" t="s">
        <v>1362</v>
      </c>
      <c r="AL131" t="s">
        <v>1363</v>
      </c>
      <c r="AM131" t="s">
        <v>1364</v>
      </c>
      <c r="AN131" t="s">
        <v>1365</v>
      </c>
      <c r="AO131" t="s">
        <v>1366</v>
      </c>
      <c r="AP131" t="s">
        <v>1367</v>
      </c>
      <c r="AQ131" t="s">
        <v>1368</v>
      </c>
      <c r="AR131" t="s">
        <v>1369</v>
      </c>
      <c r="AS131" t="s">
        <v>1370</v>
      </c>
    </row>
    <row r="132" spans="1:45" x14ac:dyDescent="0.45">
      <c r="A132">
        <v>131</v>
      </c>
      <c r="B132">
        <v>172</v>
      </c>
      <c r="C132" t="s">
        <v>72</v>
      </c>
      <c r="D132" t="s">
        <v>73</v>
      </c>
      <c r="E132" t="s">
        <v>74</v>
      </c>
      <c r="F132" t="s">
        <v>75</v>
      </c>
      <c r="G132" t="s">
        <v>76</v>
      </c>
      <c r="H132">
        <v>75.277110898485901</v>
      </c>
      <c r="I132">
        <v>1</v>
      </c>
      <c r="J132">
        <v>8</v>
      </c>
      <c r="K132">
        <v>8</v>
      </c>
      <c r="L132">
        <v>0</v>
      </c>
      <c r="M132">
        <v>7</v>
      </c>
      <c r="N132">
        <v>9</v>
      </c>
      <c r="O132">
        <v>-2</v>
      </c>
      <c r="P132">
        <v>9</v>
      </c>
      <c r="Q132">
        <v>5</v>
      </c>
      <c r="R132">
        <v>4</v>
      </c>
      <c r="S132">
        <v>8</v>
      </c>
      <c r="T132">
        <v>5</v>
      </c>
      <c r="U132">
        <v>3</v>
      </c>
      <c r="V132">
        <v>7</v>
      </c>
      <c r="W132">
        <v>5</v>
      </c>
      <c r="X132">
        <v>2</v>
      </c>
      <c r="Y132">
        <v>8</v>
      </c>
      <c r="Z132">
        <v>4</v>
      </c>
      <c r="AA132">
        <v>4</v>
      </c>
      <c r="AB132">
        <v>6</v>
      </c>
      <c r="AC132">
        <v>5</v>
      </c>
      <c r="AD132">
        <v>1</v>
      </c>
      <c r="AE132">
        <v>7</v>
      </c>
      <c r="AF132">
        <v>5</v>
      </c>
      <c r="AG132">
        <v>2</v>
      </c>
      <c r="AH132">
        <v>8</v>
      </c>
      <c r="AI132">
        <v>5</v>
      </c>
      <c r="AJ132">
        <v>3</v>
      </c>
      <c r="AK132" t="s">
        <v>1371</v>
      </c>
      <c r="AL132" t="s">
        <v>1372</v>
      </c>
      <c r="AM132" t="s">
        <v>1373</v>
      </c>
      <c r="AN132" t="s">
        <v>1374</v>
      </c>
      <c r="AO132" t="s">
        <v>1375</v>
      </c>
      <c r="AP132" t="s">
        <v>1376</v>
      </c>
      <c r="AQ132" t="s">
        <v>1377</v>
      </c>
      <c r="AR132" t="s">
        <v>1378</v>
      </c>
      <c r="AS132" t="s">
        <v>1379</v>
      </c>
    </row>
    <row r="133" spans="1:45" x14ac:dyDescent="0.45">
      <c r="A133">
        <v>132</v>
      </c>
      <c r="B133">
        <v>173</v>
      </c>
      <c r="C133" t="s">
        <v>78</v>
      </c>
      <c r="D133" t="s">
        <v>188</v>
      </c>
      <c r="E133" t="s">
        <v>74</v>
      </c>
      <c r="F133" t="s">
        <v>77</v>
      </c>
      <c r="G133" t="s">
        <v>76</v>
      </c>
      <c r="H133">
        <v>12.341532050902714</v>
      </c>
      <c r="I133">
        <v>0</v>
      </c>
      <c r="J133">
        <v>7</v>
      </c>
      <c r="K133">
        <v>9</v>
      </c>
      <c r="L133">
        <v>-2</v>
      </c>
      <c r="M133">
        <v>6</v>
      </c>
      <c r="N133">
        <v>9</v>
      </c>
      <c r="O133">
        <v>-3</v>
      </c>
      <c r="P133">
        <v>8</v>
      </c>
      <c r="Q133">
        <v>9</v>
      </c>
      <c r="R133">
        <v>-1</v>
      </c>
      <c r="S133">
        <v>7</v>
      </c>
      <c r="T133">
        <v>9</v>
      </c>
      <c r="U133">
        <v>-2</v>
      </c>
      <c r="V133">
        <v>6</v>
      </c>
      <c r="W133">
        <v>7</v>
      </c>
      <c r="X133">
        <v>-1</v>
      </c>
      <c r="Y133">
        <v>5</v>
      </c>
      <c r="Z133">
        <v>10</v>
      </c>
      <c r="AA133">
        <v>-5</v>
      </c>
      <c r="AB133">
        <v>4</v>
      </c>
      <c r="AC133">
        <v>5</v>
      </c>
      <c r="AD133">
        <v>-1</v>
      </c>
      <c r="AE133">
        <v>3</v>
      </c>
      <c r="AF133">
        <v>5</v>
      </c>
      <c r="AG133">
        <v>-2</v>
      </c>
      <c r="AH133">
        <v>6</v>
      </c>
      <c r="AI133">
        <v>9</v>
      </c>
      <c r="AJ133">
        <v>-3</v>
      </c>
      <c r="AK133" t="s">
        <v>1380</v>
      </c>
      <c r="AL133" t="s">
        <v>1381</v>
      </c>
      <c r="AM133" t="s">
        <v>1382</v>
      </c>
      <c r="AN133" t="s">
        <v>1383</v>
      </c>
      <c r="AO133" t="s">
        <v>1384</v>
      </c>
      <c r="AP133" t="s">
        <v>1385</v>
      </c>
      <c r="AQ133" t="s">
        <v>1386</v>
      </c>
      <c r="AR133" t="s">
        <v>1387</v>
      </c>
      <c r="AS133" t="s">
        <v>1388</v>
      </c>
    </row>
    <row r="134" spans="1:45" x14ac:dyDescent="0.45">
      <c r="A134">
        <v>133</v>
      </c>
      <c r="B134">
        <v>174</v>
      </c>
      <c r="C134" t="s">
        <v>78</v>
      </c>
      <c r="D134" t="s">
        <v>81</v>
      </c>
      <c r="E134" t="s">
        <v>74</v>
      </c>
      <c r="F134" t="s">
        <v>189</v>
      </c>
      <c r="G134" t="s">
        <v>76</v>
      </c>
      <c r="H134">
        <v>45.811267624915253</v>
      </c>
      <c r="I134">
        <v>0</v>
      </c>
      <c r="J134">
        <v>8</v>
      </c>
      <c r="K134">
        <v>5</v>
      </c>
      <c r="L134">
        <v>3</v>
      </c>
      <c r="M134">
        <v>9</v>
      </c>
      <c r="N134">
        <v>5</v>
      </c>
      <c r="O134">
        <v>4</v>
      </c>
      <c r="P134">
        <v>7</v>
      </c>
      <c r="Q134">
        <v>5</v>
      </c>
      <c r="R134">
        <v>2</v>
      </c>
      <c r="S134">
        <v>8</v>
      </c>
      <c r="T134">
        <v>5</v>
      </c>
      <c r="U134">
        <v>3</v>
      </c>
      <c r="V134">
        <v>9</v>
      </c>
      <c r="W134">
        <v>5</v>
      </c>
      <c r="X134">
        <v>4</v>
      </c>
      <c r="Y134">
        <v>8</v>
      </c>
      <c r="Z134">
        <v>5</v>
      </c>
      <c r="AA134">
        <v>3</v>
      </c>
      <c r="AB134">
        <v>9</v>
      </c>
      <c r="AC134">
        <v>5</v>
      </c>
      <c r="AD134">
        <v>4</v>
      </c>
      <c r="AE134">
        <v>7</v>
      </c>
      <c r="AF134">
        <v>5</v>
      </c>
      <c r="AG134">
        <v>2</v>
      </c>
      <c r="AH134">
        <v>8</v>
      </c>
      <c r="AI134">
        <v>5</v>
      </c>
      <c r="AJ134">
        <v>3</v>
      </c>
      <c r="AK134" t="s">
        <v>1389</v>
      </c>
      <c r="AL134" t="s">
        <v>1390</v>
      </c>
      <c r="AM134" t="s">
        <v>1391</v>
      </c>
      <c r="AN134" t="s">
        <v>1392</v>
      </c>
      <c r="AO134" t="s">
        <v>1393</v>
      </c>
      <c r="AP134" t="s">
        <v>1394</v>
      </c>
      <c r="AQ134" t="s">
        <v>1395</v>
      </c>
      <c r="AR134" t="s">
        <v>1396</v>
      </c>
      <c r="AS134" t="s">
        <v>1397</v>
      </c>
    </row>
    <row r="135" spans="1:45" x14ac:dyDescent="0.45">
      <c r="A135">
        <v>134</v>
      </c>
      <c r="B135">
        <v>175</v>
      </c>
      <c r="C135" t="s">
        <v>72</v>
      </c>
      <c r="D135" t="s">
        <v>188</v>
      </c>
      <c r="E135" t="s">
        <v>74</v>
      </c>
      <c r="F135" t="s">
        <v>77</v>
      </c>
      <c r="G135" t="s">
        <v>76</v>
      </c>
      <c r="H135">
        <v>20.253120039356663</v>
      </c>
      <c r="I135">
        <v>0</v>
      </c>
      <c r="J135">
        <v>8</v>
      </c>
      <c r="K135">
        <v>9</v>
      </c>
      <c r="L135">
        <v>-1</v>
      </c>
      <c r="M135">
        <v>9</v>
      </c>
      <c r="N135">
        <v>9</v>
      </c>
      <c r="O135">
        <v>0</v>
      </c>
      <c r="P135">
        <v>7</v>
      </c>
      <c r="Q135">
        <v>5</v>
      </c>
      <c r="R135">
        <v>2</v>
      </c>
      <c r="S135">
        <v>6</v>
      </c>
      <c r="T135">
        <v>9</v>
      </c>
      <c r="U135">
        <v>-3</v>
      </c>
      <c r="V135">
        <v>7</v>
      </c>
      <c r="W135">
        <v>8</v>
      </c>
      <c r="X135">
        <v>-1</v>
      </c>
      <c r="Y135">
        <v>6</v>
      </c>
      <c r="Z135">
        <v>10</v>
      </c>
      <c r="AA135">
        <v>-4</v>
      </c>
      <c r="AB135">
        <v>7</v>
      </c>
      <c r="AC135">
        <v>5</v>
      </c>
      <c r="AD135">
        <v>2</v>
      </c>
      <c r="AE135">
        <v>6</v>
      </c>
      <c r="AF135">
        <v>5</v>
      </c>
      <c r="AG135">
        <v>1</v>
      </c>
      <c r="AH135">
        <v>7</v>
      </c>
      <c r="AI135">
        <v>7</v>
      </c>
      <c r="AJ135">
        <v>0</v>
      </c>
      <c r="AK135" t="s">
        <v>1398</v>
      </c>
      <c r="AL135" t="s">
        <v>1399</v>
      </c>
      <c r="AM135" t="s">
        <v>1400</v>
      </c>
      <c r="AN135" t="s">
        <v>1401</v>
      </c>
      <c r="AO135" t="s">
        <v>1402</v>
      </c>
      <c r="AP135" t="s">
        <v>1403</v>
      </c>
      <c r="AQ135" t="s">
        <v>1404</v>
      </c>
      <c r="AR135" t="s">
        <v>1405</v>
      </c>
      <c r="AS135" t="s">
        <v>1406</v>
      </c>
    </row>
    <row r="136" spans="1:45" x14ac:dyDescent="0.45">
      <c r="A136">
        <v>135</v>
      </c>
      <c r="B136">
        <v>176</v>
      </c>
      <c r="C136" t="s">
        <v>78</v>
      </c>
      <c r="D136" t="s">
        <v>188</v>
      </c>
      <c r="E136" t="s">
        <v>74</v>
      </c>
      <c r="F136" t="s">
        <v>77</v>
      </c>
      <c r="G136" t="s">
        <v>76</v>
      </c>
      <c r="H136">
        <v>16.543982855070325</v>
      </c>
      <c r="I136">
        <v>0</v>
      </c>
      <c r="J136">
        <v>8</v>
      </c>
      <c r="K136">
        <v>5</v>
      </c>
      <c r="L136">
        <v>3</v>
      </c>
      <c r="M136">
        <v>8</v>
      </c>
      <c r="N136">
        <v>5</v>
      </c>
      <c r="O136">
        <v>3</v>
      </c>
      <c r="P136">
        <v>7</v>
      </c>
      <c r="Q136">
        <v>5</v>
      </c>
      <c r="R136">
        <v>2</v>
      </c>
      <c r="S136">
        <v>6</v>
      </c>
      <c r="T136">
        <v>6</v>
      </c>
      <c r="U136">
        <v>0</v>
      </c>
      <c r="V136">
        <v>6</v>
      </c>
      <c r="W136">
        <v>6</v>
      </c>
      <c r="X136">
        <v>0</v>
      </c>
      <c r="Y136">
        <v>5</v>
      </c>
      <c r="Z136">
        <v>6</v>
      </c>
      <c r="AA136">
        <v>-1</v>
      </c>
      <c r="AB136">
        <v>4</v>
      </c>
      <c r="AC136">
        <v>6</v>
      </c>
      <c r="AD136">
        <v>-2</v>
      </c>
      <c r="AE136">
        <v>3</v>
      </c>
      <c r="AF136">
        <v>6</v>
      </c>
      <c r="AG136">
        <v>-3</v>
      </c>
      <c r="AH136">
        <v>7</v>
      </c>
      <c r="AI136">
        <v>6</v>
      </c>
      <c r="AJ136">
        <v>1</v>
      </c>
      <c r="AK136" t="s">
        <v>1407</v>
      </c>
      <c r="AL136" t="s">
        <v>1408</v>
      </c>
      <c r="AM136" t="s">
        <v>1409</v>
      </c>
      <c r="AN136" t="s">
        <v>1410</v>
      </c>
      <c r="AO136" t="s">
        <v>1411</v>
      </c>
      <c r="AP136" t="s">
        <v>1412</v>
      </c>
      <c r="AQ136" t="s">
        <v>1413</v>
      </c>
      <c r="AR136" t="s">
        <v>1414</v>
      </c>
      <c r="AS136" t="s">
        <v>1415</v>
      </c>
    </row>
    <row r="137" spans="1:45" x14ac:dyDescent="0.45">
      <c r="A137">
        <v>136</v>
      </c>
      <c r="B137">
        <v>177</v>
      </c>
      <c r="C137" t="s">
        <v>72</v>
      </c>
      <c r="D137" t="s">
        <v>192</v>
      </c>
      <c r="E137" t="s">
        <v>74</v>
      </c>
      <c r="F137" t="s">
        <v>77</v>
      </c>
      <c r="G137" t="s">
        <v>161</v>
      </c>
      <c r="H137">
        <v>12</v>
      </c>
      <c r="I137">
        <v>0</v>
      </c>
      <c r="J137">
        <v>7</v>
      </c>
      <c r="K137">
        <v>8</v>
      </c>
      <c r="L137">
        <v>-1</v>
      </c>
      <c r="M137">
        <v>8</v>
      </c>
      <c r="N137">
        <v>8</v>
      </c>
      <c r="O137">
        <v>0</v>
      </c>
      <c r="P137">
        <v>8</v>
      </c>
      <c r="Q137">
        <v>8</v>
      </c>
      <c r="R137">
        <v>0</v>
      </c>
      <c r="S137">
        <v>7</v>
      </c>
      <c r="T137">
        <v>8</v>
      </c>
      <c r="U137">
        <v>-1</v>
      </c>
      <c r="V137">
        <v>8</v>
      </c>
      <c r="W137">
        <v>10</v>
      </c>
      <c r="X137">
        <v>-2</v>
      </c>
      <c r="Y137">
        <v>6</v>
      </c>
      <c r="Z137">
        <v>10</v>
      </c>
      <c r="AA137">
        <v>-4</v>
      </c>
      <c r="AB137">
        <v>7</v>
      </c>
      <c r="AC137">
        <v>10</v>
      </c>
      <c r="AD137">
        <v>-3</v>
      </c>
      <c r="AE137">
        <v>8</v>
      </c>
      <c r="AF137">
        <v>10</v>
      </c>
      <c r="AG137">
        <v>-2</v>
      </c>
      <c r="AH137">
        <v>9</v>
      </c>
      <c r="AI137">
        <v>10</v>
      </c>
      <c r="AJ137">
        <v>-1</v>
      </c>
      <c r="AK137" t="s">
        <v>1416</v>
      </c>
      <c r="AL137" t="s">
        <v>1417</v>
      </c>
      <c r="AM137" t="s">
        <v>1418</v>
      </c>
      <c r="AN137" t="s">
        <v>1419</v>
      </c>
      <c r="AO137" t="s">
        <v>1420</v>
      </c>
      <c r="AP137" t="s">
        <v>1421</v>
      </c>
      <c r="AQ137" t="s">
        <v>1422</v>
      </c>
      <c r="AR137" t="s">
        <v>1423</v>
      </c>
      <c r="AS137" t="s">
        <v>1424</v>
      </c>
    </row>
    <row r="138" spans="1:45" x14ac:dyDescent="0.45">
      <c r="A138">
        <v>137</v>
      </c>
      <c r="B138">
        <v>178</v>
      </c>
      <c r="C138" t="s">
        <v>78</v>
      </c>
      <c r="D138" t="s">
        <v>190</v>
      </c>
      <c r="E138" t="s">
        <v>74</v>
      </c>
      <c r="F138" t="s">
        <v>77</v>
      </c>
      <c r="G138" t="s">
        <v>76</v>
      </c>
      <c r="H138">
        <v>214.60248023996229</v>
      </c>
      <c r="I138">
        <v>4</v>
      </c>
      <c r="J138">
        <v>7</v>
      </c>
      <c r="K138">
        <v>8</v>
      </c>
      <c r="L138">
        <v>-1</v>
      </c>
      <c r="M138">
        <v>6</v>
      </c>
      <c r="N138">
        <v>8</v>
      </c>
      <c r="O138">
        <v>-2</v>
      </c>
      <c r="P138">
        <v>8</v>
      </c>
      <c r="Q138">
        <v>8</v>
      </c>
      <c r="R138">
        <v>0</v>
      </c>
      <c r="S138">
        <v>7</v>
      </c>
      <c r="T138">
        <v>8</v>
      </c>
      <c r="U138">
        <v>-1</v>
      </c>
      <c r="V138">
        <v>9</v>
      </c>
      <c r="W138">
        <v>8</v>
      </c>
      <c r="X138">
        <v>1</v>
      </c>
      <c r="Y138">
        <v>6</v>
      </c>
      <c r="Z138">
        <v>8</v>
      </c>
      <c r="AA138">
        <v>-2</v>
      </c>
      <c r="AB138">
        <v>7</v>
      </c>
      <c r="AC138">
        <v>5</v>
      </c>
      <c r="AD138">
        <v>2</v>
      </c>
      <c r="AE138">
        <v>5</v>
      </c>
      <c r="AF138">
        <v>7</v>
      </c>
      <c r="AG138">
        <v>-2</v>
      </c>
      <c r="AH138">
        <v>6</v>
      </c>
      <c r="AI138">
        <v>8</v>
      </c>
      <c r="AJ138">
        <v>-2</v>
      </c>
      <c r="AK138" t="s">
        <v>1425</v>
      </c>
      <c r="AL138" t="s">
        <v>1426</v>
      </c>
      <c r="AM138" t="s">
        <v>1427</v>
      </c>
      <c r="AN138" t="s">
        <v>1428</v>
      </c>
      <c r="AO138" t="s">
        <v>1429</v>
      </c>
      <c r="AP138" t="s">
        <v>1430</v>
      </c>
      <c r="AQ138" t="s">
        <v>1431</v>
      </c>
      <c r="AR138" t="s">
        <v>1432</v>
      </c>
      <c r="AS138" t="s">
        <v>1433</v>
      </c>
    </row>
    <row r="139" spans="1:45" x14ac:dyDescent="0.45">
      <c r="A139">
        <v>138</v>
      </c>
      <c r="B139">
        <v>179</v>
      </c>
      <c r="C139" t="s">
        <v>72</v>
      </c>
      <c r="D139" t="s">
        <v>81</v>
      </c>
      <c r="E139" t="s">
        <v>74</v>
      </c>
      <c r="F139" t="s">
        <v>75</v>
      </c>
      <c r="G139" t="s">
        <v>76</v>
      </c>
      <c r="H139">
        <v>16.590347643222596</v>
      </c>
      <c r="I139">
        <v>0</v>
      </c>
      <c r="J139">
        <v>8</v>
      </c>
      <c r="K139">
        <v>8</v>
      </c>
      <c r="L139">
        <v>0</v>
      </c>
      <c r="M139">
        <v>7</v>
      </c>
      <c r="N139">
        <v>9</v>
      </c>
      <c r="O139">
        <v>-2</v>
      </c>
      <c r="P139">
        <v>9</v>
      </c>
      <c r="Q139">
        <v>7</v>
      </c>
      <c r="R139">
        <v>2</v>
      </c>
      <c r="S139">
        <v>8</v>
      </c>
      <c r="T139">
        <v>7</v>
      </c>
      <c r="U139">
        <v>1</v>
      </c>
      <c r="V139">
        <v>7</v>
      </c>
      <c r="W139">
        <v>6</v>
      </c>
      <c r="X139">
        <v>1</v>
      </c>
      <c r="Y139">
        <v>6</v>
      </c>
      <c r="Z139">
        <v>6</v>
      </c>
      <c r="AA139">
        <v>0</v>
      </c>
      <c r="AB139">
        <v>7</v>
      </c>
      <c r="AC139">
        <v>2</v>
      </c>
      <c r="AD139">
        <v>5</v>
      </c>
      <c r="AE139">
        <v>6</v>
      </c>
      <c r="AF139">
        <v>5</v>
      </c>
      <c r="AG139">
        <v>1</v>
      </c>
      <c r="AH139">
        <v>5</v>
      </c>
      <c r="AI139">
        <v>6</v>
      </c>
      <c r="AJ139">
        <v>-1</v>
      </c>
      <c r="AK139" t="s">
        <v>1434</v>
      </c>
      <c r="AL139" t="s">
        <v>1435</v>
      </c>
      <c r="AM139" t="s">
        <v>1436</v>
      </c>
      <c r="AN139" t="s">
        <v>1437</v>
      </c>
      <c r="AO139" t="s">
        <v>1438</v>
      </c>
      <c r="AP139" t="s">
        <v>1439</v>
      </c>
      <c r="AQ139" t="s">
        <v>1440</v>
      </c>
      <c r="AR139" t="s">
        <v>1441</v>
      </c>
      <c r="AS139" t="s">
        <v>1442</v>
      </c>
    </row>
    <row r="140" spans="1:45" x14ac:dyDescent="0.45">
      <c r="A140">
        <v>139</v>
      </c>
      <c r="B140">
        <v>180</v>
      </c>
      <c r="C140" t="s">
        <v>72</v>
      </c>
      <c r="D140" t="s">
        <v>79</v>
      </c>
      <c r="E140" t="s">
        <v>74</v>
      </c>
      <c r="F140" t="s">
        <v>75</v>
      </c>
      <c r="G140" t="s">
        <v>76</v>
      </c>
      <c r="H140">
        <v>187.25634005280955</v>
      </c>
      <c r="I140">
        <v>2</v>
      </c>
      <c r="J140">
        <v>8</v>
      </c>
      <c r="K140">
        <v>5</v>
      </c>
      <c r="L140">
        <v>3</v>
      </c>
      <c r="M140">
        <v>9</v>
      </c>
      <c r="N140">
        <v>4</v>
      </c>
      <c r="O140">
        <v>5</v>
      </c>
      <c r="P140">
        <v>9</v>
      </c>
      <c r="Q140">
        <v>7</v>
      </c>
      <c r="R140">
        <v>2</v>
      </c>
      <c r="S140">
        <v>8</v>
      </c>
      <c r="T140">
        <v>6</v>
      </c>
      <c r="U140">
        <v>2</v>
      </c>
      <c r="V140">
        <v>9</v>
      </c>
      <c r="W140">
        <v>3</v>
      </c>
      <c r="X140">
        <v>6</v>
      </c>
      <c r="Y140">
        <v>8</v>
      </c>
      <c r="Z140">
        <v>4</v>
      </c>
      <c r="AA140">
        <v>4</v>
      </c>
      <c r="AB140">
        <v>9</v>
      </c>
      <c r="AC140">
        <v>4</v>
      </c>
      <c r="AD140">
        <v>5</v>
      </c>
      <c r="AE140">
        <v>7</v>
      </c>
      <c r="AF140">
        <v>5</v>
      </c>
      <c r="AG140">
        <v>2</v>
      </c>
      <c r="AH140">
        <v>8</v>
      </c>
      <c r="AI140">
        <v>5</v>
      </c>
      <c r="AJ140">
        <v>3</v>
      </c>
      <c r="AK140" t="s">
        <v>1443</v>
      </c>
      <c r="AL140" t="s">
        <v>1444</v>
      </c>
      <c r="AM140" t="s">
        <v>1445</v>
      </c>
      <c r="AN140" t="s">
        <v>1446</v>
      </c>
      <c r="AO140" t="s">
        <v>1447</v>
      </c>
      <c r="AP140" t="s">
        <v>1448</v>
      </c>
      <c r="AQ140" t="s">
        <v>1449</v>
      </c>
      <c r="AR140" t="s">
        <v>1450</v>
      </c>
      <c r="AS140" t="s">
        <v>1451</v>
      </c>
    </row>
    <row r="141" spans="1:45" x14ac:dyDescent="0.45">
      <c r="A141">
        <v>140</v>
      </c>
      <c r="B141">
        <v>181</v>
      </c>
      <c r="C141" t="s">
        <v>72</v>
      </c>
      <c r="D141" t="s">
        <v>73</v>
      </c>
      <c r="E141" t="s">
        <v>74</v>
      </c>
      <c r="F141" t="s">
        <v>77</v>
      </c>
      <c r="G141" t="s">
        <v>76</v>
      </c>
      <c r="H141">
        <v>29.289834118814394</v>
      </c>
      <c r="I141">
        <v>1</v>
      </c>
      <c r="J141">
        <v>8</v>
      </c>
      <c r="K141">
        <v>10</v>
      </c>
      <c r="L141">
        <v>-2</v>
      </c>
      <c r="M141">
        <v>7</v>
      </c>
      <c r="N141">
        <v>9</v>
      </c>
      <c r="O141">
        <v>-2</v>
      </c>
      <c r="P141">
        <v>9</v>
      </c>
      <c r="Q141">
        <v>9</v>
      </c>
      <c r="R141">
        <v>0</v>
      </c>
      <c r="S141">
        <v>8</v>
      </c>
      <c r="T141">
        <v>9</v>
      </c>
      <c r="U141">
        <v>-1</v>
      </c>
      <c r="V141">
        <v>7</v>
      </c>
      <c r="W141">
        <v>8</v>
      </c>
      <c r="X141">
        <v>-1</v>
      </c>
      <c r="Y141">
        <v>7</v>
      </c>
      <c r="Z141">
        <v>8</v>
      </c>
      <c r="AA141">
        <v>-1</v>
      </c>
      <c r="AB141">
        <v>6</v>
      </c>
      <c r="AC141">
        <v>8</v>
      </c>
      <c r="AD141">
        <v>-2</v>
      </c>
      <c r="AE141">
        <v>5</v>
      </c>
      <c r="AF141">
        <v>8</v>
      </c>
      <c r="AG141">
        <v>-3</v>
      </c>
      <c r="AI141">
        <v>10</v>
      </c>
      <c r="AK141" t="s">
        <v>1452</v>
      </c>
      <c r="AL141" t="s">
        <v>1453</v>
      </c>
      <c r="AM141" t="s">
        <v>1454</v>
      </c>
      <c r="AN141" t="s">
        <v>1455</v>
      </c>
      <c r="AO141" t="s">
        <v>1456</v>
      </c>
      <c r="AP141" t="s">
        <v>1457</v>
      </c>
      <c r="AQ141" t="s">
        <v>1458</v>
      </c>
      <c r="AR141" t="s">
        <v>1459</v>
      </c>
      <c r="AS141" t="s">
        <v>216</v>
      </c>
    </row>
    <row r="142" spans="1:45" x14ac:dyDescent="0.45">
      <c r="A142">
        <v>141</v>
      </c>
      <c r="B142">
        <v>182</v>
      </c>
      <c r="C142" t="s">
        <v>78</v>
      </c>
      <c r="D142" t="s">
        <v>73</v>
      </c>
      <c r="E142" t="s">
        <v>74</v>
      </c>
      <c r="F142" t="s">
        <v>77</v>
      </c>
      <c r="G142" t="s">
        <v>76</v>
      </c>
      <c r="H142">
        <v>24.327818242433288</v>
      </c>
      <c r="I142">
        <v>1</v>
      </c>
      <c r="J142">
        <v>7</v>
      </c>
      <c r="K142">
        <v>8</v>
      </c>
      <c r="L142">
        <v>-1</v>
      </c>
      <c r="M142">
        <v>7</v>
      </c>
      <c r="N142">
        <v>7</v>
      </c>
      <c r="O142">
        <v>0</v>
      </c>
      <c r="P142">
        <v>8</v>
      </c>
      <c r="Q142">
        <v>6</v>
      </c>
      <c r="R142">
        <v>2</v>
      </c>
      <c r="S142">
        <v>6</v>
      </c>
      <c r="T142">
        <v>6</v>
      </c>
      <c r="U142">
        <v>0</v>
      </c>
      <c r="V142">
        <v>7</v>
      </c>
      <c r="W142">
        <v>5</v>
      </c>
      <c r="X142">
        <v>2</v>
      </c>
      <c r="Y142">
        <v>8</v>
      </c>
      <c r="Z142">
        <v>5</v>
      </c>
      <c r="AA142">
        <v>3</v>
      </c>
      <c r="AB142">
        <v>7</v>
      </c>
      <c r="AC142">
        <v>3</v>
      </c>
      <c r="AD142">
        <v>4</v>
      </c>
      <c r="AE142">
        <v>6</v>
      </c>
      <c r="AF142">
        <v>3</v>
      </c>
      <c r="AG142">
        <v>3</v>
      </c>
      <c r="AH142">
        <v>7</v>
      </c>
      <c r="AI142">
        <v>5</v>
      </c>
      <c r="AJ142">
        <v>2</v>
      </c>
      <c r="AK142" t="s">
        <v>1460</v>
      </c>
      <c r="AL142" t="s">
        <v>1461</v>
      </c>
      <c r="AM142" t="s">
        <v>1462</v>
      </c>
      <c r="AN142" t="s">
        <v>1463</v>
      </c>
      <c r="AO142" t="s">
        <v>1464</v>
      </c>
      <c r="AP142" t="s">
        <v>1465</v>
      </c>
      <c r="AQ142" t="s">
        <v>1466</v>
      </c>
      <c r="AR142" t="s">
        <v>1467</v>
      </c>
      <c r="AS142" t="s">
        <v>1468</v>
      </c>
    </row>
    <row r="143" spans="1:45" x14ac:dyDescent="0.45">
      <c r="A143">
        <v>142</v>
      </c>
      <c r="B143">
        <v>183</v>
      </c>
      <c r="C143" t="s">
        <v>78</v>
      </c>
      <c r="D143" t="s">
        <v>79</v>
      </c>
      <c r="E143" t="s">
        <v>74</v>
      </c>
      <c r="F143" t="s">
        <v>75</v>
      </c>
      <c r="G143" t="s">
        <v>76</v>
      </c>
      <c r="H143">
        <v>12</v>
      </c>
      <c r="I143">
        <v>1</v>
      </c>
      <c r="J143">
        <v>7</v>
      </c>
      <c r="K143">
        <v>5</v>
      </c>
      <c r="L143">
        <v>2</v>
      </c>
      <c r="M143">
        <v>8</v>
      </c>
      <c r="N143">
        <v>6</v>
      </c>
      <c r="O143">
        <v>2</v>
      </c>
      <c r="P143">
        <v>6</v>
      </c>
      <c r="Q143">
        <v>5</v>
      </c>
      <c r="R143">
        <v>1</v>
      </c>
      <c r="S143">
        <v>8</v>
      </c>
      <c r="T143">
        <v>7</v>
      </c>
      <c r="U143">
        <v>1</v>
      </c>
      <c r="V143">
        <v>6</v>
      </c>
      <c r="W143">
        <v>6</v>
      </c>
      <c r="X143">
        <v>0</v>
      </c>
      <c r="Y143">
        <v>7</v>
      </c>
      <c r="Z143">
        <v>6</v>
      </c>
      <c r="AA143">
        <v>1</v>
      </c>
      <c r="AB143">
        <v>5</v>
      </c>
      <c r="AC143">
        <v>6</v>
      </c>
      <c r="AD143">
        <v>-1</v>
      </c>
      <c r="AE143">
        <v>4</v>
      </c>
      <c r="AF143">
        <v>7</v>
      </c>
      <c r="AG143">
        <v>-3</v>
      </c>
      <c r="AH143">
        <v>6</v>
      </c>
      <c r="AI143">
        <v>7</v>
      </c>
      <c r="AJ143">
        <v>-1</v>
      </c>
      <c r="AK143" t="s">
        <v>1469</v>
      </c>
      <c r="AL143" t="s">
        <v>1470</v>
      </c>
      <c r="AM143" t="s">
        <v>1471</v>
      </c>
      <c r="AN143" t="s">
        <v>1472</v>
      </c>
      <c r="AO143" t="s">
        <v>1473</v>
      </c>
      <c r="AP143" t="s">
        <v>1474</v>
      </c>
      <c r="AQ143" t="s">
        <v>1475</v>
      </c>
      <c r="AR143" t="s">
        <v>1476</v>
      </c>
      <c r="AS143" t="s">
        <v>1477</v>
      </c>
    </row>
    <row r="144" spans="1:45" x14ac:dyDescent="0.45">
      <c r="A144">
        <v>143</v>
      </c>
      <c r="B144">
        <v>184</v>
      </c>
      <c r="C144" t="s">
        <v>78</v>
      </c>
      <c r="D144" t="s">
        <v>73</v>
      </c>
      <c r="E144" t="s">
        <v>74</v>
      </c>
      <c r="F144" t="s">
        <v>75</v>
      </c>
      <c r="G144" t="s">
        <v>76</v>
      </c>
      <c r="H144">
        <v>104.63168558326295</v>
      </c>
      <c r="I144">
        <v>0</v>
      </c>
      <c r="J144">
        <v>8</v>
      </c>
      <c r="K144">
        <v>1</v>
      </c>
      <c r="L144">
        <v>7</v>
      </c>
      <c r="M144">
        <v>9</v>
      </c>
      <c r="N144">
        <v>1</v>
      </c>
      <c r="O144">
        <v>8</v>
      </c>
      <c r="P144">
        <v>7</v>
      </c>
      <c r="Q144">
        <v>8</v>
      </c>
      <c r="R144">
        <v>-1</v>
      </c>
      <c r="S144">
        <v>8</v>
      </c>
      <c r="T144">
        <v>8</v>
      </c>
      <c r="U144">
        <v>0</v>
      </c>
      <c r="V144">
        <v>7</v>
      </c>
      <c r="W144">
        <v>8</v>
      </c>
      <c r="X144">
        <v>-1</v>
      </c>
      <c r="Y144">
        <v>8</v>
      </c>
      <c r="Z144">
        <v>8</v>
      </c>
      <c r="AA144">
        <v>0</v>
      </c>
      <c r="AB144">
        <v>7</v>
      </c>
      <c r="AC144">
        <v>8</v>
      </c>
      <c r="AD144">
        <v>-1</v>
      </c>
      <c r="AE144">
        <v>6</v>
      </c>
      <c r="AF144">
        <v>8</v>
      </c>
      <c r="AG144">
        <v>-2</v>
      </c>
      <c r="AH144">
        <v>7</v>
      </c>
      <c r="AI144">
        <v>8</v>
      </c>
      <c r="AJ144">
        <v>-1</v>
      </c>
      <c r="AK144" t="s">
        <v>1478</v>
      </c>
      <c r="AL144" t="s">
        <v>1479</v>
      </c>
      <c r="AM144" t="s">
        <v>1480</v>
      </c>
      <c r="AN144" t="s">
        <v>1481</v>
      </c>
      <c r="AO144" t="s">
        <v>1482</v>
      </c>
      <c r="AP144" t="s">
        <v>1483</v>
      </c>
      <c r="AQ144" t="s">
        <v>1484</v>
      </c>
      <c r="AR144" t="s">
        <v>1485</v>
      </c>
      <c r="AS144" t="s">
        <v>1486</v>
      </c>
    </row>
    <row r="145" spans="1:45" x14ac:dyDescent="0.45">
      <c r="A145">
        <v>144</v>
      </c>
      <c r="B145">
        <v>185</v>
      </c>
      <c r="C145" t="s">
        <v>72</v>
      </c>
      <c r="D145" t="s">
        <v>190</v>
      </c>
      <c r="E145" t="s">
        <v>74</v>
      </c>
      <c r="F145" t="s">
        <v>77</v>
      </c>
      <c r="G145" t="s">
        <v>76</v>
      </c>
      <c r="H145">
        <v>52.611140065117709</v>
      </c>
      <c r="I145">
        <v>2</v>
      </c>
      <c r="J145">
        <v>7</v>
      </c>
      <c r="K145">
        <v>9</v>
      </c>
      <c r="L145">
        <v>-2</v>
      </c>
      <c r="M145">
        <v>6</v>
      </c>
      <c r="N145">
        <v>9</v>
      </c>
      <c r="O145">
        <v>-3</v>
      </c>
      <c r="P145">
        <v>8</v>
      </c>
      <c r="Q145">
        <v>9</v>
      </c>
      <c r="R145">
        <v>-1</v>
      </c>
      <c r="S145">
        <v>4</v>
      </c>
      <c r="T145">
        <v>9</v>
      </c>
      <c r="U145">
        <v>-5</v>
      </c>
      <c r="V145">
        <v>8</v>
      </c>
      <c r="W145">
        <v>10</v>
      </c>
      <c r="X145">
        <v>-2</v>
      </c>
      <c r="Y145">
        <v>3</v>
      </c>
      <c r="Z145">
        <v>5</v>
      </c>
      <c r="AA145">
        <v>-2</v>
      </c>
      <c r="AB145">
        <v>6</v>
      </c>
      <c r="AC145">
        <v>9</v>
      </c>
      <c r="AD145">
        <v>-3</v>
      </c>
      <c r="AE145">
        <v>5</v>
      </c>
      <c r="AF145">
        <v>9</v>
      </c>
      <c r="AG145">
        <v>-4</v>
      </c>
      <c r="AH145">
        <v>7</v>
      </c>
      <c r="AI145">
        <v>10</v>
      </c>
      <c r="AJ145">
        <v>-3</v>
      </c>
      <c r="AK145" t="s">
        <v>1487</v>
      </c>
      <c r="AL145" t="s">
        <v>1488</v>
      </c>
      <c r="AM145" t="s">
        <v>218</v>
      </c>
      <c r="AN145" t="s">
        <v>1489</v>
      </c>
      <c r="AO145" t="s">
        <v>1490</v>
      </c>
      <c r="AP145" t="s">
        <v>1491</v>
      </c>
      <c r="AQ145" t="s">
        <v>1492</v>
      </c>
      <c r="AR145" t="s">
        <v>1493</v>
      </c>
      <c r="AS145" t="s">
        <v>1494</v>
      </c>
    </row>
    <row r="146" spans="1:45" x14ac:dyDescent="0.45">
      <c r="A146">
        <v>145</v>
      </c>
      <c r="B146">
        <v>186</v>
      </c>
      <c r="C146" t="s">
        <v>72</v>
      </c>
      <c r="D146" t="s">
        <v>79</v>
      </c>
      <c r="E146" t="s">
        <v>74</v>
      </c>
      <c r="F146" t="s">
        <v>77</v>
      </c>
      <c r="G146" t="s">
        <v>76</v>
      </c>
      <c r="H146">
        <v>59.492343091450792</v>
      </c>
      <c r="I146">
        <v>2</v>
      </c>
      <c r="J146">
        <v>7</v>
      </c>
      <c r="K146">
        <v>10</v>
      </c>
      <c r="L146">
        <v>-3</v>
      </c>
      <c r="M146">
        <v>6</v>
      </c>
      <c r="N146">
        <v>10</v>
      </c>
      <c r="O146">
        <v>-4</v>
      </c>
      <c r="P146">
        <v>8</v>
      </c>
      <c r="Q146">
        <v>9</v>
      </c>
      <c r="R146">
        <v>-1</v>
      </c>
      <c r="S146">
        <v>9</v>
      </c>
      <c r="T146">
        <v>6</v>
      </c>
      <c r="U146">
        <v>3</v>
      </c>
      <c r="V146">
        <v>7</v>
      </c>
      <c r="W146">
        <v>6</v>
      </c>
      <c r="X146">
        <v>1</v>
      </c>
      <c r="Y146">
        <v>6</v>
      </c>
      <c r="Z146">
        <v>3</v>
      </c>
      <c r="AA146">
        <v>3</v>
      </c>
      <c r="AB146">
        <v>5</v>
      </c>
      <c r="AC146">
        <v>5</v>
      </c>
      <c r="AD146">
        <v>0</v>
      </c>
      <c r="AE146">
        <v>6</v>
      </c>
      <c r="AF146">
        <v>5</v>
      </c>
      <c r="AG146">
        <v>1</v>
      </c>
      <c r="AH146">
        <v>7</v>
      </c>
      <c r="AI146">
        <v>1</v>
      </c>
      <c r="AJ146">
        <v>6</v>
      </c>
      <c r="AK146" t="s">
        <v>1495</v>
      </c>
      <c r="AL146" t="s">
        <v>1496</v>
      </c>
      <c r="AM146" t="s">
        <v>1497</v>
      </c>
      <c r="AN146" t="s">
        <v>1498</v>
      </c>
      <c r="AO146" t="s">
        <v>1499</v>
      </c>
      <c r="AP146" t="s">
        <v>1500</v>
      </c>
      <c r="AQ146" t="s">
        <v>1501</v>
      </c>
      <c r="AR146" t="s">
        <v>1502</v>
      </c>
      <c r="AS146" t="s">
        <v>1503</v>
      </c>
    </row>
    <row r="147" spans="1:45" x14ac:dyDescent="0.45">
      <c r="A147">
        <v>146</v>
      </c>
      <c r="B147">
        <v>187</v>
      </c>
      <c r="C147" t="s">
        <v>72</v>
      </c>
      <c r="D147" t="s">
        <v>79</v>
      </c>
      <c r="E147" t="s">
        <v>74</v>
      </c>
      <c r="F147" t="s">
        <v>77</v>
      </c>
      <c r="G147" t="s">
        <v>76</v>
      </c>
      <c r="H147">
        <v>77.880384932686624</v>
      </c>
      <c r="I147">
        <v>3</v>
      </c>
      <c r="J147">
        <v>7</v>
      </c>
      <c r="K147">
        <v>8</v>
      </c>
      <c r="L147">
        <v>-1</v>
      </c>
      <c r="M147">
        <v>8</v>
      </c>
      <c r="N147">
        <v>8</v>
      </c>
      <c r="O147">
        <v>0</v>
      </c>
      <c r="P147">
        <v>6</v>
      </c>
      <c r="Q147">
        <v>5</v>
      </c>
      <c r="R147">
        <v>1</v>
      </c>
      <c r="S147">
        <v>9</v>
      </c>
      <c r="T147">
        <v>5</v>
      </c>
      <c r="U147">
        <v>4</v>
      </c>
      <c r="V147">
        <v>7</v>
      </c>
      <c r="W147">
        <v>5</v>
      </c>
      <c r="X147">
        <v>2</v>
      </c>
      <c r="Y147">
        <v>8</v>
      </c>
      <c r="Z147">
        <v>3</v>
      </c>
      <c r="AA147">
        <v>5</v>
      </c>
      <c r="AB147">
        <v>7</v>
      </c>
      <c r="AC147">
        <v>5</v>
      </c>
      <c r="AD147">
        <v>2</v>
      </c>
      <c r="AE147">
        <v>6</v>
      </c>
      <c r="AF147">
        <v>5</v>
      </c>
      <c r="AG147">
        <v>1</v>
      </c>
      <c r="AH147">
        <v>5</v>
      </c>
      <c r="AI147">
        <v>5</v>
      </c>
      <c r="AJ147">
        <v>0</v>
      </c>
      <c r="AK147" t="s">
        <v>1504</v>
      </c>
      <c r="AL147" t="s">
        <v>1505</v>
      </c>
      <c r="AM147" t="s">
        <v>1506</v>
      </c>
      <c r="AN147" t="s">
        <v>1507</v>
      </c>
      <c r="AO147" t="s">
        <v>1508</v>
      </c>
      <c r="AP147" t="s">
        <v>1509</v>
      </c>
      <c r="AQ147" t="s">
        <v>1510</v>
      </c>
      <c r="AR147" t="s">
        <v>1511</v>
      </c>
      <c r="AS147" t="s">
        <v>1512</v>
      </c>
    </row>
    <row r="148" spans="1:45" x14ac:dyDescent="0.45">
      <c r="A148">
        <v>147</v>
      </c>
      <c r="B148">
        <v>188</v>
      </c>
      <c r="C148" t="s">
        <v>72</v>
      </c>
      <c r="D148" t="s">
        <v>192</v>
      </c>
      <c r="E148" t="s">
        <v>74</v>
      </c>
      <c r="F148" t="s">
        <v>75</v>
      </c>
      <c r="G148" t="s">
        <v>76</v>
      </c>
      <c r="H148">
        <v>116.22442433499765</v>
      </c>
      <c r="I148">
        <v>0</v>
      </c>
      <c r="J148">
        <v>6</v>
      </c>
      <c r="K148">
        <v>7</v>
      </c>
      <c r="L148">
        <v>-1</v>
      </c>
      <c r="M148">
        <v>7</v>
      </c>
      <c r="N148">
        <v>7</v>
      </c>
      <c r="O148">
        <v>0</v>
      </c>
      <c r="P148">
        <v>8</v>
      </c>
      <c r="Q148">
        <v>1</v>
      </c>
      <c r="R148">
        <v>7</v>
      </c>
      <c r="S148">
        <v>9</v>
      </c>
      <c r="T148">
        <v>6</v>
      </c>
      <c r="U148">
        <v>3</v>
      </c>
      <c r="V148">
        <v>7</v>
      </c>
      <c r="W148">
        <v>3</v>
      </c>
      <c r="X148">
        <v>4</v>
      </c>
      <c r="Y148">
        <v>8</v>
      </c>
      <c r="Z148">
        <v>5</v>
      </c>
      <c r="AA148">
        <v>3</v>
      </c>
      <c r="AB148">
        <v>7</v>
      </c>
      <c r="AC148">
        <v>1</v>
      </c>
      <c r="AD148">
        <v>6</v>
      </c>
      <c r="AE148">
        <v>6</v>
      </c>
      <c r="AF148">
        <v>4</v>
      </c>
      <c r="AG148">
        <v>2</v>
      </c>
      <c r="AH148">
        <v>8</v>
      </c>
      <c r="AI148">
        <v>5</v>
      </c>
      <c r="AJ148">
        <v>3</v>
      </c>
      <c r="AK148" t="s">
        <v>1513</v>
      </c>
      <c r="AL148" t="s">
        <v>1514</v>
      </c>
      <c r="AM148" t="s">
        <v>1515</v>
      </c>
      <c r="AN148" t="s">
        <v>1516</v>
      </c>
      <c r="AO148" t="s">
        <v>1517</v>
      </c>
      <c r="AP148" t="s">
        <v>1518</v>
      </c>
      <c r="AQ148" t="s">
        <v>1519</v>
      </c>
      <c r="AR148" t="s">
        <v>1520</v>
      </c>
      <c r="AS148" t="s">
        <v>1521</v>
      </c>
    </row>
    <row r="149" spans="1:45" x14ac:dyDescent="0.45">
      <c r="A149">
        <v>148</v>
      </c>
      <c r="B149">
        <v>189</v>
      </c>
      <c r="C149" t="s">
        <v>78</v>
      </c>
      <c r="D149" t="s">
        <v>81</v>
      </c>
      <c r="E149" t="s">
        <v>74</v>
      </c>
      <c r="F149" t="s">
        <v>77</v>
      </c>
      <c r="G149" t="s">
        <v>76</v>
      </c>
      <c r="H149">
        <v>19.947453204914154</v>
      </c>
      <c r="I149">
        <v>0</v>
      </c>
      <c r="J149">
        <v>7</v>
      </c>
      <c r="K149">
        <v>6</v>
      </c>
      <c r="L149">
        <v>1</v>
      </c>
      <c r="M149">
        <v>6</v>
      </c>
      <c r="N149">
        <v>6</v>
      </c>
      <c r="O149">
        <v>0</v>
      </c>
      <c r="P149">
        <v>9</v>
      </c>
      <c r="Q149">
        <v>5</v>
      </c>
      <c r="R149">
        <v>4</v>
      </c>
      <c r="S149">
        <v>8</v>
      </c>
      <c r="T149">
        <v>7</v>
      </c>
      <c r="U149">
        <v>1</v>
      </c>
      <c r="V149">
        <v>6</v>
      </c>
      <c r="W149">
        <v>5</v>
      </c>
      <c r="X149">
        <v>1</v>
      </c>
      <c r="Y149">
        <v>8</v>
      </c>
      <c r="Z149">
        <v>7</v>
      </c>
      <c r="AA149">
        <v>1</v>
      </c>
      <c r="AB149">
        <v>7</v>
      </c>
      <c r="AC149">
        <v>5</v>
      </c>
      <c r="AD149">
        <v>2</v>
      </c>
      <c r="AE149">
        <v>5</v>
      </c>
      <c r="AF149">
        <v>6</v>
      </c>
      <c r="AG149">
        <v>-1</v>
      </c>
      <c r="AH149">
        <v>7</v>
      </c>
      <c r="AI149">
        <v>7</v>
      </c>
      <c r="AJ149">
        <v>0</v>
      </c>
      <c r="AK149" t="s">
        <v>1522</v>
      </c>
      <c r="AL149" t="s">
        <v>1523</v>
      </c>
      <c r="AM149" t="s">
        <v>1524</v>
      </c>
      <c r="AN149" t="s">
        <v>1525</v>
      </c>
      <c r="AO149" t="s">
        <v>1526</v>
      </c>
      <c r="AP149" t="s">
        <v>1527</v>
      </c>
      <c r="AQ149" t="s">
        <v>1528</v>
      </c>
      <c r="AR149" t="s">
        <v>1529</v>
      </c>
      <c r="AS149" t="s">
        <v>1530</v>
      </c>
    </row>
    <row r="150" spans="1:45" x14ac:dyDescent="0.45">
      <c r="A150">
        <v>149</v>
      </c>
      <c r="B150">
        <v>190</v>
      </c>
      <c r="C150" t="s">
        <v>72</v>
      </c>
      <c r="D150" t="s">
        <v>79</v>
      </c>
      <c r="E150" t="s">
        <v>74</v>
      </c>
      <c r="F150" t="s">
        <v>77</v>
      </c>
      <c r="G150" t="s">
        <v>76</v>
      </c>
      <c r="H150">
        <v>180.68332892577266</v>
      </c>
      <c r="I150">
        <v>3</v>
      </c>
      <c r="J150">
        <v>6</v>
      </c>
      <c r="K150">
        <v>10</v>
      </c>
      <c r="L150">
        <v>-4</v>
      </c>
      <c r="M150">
        <v>7</v>
      </c>
      <c r="N150">
        <v>10</v>
      </c>
      <c r="O150">
        <v>-3</v>
      </c>
      <c r="P150">
        <v>8</v>
      </c>
      <c r="Q150">
        <v>7</v>
      </c>
      <c r="R150">
        <v>1</v>
      </c>
      <c r="S150">
        <v>9</v>
      </c>
      <c r="T150">
        <v>8</v>
      </c>
      <c r="U150">
        <v>1</v>
      </c>
      <c r="V150">
        <v>8</v>
      </c>
      <c r="W150">
        <v>8</v>
      </c>
      <c r="X150">
        <v>0</v>
      </c>
      <c r="Y150">
        <v>7</v>
      </c>
      <c r="Z150">
        <v>4</v>
      </c>
      <c r="AA150">
        <v>3</v>
      </c>
      <c r="AB150">
        <v>8</v>
      </c>
      <c r="AC150">
        <v>1</v>
      </c>
      <c r="AD150">
        <v>7</v>
      </c>
      <c r="AE150">
        <v>5</v>
      </c>
      <c r="AF150">
        <v>3</v>
      </c>
      <c r="AG150">
        <v>2</v>
      </c>
      <c r="AH150">
        <v>7</v>
      </c>
      <c r="AI150">
        <v>6</v>
      </c>
      <c r="AJ150">
        <v>1</v>
      </c>
      <c r="AK150" t="s">
        <v>1531</v>
      </c>
      <c r="AL150" t="s">
        <v>1532</v>
      </c>
      <c r="AM150" t="s">
        <v>1533</v>
      </c>
      <c r="AN150" t="s">
        <v>1534</v>
      </c>
      <c r="AO150" t="s">
        <v>1535</v>
      </c>
      <c r="AP150" t="s">
        <v>1536</v>
      </c>
      <c r="AQ150" t="s">
        <v>1537</v>
      </c>
      <c r="AR150" t="s">
        <v>1538</v>
      </c>
      <c r="AS150" t="s">
        <v>1539</v>
      </c>
    </row>
    <row r="151" spans="1:45" x14ac:dyDescent="0.45">
      <c r="A151">
        <v>150</v>
      </c>
      <c r="B151">
        <v>191</v>
      </c>
      <c r="C151" t="s">
        <v>72</v>
      </c>
      <c r="D151" t="s">
        <v>79</v>
      </c>
      <c r="E151" t="s">
        <v>74</v>
      </c>
      <c r="F151" t="s">
        <v>77</v>
      </c>
      <c r="G151" t="s">
        <v>76</v>
      </c>
      <c r="H151">
        <v>68.424416201008498</v>
      </c>
      <c r="I151">
        <v>2</v>
      </c>
      <c r="J151">
        <v>7</v>
      </c>
      <c r="K151">
        <v>7</v>
      </c>
      <c r="L151">
        <v>0</v>
      </c>
      <c r="M151">
        <v>6</v>
      </c>
      <c r="N151">
        <v>10</v>
      </c>
      <c r="O151">
        <v>-4</v>
      </c>
      <c r="P151">
        <v>8</v>
      </c>
      <c r="Q151">
        <v>5</v>
      </c>
      <c r="R151">
        <v>3</v>
      </c>
      <c r="S151">
        <v>9</v>
      </c>
      <c r="T151">
        <v>7</v>
      </c>
      <c r="U151">
        <v>2</v>
      </c>
      <c r="V151">
        <v>5</v>
      </c>
      <c r="W151">
        <v>7</v>
      </c>
      <c r="X151">
        <v>-2</v>
      </c>
      <c r="Y151">
        <v>6</v>
      </c>
      <c r="Z151">
        <v>7</v>
      </c>
      <c r="AA151">
        <v>-1</v>
      </c>
      <c r="AB151">
        <v>4</v>
      </c>
      <c r="AC151">
        <v>7</v>
      </c>
      <c r="AD151">
        <v>-3</v>
      </c>
      <c r="AE151">
        <v>5</v>
      </c>
      <c r="AF151">
        <v>7</v>
      </c>
      <c r="AG151">
        <v>-2</v>
      </c>
      <c r="AH151">
        <v>8</v>
      </c>
      <c r="AI151">
        <v>10</v>
      </c>
      <c r="AJ151">
        <v>-2</v>
      </c>
      <c r="AK151" t="s">
        <v>1540</v>
      </c>
      <c r="AL151" t="s">
        <v>1541</v>
      </c>
      <c r="AM151" t="s">
        <v>1542</v>
      </c>
      <c r="AN151" t="s">
        <v>1543</v>
      </c>
      <c r="AO151" t="s">
        <v>1544</v>
      </c>
      <c r="AP151" t="s">
        <v>1545</v>
      </c>
      <c r="AQ151" t="s">
        <v>1546</v>
      </c>
      <c r="AR151" t="s">
        <v>1547</v>
      </c>
      <c r="AS151" t="s">
        <v>1548</v>
      </c>
    </row>
    <row r="152" spans="1:45" x14ac:dyDescent="0.45">
      <c r="A152">
        <v>151</v>
      </c>
      <c r="B152">
        <v>192</v>
      </c>
      <c r="C152" t="s">
        <v>72</v>
      </c>
      <c r="D152" t="s">
        <v>73</v>
      </c>
      <c r="E152" t="s">
        <v>74</v>
      </c>
      <c r="F152" t="s">
        <v>77</v>
      </c>
      <c r="G152" t="s">
        <v>76</v>
      </c>
      <c r="H152">
        <v>90.430353795541563</v>
      </c>
      <c r="I152">
        <v>2</v>
      </c>
      <c r="J152">
        <v>7</v>
      </c>
      <c r="K152">
        <v>8</v>
      </c>
      <c r="L152">
        <v>-1</v>
      </c>
      <c r="M152">
        <v>7</v>
      </c>
      <c r="N152">
        <v>8</v>
      </c>
      <c r="O152">
        <v>-1</v>
      </c>
      <c r="P152">
        <v>8</v>
      </c>
      <c r="Q152">
        <v>8</v>
      </c>
      <c r="R152">
        <v>0</v>
      </c>
      <c r="S152">
        <v>9</v>
      </c>
      <c r="T152">
        <v>8</v>
      </c>
      <c r="U152">
        <v>1</v>
      </c>
      <c r="V152">
        <v>6</v>
      </c>
      <c r="W152">
        <v>8</v>
      </c>
      <c r="X152">
        <v>-2</v>
      </c>
      <c r="Y152">
        <v>7</v>
      </c>
      <c r="Z152">
        <v>8</v>
      </c>
      <c r="AA152">
        <v>-1</v>
      </c>
      <c r="AB152">
        <v>6</v>
      </c>
      <c r="AC152">
        <v>8</v>
      </c>
      <c r="AD152">
        <v>-2</v>
      </c>
      <c r="AE152">
        <v>7</v>
      </c>
      <c r="AF152">
        <v>8</v>
      </c>
      <c r="AG152">
        <v>-1</v>
      </c>
      <c r="AH152">
        <v>8</v>
      </c>
      <c r="AI152">
        <v>8</v>
      </c>
      <c r="AJ152">
        <v>0</v>
      </c>
      <c r="AK152" t="s">
        <v>1549</v>
      </c>
      <c r="AL152" t="s">
        <v>1550</v>
      </c>
      <c r="AM152" t="s">
        <v>1551</v>
      </c>
      <c r="AN152" t="s">
        <v>1552</v>
      </c>
      <c r="AO152" t="s">
        <v>1553</v>
      </c>
      <c r="AP152" t="s">
        <v>1554</v>
      </c>
      <c r="AQ152" t="s">
        <v>1555</v>
      </c>
      <c r="AR152" t="s">
        <v>1556</v>
      </c>
      <c r="AS152" t="s">
        <v>1557</v>
      </c>
    </row>
    <row r="153" spans="1:45" x14ac:dyDescent="0.45">
      <c r="A153">
        <v>152</v>
      </c>
      <c r="B153">
        <v>193</v>
      </c>
      <c r="C153" t="s">
        <v>72</v>
      </c>
      <c r="D153" t="s">
        <v>79</v>
      </c>
      <c r="E153" t="s">
        <v>74</v>
      </c>
      <c r="F153" t="s">
        <v>75</v>
      </c>
      <c r="G153" t="s">
        <v>76</v>
      </c>
      <c r="H153">
        <v>85.686306746119271</v>
      </c>
      <c r="I153">
        <v>2</v>
      </c>
      <c r="J153">
        <v>8</v>
      </c>
      <c r="K153">
        <v>10</v>
      </c>
      <c r="L153">
        <v>-2</v>
      </c>
      <c r="M153">
        <v>7</v>
      </c>
      <c r="N153">
        <v>10</v>
      </c>
      <c r="O153">
        <v>-3</v>
      </c>
      <c r="P153">
        <v>9</v>
      </c>
      <c r="Q153">
        <v>10</v>
      </c>
      <c r="R153">
        <v>-1</v>
      </c>
      <c r="S153">
        <v>8</v>
      </c>
      <c r="T153">
        <v>10</v>
      </c>
      <c r="U153">
        <v>-2</v>
      </c>
      <c r="V153">
        <v>7</v>
      </c>
      <c r="W153">
        <v>10</v>
      </c>
      <c r="X153">
        <v>-3</v>
      </c>
      <c r="Y153">
        <v>8</v>
      </c>
      <c r="Z153">
        <v>10</v>
      </c>
      <c r="AA153">
        <v>-2</v>
      </c>
      <c r="AB153">
        <v>7</v>
      </c>
      <c r="AC153">
        <v>10</v>
      </c>
      <c r="AD153">
        <v>-3</v>
      </c>
      <c r="AE153">
        <v>6</v>
      </c>
      <c r="AF153">
        <v>10</v>
      </c>
      <c r="AG153">
        <v>-4</v>
      </c>
      <c r="AH153">
        <v>8</v>
      </c>
      <c r="AI153">
        <v>10</v>
      </c>
      <c r="AJ153">
        <v>-2</v>
      </c>
      <c r="AK153" t="s">
        <v>1558</v>
      </c>
      <c r="AL153" t="s">
        <v>1559</v>
      </c>
      <c r="AM153" t="s">
        <v>1560</v>
      </c>
      <c r="AN153" t="s">
        <v>1561</v>
      </c>
      <c r="AO153" t="s">
        <v>1562</v>
      </c>
      <c r="AP153" t="s">
        <v>1563</v>
      </c>
      <c r="AQ153" t="s">
        <v>1564</v>
      </c>
      <c r="AR153" t="s">
        <v>1565</v>
      </c>
      <c r="AS153" t="s">
        <v>1566</v>
      </c>
    </row>
    <row r="154" spans="1:45" x14ac:dyDescent="0.45">
      <c r="A154">
        <v>153</v>
      </c>
      <c r="B154">
        <v>194</v>
      </c>
      <c r="C154" t="s">
        <v>78</v>
      </c>
      <c r="D154" t="s">
        <v>73</v>
      </c>
      <c r="E154" t="s">
        <v>74</v>
      </c>
      <c r="F154" t="s">
        <v>77</v>
      </c>
      <c r="G154" t="s">
        <v>76</v>
      </c>
      <c r="H154">
        <v>12</v>
      </c>
      <c r="I154">
        <v>1</v>
      </c>
      <c r="J154">
        <v>6</v>
      </c>
      <c r="K154">
        <v>7</v>
      </c>
      <c r="L154">
        <v>-1</v>
      </c>
      <c r="M154">
        <v>8</v>
      </c>
      <c r="N154">
        <v>7</v>
      </c>
      <c r="O154">
        <v>1</v>
      </c>
      <c r="P154">
        <v>7</v>
      </c>
      <c r="Q154">
        <v>5</v>
      </c>
      <c r="R154">
        <v>2</v>
      </c>
      <c r="S154">
        <v>5</v>
      </c>
      <c r="T154">
        <v>7</v>
      </c>
      <c r="U154">
        <v>-2</v>
      </c>
      <c r="V154">
        <v>4</v>
      </c>
      <c r="W154">
        <v>7</v>
      </c>
      <c r="X154">
        <v>-3</v>
      </c>
      <c r="Y154">
        <v>6</v>
      </c>
      <c r="Z154">
        <v>7</v>
      </c>
      <c r="AA154">
        <v>-1</v>
      </c>
      <c r="AB154">
        <v>7</v>
      </c>
      <c r="AC154">
        <v>7</v>
      </c>
      <c r="AD154">
        <v>0</v>
      </c>
      <c r="AE154">
        <v>5</v>
      </c>
      <c r="AF154">
        <v>7</v>
      </c>
      <c r="AG154">
        <v>-2</v>
      </c>
      <c r="AH154">
        <v>3</v>
      </c>
      <c r="AI154">
        <v>7</v>
      </c>
      <c r="AJ154">
        <v>-4</v>
      </c>
      <c r="AK154" t="s">
        <v>1567</v>
      </c>
      <c r="AL154" t="s">
        <v>1568</v>
      </c>
      <c r="AM154" t="s">
        <v>1569</v>
      </c>
      <c r="AN154" t="s">
        <v>1570</v>
      </c>
      <c r="AO154" t="s">
        <v>1571</v>
      </c>
      <c r="AP154" t="s">
        <v>1572</v>
      </c>
      <c r="AQ154" t="s">
        <v>1573</v>
      </c>
      <c r="AR154" t="s">
        <v>1574</v>
      </c>
      <c r="AS154" t="s">
        <v>1575</v>
      </c>
    </row>
    <row r="155" spans="1:45" x14ac:dyDescent="0.45">
      <c r="A155">
        <v>154</v>
      </c>
      <c r="B155">
        <v>195</v>
      </c>
      <c r="C155" t="s">
        <v>72</v>
      </c>
      <c r="D155" t="s">
        <v>81</v>
      </c>
      <c r="E155" t="s">
        <v>74</v>
      </c>
      <c r="F155" t="s">
        <v>77</v>
      </c>
      <c r="G155" t="s">
        <v>76</v>
      </c>
      <c r="H155">
        <v>12</v>
      </c>
      <c r="I155">
        <v>2</v>
      </c>
      <c r="J155">
        <v>7</v>
      </c>
      <c r="K155">
        <v>7</v>
      </c>
      <c r="L155">
        <v>0</v>
      </c>
      <c r="M155">
        <v>6</v>
      </c>
      <c r="N155">
        <v>8</v>
      </c>
      <c r="O155">
        <v>-2</v>
      </c>
      <c r="P155">
        <v>8</v>
      </c>
      <c r="Q155">
        <v>8</v>
      </c>
      <c r="R155">
        <v>0</v>
      </c>
      <c r="S155">
        <v>9</v>
      </c>
      <c r="T155">
        <v>8</v>
      </c>
      <c r="U155">
        <v>1</v>
      </c>
      <c r="V155">
        <v>8</v>
      </c>
      <c r="W155">
        <v>6</v>
      </c>
      <c r="X155">
        <v>2</v>
      </c>
      <c r="Y155">
        <v>7</v>
      </c>
      <c r="Z155">
        <v>8</v>
      </c>
      <c r="AA155">
        <v>-1</v>
      </c>
      <c r="AB155">
        <v>8</v>
      </c>
      <c r="AC155">
        <v>5</v>
      </c>
      <c r="AD155">
        <v>3</v>
      </c>
      <c r="AE155">
        <v>6</v>
      </c>
      <c r="AF155">
        <v>8</v>
      </c>
      <c r="AG155">
        <v>-2</v>
      </c>
      <c r="AH155">
        <v>8</v>
      </c>
      <c r="AI155">
        <v>8</v>
      </c>
      <c r="AJ155">
        <v>0</v>
      </c>
      <c r="AK155" t="s">
        <v>1576</v>
      </c>
      <c r="AL155" t="s">
        <v>1577</v>
      </c>
      <c r="AM155" t="s">
        <v>1578</v>
      </c>
      <c r="AN155" t="s">
        <v>1579</v>
      </c>
      <c r="AO155" t="s">
        <v>1580</v>
      </c>
      <c r="AP155" t="s">
        <v>1581</v>
      </c>
      <c r="AQ155" t="s">
        <v>1582</v>
      </c>
      <c r="AR155" t="s">
        <v>1583</v>
      </c>
      <c r="AS155" t="s">
        <v>1584</v>
      </c>
    </row>
    <row r="156" spans="1:45" x14ac:dyDescent="0.45">
      <c r="A156">
        <v>155</v>
      </c>
      <c r="B156">
        <v>196</v>
      </c>
      <c r="C156" t="s">
        <v>72</v>
      </c>
      <c r="D156" t="s">
        <v>73</v>
      </c>
      <c r="E156" t="s">
        <v>74</v>
      </c>
      <c r="F156" t="s">
        <v>75</v>
      </c>
      <c r="G156" t="s">
        <v>76</v>
      </c>
      <c r="H156">
        <v>66.522883777596462</v>
      </c>
      <c r="I156">
        <v>1</v>
      </c>
      <c r="J156">
        <v>7</v>
      </c>
      <c r="K156">
        <v>10</v>
      </c>
      <c r="L156">
        <v>-3</v>
      </c>
      <c r="M156">
        <v>8</v>
      </c>
      <c r="N156">
        <v>10</v>
      </c>
      <c r="O156">
        <v>-2</v>
      </c>
      <c r="P156">
        <v>6</v>
      </c>
      <c r="Q156">
        <v>10</v>
      </c>
      <c r="R156">
        <v>-4</v>
      </c>
      <c r="S156">
        <v>7</v>
      </c>
      <c r="T156">
        <v>10</v>
      </c>
      <c r="U156">
        <v>-3</v>
      </c>
      <c r="V156">
        <v>8</v>
      </c>
      <c r="W156">
        <v>10</v>
      </c>
      <c r="X156">
        <v>-2</v>
      </c>
      <c r="Y156">
        <v>7</v>
      </c>
      <c r="Z156">
        <v>10</v>
      </c>
      <c r="AA156">
        <v>-3</v>
      </c>
      <c r="AB156">
        <v>6</v>
      </c>
      <c r="AC156">
        <v>10</v>
      </c>
      <c r="AD156">
        <v>-4</v>
      </c>
      <c r="AE156">
        <v>7</v>
      </c>
      <c r="AF156">
        <v>10</v>
      </c>
      <c r="AG156">
        <v>-3</v>
      </c>
      <c r="AH156">
        <v>8</v>
      </c>
      <c r="AI156">
        <v>10</v>
      </c>
      <c r="AJ156">
        <v>-2</v>
      </c>
      <c r="AK156" t="s">
        <v>1585</v>
      </c>
      <c r="AL156" t="s">
        <v>1586</v>
      </c>
      <c r="AM156" t="s">
        <v>1587</v>
      </c>
      <c r="AN156" t="s">
        <v>1588</v>
      </c>
      <c r="AO156" t="s">
        <v>1589</v>
      </c>
      <c r="AP156" t="s">
        <v>1590</v>
      </c>
      <c r="AQ156" t="s">
        <v>1591</v>
      </c>
      <c r="AR156" t="s">
        <v>1592</v>
      </c>
      <c r="AS156" t="s">
        <v>1593</v>
      </c>
    </row>
    <row r="157" spans="1:45" x14ac:dyDescent="0.45">
      <c r="A157">
        <v>156</v>
      </c>
      <c r="B157">
        <v>197</v>
      </c>
      <c r="C157" t="s">
        <v>72</v>
      </c>
      <c r="D157" t="s">
        <v>73</v>
      </c>
      <c r="E157" t="s">
        <v>74</v>
      </c>
      <c r="F157" t="s">
        <v>75</v>
      </c>
      <c r="G157" t="s">
        <v>76</v>
      </c>
      <c r="H157">
        <v>30.476529106377374</v>
      </c>
      <c r="I157">
        <v>1</v>
      </c>
      <c r="J157">
        <v>5</v>
      </c>
      <c r="K157">
        <v>10</v>
      </c>
      <c r="L157">
        <v>-5</v>
      </c>
      <c r="M157">
        <v>6</v>
      </c>
      <c r="N157">
        <v>10</v>
      </c>
      <c r="O157">
        <v>-4</v>
      </c>
      <c r="P157">
        <v>8</v>
      </c>
      <c r="Q157">
        <v>10</v>
      </c>
      <c r="R157">
        <v>-2</v>
      </c>
      <c r="S157">
        <v>9</v>
      </c>
      <c r="T157">
        <v>10</v>
      </c>
      <c r="U157">
        <v>-1</v>
      </c>
      <c r="V157">
        <v>7</v>
      </c>
      <c r="W157">
        <v>10</v>
      </c>
      <c r="X157">
        <v>-3</v>
      </c>
      <c r="Y157">
        <v>8</v>
      </c>
      <c r="Z157">
        <v>10</v>
      </c>
      <c r="AA157">
        <v>-2</v>
      </c>
      <c r="AB157">
        <v>7</v>
      </c>
      <c r="AC157">
        <v>10</v>
      </c>
      <c r="AD157">
        <v>-3</v>
      </c>
      <c r="AE157">
        <v>6</v>
      </c>
      <c r="AF157">
        <v>10</v>
      </c>
      <c r="AG157">
        <v>-4</v>
      </c>
      <c r="AH157">
        <v>7</v>
      </c>
      <c r="AI157">
        <v>10</v>
      </c>
      <c r="AJ157">
        <v>-3</v>
      </c>
      <c r="AK157" t="s">
        <v>1594</v>
      </c>
      <c r="AL157" t="s">
        <v>1595</v>
      </c>
      <c r="AM157" t="s">
        <v>1596</v>
      </c>
      <c r="AN157" t="s">
        <v>1597</v>
      </c>
      <c r="AO157" t="s">
        <v>1598</v>
      </c>
      <c r="AP157" t="s">
        <v>1599</v>
      </c>
      <c r="AQ157" t="s">
        <v>1600</v>
      </c>
      <c r="AR157" t="s">
        <v>1601</v>
      </c>
      <c r="AS157" t="s">
        <v>1602</v>
      </c>
    </row>
    <row r="158" spans="1:45" x14ac:dyDescent="0.45">
      <c r="A158">
        <v>157</v>
      </c>
      <c r="B158">
        <v>198</v>
      </c>
      <c r="C158" t="s">
        <v>78</v>
      </c>
      <c r="D158" t="s">
        <v>73</v>
      </c>
      <c r="E158" t="s">
        <v>74</v>
      </c>
      <c r="F158" t="s">
        <v>77</v>
      </c>
      <c r="G158" t="s">
        <v>76</v>
      </c>
      <c r="H158">
        <v>94.756164046569822</v>
      </c>
      <c r="I158">
        <v>4</v>
      </c>
      <c r="J158">
        <v>4</v>
      </c>
      <c r="K158">
        <v>10</v>
      </c>
      <c r="L158">
        <v>-6</v>
      </c>
      <c r="M158">
        <v>5</v>
      </c>
      <c r="N158">
        <v>10</v>
      </c>
      <c r="O158">
        <v>-5</v>
      </c>
      <c r="P158">
        <v>7</v>
      </c>
      <c r="Q158">
        <v>1</v>
      </c>
      <c r="R158">
        <v>6</v>
      </c>
      <c r="S158">
        <v>6</v>
      </c>
      <c r="T158">
        <v>10</v>
      </c>
      <c r="U158">
        <v>-4</v>
      </c>
      <c r="V158">
        <v>4</v>
      </c>
      <c r="W158">
        <v>1</v>
      </c>
      <c r="X158">
        <v>3</v>
      </c>
      <c r="Y158">
        <v>5</v>
      </c>
      <c r="Z158">
        <v>1</v>
      </c>
      <c r="AA158">
        <v>4</v>
      </c>
      <c r="AB158">
        <v>4</v>
      </c>
      <c r="AC158">
        <v>1</v>
      </c>
      <c r="AD158">
        <v>3</v>
      </c>
      <c r="AE158">
        <v>5</v>
      </c>
      <c r="AF158">
        <v>1</v>
      </c>
      <c r="AG158">
        <v>4</v>
      </c>
      <c r="AH158">
        <v>6</v>
      </c>
      <c r="AI158">
        <v>6</v>
      </c>
      <c r="AJ158">
        <v>0</v>
      </c>
      <c r="AK158" t="s">
        <v>1603</v>
      </c>
      <c r="AL158" t="s">
        <v>1604</v>
      </c>
      <c r="AM158" t="s">
        <v>224</v>
      </c>
      <c r="AN158" t="s">
        <v>1605</v>
      </c>
      <c r="AO158" t="s">
        <v>1606</v>
      </c>
      <c r="AP158" t="s">
        <v>1607</v>
      </c>
      <c r="AQ158" t="s">
        <v>1608</v>
      </c>
      <c r="AR158" t="s">
        <v>1609</v>
      </c>
      <c r="AS158" t="s">
        <v>1610</v>
      </c>
    </row>
    <row r="159" spans="1:45" x14ac:dyDescent="0.45">
      <c r="A159">
        <v>158</v>
      </c>
      <c r="B159">
        <v>199</v>
      </c>
      <c r="C159" t="s">
        <v>72</v>
      </c>
      <c r="D159" t="s">
        <v>73</v>
      </c>
      <c r="E159" t="s">
        <v>74</v>
      </c>
      <c r="F159" t="s">
        <v>77</v>
      </c>
      <c r="G159" t="s">
        <v>76</v>
      </c>
      <c r="H159">
        <v>90.892097371673231</v>
      </c>
      <c r="I159">
        <v>2</v>
      </c>
      <c r="J159">
        <v>7</v>
      </c>
      <c r="K159">
        <v>7</v>
      </c>
      <c r="L159">
        <v>0</v>
      </c>
      <c r="M159">
        <v>8</v>
      </c>
      <c r="N159">
        <v>8</v>
      </c>
      <c r="O159">
        <v>0</v>
      </c>
      <c r="P159">
        <v>5</v>
      </c>
      <c r="Q159">
        <v>6</v>
      </c>
      <c r="R159">
        <v>-1</v>
      </c>
      <c r="S159">
        <v>6</v>
      </c>
      <c r="T159">
        <v>6</v>
      </c>
      <c r="U159">
        <v>0</v>
      </c>
      <c r="V159">
        <v>7</v>
      </c>
      <c r="W159">
        <v>7</v>
      </c>
      <c r="X159">
        <v>0</v>
      </c>
      <c r="Y159">
        <v>6</v>
      </c>
      <c r="Z159">
        <v>5</v>
      </c>
      <c r="AA159">
        <v>1</v>
      </c>
      <c r="AB159">
        <v>7</v>
      </c>
      <c r="AC159">
        <v>6</v>
      </c>
      <c r="AD159">
        <v>1</v>
      </c>
      <c r="AE159">
        <v>5</v>
      </c>
      <c r="AF159">
        <v>7</v>
      </c>
      <c r="AG159">
        <v>-2</v>
      </c>
      <c r="AH159">
        <v>4</v>
      </c>
      <c r="AI159">
        <v>7</v>
      </c>
      <c r="AJ159">
        <v>-3</v>
      </c>
      <c r="AK159" t="s">
        <v>1611</v>
      </c>
      <c r="AL159" t="s">
        <v>1612</v>
      </c>
      <c r="AM159" t="s">
        <v>1613</v>
      </c>
      <c r="AN159" t="s">
        <v>1614</v>
      </c>
      <c r="AO159" t="s">
        <v>1615</v>
      </c>
      <c r="AP159" t="s">
        <v>1616</v>
      </c>
      <c r="AQ159" t="s">
        <v>1617</v>
      </c>
      <c r="AR159" t="s">
        <v>1618</v>
      </c>
      <c r="AS159" t="s">
        <v>1619</v>
      </c>
    </row>
    <row r="160" spans="1:45" x14ac:dyDescent="0.45">
      <c r="A160">
        <v>159</v>
      </c>
      <c r="B160">
        <v>200</v>
      </c>
      <c r="C160" t="s">
        <v>78</v>
      </c>
      <c r="D160" t="s">
        <v>79</v>
      </c>
      <c r="E160" t="s">
        <v>74</v>
      </c>
      <c r="F160" t="s">
        <v>77</v>
      </c>
      <c r="G160" t="s">
        <v>76</v>
      </c>
      <c r="H160">
        <v>41.702512155187073</v>
      </c>
      <c r="I160">
        <v>0</v>
      </c>
      <c r="J160">
        <v>7</v>
      </c>
      <c r="K160">
        <v>2</v>
      </c>
      <c r="L160">
        <v>5</v>
      </c>
      <c r="M160">
        <v>8</v>
      </c>
      <c r="N160">
        <v>7</v>
      </c>
      <c r="O160">
        <v>1</v>
      </c>
      <c r="P160">
        <v>9</v>
      </c>
      <c r="Q160">
        <v>10</v>
      </c>
      <c r="R160">
        <v>-1</v>
      </c>
      <c r="S160">
        <v>8</v>
      </c>
      <c r="T160">
        <v>2</v>
      </c>
      <c r="U160">
        <v>6</v>
      </c>
      <c r="V160">
        <v>7</v>
      </c>
      <c r="W160">
        <v>10</v>
      </c>
      <c r="X160">
        <v>-3</v>
      </c>
      <c r="Y160">
        <v>6</v>
      </c>
      <c r="Z160">
        <v>5</v>
      </c>
      <c r="AA160">
        <v>1</v>
      </c>
      <c r="AB160">
        <v>7</v>
      </c>
      <c r="AC160">
        <v>10</v>
      </c>
      <c r="AD160">
        <v>-3</v>
      </c>
      <c r="AE160">
        <v>6</v>
      </c>
      <c r="AF160">
        <v>3</v>
      </c>
      <c r="AG160">
        <v>3</v>
      </c>
      <c r="AH160">
        <v>7</v>
      </c>
      <c r="AI160">
        <v>3</v>
      </c>
      <c r="AJ160">
        <v>4</v>
      </c>
      <c r="AK160" t="s">
        <v>1620</v>
      </c>
      <c r="AL160" t="s">
        <v>1621</v>
      </c>
      <c r="AM160" t="s">
        <v>1622</v>
      </c>
      <c r="AN160" t="s">
        <v>1623</v>
      </c>
      <c r="AO160" t="s">
        <v>1624</v>
      </c>
      <c r="AP160" t="s">
        <v>1625</v>
      </c>
      <c r="AQ160" t="s">
        <v>1626</v>
      </c>
      <c r="AR160" t="s">
        <v>1627</v>
      </c>
      <c r="AS160" t="s">
        <v>1628</v>
      </c>
    </row>
    <row r="161" spans="1:45" x14ac:dyDescent="0.45">
      <c r="A161">
        <v>160</v>
      </c>
      <c r="B161">
        <v>201</v>
      </c>
      <c r="C161" t="s">
        <v>72</v>
      </c>
      <c r="D161" t="s">
        <v>73</v>
      </c>
      <c r="E161" t="s">
        <v>74</v>
      </c>
      <c r="F161" t="s">
        <v>75</v>
      </c>
      <c r="G161" t="s">
        <v>76</v>
      </c>
      <c r="H161">
        <v>46.861006173187278</v>
      </c>
      <c r="I161">
        <v>0</v>
      </c>
      <c r="J161">
        <v>8</v>
      </c>
      <c r="K161">
        <v>9</v>
      </c>
      <c r="L161">
        <v>-1</v>
      </c>
      <c r="M161">
        <v>9</v>
      </c>
      <c r="N161">
        <v>9</v>
      </c>
      <c r="O161">
        <v>0</v>
      </c>
      <c r="P161">
        <v>7</v>
      </c>
      <c r="Q161">
        <v>10</v>
      </c>
      <c r="R161">
        <v>-3</v>
      </c>
      <c r="S161">
        <v>9</v>
      </c>
      <c r="T161">
        <v>2</v>
      </c>
      <c r="U161">
        <v>7</v>
      </c>
      <c r="V161">
        <v>8</v>
      </c>
      <c r="W161">
        <v>9</v>
      </c>
      <c r="X161">
        <v>-1</v>
      </c>
      <c r="Y161">
        <v>7</v>
      </c>
      <c r="Z161">
        <v>9</v>
      </c>
      <c r="AA161">
        <v>-2</v>
      </c>
      <c r="AB161">
        <v>8</v>
      </c>
      <c r="AC161">
        <v>6</v>
      </c>
      <c r="AD161">
        <v>2</v>
      </c>
      <c r="AE161">
        <v>7</v>
      </c>
      <c r="AF161">
        <v>8</v>
      </c>
      <c r="AG161">
        <v>-1</v>
      </c>
      <c r="AH161">
        <v>8</v>
      </c>
      <c r="AI161">
        <v>10</v>
      </c>
      <c r="AJ161">
        <v>-2</v>
      </c>
      <c r="AK161" t="s">
        <v>1629</v>
      </c>
      <c r="AL161" t="s">
        <v>1630</v>
      </c>
      <c r="AM161" t="s">
        <v>1631</v>
      </c>
      <c r="AN161" t="s">
        <v>1632</v>
      </c>
      <c r="AO161" t="s">
        <v>1633</v>
      </c>
      <c r="AP161" t="s">
        <v>1634</v>
      </c>
      <c r="AQ161" t="s">
        <v>1635</v>
      </c>
      <c r="AR161" t="s">
        <v>1636</v>
      </c>
      <c r="AS161" t="s">
        <v>1637</v>
      </c>
    </row>
    <row r="162" spans="1:45" x14ac:dyDescent="0.45">
      <c r="A162">
        <v>161</v>
      </c>
      <c r="B162">
        <v>202</v>
      </c>
      <c r="C162" t="s">
        <v>72</v>
      </c>
      <c r="D162" t="s">
        <v>73</v>
      </c>
      <c r="E162" t="s">
        <v>74</v>
      </c>
      <c r="F162" t="s">
        <v>77</v>
      </c>
      <c r="G162" t="s">
        <v>76</v>
      </c>
      <c r="H162">
        <v>13.731437499618712</v>
      </c>
      <c r="I162">
        <v>0</v>
      </c>
      <c r="J162">
        <v>8</v>
      </c>
      <c r="K162">
        <v>7</v>
      </c>
      <c r="L162">
        <v>1</v>
      </c>
      <c r="M162">
        <v>7</v>
      </c>
      <c r="N162">
        <v>5</v>
      </c>
      <c r="O162">
        <v>2</v>
      </c>
      <c r="P162">
        <v>6</v>
      </c>
      <c r="Q162">
        <v>7</v>
      </c>
      <c r="R162">
        <v>-1</v>
      </c>
      <c r="S162">
        <v>8</v>
      </c>
      <c r="T162">
        <v>5</v>
      </c>
      <c r="U162">
        <v>3</v>
      </c>
      <c r="V162">
        <v>7</v>
      </c>
      <c r="W162">
        <v>3</v>
      </c>
      <c r="X162">
        <v>4</v>
      </c>
      <c r="Y162">
        <v>6</v>
      </c>
      <c r="Z162">
        <v>4</v>
      </c>
      <c r="AA162">
        <v>2</v>
      </c>
      <c r="AB162">
        <v>7</v>
      </c>
      <c r="AC162">
        <v>1</v>
      </c>
      <c r="AD162">
        <v>6</v>
      </c>
      <c r="AE162">
        <v>6</v>
      </c>
      <c r="AF162">
        <v>5</v>
      </c>
      <c r="AG162">
        <v>1</v>
      </c>
      <c r="AH162">
        <v>7</v>
      </c>
      <c r="AI162">
        <v>5</v>
      </c>
      <c r="AJ162">
        <v>2</v>
      </c>
      <c r="AK162" t="s">
        <v>1638</v>
      </c>
      <c r="AL162" t="s">
        <v>1639</v>
      </c>
      <c r="AM162" t="s">
        <v>1640</v>
      </c>
      <c r="AN162" t="s">
        <v>1641</v>
      </c>
      <c r="AO162" t="s">
        <v>1642</v>
      </c>
      <c r="AP162" t="s">
        <v>1643</v>
      </c>
      <c r="AQ162" t="s">
        <v>1644</v>
      </c>
      <c r="AR162" t="s">
        <v>1645</v>
      </c>
      <c r="AS162" t="s">
        <v>1646</v>
      </c>
    </row>
    <row r="163" spans="1:45" x14ac:dyDescent="0.45">
      <c r="A163">
        <v>162</v>
      </c>
      <c r="B163">
        <v>203</v>
      </c>
      <c r="C163" t="s">
        <v>72</v>
      </c>
      <c r="D163" t="s">
        <v>81</v>
      </c>
      <c r="E163" t="s">
        <v>74</v>
      </c>
      <c r="F163" t="s">
        <v>77</v>
      </c>
      <c r="G163" t="s">
        <v>76</v>
      </c>
      <c r="H163">
        <v>12</v>
      </c>
      <c r="I163">
        <v>0</v>
      </c>
      <c r="J163">
        <v>8</v>
      </c>
      <c r="K163">
        <v>3</v>
      </c>
      <c r="L163">
        <v>5</v>
      </c>
      <c r="M163">
        <v>8</v>
      </c>
      <c r="N163">
        <v>8</v>
      </c>
      <c r="O163">
        <v>0</v>
      </c>
      <c r="P163">
        <v>9</v>
      </c>
      <c r="Q163">
        <v>4</v>
      </c>
      <c r="R163">
        <v>5</v>
      </c>
      <c r="S163">
        <v>9</v>
      </c>
      <c r="T163">
        <v>5</v>
      </c>
      <c r="U163">
        <v>4</v>
      </c>
      <c r="V163">
        <v>8</v>
      </c>
      <c r="W163">
        <v>5</v>
      </c>
      <c r="X163">
        <v>3</v>
      </c>
      <c r="Y163">
        <v>9</v>
      </c>
      <c r="Z163">
        <v>5</v>
      </c>
      <c r="AA163">
        <v>4</v>
      </c>
      <c r="AB163">
        <v>8</v>
      </c>
      <c r="AC163">
        <v>5</v>
      </c>
      <c r="AD163">
        <v>3</v>
      </c>
      <c r="AE163">
        <v>8</v>
      </c>
      <c r="AF163">
        <v>5</v>
      </c>
      <c r="AG163">
        <v>3</v>
      </c>
      <c r="AH163">
        <v>9</v>
      </c>
      <c r="AI163">
        <v>5</v>
      </c>
      <c r="AJ163">
        <v>4</v>
      </c>
      <c r="AK163" t="s">
        <v>1647</v>
      </c>
      <c r="AL163" t="s">
        <v>1648</v>
      </c>
      <c r="AM163" t="s">
        <v>1649</v>
      </c>
      <c r="AN163" t="s">
        <v>1650</v>
      </c>
      <c r="AO163" t="s">
        <v>1651</v>
      </c>
      <c r="AP163" t="s">
        <v>1652</v>
      </c>
      <c r="AQ163" t="s">
        <v>1653</v>
      </c>
      <c r="AR163" t="s">
        <v>1654</v>
      </c>
      <c r="AS163" t="s">
        <v>1655</v>
      </c>
    </row>
    <row r="164" spans="1:45" x14ac:dyDescent="0.45">
      <c r="A164">
        <v>163</v>
      </c>
      <c r="B164">
        <v>204</v>
      </c>
      <c r="C164" t="s">
        <v>72</v>
      </c>
      <c r="D164" t="s">
        <v>81</v>
      </c>
      <c r="E164" t="s">
        <v>74</v>
      </c>
      <c r="F164" t="s">
        <v>77</v>
      </c>
      <c r="G164" t="s">
        <v>76</v>
      </c>
      <c r="H164">
        <v>14.682175463695915</v>
      </c>
      <c r="I164">
        <v>0</v>
      </c>
      <c r="J164">
        <v>5</v>
      </c>
      <c r="K164">
        <v>10</v>
      </c>
      <c r="L164">
        <v>-5</v>
      </c>
      <c r="M164">
        <v>8</v>
      </c>
      <c r="N164">
        <v>10</v>
      </c>
      <c r="O164">
        <v>-2</v>
      </c>
      <c r="P164">
        <v>9</v>
      </c>
      <c r="Q164">
        <v>10</v>
      </c>
      <c r="R164">
        <v>-1</v>
      </c>
      <c r="S164">
        <v>8</v>
      </c>
      <c r="T164">
        <v>10</v>
      </c>
      <c r="U164">
        <v>-2</v>
      </c>
      <c r="V164">
        <v>7</v>
      </c>
      <c r="W164">
        <v>10</v>
      </c>
      <c r="X164">
        <v>-3</v>
      </c>
      <c r="Y164">
        <v>4</v>
      </c>
      <c r="Z164">
        <v>10</v>
      </c>
      <c r="AA164">
        <v>-6</v>
      </c>
      <c r="AB164">
        <v>6</v>
      </c>
      <c r="AC164">
        <v>10</v>
      </c>
      <c r="AD164">
        <v>-4</v>
      </c>
      <c r="AE164">
        <v>5</v>
      </c>
      <c r="AF164">
        <v>10</v>
      </c>
      <c r="AG164">
        <v>-5</v>
      </c>
      <c r="AH164">
        <v>6</v>
      </c>
      <c r="AI164">
        <v>10</v>
      </c>
      <c r="AJ164">
        <v>-4</v>
      </c>
      <c r="AK164" t="s">
        <v>1656</v>
      </c>
      <c r="AL164" t="s">
        <v>1657</v>
      </c>
      <c r="AM164" t="s">
        <v>1658</v>
      </c>
      <c r="AN164" t="s">
        <v>1659</v>
      </c>
      <c r="AO164" t="s">
        <v>1660</v>
      </c>
      <c r="AP164" t="s">
        <v>1661</v>
      </c>
      <c r="AQ164" t="s">
        <v>1662</v>
      </c>
      <c r="AR164" t="s">
        <v>1663</v>
      </c>
      <c r="AS164" t="s">
        <v>1664</v>
      </c>
    </row>
    <row r="165" spans="1:45" x14ac:dyDescent="0.45">
      <c r="A165">
        <v>164</v>
      </c>
      <c r="B165">
        <v>205</v>
      </c>
      <c r="C165" t="s">
        <v>72</v>
      </c>
      <c r="D165" t="s">
        <v>79</v>
      </c>
      <c r="E165" t="s">
        <v>74</v>
      </c>
      <c r="F165" t="s">
        <v>77</v>
      </c>
      <c r="G165" t="s">
        <v>76</v>
      </c>
      <c r="H165">
        <v>45.622784226454456</v>
      </c>
      <c r="I165">
        <v>2</v>
      </c>
      <c r="J165">
        <v>8</v>
      </c>
      <c r="K165">
        <v>8</v>
      </c>
      <c r="L165">
        <v>0</v>
      </c>
      <c r="M165">
        <v>9</v>
      </c>
      <c r="N165">
        <v>9</v>
      </c>
      <c r="O165">
        <v>0</v>
      </c>
      <c r="P165">
        <v>8</v>
      </c>
      <c r="Q165">
        <v>9</v>
      </c>
      <c r="R165">
        <v>-1</v>
      </c>
      <c r="S165">
        <v>7</v>
      </c>
      <c r="T165">
        <v>9</v>
      </c>
      <c r="U165">
        <v>-2</v>
      </c>
      <c r="V165">
        <v>8</v>
      </c>
      <c r="W165">
        <v>5</v>
      </c>
      <c r="X165">
        <v>3</v>
      </c>
      <c r="Y165">
        <v>7</v>
      </c>
      <c r="Z165">
        <v>7</v>
      </c>
      <c r="AA165">
        <v>0</v>
      </c>
      <c r="AB165">
        <v>8</v>
      </c>
      <c r="AC165">
        <v>5</v>
      </c>
      <c r="AD165">
        <v>3</v>
      </c>
      <c r="AE165">
        <v>6</v>
      </c>
      <c r="AF165">
        <v>7</v>
      </c>
      <c r="AG165">
        <v>-1</v>
      </c>
      <c r="AH165">
        <v>7</v>
      </c>
      <c r="AI165">
        <v>7</v>
      </c>
      <c r="AJ165">
        <v>0</v>
      </c>
      <c r="AK165" t="s">
        <v>1665</v>
      </c>
      <c r="AL165" t="s">
        <v>1666</v>
      </c>
      <c r="AM165" t="s">
        <v>1667</v>
      </c>
      <c r="AN165" t="s">
        <v>1668</v>
      </c>
      <c r="AO165" t="s">
        <v>1669</v>
      </c>
      <c r="AP165" t="s">
        <v>1670</v>
      </c>
      <c r="AQ165" t="s">
        <v>1671</v>
      </c>
      <c r="AR165" t="s">
        <v>1672</v>
      </c>
      <c r="AS165" t="s">
        <v>1673</v>
      </c>
    </row>
    <row r="166" spans="1:45" x14ac:dyDescent="0.45">
      <c r="A166">
        <v>165</v>
      </c>
      <c r="B166">
        <v>206</v>
      </c>
      <c r="C166" t="s">
        <v>72</v>
      </c>
      <c r="D166" t="s">
        <v>73</v>
      </c>
      <c r="E166" t="s">
        <v>74</v>
      </c>
      <c r="F166" t="s">
        <v>75</v>
      </c>
      <c r="G166" t="s">
        <v>76</v>
      </c>
      <c r="H166">
        <v>44.93014113512691</v>
      </c>
      <c r="I166">
        <v>0</v>
      </c>
      <c r="J166">
        <v>8</v>
      </c>
      <c r="K166">
        <v>5</v>
      </c>
      <c r="L166">
        <v>3</v>
      </c>
      <c r="M166">
        <v>7</v>
      </c>
      <c r="N166">
        <v>5</v>
      </c>
      <c r="O166">
        <v>2</v>
      </c>
      <c r="P166">
        <v>9</v>
      </c>
      <c r="Q166">
        <v>6</v>
      </c>
      <c r="R166">
        <v>3</v>
      </c>
      <c r="S166">
        <v>8</v>
      </c>
      <c r="T166">
        <v>6</v>
      </c>
      <c r="U166">
        <v>2</v>
      </c>
      <c r="V166">
        <v>7</v>
      </c>
      <c r="W166">
        <v>6</v>
      </c>
      <c r="X166">
        <v>1</v>
      </c>
      <c r="Y166">
        <v>6</v>
      </c>
      <c r="Z166">
        <v>6</v>
      </c>
      <c r="AA166">
        <v>0</v>
      </c>
      <c r="AB166">
        <v>5</v>
      </c>
      <c r="AC166">
        <v>5</v>
      </c>
      <c r="AD166">
        <v>0</v>
      </c>
      <c r="AE166">
        <v>6</v>
      </c>
      <c r="AF166">
        <v>7</v>
      </c>
      <c r="AG166">
        <v>-1</v>
      </c>
      <c r="AH166">
        <v>7</v>
      </c>
      <c r="AI166">
        <v>8</v>
      </c>
      <c r="AJ166">
        <v>-1</v>
      </c>
      <c r="AK166" t="s">
        <v>1674</v>
      </c>
      <c r="AL166" t="s">
        <v>1675</v>
      </c>
      <c r="AM166" t="s">
        <v>1676</v>
      </c>
      <c r="AN166" t="s">
        <v>1677</v>
      </c>
      <c r="AO166" t="s">
        <v>1678</v>
      </c>
      <c r="AP166" t="s">
        <v>1679</v>
      </c>
      <c r="AQ166" t="s">
        <v>1680</v>
      </c>
      <c r="AR166" t="s">
        <v>1681</v>
      </c>
      <c r="AS166" t="s">
        <v>1682</v>
      </c>
    </row>
    <row r="167" spans="1:45" x14ac:dyDescent="0.45">
      <c r="A167">
        <v>166</v>
      </c>
      <c r="B167">
        <v>207</v>
      </c>
      <c r="C167" t="s">
        <v>72</v>
      </c>
      <c r="D167" t="s">
        <v>73</v>
      </c>
      <c r="E167" t="s">
        <v>74</v>
      </c>
      <c r="F167" t="s">
        <v>75</v>
      </c>
      <c r="G167" t="s">
        <v>76</v>
      </c>
      <c r="H167">
        <v>36.1438490062949</v>
      </c>
      <c r="I167">
        <v>1</v>
      </c>
      <c r="J167">
        <v>8</v>
      </c>
      <c r="K167">
        <v>10</v>
      </c>
      <c r="L167">
        <v>-2</v>
      </c>
      <c r="M167">
        <v>7</v>
      </c>
      <c r="N167">
        <v>8</v>
      </c>
      <c r="O167">
        <v>-1</v>
      </c>
      <c r="P167">
        <v>8</v>
      </c>
      <c r="Q167">
        <v>10</v>
      </c>
      <c r="R167">
        <v>-2</v>
      </c>
      <c r="S167">
        <v>8</v>
      </c>
      <c r="T167">
        <v>10</v>
      </c>
      <c r="U167">
        <v>-2</v>
      </c>
      <c r="V167">
        <v>7</v>
      </c>
      <c r="W167">
        <v>10</v>
      </c>
      <c r="X167">
        <v>-3</v>
      </c>
      <c r="Y167">
        <v>7</v>
      </c>
      <c r="Z167">
        <v>10</v>
      </c>
      <c r="AA167">
        <v>-3</v>
      </c>
      <c r="AB167">
        <v>7</v>
      </c>
      <c r="AC167">
        <v>10</v>
      </c>
      <c r="AD167">
        <v>-3</v>
      </c>
      <c r="AE167">
        <v>7</v>
      </c>
      <c r="AF167">
        <v>10</v>
      </c>
      <c r="AG167">
        <v>-3</v>
      </c>
      <c r="AH167">
        <v>7</v>
      </c>
      <c r="AI167">
        <v>8</v>
      </c>
      <c r="AJ167">
        <v>-1</v>
      </c>
      <c r="AK167" t="s">
        <v>1683</v>
      </c>
      <c r="AL167" t="s">
        <v>1684</v>
      </c>
      <c r="AM167" t="s">
        <v>1685</v>
      </c>
      <c r="AN167" t="s">
        <v>1685</v>
      </c>
      <c r="AO167" t="s">
        <v>1686</v>
      </c>
      <c r="AP167" t="s">
        <v>1686</v>
      </c>
      <c r="AQ167" t="s">
        <v>1687</v>
      </c>
      <c r="AR167" t="s">
        <v>1688</v>
      </c>
      <c r="AS167" t="s">
        <v>1688</v>
      </c>
    </row>
    <row r="168" spans="1:45" x14ac:dyDescent="0.45">
      <c r="A168">
        <v>167</v>
      </c>
      <c r="B168">
        <v>208</v>
      </c>
      <c r="C168" t="s">
        <v>78</v>
      </c>
      <c r="D168" t="s">
        <v>73</v>
      </c>
      <c r="E168" t="s">
        <v>74</v>
      </c>
      <c r="F168" t="s">
        <v>75</v>
      </c>
      <c r="G168" t="s">
        <v>76</v>
      </c>
      <c r="H168">
        <v>99.580887159011382</v>
      </c>
      <c r="I168">
        <v>0</v>
      </c>
      <c r="J168">
        <v>7</v>
      </c>
      <c r="K168">
        <v>5</v>
      </c>
      <c r="L168">
        <v>2</v>
      </c>
      <c r="M168">
        <v>8</v>
      </c>
      <c r="N168">
        <v>8</v>
      </c>
      <c r="O168">
        <v>0</v>
      </c>
      <c r="P168">
        <v>6</v>
      </c>
      <c r="Q168">
        <v>5</v>
      </c>
      <c r="R168">
        <v>1</v>
      </c>
      <c r="S168">
        <v>7</v>
      </c>
      <c r="T168">
        <v>8</v>
      </c>
      <c r="U168">
        <v>-1</v>
      </c>
      <c r="V168">
        <v>6</v>
      </c>
      <c r="W168">
        <v>4</v>
      </c>
      <c r="X168">
        <v>2</v>
      </c>
      <c r="Y168">
        <v>7</v>
      </c>
      <c r="Z168">
        <v>5</v>
      </c>
      <c r="AA168">
        <v>2</v>
      </c>
      <c r="AB168">
        <v>6</v>
      </c>
      <c r="AC168">
        <v>1</v>
      </c>
      <c r="AD168">
        <v>5</v>
      </c>
      <c r="AE168">
        <v>5</v>
      </c>
      <c r="AF168">
        <v>5</v>
      </c>
      <c r="AG168">
        <v>0</v>
      </c>
      <c r="AH168">
        <v>6</v>
      </c>
      <c r="AI168">
        <v>5</v>
      </c>
      <c r="AJ168">
        <v>1</v>
      </c>
      <c r="AK168" t="s">
        <v>1689</v>
      </c>
      <c r="AL168" t="s">
        <v>1690</v>
      </c>
      <c r="AM168" t="s">
        <v>1691</v>
      </c>
      <c r="AN168" t="s">
        <v>1692</v>
      </c>
      <c r="AO168" t="s">
        <v>1693</v>
      </c>
      <c r="AP168" t="s">
        <v>1694</v>
      </c>
      <c r="AQ168" t="s">
        <v>1695</v>
      </c>
      <c r="AR168" t="s">
        <v>1696</v>
      </c>
      <c r="AS168" t="s">
        <v>1697</v>
      </c>
    </row>
    <row r="169" spans="1:45" x14ac:dyDescent="0.45">
      <c r="A169">
        <v>168</v>
      </c>
      <c r="B169">
        <v>209</v>
      </c>
      <c r="C169" t="s">
        <v>72</v>
      </c>
      <c r="D169" t="s">
        <v>81</v>
      </c>
      <c r="E169" t="s">
        <v>74</v>
      </c>
      <c r="F169" t="s">
        <v>77</v>
      </c>
      <c r="G169" t="s">
        <v>76</v>
      </c>
      <c r="H169">
        <v>19.140179993306731</v>
      </c>
      <c r="I169">
        <v>0</v>
      </c>
      <c r="J169">
        <v>7</v>
      </c>
      <c r="K169">
        <v>7</v>
      </c>
      <c r="L169">
        <v>0</v>
      </c>
      <c r="M169">
        <v>8</v>
      </c>
      <c r="N169">
        <v>7</v>
      </c>
      <c r="O169">
        <v>1</v>
      </c>
      <c r="P169">
        <v>6</v>
      </c>
      <c r="Q169">
        <v>8</v>
      </c>
      <c r="R169">
        <v>-2</v>
      </c>
      <c r="S169">
        <v>9</v>
      </c>
      <c r="T169">
        <v>8</v>
      </c>
      <c r="U169">
        <v>1</v>
      </c>
      <c r="V169">
        <v>7</v>
      </c>
      <c r="W169">
        <v>7</v>
      </c>
      <c r="X169">
        <v>0</v>
      </c>
      <c r="Y169">
        <v>6</v>
      </c>
      <c r="Z169">
        <v>8</v>
      </c>
      <c r="AA169">
        <v>-2</v>
      </c>
      <c r="AB169">
        <v>7</v>
      </c>
      <c r="AC169">
        <v>8</v>
      </c>
      <c r="AD169">
        <v>-1</v>
      </c>
      <c r="AE169">
        <v>5</v>
      </c>
      <c r="AF169">
        <v>8</v>
      </c>
      <c r="AG169">
        <v>-3</v>
      </c>
      <c r="AH169">
        <v>6</v>
      </c>
      <c r="AI169">
        <v>9</v>
      </c>
      <c r="AJ169">
        <v>-3</v>
      </c>
      <c r="AK169" t="s">
        <v>1698</v>
      </c>
      <c r="AL169" t="s">
        <v>1699</v>
      </c>
      <c r="AM169" t="s">
        <v>1700</v>
      </c>
      <c r="AN169" t="s">
        <v>1701</v>
      </c>
      <c r="AO169" t="s">
        <v>1702</v>
      </c>
      <c r="AP169" t="s">
        <v>1703</v>
      </c>
      <c r="AQ169" t="s">
        <v>1704</v>
      </c>
      <c r="AR169" t="s">
        <v>1705</v>
      </c>
      <c r="AS169" t="s">
        <v>1706</v>
      </c>
    </row>
    <row r="170" spans="1:45" x14ac:dyDescent="0.45">
      <c r="A170">
        <v>169</v>
      </c>
      <c r="B170">
        <v>210</v>
      </c>
      <c r="C170" t="s">
        <v>78</v>
      </c>
      <c r="D170" t="s">
        <v>79</v>
      </c>
      <c r="E170" t="s">
        <v>74</v>
      </c>
      <c r="F170" t="s">
        <v>77</v>
      </c>
      <c r="G170" t="s">
        <v>76</v>
      </c>
      <c r="H170">
        <v>42.828185819331544</v>
      </c>
      <c r="I170">
        <v>0</v>
      </c>
      <c r="J170">
        <v>8</v>
      </c>
      <c r="K170">
        <v>8</v>
      </c>
      <c r="L170">
        <v>0</v>
      </c>
      <c r="M170">
        <v>9</v>
      </c>
      <c r="N170">
        <v>8</v>
      </c>
      <c r="O170">
        <v>1</v>
      </c>
      <c r="P170">
        <v>8</v>
      </c>
      <c r="Q170">
        <v>7</v>
      </c>
      <c r="R170">
        <v>1</v>
      </c>
      <c r="S170">
        <v>7</v>
      </c>
      <c r="T170">
        <v>8</v>
      </c>
      <c r="U170">
        <v>-1</v>
      </c>
      <c r="V170">
        <v>6</v>
      </c>
      <c r="W170">
        <v>7</v>
      </c>
      <c r="X170">
        <v>-1</v>
      </c>
      <c r="Y170">
        <v>7</v>
      </c>
      <c r="Z170">
        <v>7</v>
      </c>
      <c r="AA170">
        <v>0</v>
      </c>
      <c r="AB170">
        <v>8</v>
      </c>
      <c r="AC170">
        <v>7</v>
      </c>
      <c r="AD170">
        <v>1</v>
      </c>
      <c r="AE170">
        <v>5</v>
      </c>
      <c r="AF170">
        <v>8</v>
      </c>
      <c r="AG170">
        <v>-3</v>
      </c>
      <c r="AH170">
        <v>7</v>
      </c>
      <c r="AI170">
        <v>8</v>
      </c>
      <c r="AJ170">
        <v>-1</v>
      </c>
      <c r="AK170" t="s">
        <v>1707</v>
      </c>
      <c r="AL170" t="s">
        <v>1708</v>
      </c>
      <c r="AM170" t="s">
        <v>1709</v>
      </c>
      <c r="AN170" t="s">
        <v>1710</v>
      </c>
      <c r="AO170" t="s">
        <v>1711</v>
      </c>
      <c r="AP170" t="s">
        <v>1712</v>
      </c>
      <c r="AQ170" t="s">
        <v>1713</v>
      </c>
      <c r="AR170" t="s">
        <v>1714</v>
      </c>
      <c r="AS170" t="s">
        <v>1715</v>
      </c>
    </row>
    <row r="171" spans="1:45" x14ac:dyDescent="0.45">
      <c r="A171">
        <v>170</v>
      </c>
      <c r="B171">
        <v>211</v>
      </c>
      <c r="C171" t="s">
        <v>78</v>
      </c>
      <c r="D171" t="s">
        <v>81</v>
      </c>
      <c r="E171" t="s">
        <v>74</v>
      </c>
      <c r="F171" t="s">
        <v>77</v>
      </c>
      <c r="G171" t="s">
        <v>161</v>
      </c>
      <c r="H171">
        <v>14.233554275192937</v>
      </c>
      <c r="I171">
        <v>0</v>
      </c>
      <c r="J171">
        <v>7</v>
      </c>
      <c r="K171">
        <v>5</v>
      </c>
      <c r="L171">
        <v>2</v>
      </c>
      <c r="M171">
        <v>8</v>
      </c>
      <c r="N171">
        <v>8</v>
      </c>
      <c r="O171">
        <v>0</v>
      </c>
      <c r="P171">
        <v>9</v>
      </c>
      <c r="Q171">
        <v>7</v>
      </c>
      <c r="R171">
        <v>2</v>
      </c>
      <c r="S171">
        <v>8</v>
      </c>
      <c r="T171">
        <v>8</v>
      </c>
      <c r="U171">
        <v>0</v>
      </c>
      <c r="V171">
        <v>7</v>
      </c>
      <c r="W171">
        <v>1</v>
      </c>
      <c r="X171">
        <v>6</v>
      </c>
      <c r="Y171">
        <v>8</v>
      </c>
      <c r="Z171">
        <v>2</v>
      </c>
      <c r="AA171">
        <v>6</v>
      </c>
      <c r="AB171">
        <v>6</v>
      </c>
      <c r="AC171">
        <v>3</v>
      </c>
      <c r="AD171">
        <v>3</v>
      </c>
      <c r="AE171">
        <v>5</v>
      </c>
      <c r="AF171">
        <v>3</v>
      </c>
      <c r="AG171">
        <v>2</v>
      </c>
      <c r="AH171">
        <v>7</v>
      </c>
      <c r="AI171">
        <v>7</v>
      </c>
      <c r="AJ171">
        <v>0</v>
      </c>
      <c r="AK171" t="s">
        <v>1716</v>
      </c>
      <c r="AL171" t="s">
        <v>1717</v>
      </c>
      <c r="AM171" t="s">
        <v>1718</v>
      </c>
      <c r="AN171" t="s">
        <v>1719</v>
      </c>
      <c r="AO171" t="s">
        <v>1720</v>
      </c>
      <c r="AP171" t="s">
        <v>1721</v>
      </c>
      <c r="AQ171" t="s">
        <v>1722</v>
      </c>
      <c r="AR171" t="s">
        <v>1723</v>
      </c>
      <c r="AS171" t="s">
        <v>1724</v>
      </c>
    </row>
    <row r="172" spans="1:45" x14ac:dyDescent="0.45">
      <c r="A172">
        <v>171</v>
      </c>
      <c r="B172">
        <v>212</v>
      </c>
      <c r="C172" t="s">
        <v>78</v>
      </c>
      <c r="D172" t="s">
        <v>188</v>
      </c>
      <c r="E172" t="s">
        <v>74</v>
      </c>
      <c r="F172" t="s">
        <v>77</v>
      </c>
      <c r="G172" t="s">
        <v>76</v>
      </c>
      <c r="H172">
        <v>12</v>
      </c>
      <c r="I172">
        <v>0</v>
      </c>
      <c r="J172">
        <v>8</v>
      </c>
      <c r="K172">
        <v>6</v>
      </c>
      <c r="L172">
        <v>2</v>
      </c>
      <c r="M172">
        <v>7</v>
      </c>
      <c r="N172">
        <v>7</v>
      </c>
      <c r="O172">
        <v>0</v>
      </c>
      <c r="P172">
        <v>9</v>
      </c>
      <c r="Q172">
        <v>5</v>
      </c>
      <c r="R172">
        <v>4</v>
      </c>
      <c r="S172">
        <v>8</v>
      </c>
      <c r="T172">
        <v>7</v>
      </c>
      <c r="U172">
        <v>1</v>
      </c>
      <c r="V172">
        <v>7</v>
      </c>
      <c r="W172">
        <v>7</v>
      </c>
      <c r="X172">
        <v>0</v>
      </c>
      <c r="Y172">
        <v>6</v>
      </c>
      <c r="Z172">
        <v>7</v>
      </c>
      <c r="AA172">
        <v>-1</v>
      </c>
      <c r="AB172">
        <v>5</v>
      </c>
      <c r="AC172">
        <v>5</v>
      </c>
      <c r="AD172">
        <v>0</v>
      </c>
      <c r="AE172">
        <v>6</v>
      </c>
      <c r="AF172">
        <v>7</v>
      </c>
      <c r="AG172">
        <v>-1</v>
      </c>
      <c r="AH172">
        <v>7</v>
      </c>
      <c r="AI172">
        <v>7</v>
      </c>
      <c r="AJ172">
        <v>0</v>
      </c>
      <c r="AK172" t="s">
        <v>1725</v>
      </c>
      <c r="AL172" t="s">
        <v>1726</v>
      </c>
      <c r="AM172" t="s">
        <v>1727</v>
      </c>
      <c r="AN172" t="s">
        <v>1728</v>
      </c>
      <c r="AO172" t="s">
        <v>1729</v>
      </c>
      <c r="AP172" t="s">
        <v>1730</v>
      </c>
      <c r="AQ172" t="s">
        <v>1731</v>
      </c>
      <c r="AR172" t="s">
        <v>1732</v>
      </c>
      <c r="AS172" t="s">
        <v>1733</v>
      </c>
    </row>
    <row r="173" spans="1:45" x14ac:dyDescent="0.45">
      <c r="A173">
        <v>172</v>
      </c>
      <c r="B173">
        <v>213</v>
      </c>
      <c r="C173" t="s">
        <v>78</v>
      </c>
      <c r="D173" t="s">
        <v>190</v>
      </c>
      <c r="E173" t="s">
        <v>74</v>
      </c>
      <c r="F173" t="s">
        <v>75</v>
      </c>
      <c r="G173" t="s">
        <v>76</v>
      </c>
      <c r="H173">
        <v>198.32738044433546</v>
      </c>
      <c r="I173">
        <v>4</v>
      </c>
      <c r="J173">
        <v>7</v>
      </c>
      <c r="K173">
        <v>8</v>
      </c>
      <c r="L173">
        <v>-1</v>
      </c>
      <c r="M173">
        <v>8</v>
      </c>
      <c r="N173">
        <v>8</v>
      </c>
      <c r="O173">
        <v>0</v>
      </c>
      <c r="P173">
        <v>6</v>
      </c>
      <c r="Q173">
        <v>8</v>
      </c>
      <c r="R173">
        <v>-2</v>
      </c>
      <c r="S173">
        <v>7</v>
      </c>
      <c r="T173">
        <v>9</v>
      </c>
      <c r="U173">
        <v>-2</v>
      </c>
      <c r="V173">
        <v>8</v>
      </c>
      <c r="W173">
        <v>9</v>
      </c>
      <c r="X173">
        <v>-1</v>
      </c>
      <c r="Y173">
        <v>7</v>
      </c>
      <c r="Z173">
        <v>5</v>
      </c>
      <c r="AA173">
        <v>2</v>
      </c>
      <c r="AB173">
        <v>8</v>
      </c>
      <c r="AC173">
        <v>5</v>
      </c>
      <c r="AD173">
        <v>3</v>
      </c>
      <c r="AE173">
        <v>6</v>
      </c>
      <c r="AF173">
        <v>8</v>
      </c>
      <c r="AG173">
        <v>-2</v>
      </c>
      <c r="AH173">
        <v>7</v>
      </c>
      <c r="AI173">
        <v>6</v>
      </c>
      <c r="AJ173">
        <v>1</v>
      </c>
      <c r="AK173" t="s">
        <v>1734</v>
      </c>
      <c r="AL173" t="s">
        <v>1735</v>
      </c>
      <c r="AM173" t="s">
        <v>1736</v>
      </c>
      <c r="AN173" t="s">
        <v>1737</v>
      </c>
      <c r="AO173" t="s">
        <v>1738</v>
      </c>
      <c r="AP173" t="s">
        <v>1739</v>
      </c>
      <c r="AQ173" t="s">
        <v>1740</v>
      </c>
      <c r="AR173" t="s">
        <v>1741</v>
      </c>
      <c r="AS173" t="s">
        <v>1742</v>
      </c>
    </row>
    <row r="174" spans="1:45" x14ac:dyDescent="0.45">
      <c r="A174">
        <v>173</v>
      </c>
      <c r="B174">
        <v>214</v>
      </c>
      <c r="C174" t="s">
        <v>72</v>
      </c>
      <c r="D174" t="s">
        <v>79</v>
      </c>
      <c r="E174" t="s">
        <v>74</v>
      </c>
      <c r="F174" t="s">
        <v>77</v>
      </c>
      <c r="G174" t="s">
        <v>76</v>
      </c>
      <c r="H174">
        <v>72.929672789540959</v>
      </c>
      <c r="I174">
        <v>3</v>
      </c>
      <c r="J174">
        <v>7</v>
      </c>
      <c r="K174">
        <v>5</v>
      </c>
      <c r="L174">
        <v>2</v>
      </c>
      <c r="M174">
        <v>8</v>
      </c>
      <c r="N174">
        <v>5</v>
      </c>
      <c r="O174">
        <v>3</v>
      </c>
      <c r="P174">
        <v>9</v>
      </c>
      <c r="Q174">
        <v>4</v>
      </c>
      <c r="R174">
        <v>5</v>
      </c>
      <c r="S174">
        <v>8</v>
      </c>
      <c r="T174">
        <v>6</v>
      </c>
      <c r="U174">
        <v>2</v>
      </c>
      <c r="V174">
        <v>6</v>
      </c>
      <c r="W174">
        <v>5</v>
      </c>
      <c r="X174">
        <v>1</v>
      </c>
      <c r="Y174">
        <v>9</v>
      </c>
      <c r="Z174">
        <v>4</v>
      </c>
      <c r="AA174">
        <v>5</v>
      </c>
      <c r="AB174">
        <v>8</v>
      </c>
      <c r="AC174">
        <v>4</v>
      </c>
      <c r="AD174">
        <v>4</v>
      </c>
      <c r="AE174">
        <v>7</v>
      </c>
      <c r="AF174">
        <v>5</v>
      </c>
      <c r="AG174">
        <v>2</v>
      </c>
      <c r="AH174">
        <v>8</v>
      </c>
      <c r="AI174">
        <v>5</v>
      </c>
      <c r="AJ174">
        <v>3</v>
      </c>
      <c r="AK174" t="s">
        <v>1743</v>
      </c>
      <c r="AL174" t="s">
        <v>1744</v>
      </c>
      <c r="AM174" t="s">
        <v>1745</v>
      </c>
      <c r="AN174" t="s">
        <v>1746</v>
      </c>
      <c r="AO174" t="s">
        <v>1747</v>
      </c>
      <c r="AP174" t="s">
        <v>1748</v>
      </c>
      <c r="AQ174" t="s">
        <v>1749</v>
      </c>
      <c r="AR174" t="s">
        <v>1750</v>
      </c>
      <c r="AS174" t="s">
        <v>1751</v>
      </c>
    </row>
    <row r="175" spans="1:45" x14ac:dyDescent="0.45">
      <c r="A175">
        <v>174</v>
      </c>
      <c r="B175">
        <v>215</v>
      </c>
      <c r="C175" t="s">
        <v>72</v>
      </c>
      <c r="D175" t="s">
        <v>81</v>
      </c>
      <c r="E175" t="s">
        <v>74</v>
      </c>
      <c r="F175" t="s">
        <v>77</v>
      </c>
      <c r="G175" t="s">
        <v>76</v>
      </c>
      <c r="H175">
        <v>45.664379973896395</v>
      </c>
      <c r="I175">
        <v>1</v>
      </c>
      <c r="J175">
        <v>7</v>
      </c>
      <c r="K175">
        <v>6</v>
      </c>
      <c r="L175">
        <v>1</v>
      </c>
      <c r="M175">
        <v>6</v>
      </c>
      <c r="N175">
        <v>6</v>
      </c>
      <c r="O175">
        <v>0</v>
      </c>
      <c r="P175">
        <v>8</v>
      </c>
      <c r="Q175">
        <v>6</v>
      </c>
      <c r="R175">
        <v>2</v>
      </c>
      <c r="S175">
        <v>7</v>
      </c>
      <c r="T175">
        <v>6</v>
      </c>
      <c r="U175">
        <v>1</v>
      </c>
      <c r="V175">
        <v>8</v>
      </c>
      <c r="W175">
        <v>7</v>
      </c>
      <c r="X175">
        <v>1</v>
      </c>
      <c r="Y175">
        <v>6</v>
      </c>
      <c r="Z175">
        <v>7</v>
      </c>
      <c r="AA175">
        <v>-1</v>
      </c>
      <c r="AB175">
        <v>7</v>
      </c>
      <c r="AC175">
        <v>5</v>
      </c>
      <c r="AD175">
        <v>2</v>
      </c>
      <c r="AE175">
        <v>5</v>
      </c>
      <c r="AF175">
        <v>7</v>
      </c>
      <c r="AG175">
        <v>-2</v>
      </c>
      <c r="AH175">
        <v>8</v>
      </c>
      <c r="AI175">
        <v>6</v>
      </c>
      <c r="AJ175">
        <v>2</v>
      </c>
      <c r="AK175" t="s">
        <v>1752</v>
      </c>
      <c r="AL175" t="s">
        <v>1753</v>
      </c>
      <c r="AM175" t="s">
        <v>1754</v>
      </c>
      <c r="AN175" t="s">
        <v>1755</v>
      </c>
      <c r="AO175" t="s">
        <v>1756</v>
      </c>
      <c r="AP175" t="s">
        <v>1757</v>
      </c>
      <c r="AQ175" t="s">
        <v>1758</v>
      </c>
      <c r="AR175" t="s">
        <v>1759</v>
      </c>
      <c r="AS175" t="s">
        <v>1760</v>
      </c>
    </row>
    <row r="176" spans="1:45" x14ac:dyDescent="0.45">
      <c r="A176">
        <v>175</v>
      </c>
      <c r="B176">
        <v>216</v>
      </c>
      <c r="C176" t="s">
        <v>72</v>
      </c>
      <c r="D176" t="s">
        <v>190</v>
      </c>
      <c r="E176" t="s">
        <v>74</v>
      </c>
      <c r="F176" t="s">
        <v>75</v>
      </c>
      <c r="G176" t="s">
        <v>76</v>
      </c>
      <c r="H176">
        <v>238.12110653264278</v>
      </c>
      <c r="I176">
        <v>3</v>
      </c>
      <c r="J176">
        <v>6</v>
      </c>
      <c r="K176">
        <v>4</v>
      </c>
      <c r="L176">
        <v>2</v>
      </c>
      <c r="M176">
        <v>5</v>
      </c>
      <c r="N176">
        <v>5</v>
      </c>
      <c r="O176">
        <v>0</v>
      </c>
      <c r="P176">
        <v>8</v>
      </c>
      <c r="Q176">
        <v>4</v>
      </c>
      <c r="R176">
        <v>4</v>
      </c>
      <c r="S176">
        <v>7</v>
      </c>
      <c r="T176">
        <v>6</v>
      </c>
      <c r="U176">
        <v>1</v>
      </c>
      <c r="V176">
        <v>6</v>
      </c>
      <c r="W176">
        <v>4</v>
      </c>
      <c r="X176">
        <v>2</v>
      </c>
      <c r="Y176">
        <v>5</v>
      </c>
      <c r="Z176">
        <v>4</v>
      </c>
      <c r="AA176">
        <v>1</v>
      </c>
      <c r="AB176">
        <v>6</v>
      </c>
      <c r="AC176">
        <v>4</v>
      </c>
      <c r="AD176">
        <v>2</v>
      </c>
      <c r="AE176">
        <v>4</v>
      </c>
      <c r="AF176">
        <v>5</v>
      </c>
      <c r="AG176">
        <v>-1</v>
      </c>
      <c r="AH176">
        <v>5</v>
      </c>
      <c r="AI176">
        <v>4</v>
      </c>
      <c r="AJ176">
        <v>1</v>
      </c>
      <c r="AK176" t="s">
        <v>1761</v>
      </c>
      <c r="AL176" t="s">
        <v>1762</v>
      </c>
      <c r="AM176" t="s">
        <v>1763</v>
      </c>
      <c r="AN176" t="s">
        <v>1764</v>
      </c>
      <c r="AO176" t="s">
        <v>1765</v>
      </c>
      <c r="AP176" t="s">
        <v>1766</v>
      </c>
      <c r="AQ176" t="s">
        <v>1767</v>
      </c>
      <c r="AR176" t="s">
        <v>1768</v>
      </c>
      <c r="AS176" t="s">
        <v>1769</v>
      </c>
    </row>
    <row r="177" spans="1:45" x14ac:dyDescent="0.45">
      <c r="A177">
        <v>176</v>
      </c>
      <c r="B177">
        <v>217</v>
      </c>
      <c r="C177" t="s">
        <v>72</v>
      </c>
      <c r="D177" t="s">
        <v>192</v>
      </c>
      <c r="E177" t="s">
        <v>80</v>
      </c>
      <c r="F177" t="s">
        <v>75</v>
      </c>
      <c r="G177" t="s">
        <v>76</v>
      </c>
      <c r="H177">
        <v>229.06959643527281</v>
      </c>
      <c r="I177">
        <v>0</v>
      </c>
      <c r="J177">
        <v>8</v>
      </c>
      <c r="K177">
        <v>2</v>
      </c>
      <c r="L177">
        <v>6</v>
      </c>
      <c r="M177">
        <v>7</v>
      </c>
      <c r="N177">
        <v>4</v>
      </c>
      <c r="O177">
        <v>3</v>
      </c>
      <c r="P177">
        <v>6</v>
      </c>
      <c r="Q177">
        <v>3</v>
      </c>
      <c r="R177">
        <v>3</v>
      </c>
      <c r="S177">
        <v>7</v>
      </c>
      <c r="T177">
        <v>5</v>
      </c>
      <c r="U177">
        <v>2</v>
      </c>
      <c r="V177">
        <v>6</v>
      </c>
      <c r="W177">
        <v>4</v>
      </c>
      <c r="X177">
        <v>2</v>
      </c>
      <c r="Y177">
        <v>7</v>
      </c>
      <c r="Z177">
        <v>1</v>
      </c>
      <c r="AA177">
        <v>6</v>
      </c>
      <c r="AB177">
        <v>6</v>
      </c>
      <c r="AC177">
        <v>1</v>
      </c>
      <c r="AD177">
        <v>5</v>
      </c>
      <c r="AE177">
        <v>5</v>
      </c>
      <c r="AF177">
        <v>4</v>
      </c>
      <c r="AG177">
        <v>1</v>
      </c>
      <c r="AH177">
        <v>7</v>
      </c>
      <c r="AI177">
        <v>4</v>
      </c>
      <c r="AJ177">
        <v>3</v>
      </c>
      <c r="AK177" t="s">
        <v>1770</v>
      </c>
      <c r="AL177" t="s">
        <v>1771</v>
      </c>
      <c r="AM177" t="s">
        <v>1772</v>
      </c>
      <c r="AN177" t="s">
        <v>1773</v>
      </c>
      <c r="AO177" t="s">
        <v>1774</v>
      </c>
      <c r="AP177" t="s">
        <v>1775</v>
      </c>
      <c r="AQ177" t="s">
        <v>1776</v>
      </c>
      <c r="AR177" t="s">
        <v>1777</v>
      </c>
      <c r="AS177" t="s">
        <v>1778</v>
      </c>
    </row>
    <row r="178" spans="1:45" x14ac:dyDescent="0.45">
      <c r="A178">
        <v>177</v>
      </c>
      <c r="B178">
        <v>218</v>
      </c>
      <c r="C178" t="s">
        <v>72</v>
      </c>
      <c r="D178" t="s">
        <v>190</v>
      </c>
      <c r="E178" t="s">
        <v>74</v>
      </c>
      <c r="F178" t="s">
        <v>75</v>
      </c>
      <c r="G178" t="s">
        <v>76</v>
      </c>
      <c r="H178">
        <v>100.39531150742083</v>
      </c>
      <c r="I178">
        <v>2</v>
      </c>
      <c r="J178">
        <v>8</v>
      </c>
      <c r="K178">
        <v>4</v>
      </c>
      <c r="L178">
        <v>4</v>
      </c>
      <c r="M178">
        <v>9</v>
      </c>
      <c r="N178">
        <v>4</v>
      </c>
      <c r="O178">
        <v>5</v>
      </c>
      <c r="P178">
        <v>7</v>
      </c>
      <c r="Q178">
        <v>3</v>
      </c>
      <c r="R178">
        <v>4</v>
      </c>
      <c r="S178">
        <v>8</v>
      </c>
      <c r="T178">
        <v>5</v>
      </c>
      <c r="U178">
        <v>3</v>
      </c>
      <c r="V178">
        <v>7</v>
      </c>
      <c r="W178">
        <v>3</v>
      </c>
      <c r="X178">
        <v>4</v>
      </c>
      <c r="Y178">
        <v>8</v>
      </c>
      <c r="Z178">
        <v>2</v>
      </c>
      <c r="AA178">
        <v>6</v>
      </c>
      <c r="AB178">
        <v>7</v>
      </c>
      <c r="AC178">
        <v>1</v>
      </c>
      <c r="AD178">
        <v>6</v>
      </c>
      <c r="AE178">
        <v>8</v>
      </c>
      <c r="AF178">
        <v>1</v>
      </c>
      <c r="AG178">
        <v>7</v>
      </c>
      <c r="AH178">
        <v>7</v>
      </c>
      <c r="AI178">
        <v>1</v>
      </c>
      <c r="AJ178">
        <v>6</v>
      </c>
      <c r="AK178" t="s">
        <v>1779</v>
      </c>
      <c r="AL178" t="s">
        <v>1780</v>
      </c>
      <c r="AM178" t="s">
        <v>1781</v>
      </c>
      <c r="AN178" t="s">
        <v>1782</v>
      </c>
      <c r="AO178" t="s">
        <v>1783</v>
      </c>
      <c r="AP178" t="s">
        <v>1784</v>
      </c>
      <c r="AQ178" t="s">
        <v>1785</v>
      </c>
      <c r="AR178" t="s">
        <v>1786</v>
      </c>
      <c r="AS178" t="s">
        <v>1787</v>
      </c>
    </row>
    <row r="179" spans="1:45" x14ac:dyDescent="0.45">
      <c r="A179">
        <v>178</v>
      </c>
      <c r="B179">
        <v>219</v>
      </c>
      <c r="C179" t="s">
        <v>72</v>
      </c>
      <c r="D179" t="s">
        <v>192</v>
      </c>
      <c r="E179" t="s">
        <v>74</v>
      </c>
      <c r="F179" t="s">
        <v>77</v>
      </c>
      <c r="G179" t="s">
        <v>76</v>
      </c>
      <c r="H179">
        <v>42.321397568852575</v>
      </c>
      <c r="I179">
        <v>4</v>
      </c>
      <c r="J179">
        <v>8</v>
      </c>
      <c r="K179">
        <v>6</v>
      </c>
      <c r="L179">
        <v>2</v>
      </c>
      <c r="M179">
        <v>7</v>
      </c>
      <c r="N179">
        <v>7</v>
      </c>
      <c r="O179">
        <v>0</v>
      </c>
      <c r="P179">
        <v>9</v>
      </c>
      <c r="Q179">
        <v>6</v>
      </c>
      <c r="R179">
        <v>3</v>
      </c>
      <c r="S179">
        <v>8</v>
      </c>
      <c r="T179">
        <v>6</v>
      </c>
      <c r="U179">
        <v>2</v>
      </c>
      <c r="V179">
        <v>8</v>
      </c>
      <c r="W179">
        <v>6</v>
      </c>
      <c r="X179">
        <v>2</v>
      </c>
      <c r="Y179">
        <v>6</v>
      </c>
      <c r="Z179">
        <v>7</v>
      </c>
      <c r="AA179">
        <v>-1</v>
      </c>
      <c r="AB179">
        <v>7</v>
      </c>
      <c r="AC179">
        <v>5</v>
      </c>
      <c r="AD179">
        <v>2</v>
      </c>
      <c r="AE179">
        <v>5</v>
      </c>
      <c r="AF179">
        <v>6</v>
      </c>
      <c r="AG179">
        <v>-1</v>
      </c>
      <c r="AH179">
        <v>7</v>
      </c>
      <c r="AI179">
        <v>7</v>
      </c>
      <c r="AJ179">
        <v>0</v>
      </c>
      <c r="AK179" t="s">
        <v>1788</v>
      </c>
      <c r="AL179" t="s">
        <v>1789</v>
      </c>
      <c r="AM179" t="s">
        <v>1790</v>
      </c>
      <c r="AN179" t="s">
        <v>1791</v>
      </c>
      <c r="AO179" t="s">
        <v>1792</v>
      </c>
      <c r="AP179" t="s">
        <v>1793</v>
      </c>
      <c r="AQ179" t="s">
        <v>1794</v>
      </c>
      <c r="AR179" t="s">
        <v>1795</v>
      </c>
      <c r="AS179" t="s">
        <v>1796</v>
      </c>
    </row>
    <row r="180" spans="1:45" x14ac:dyDescent="0.45">
      <c r="A180">
        <v>179</v>
      </c>
      <c r="B180">
        <v>220</v>
      </c>
      <c r="C180" t="s">
        <v>72</v>
      </c>
      <c r="D180" t="s">
        <v>73</v>
      </c>
      <c r="E180" t="s">
        <v>74</v>
      </c>
      <c r="F180" t="s">
        <v>75</v>
      </c>
      <c r="G180" t="s">
        <v>76</v>
      </c>
      <c r="H180">
        <v>30.125137604380956</v>
      </c>
      <c r="I180">
        <v>1</v>
      </c>
      <c r="J180">
        <v>6</v>
      </c>
      <c r="K180">
        <v>7</v>
      </c>
      <c r="L180">
        <v>-1</v>
      </c>
      <c r="M180">
        <v>5</v>
      </c>
      <c r="N180">
        <v>7</v>
      </c>
      <c r="O180">
        <v>-2</v>
      </c>
      <c r="P180">
        <v>7</v>
      </c>
      <c r="Q180">
        <v>7</v>
      </c>
      <c r="R180">
        <v>0</v>
      </c>
      <c r="S180">
        <v>8</v>
      </c>
      <c r="T180">
        <v>8</v>
      </c>
      <c r="U180">
        <v>0</v>
      </c>
      <c r="V180">
        <v>7</v>
      </c>
      <c r="W180">
        <v>7</v>
      </c>
      <c r="X180">
        <v>0</v>
      </c>
      <c r="Y180">
        <v>6</v>
      </c>
      <c r="Z180">
        <v>8</v>
      </c>
      <c r="AA180">
        <v>-2</v>
      </c>
      <c r="AB180">
        <v>7</v>
      </c>
      <c r="AC180">
        <v>7</v>
      </c>
      <c r="AD180">
        <v>0</v>
      </c>
      <c r="AE180">
        <v>5</v>
      </c>
      <c r="AF180">
        <v>7</v>
      </c>
      <c r="AG180">
        <v>-2</v>
      </c>
      <c r="AH180">
        <v>6</v>
      </c>
      <c r="AI180">
        <v>8</v>
      </c>
      <c r="AJ180">
        <v>-2</v>
      </c>
      <c r="AK180" t="s">
        <v>1797</v>
      </c>
      <c r="AL180" t="s">
        <v>1798</v>
      </c>
      <c r="AM180" t="s">
        <v>1799</v>
      </c>
      <c r="AN180" t="s">
        <v>1800</v>
      </c>
      <c r="AO180" t="s">
        <v>1801</v>
      </c>
      <c r="AP180" t="s">
        <v>1802</v>
      </c>
      <c r="AQ180" t="s">
        <v>1803</v>
      </c>
      <c r="AR180" t="s">
        <v>1804</v>
      </c>
      <c r="AS180" t="s">
        <v>1805</v>
      </c>
    </row>
    <row r="181" spans="1:45" x14ac:dyDescent="0.45">
      <c r="A181">
        <v>180</v>
      </c>
      <c r="B181">
        <v>221</v>
      </c>
      <c r="C181" t="s">
        <v>72</v>
      </c>
      <c r="D181" t="s">
        <v>79</v>
      </c>
      <c r="E181" t="s">
        <v>74</v>
      </c>
      <c r="F181" t="s">
        <v>77</v>
      </c>
      <c r="G181" t="s">
        <v>76</v>
      </c>
      <c r="H181">
        <v>57.553725956128737</v>
      </c>
      <c r="I181">
        <v>1</v>
      </c>
      <c r="J181">
        <v>7</v>
      </c>
      <c r="K181">
        <v>5</v>
      </c>
      <c r="L181">
        <v>2</v>
      </c>
      <c r="M181">
        <v>8</v>
      </c>
      <c r="N181">
        <v>5</v>
      </c>
      <c r="O181">
        <v>3</v>
      </c>
      <c r="P181">
        <v>9</v>
      </c>
      <c r="Q181">
        <v>5</v>
      </c>
      <c r="R181">
        <v>4</v>
      </c>
      <c r="S181">
        <v>6</v>
      </c>
      <c r="T181">
        <v>7</v>
      </c>
      <c r="U181">
        <v>-1</v>
      </c>
      <c r="V181">
        <v>6</v>
      </c>
      <c r="W181">
        <v>5</v>
      </c>
      <c r="X181">
        <v>1</v>
      </c>
      <c r="Y181">
        <v>6</v>
      </c>
      <c r="Z181">
        <v>6</v>
      </c>
      <c r="AA181">
        <v>0</v>
      </c>
      <c r="AB181">
        <v>6</v>
      </c>
      <c r="AC181">
        <v>5</v>
      </c>
      <c r="AD181">
        <v>1</v>
      </c>
      <c r="AE181">
        <v>5</v>
      </c>
      <c r="AF181">
        <v>7</v>
      </c>
      <c r="AG181">
        <v>-2</v>
      </c>
      <c r="AH181">
        <v>7</v>
      </c>
      <c r="AI181">
        <v>7</v>
      </c>
      <c r="AJ181">
        <v>0</v>
      </c>
      <c r="AK181" t="s">
        <v>1806</v>
      </c>
      <c r="AL181" t="s">
        <v>1807</v>
      </c>
      <c r="AM181" t="s">
        <v>1808</v>
      </c>
      <c r="AN181" t="s">
        <v>1809</v>
      </c>
      <c r="AO181" t="s">
        <v>1810</v>
      </c>
      <c r="AP181" t="s">
        <v>1811</v>
      </c>
      <c r="AQ181" t="s">
        <v>1811</v>
      </c>
      <c r="AR181" t="s">
        <v>1812</v>
      </c>
      <c r="AS181" t="s">
        <v>1813</v>
      </c>
    </row>
    <row r="182" spans="1:45" x14ac:dyDescent="0.45">
      <c r="A182">
        <v>181</v>
      </c>
      <c r="B182">
        <v>222</v>
      </c>
      <c r="C182" t="s">
        <v>72</v>
      </c>
      <c r="D182" t="s">
        <v>73</v>
      </c>
      <c r="E182" t="s">
        <v>74</v>
      </c>
      <c r="F182" t="s">
        <v>75</v>
      </c>
      <c r="G182" t="s">
        <v>76</v>
      </c>
      <c r="H182">
        <v>55.921388157311412</v>
      </c>
      <c r="I182">
        <v>2</v>
      </c>
      <c r="J182">
        <v>7</v>
      </c>
      <c r="K182">
        <v>6</v>
      </c>
      <c r="L182">
        <v>1</v>
      </c>
      <c r="M182">
        <v>6</v>
      </c>
      <c r="N182">
        <v>7</v>
      </c>
      <c r="O182">
        <v>-1</v>
      </c>
      <c r="P182">
        <v>8</v>
      </c>
      <c r="Q182">
        <v>7</v>
      </c>
      <c r="R182">
        <v>1</v>
      </c>
      <c r="S182">
        <v>9</v>
      </c>
      <c r="T182">
        <v>8</v>
      </c>
      <c r="U182">
        <v>1</v>
      </c>
      <c r="V182">
        <v>7</v>
      </c>
      <c r="W182">
        <v>8</v>
      </c>
      <c r="X182">
        <v>-1</v>
      </c>
      <c r="Y182">
        <v>7</v>
      </c>
      <c r="Z182">
        <v>7</v>
      </c>
      <c r="AA182">
        <v>0</v>
      </c>
      <c r="AB182">
        <v>6</v>
      </c>
      <c r="AC182">
        <v>5</v>
      </c>
      <c r="AD182">
        <v>1</v>
      </c>
      <c r="AE182">
        <v>5</v>
      </c>
      <c r="AF182">
        <v>7</v>
      </c>
      <c r="AG182">
        <v>-2</v>
      </c>
      <c r="AH182">
        <v>8</v>
      </c>
      <c r="AI182">
        <v>7</v>
      </c>
      <c r="AJ182">
        <v>1</v>
      </c>
      <c r="AK182" t="s">
        <v>1814</v>
      </c>
      <c r="AL182" t="s">
        <v>1815</v>
      </c>
      <c r="AM182" t="s">
        <v>1816</v>
      </c>
      <c r="AN182" t="s">
        <v>1817</v>
      </c>
      <c r="AO182" t="s">
        <v>1818</v>
      </c>
      <c r="AP182" t="s">
        <v>1819</v>
      </c>
      <c r="AQ182" t="s">
        <v>1820</v>
      </c>
      <c r="AR182" t="s">
        <v>1821</v>
      </c>
      <c r="AS182" t="s">
        <v>1822</v>
      </c>
    </row>
    <row r="183" spans="1:45" x14ac:dyDescent="0.45">
      <c r="A183">
        <v>182</v>
      </c>
      <c r="B183">
        <v>223</v>
      </c>
      <c r="C183" t="s">
        <v>72</v>
      </c>
      <c r="D183" t="s">
        <v>81</v>
      </c>
      <c r="E183" t="s">
        <v>74</v>
      </c>
      <c r="F183" t="s">
        <v>77</v>
      </c>
      <c r="G183" t="s">
        <v>76</v>
      </c>
      <c r="H183">
        <v>30.093899828086208</v>
      </c>
      <c r="I183">
        <v>0</v>
      </c>
      <c r="J183">
        <v>8</v>
      </c>
      <c r="K183">
        <v>8</v>
      </c>
      <c r="L183">
        <v>0</v>
      </c>
      <c r="M183">
        <v>7</v>
      </c>
      <c r="N183">
        <v>8</v>
      </c>
      <c r="O183">
        <v>-1</v>
      </c>
      <c r="P183">
        <v>9</v>
      </c>
      <c r="Q183">
        <v>5</v>
      </c>
      <c r="R183">
        <v>4</v>
      </c>
      <c r="S183">
        <v>8</v>
      </c>
      <c r="T183">
        <v>8</v>
      </c>
      <c r="U183">
        <v>0</v>
      </c>
      <c r="V183">
        <v>7</v>
      </c>
      <c r="W183">
        <v>6</v>
      </c>
      <c r="X183">
        <v>1</v>
      </c>
      <c r="Y183">
        <v>8</v>
      </c>
      <c r="Z183">
        <v>8</v>
      </c>
      <c r="AA183">
        <v>0</v>
      </c>
      <c r="AB183">
        <v>6</v>
      </c>
      <c r="AC183">
        <v>6</v>
      </c>
      <c r="AD183">
        <v>0</v>
      </c>
      <c r="AE183">
        <v>7</v>
      </c>
      <c r="AF183">
        <v>7</v>
      </c>
      <c r="AG183">
        <v>0</v>
      </c>
      <c r="AH183">
        <v>8</v>
      </c>
      <c r="AI183">
        <v>7</v>
      </c>
      <c r="AJ183">
        <v>1</v>
      </c>
      <c r="AK183" t="s">
        <v>1823</v>
      </c>
      <c r="AL183" t="s">
        <v>1824</v>
      </c>
      <c r="AM183" t="s">
        <v>1825</v>
      </c>
      <c r="AN183" t="s">
        <v>1826</v>
      </c>
      <c r="AO183" t="s">
        <v>1827</v>
      </c>
      <c r="AP183" t="s">
        <v>1828</v>
      </c>
      <c r="AQ183" t="s">
        <v>1829</v>
      </c>
      <c r="AR183" t="s">
        <v>1830</v>
      </c>
      <c r="AS183" t="s">
        <v>1831</v>
      </c>
    </row>
    <row r="184" spans="1:45" x14ac:dyDescent="0.45">
      <c r="A184">
        <v>183</v>
      </c>
      <c r="B184">
        <v>224</v>
      </c>
      <c r="C184" t="s">
        <v>78</v>
      </c>
      <c r="D184" t="s">
        <v>192</v>
      </c>
      <c r="E184" t="s">
        <v>74</v>
      </c>
      <c r="F184" t="s">
        <v>75</v>
      </c>
      <c r="G184" t="s">
        <v>76</v>
      </c>
      <c r="H184">
        <v>182.04701246472183</v>
      </c>
      <c r="I184">
        <v>3</v>
      </c>
      <c r="J184">
        <v>7</v>
      </c>
      <c r="K184">
        <v>2</v>
      </c>
      <c r="L184">
        <v>5</v>
      </c>
      <c r="M184">
        <v>8</v>
      </c>
      <c r="N184">
        <v>5</v>
      </c>
      <c r="O184">
        <v>3</v>
      </c>
      <c r="P184">
        <v>6</v>
      </c>
      <c r="Q184">
        <v>3</v>
      </c>
      <c r="R184">
        <v>3</v>
      </c>
      <c r="S184">
        <v>7</v>
      </c>
      <c r="T184">
        <v>5</v>
      </c>
      <c r="U184">
        <v>2</v>
      </c>
      <c r="V184">
        <v>8</v>
      </c>
      <c r="W184">
        <v>3</v>
      </c>
      <c r="X184">
        <v>5</v>
      </c>
      <c r="Y184">
        <v>6</v>
      </c>
      <c r="Z184">
        <v>2</v>
      </c>
      <c r="AA184">
        <v>4</v>
      </c>
      <c r="AB184">
        <v>7</v>
      </c>
      <c r="AC184">
        <v>1</v>
      </c>
      <c r="AD184">
        <v>6</v>
      </c>
      <c r="AE184">
        <v>7</v>
      </c>
      <c r="AF184">
        <v>5</v>
      </c>
      <c r="AG184">
        <v>2</v>
      </c>
      <c r="AH184">
        <v>8</v>
      </c>
      <c r="AI184">
        <v>5</v>
      </c>
      <c r="AJ184">
        <v>3</v>
      </c>
      <c r="AK184" t="s">
        <v>1832</v>
      </c>
      <c r="AL184" t="s">
        <v>1833</v>
      </c>
      <c r="AM184" t="s">
        <v>1834</v>
      </c>
      <c r="AN184" t="s">
        <v>1835</v>
      </c>
      <c r="AO184" t="s">
        <v>1836</v>
      </c>
      <c r="AP184" t="s">
        <v>1837</v>
      </c>
      <c r="AQ184" t="s">
        <v>1838</v>
      </c>
      <c r="AR184" t="s">
        <v>1839</v>
      </c>
      <c r="AS184" t="s">
        <v>1840</v>
      </c>
    </row>
    <row r="185" spans="1:45" x14ac:dyDescent="0.45">
      <c r="A185">
        <v>184</v>
      </c>
      <c r="B185">
        <v>225</v>
      </c>
      <c r="C185" t="s">
        <v>78</v>
      </c>
      <c r="D185" t="s">
        <v>188</v>
      </c>
      <c r="E185" t="s">
        <v>74</v>
      </c>
      <c r="F185" t="s">
        <v>77</v>
      </c>
      <c r="G185" t="s">
        <v>76</v>
      </c>
      <c r="H185">
        <v>15.012643056992911</v>
      </c>
      <c r="I185">
        <v>0</v>
      </c>
      <c r="J185">
        <v>6</v>
      </c>
      <c r="K185">
        <v>6</v>
      </c>
      <c r="L185">
        <v>0</v>
      </c>
      <c r="M185">
        <v>7</v>
      </c>
      <c r="N185">
        <v>6</v>
      </c>
      <c r="O185">
        <v>1</v>
      </c>
      <c r="P185">
        <v>8</v>
      </c>
      <c r="Q185">
        <v>5</v>
      </c>
      <c r="R185">
        <v>3</v>
      </c>
      <c r="S185">
        <v>9</v>
      </c>
      <c r="T185">
        <v>9</v>
      </c>
      <c r="U185">
        <v>0</v>
      </c>
      <c r="V185">
        <v>7</v>
      </c>
      <c r="W185">
        <v>7</v>
      </c>
      <c r="X185">
        <v>0</v>
      </c>
      <c r="Y185">
        <v>8</v>
      </c>
      <c r="Z185">
        <v>8</v>
      </c>
      <c r="AA185">
        <v>0</v>
      </c>
      <c r="AB185">
        <v>7</v>
      </c>
      <c r="AC185">
        <v>5</v>
      </c>
      <c r="AD185">
        <v>2</v>
      </c>
      <c r="AE185">
        <v>9</v>
      </c>
      <c r="AF185">
        <v>7</v>
      </c>
      <c r="AG185">
        <v>2</v>
      </c>
      <c r="AH185">
        <v>8</v>
      </c>
      <c r="AI185">
        <v>7</v>
      </c>
      <c r="AJ185">
        <v>1</v>
      </c>
      <c r="AK185" t="s">
        <v>1841</v>
      </c>
      <c r="AL185" t="s">
        <v>1842</v>
      </c>
      <c r="AM185" t="s">
        <v>1843</v>
      </c>
      <c r="AN185" t="s">
        <v>1844</v>
      </c>
      <c r="AO185" t="s">
        <v>1845</v>
      </c>
      <c r="AP185" t="s">
        <v>1846</v>
      </c>
      <c r="AQ185" t="s">
        <v>1847</v>
      </c>
      <c r="AR185" t="s">
        <v>1848</v>
      </c>
      <c r="AS185" t="s">
        <v>1849</v>
      </c>
    </row>
    <row r="186" spans="1:45" x14ac:dyDescent="0.45">
      <c r="A186">
        <v>185</v>
      </c>
      <c r="B186">
        <v>226</v>
      </c>
      <c r="C186" t="s">
        <v>72</v>
      </c>
      <c r="D186" t="s">
        <v>79</v>
      </c>
      <c r="E186" t="s">
        <v>80</v>
      </c>
      <c r="F186" t="s">
        <v>77</v>
      </c>
      <c r="G186" t="s">
        <v>161</v>
      </c>
      <c r="H186">
        <v>42.080401541989907</v>
      </c>
      <c r="I186">
        <v>3</v>
      </c>
      <c r="J186">
        <v>7</v>
      </c>
      <c r="K186">
        <v>7</v>
      </c>
      <c r="L186">
        <v>0</v>
      </c>
      <c r="M186">
        <v>8</v>
      </c>
      <c r="N186">
        <v>7</v>
      </c>
      <c r="O186">
        <v>1</v>
      </c>
      <c r="P186">
        <v>9</v>
      </c>
      <c r="Q186">
        <v>6</v>
      </c>
      <c r="R186">
        <v>3</v>
      </c>
      <c r="S186">
        <v>8</v>
      </c>
      <c r="T186">
        <v>8</v>
      </c>
      <c r="U186">
        <v>0</v>
      </c>
      <c r="V186">
        <v>7</v>
      </c>
      <c r="W186">
        <v>5</v>
      </c>
      <c r="X186">
        <v>2</v>
      </c>
      <c r="Y186">
        <v>8</v>
      </c>
      <c r="Z186">
        <v>5</v>
      </c>
      <c r="AA186">
        <v>3</v>
      </c>
      <c r="AB186">
        <v>7</v>
      </c>
      <c r="AC186">
        <v>5</v>
      </c>
      <c r="AD186">
        <v>2</v>
      </c>
      <c r="AE186">
        <v>6</v>
      </c>
      <c r="AF186">
        <v>6</v>
      </c>
      <c r="AG186">
        <v>0</v>
      </c>
      <c r="AH186">
        <v>8</v>
      </c>
      <c r="AI186">
        <v>5</v>
      </c>
      <c r="AJ186">
        <v>3</v>
      </c>
      <c r="AK186" t="s">
        <v>1850</v>
      </c>
      <c r="AL186" t="s">
        <v>1851</v>
      </c>
      <c r="AM186" t="s">
        <v>1852</v>
      </c>
      <c r="AN186" t="s">
        <v>1853</v>
      </c>
      <c r="AO186" t="s">
        <v>1854</v>
      </c>
      <c r="AP186" t="s">
        <v>1855</v>
      </c>
      <c r="AQ186" t="s">
        <v>1856</v>
      </c>
      <c r="AR186" t="s">
        <v>1857</v>
      </c>
      <c r="AS186" t="s">
        <v>1858</v>
      </c>
    </row>
    <row r="187" spans="1:45" x14ac:dyDescent="0.45">
      <c r="A187">
        <v>186</v>
      </c>
      <c r="B187">
        <v>227</v>
      </c>
      <c r="C187" t="s">
        <v>72</v>
      </c>
      <c r="D187" t="s">
        <v>192</v>
      </c>
      <c r="E187" t="s">
        <v>74</v>
      </c>
      <c r="F187" t="s">
        <v>77</v>
      </c>
      <c r="G187" t="s">
        <v>161</v>
      </c>
      <c r="H187">
        <v>14.484309154571465</v>
      </c>
      <c r="I187">
        <v>0</v>
      </c>
      <c r="J187">
        <v>6</v>
      </c>
      <c r="K187">
        <v>7</v>
      </c>
      <c r="L187">
        <v>-1</v>
      </c>
      <c r="M187">
        <v>7</v>
      </c>
      <c r="N187">
        <v>7</v>
      </c>
      <c r="O187">
        <v>0</v>
      </c>
      <c r="P187">
        <v>8</v>
      </c>
      <c r="Q187">
        <v>5</v>
      </c>
      <c r="R187">
        <v>3</v>
      </c>
      <c r="S187">
        <v>9</v>
      </c>
      <c r="T187">
        <v>7</v>
      </c>
      <c r="U187">
        <v>2</v>
      </c>
      <c r="V187">
        <v>7</v>
      </c>
      <c r="W187">
        <v>5</v>
      </c>
      <c r="X187">
        <v>2</v>
      </c>
      <c r="Y187">
        <v>8</v>
      </c>
      <c r="Z187">
        <v>5</v>
      </c>
      <c r="AA187">
        <v>3</v>
      </c>
      <c r="AB187">
        <v>6</v>
      </c>
      <c r="AC187">
        <v>5</v>
      </c>
      <c r="AD187">
        <v>1</v>
      </c>
      <c r="AE187">
        <v>7</v>
      </c>
      <c r="AF187">
        <v>5</v>
      </c>
      <c r="AG187">
        <v>2</v>
      </c>
      <c r="AH187">
        <v>8</v>
      </c>
      <c r="AI187">
        <v>6</v>
      </c>
      <c r="AJ187">
        <v>2</v>
      </c>
      <c r="AK187" t="s">
        <v>1859</v>
      </c>
      <c r="AL187" t="s">
        <v>1860</v>
      </c>
      <c r="AM187" t="s">
        <v>1861</v>
      </c>
      <c r="AN187" t="s">
        <v>1862</v>
      </c>
      <c r="AO187" t="s">
        <v>1863</v>
      </c>
      <c r="AP187" t="s">
        <v>1864</v>
      </c>
      <c r="AQ187" t="s">
        <v>1865</v>
      </c>
      <c r="AR187" t="s">
        <v>1866</v>
      </c>
      <c r="AS187" t="s">
        <v>1867</v>
      </c>
    </row>
    <row r="188" spans="1:45" x14ac:dyDescent="0.45">
      <c r="A188">
        <v>187</v>
      </c>
      <c r="B188">
        <v>228</v>
      </c>
      <c r="C188" t="s">
        <v>78</v>
      </c>
      <c r="D188" t="s">
        <v>79</v>
      </c>
      <c r="E188" t="s">
        <v>74</v>
      </c>
      <c r="F188" t="s">
        <v>75</v>
      </c>
      <c r="G188" t="s">
        <v>76</v>
      </c>
      <c r="H188">
        <v>41.921140187625873</v>
      </c>
      <c r="I188">
        <v>2</v>
      </c>
      <c r="J188">
        <v>7</v>
      </c>
      <c r="K188">
        <v>6</v>
      </c>
      <c r="L188">
        <v>1</v>
      </c>
      <c r="M188">
        <v>6</v>
      </c>
      <c r="N188">
        <v>7</v>
      </c>
      <c r="O188">
        <v>-1</v>
      </c>
      <c r="P188">
        <v>8</v>
      </c>
      <c r="Q188">
        <v>6</v>
      </c>
      <c r="R188">
        <v>2</v>
      </c>
      <c r="S188">
        <v>9</v>
      </c>
      <c r="T188">
        <v>7</v>
      </c>
      <c r="U188">
        <v>2</v>
      </c>
      <c r="V188">
        <v>8</v>
      </c>
      <c r="W188">
        <v>6</v>
      </c>
      <c r="X188">
        <v>2</v>
      </c>
      <c r="Y188">
        <v>7</v>
      </c>
      <c r="Z188">
        <v>6</v>
      </c>
      <c r="AA188">
        <v>1</v>
      </c>
      <c r="AB188">
        <v>8</v>
      </c>
      <c r="AC188">
        <v>5</v>
      </c>
      <c r="AD188">
        <v>3</v>
      </c>
      <c r="AE188">
        <v>7</v>
      </c>
      <c r="AF188">
        <v>5</v>
      </c>
      <c r="AG188">
        <v>2</v>
      </c>
      <c r="AH188">
        <v>8</v>
      </c>
      <c r="AI188">
        <v>6</v>
      </c>
      <c r="AJ188">
        <v>2</v>
      </c>
      <c r="AK188" t="s">
        <v>1868</v>
      </c>
      <c r="AL188" t="s">
        <v>1869</v>
      </c>
      <c r="AM188" t="s">
        <v>1870</v>
      </c>
      <c r="AN188" t="s">
        <v>1871</v>
      </c>
      <c r="AO188" t="s">
        <v>1872</v>
      </c>
      <c r="AP188" t="s">
        <v>1873</v>
      </c>
      <c r="AQ188" t="s">
        <v>1874</v>
      </c>
      <c r="AR188" t="s">
        <v>1875</v>
      </c>
      <c r="AS188" t="s">
        <v>1876</v>
      </c>
    </row>
    <row r="189" spans="1:45" x14ac:dyDescent="0.45">
      <c r="A189">
        <v>188</v>
      </c>
      <c r="B189">
        <v>229</v>
      </c>
      <c r="C189" t="s">
        <v>78</v>
      </c>
      <c r="D189" t="s">
        <v>81</v>
      </c>
      <c r="E189" t="s">
        <v>74</v>
      </c>
      <c r="F189" t="s">
        <v>77</v>
      </c>
      <c r="G189" t="s">
        <v>76</v>
      </c>
      <c r="H189">
        <v>30.050396378220924</v>
      </c>
      <c r="I189">
        <v>1</v>
      </c>
      <c r="J189">
        <v>8</v>
      </c>
      <c r="K189">
        <v>5</v>
      </c>
      <c r="L189">
        <v>3</v>
      </c>
      <c r="M189">
        <v>9</v>
      </c>
      <c r="N189">
        <v>5</v>
      </c>
      <c r="O189">
        <v>4</v>
      </c>
      <c r="P189">
        <v>8</v>
      </c>
      <c r="Q189">
        <v>4</v>
      </c>
      <c r="R189">
        <v>4</v>
      </c>
      <c r="S189">
        <v>9</v>
      </c>
      <c r="T189">
        <v>6</v>
      </c>
      <c r="U189">
        <v>3</v>
      </c>
      <c r="V189">
        <v>8</v>
      </c>
      <c r="W189">
        <v>5</v>
      </c>
      <c r="X189">
        <v>3</v>
      </c>
      <c r="Y189">
        <v>9</v>
      </c>
      <c r="Z189">
        <v>5</v>
      </c>
      <c r="AA189">
        <v>4</v>
      </c>
      <c r="AB189">
        <v>8</v>
      </c>
      <c r="AC189">
        <v>5</v>
      </c>
      <c r="AD189">
        <v>3</v>
      </c>
      <c r="AE189">
        <v>7</v>
      </c>
      <c r="AF189">
        <v>5</v>
      </c>
      <c r="AG189">
        <v>2</v>
      </c>
      <c r="AH189">
        <v>8</v>
      </c>
      <c r="AI189">
        <v>5</v>
      </c>
      <c r="AJ189">
        <v>3</v>
      </c>
      <c r="AK189" t="s">
        <v>1877</v>
      </c>
      <c r="AL189" t="s">
        <v>1878</v>
      </c>
      <c r="AM189" t="s">
        <v>1879</v>
      </c>
      <c r="AN189" t="s">
        <v>1880</v>
      </c>
      <c r="AO189" t="s">
        <v>1881</v>
      </c>
      <c r="AP189" t="s">
        <v>1882</v>
      </c>
      <c r="AQ189" t="s">
        <v>1883</v>
      </c>
      <c r="AR189" t="s">
        <v>1884</v>
      </c>
      <c r="AS189" t="s">
        <v>1885</v>
      </c>
    </row>
    <row r="190" spans="1:45" x14ac:dyDescent="0.45">
      <c r="A190">
        <v>189</v>
      </c>
      <c r="B190">
        <v>230</v>
      </c>
      <c r="C190" t="s">
        <v>78</v>
      </c>
      <c r="D190" t="s">
        <v>79</v>
      </c>
      <c r="E190" t="s">
        <v>74</v>
      </c>
      <c r="F190" t="s">
        <v>77</v>
      </c>
      <c r="G190" t="s">
        <v>76</v>
      </c>
      <c r="H190">
        <v>48.173458996346668</v>
      </c>
      <c r="I190">
        <v>2</v>
      </c>
      <c r="J190">
        <v>7</v>
      </c>
      <c r="K190">
        <v>8</v>
      </c>
      <c r="L190">
        <v>-1</v>
      </c>
      <c r="M190">
        <v>8</v>
      </c>
      <c r="N190">
        <v>8</v>
      </c>
      <c r="O190">
        <v>0</v>
      </c>
      <c r="P190">
        <v>6</v>
      </c>
      <c r="Q190">
        <v>5</v>
      </c>
      <c r="R190">
        <v>1</v>
      </c>
      <c r="S190">
        <v>8</v>
      </c>
      <c r="T190">
        <v>7</v>
      </c>
      <c r="U190">
        <v>1</v>
      </c>
      <c r="V190">
        <v>7</v>
      </c>
      <c r="W190">
        <v>6</v>
      </c>
      <c r="X190">
        <v>1</v>
      </c>
      <c r="Y190">
        <v>8</v>
      </c>
      <c r="Z190">
        <v>8</v>
      </c>
      <c r="AA190">
        <v>0</v>
      </c>
      <c r="AB190">
        <v>7</v>
      </c>
      <c r="AC190">
        <v>5</v>
      </c>
      <c r="AD190">
        <v>2</v>
      </c>
      <c r="AE190">
        <v>8</v>
      </c>
      <c r="AF190">
        <v>7</v>
      </c>
      <c r="AG190">
        <v>1</v>
      </c>
      <c r="AH190">
        <v>9</v>
      </c>
      <c r="AI190">
        <v>8</v>
      </c>
      <c r="AJ190">
        <v>1</v>
      </c>
      <c r="AK190" t="s">
        <v>1886</v>
      </c>
      <c r="AL190" t="s">
        <v>1887</v>
      </c>
      <c r="AM190" t="s">
        <v>1888</v>
      </c>
      <c r="AN190" t="s">
        <v>1889</v>
      </c>
      <c r="AO190" t="s">
        <v>1890</v>
      </c>
      <c r="AP190" t="s">
        <v>1891</v>
      </c>
      <c r="AQ190" t="s">
        <v>1892</v>
      </c>
      <c r="AR190" t="s">
        <v>1893</v>
      </c>
      <c r="AS190" t="s">
        <v>1894</v>
      </c>
    </row>
    <row r="191" spans="1:45" x14ac:dyDescent="0.45">
      <c r="A191">
        <v>190</v>
      </c>
      <c r="B191">
        <v>231</v>
      </c>
      <c r="C191" t="s">
        <v>78</v>
      </c>
      <c r="D191" t="s">
        <v>81</v>
      </c>
      <c r="E191" t="s">
        <v>74</v>
      </c>
      <c r="F191" t="s">
        <v>75</v>
      </c>
      <c r="G191" t="s">
        <v>76</v>
      </c>
      <c r="H191">
        <v>27.38214382940086</v>
      </c>
      <c r="I191">
        <v>0</v>
      </c>
      <c r="J191">
        <v>7</v>
      </c>
      <c r="K191">
        <v>7</v>
      </c>
      <c r="L191">
        <v>0</v>
      </c>
      <c r="M191">
        <v>6</v>
      </c>
      <c r="N191">
        <v>7</v>
      </c>
      <c r="O191">
        <v>-1</v>
      </c>
      <c r="P191">
        <v>8</v>
      </c>
      <c r="Q191">
        <v>7</v>
      </c>
      <c r="R191">
        <v>1</v>
      </c>
      <c r="S191">
        <v>9</v>
      </c>
      <c r="T191">
        <v>8</v>
      </c>
      <c r="U191">
        <v>1</v>
      </c>
      <c r="V191">
        <v>7</v>
      </c>
      <c r="W191">
        <v>3</v>
      </c>
      <c r="X191">
        <v>4</v>
      </c>
      <c r="Y191">
        <v>8</v>
      </c>
      <c r="Z191">
        <v>3</v>
      </c>
      <c r="AA191">
        <v>5</v>
      </c>
      <c r="AB191">
        <v>7</v>
      </c>
      <c r="AC191">
        <v>2</v>
      </c>
      <c r="AD191">
        <v>5</v>
      </c>
      <c r="AE191">
        <v>6</v>
      </c>
      <c r="AF191">
        <v>3</v>
      </c>
      <c r="AG191">
        <v>3</v>
      </c>
      <c r="AH191">
        <v>7</v>
      </c>
      <c r="AI191">
        <v>8</v>
      </c>
      <c r="AJ191">
        <v>-1</v>
      </c>
      <c r="AK191" t="s">
        <v>1895</v>
      </c>
      <c r="AL191" t="s">
        <v>1896</v>
      </c>
      <c r="AM191" t="s">
        <v>1897</v>
      </c>
      <c r="AN191" t="s">
        <v>1898</v>
      </c>
      <c r="AO191" t="s">
        <v>1899</v>
      </c>
      <c r="AP191" t="s">
        <v>1900</v>
      </c>
      <c r="AQ191" t="s">
        <v>1901</v>
      </c>
      <c r="AR191" t="s">
        <v>1902</v>
      </c>
      <c r="AS191" t="s">
        <v>1903</v>
      </c>
    </row>
    <row r="192" spans="1:45" x14ac:dyDescent="0.45">
      <c r="A192">
        <v>191</v>
      </c>
      <c r="B192">
        <v>232</v>
      </c>
      <c r="C192" t="s">
        <v>78</v>
      </c>
      <c r="D192" t="s">
        <v>73</v>
      </c>
      <c r="E192" t="s">
        <v>74</v>
      </c>
      <c r="F192" t="s">
        <v>75</v>
      </c>
      <c r="G192" t="s">
        <v>76</v>
      </c>
      <c r="H192">
        <v>60.170666301539462</v>
      </c>
      <c r="I192">
        <v>3</v>
      </c>
      <c r="J192">
        <v>7</v>
      </c>
      <c r="K192">
        <v>7</v>
      </c>
      <c r="L192">
        <v>0</v>
      </c>
      <c r="M192">
        <v>8</v>
      </c>
      <c r="N192">
        <v>7</v>
      </c>
      <c r="O192">
        <v>1</v>
      </c>
      <c r="P192">
        <v>7</v>
      </c>
      <c r="Q192">
        <v>6</v>
      </c>
      <c r="R192">
        <v>1</v>
      </c>
      <c r="S192">
        <v>9</v>
      </c>
      <c r="T192">
        <v>8</v>
      </c>
      <c r="U192">
        <v>1</v>
      </c>
      <c r="V192">
        <v>6</v>
      </c>
      <c r="W192">
        <v>7</v>
      </c>
      <c r="X192">
        <v>-1</v>
      </c>
      <c r="Y192">
        <v>8</v>
      </c>
      <c r="Z192">
        <v>8</v>
      </c>
      <c r="AA192">
        <v>0</v>
      </c>
      <c r="AB192">
        <v>6</v>
      </c>
      <c r="AC192">
        <v>7</v>
      </c>
      <c r="AD192">
        <v>-1</v>
      </c>
      <c r="AE192">
        <v>7</v>
      </c>
      <c r="AF192">
        <v>7</v>
      </c>
      <c r="AG192">
        <v>0</v>
      </c>
      <c r="AH192">
        <v>6</v>
      </c>
      <c r="AI192">
        <v>7</v>
      </c>
      <c r="AJ192">
        <v>-1</v>
      </c>
      <c r="AK192" t="s">
        <v>1904</v>
      </c>
      <c r="AL192" t="s">
        <v>1905</v>
      </c>
      <c r="AM192" t="s">
        <v>1906</v>
      </c>
      <c r="AN192" t="s">
        <v>1907</v>
      </c>
      <c r="AO192" t="s">
        <v>1908</v>
      </c>
      <c r="AP192" t="s">
        <v>1909</v>
      </c>
      <c r="AQ192" t="s">
        <v>1910</v>
      </c>
      <c r="AR192" t="s">
        <v>1911</v>
      </c>
      <c r="AS192" t="s">
        <v>1912</v>
      </c>
    </row>
    <row r="193" spans="1:45" x14ac:dyDescent="0.45">
      <c r="A193">
        <v>192</v>
      </c>
      <c r="B193">
        <v>233</v>
      </c>
      <c r="C193" t="s">
        <v>72</v>
      </c>
      <c r="D193" t="s">
        <v>188</v>
      </c>
      <c r="E193" t="s">
        <v>74</v>
      </c>
      <c r="F193" t="s">
        <v>77</v>
      </c>
      <c r="G193" t="s">
        <v>76</v>
      </c>
      <c r="H193">
        <v>18.378055569808161</v>
      </c>
      <c r="I193">
        <v>0</v>
      </c>
      <c r="J193">
        <v>7</v>
      </c>
      <c r="K193">
        <v>8</v>
      </c>
      <c r="L193">
        <v>-1</v>
      </c>
      <c r="M193">
        <v>8</v>
      </c>
      <c r="N193">
        <v>8</v>
      </c>
      <c r="O193">
        <v>0</v>
      </c>
      <c r="P193">
        <v>5</v>
      </c>
      <c r="Q193">
        <v>9</v>
      </c>
      <c r="R193">
        <v>-4</v>
      </c>
      <c r="S193">
        <v>8</v>
      </c>
      <c r="T193">
        <v>9</v>
      </c>
      <c r="U193">
        <v>-1</v>
      </c>
      <c r="V193">
        <v>7</v>
      </c>
      <c r="W193">
        <v>9</v>
      </c>
      <c r="X193">
        <v>-2</v>
      </c>
      <c r="Y193">
        <v>6</v>
      </c>
      <c r="Z193">
        <v>9</v>
      </c>
      <c r="AA193">
        <v>-3</v>
      </c>
      <c r="AB193">
        <v>7</v>
      </c>
      <c r="AC193">
        <v>8</v>
      </c>
      <c r="AD193">
        <v>-1</v>
      </c>
      <c r="AE193">
        <v>6</v>
      </c>
      <c r="AF193">
        <v>8</v>
      </c>
      <c r="AG193">
        <v>-2</v>
      </c>
      <c r="AH193">
        <v>5</v>
      </c>
      <c r="AI193">
        <v>9</v>
      </c>
      <c r="AJ193">
        <v>-4</v>
      </c>
      <c r="AK193" t="s">
        <v>1913</v>
      </c>
      <c r="AL193" t="s">
        <v>1914</v>
      </c>
      <c r="AM193" t="s">
        <v>1915</v>
      </c>
      <c r="AN193" t="s">
        <v>1916</v>
      </c>
      <c r="AO193" t="s">
        <v>1917</v>
      </c>
      <c r="AP193" t="s">
        <v>1918</v>
      </c>
      <c r="AQ193" t="s">
        <v>1919</v>
      </c>
      <c r="AR193" t="s">
        <v>1920</v>
      </c>
      <c r="AS193" t="s">
        <v>1921</v>
      </c>
    </row>
    <row r="194" spans="1:45" x14ac:dyDescent="0.45">
      <c r="A194">
        <v>193</v>
      </c>
      <c r="B194">
        <v>234</v>
      </c>
      <c r="C194" t="s">
        <v>72</v>
      </c>
      <c r="D194" t="s">
        <v>79</v>
      </c>
      <c r="E194" t="s">
        <v>74</v>
      </c>
      <c r="F194" t="s">
        <v>77</v>
      </c>
      <c r="G194" t="s">
        <v>76</v>
      </c>
      <c r="H194">
        <v>29.40336277047918</v>
      </c>
      <c r="I194">
        <v>2</v>
      </c>
      <c r="J194">
        <v>8</v>
      </c>
      <c r="K194">
        <v>1</v>
      </c>
      <c r="L194">
        <v>7</v>
      </c>
      <c r="M194">
        <v>9</v>
      </c>
      <c r="N194">
        <v>1</v>
      </c>
      <c r="O194">
        <v>8</v>
      </c>
      <c r="P194">
        <v>8</v>
      </c>
      <c r="Q194">
        <v>7</v>
      </c>
      <c r="R194">
        <v>1</v>
      </c>
      <c r="S194">
        <v>7</v>
      </c>
      <c r="T194">
        <v>5</v>
      </c>
      <c r="U194">
        <v>2</v>
      </c>
      <c r="V194">
        <v>8</v>
      </c>
      <c r="W194">
        <v>5</v>
      </c>
      <c r="X194">
        <v>3</v>
      </c>
      <c r="Y194">
        <v>7</v>
      </c>
      <c r="Z194">
        <v>7</v>
      </c>
      <c r="AA194">
        <v>0</v>
      </c>
      <c r="AB194">
        <v>8</v>
      </c>
      <c r="AC194">
        <v>2</v>
      </c>
      <c r="AD194">
        <v>6</v>
      </c>
      <c r="AE194">
        <v>6</v>
      </c>
      <c r="AF194">
        <v>5</v>
      </c>
      <c r="AG194">
        <v>1</v>
      </c>
      <c r="AH194">
        <v>8</v>
      </c>
      <c r="AI194">
        <v>5</v>
      </c>
      <c r="AJ194">
        <v>3</v>
      </c>
      <c r="AK194" t="s">
        <v>1922</v>
      </c>
      <c r="AL194" t="s">
        <v>1923</v>
      </c>
      <c r="AM194" t="s">
        <v>1924</v>
      </c>
      <c r="AN194" t="s">
        <v>1925</v>
      </c>
      <c r="AO194" t="s">
        <v>1926</v>
      </c>
      <c r="AP194" t="s">
        <v>1927</v>
      </c>
      <c r="AQ194" t="s">
        <v>1928</v>
      </c>
      <c r="AR194" t="s">
        <v>1929</v>
      </c>
      <c r="AS194" t="s">
        <v>1930</v>
      </c>
    </row>
    <row r="195" spans="1:45" x14ac:dyDescent="0.45">
      <c r="A195">
        <v>194</v>
      </c>
      <c r="B195">
        <v>235</v>
      </c>
      <c r="C195" t="s">
        <v>72</v>
      </c>
      <c r="D195" t="s">
        <v>73</v>
      </c>
      <c r="E195" t="s">
        <v>74</v>
      </c>
      <c r="F195" t="s">
        <v>77</v>
      </c>
      <c r="G195" t="s">
        <v>76</v>
      </c>
      <c r="H195">
        <v>19.995689780148481</v>
      </c>
      <c r="I195">
        <v>1</v>
      </c>
      <c r="J195">
        <v>7</v>
      </c>
      <c r="K195">
        <v>10</v>
      </c>
      <c r="L195">
        <v>-3</v>
      </c>
      <c r="M195">
        <v>6</v>
      </c>
      <c r="N195">
        <v>10</v>
      </c>
      <c r="O195">
        <v>-4</v>
      </c>
      <c r="P195">
        <v>8</v>
      </c>
      <c r="Q195">
        <v>6</v>
      </c>
      <c r="R195">
        <v>2</v>
      </c>
      <c r="S195">
        <v>9</v>
      </c>
      <c r="T195">
        <v>4</v>
      </c>
      <c r="U195">
        <v>5</v>
      </c>
      <c r="V195">
        <v>8</v>
      </c>
      <c r="W195">
        <v>8</v>
      </c>
      <c r="X195">
        <v>0</v>
      </c>
      <c r="Y195">
        <v>7</v>
      </c>
      <c r="Z195">
        <v>3</v>
      </c>
      <c r="AA195">
        <v>4</v>
      </c>
      <c r="AB195">
        <v>8</v>
      </c>
      <c r="AC195">
        <v>10</v>
      </c>
      <c r="AD195">
        <v>-2</v>
      </c>
      <c r="AE195">
        <v>5</v>
      </c>
      <c r="AF195">
        <v>10</v>
      </c>
      <c r="AG195">
        <v>-5</v>
      </c>
      <c r="AH195">
        <v>7</v>
      </c>
      <c r="AI195">
        <v>10</v>
      </c>
      <c r="AJ195">
        <v>-3</v>
      </c>
      <c r="AK195" t="s">
        <v>1931</v>
      </c>
      <c r="AL195" t="s">
        <v>1932</v>
      </c>
      <c r="AM195" t="s">
        <v>1933</v>
      </c>
      <c r="AN195" t="s">
        <v>1934</v>
      </c>
      <c r="AO195" t="s">
        <v>1935</v>
      </c>
      <c r="AP195" t="s">
        <v>1936</v>
      </c>
      <c r="AQ195" t="s">
        <v>1937</v>
      </c>
      <c r="AR195" t="s">
        <v>1938</v>
      </c>
      <c r="AS195" t="s">
        <v>1939</v>
      </c>
    </row>
    <row r="196" spans="1:45" x14ac:dyDescent="0.45">
      <c r="A196">
        <v>195</v>
      </c>
      <c r="B196">
        <v>236</v>
      </c>
      <c r="C196" t="s">
        <v>72</v>
      </c>
      <c r="D196" t="s">
        <v>81</v>
      </c>
      <c r="E196" t="s">
        <v>74</v>
      </c>
      <c r="F196" t="s">
        <v>77</v>
      </c>
      <c r="G196" t="s">
        <v>76</v>
      </c>
      <c r="H196">
        <v>16.13816392833397</v>
      </c>
      <c r="I196">
        <v>1</v>
      </c>
      <c r="J196">
        <v>8</v>
      </c>
      <c r="K196">
        <v>9</v>
      </c>
      <c r="L196">
        <v>-1</v>
      </c>
      <c r="M196">
        <v>7</v>
      </c>
      <c r="N196">
        <v>9</v>
      </c>
      <c r="O196">
        <v>-2</v>
      </c>
      <c r="P196">
        <v>8</v>
      </c>
      <c r="Q196">
        <v>5</v>
      </c>
      <c r="R196">
        <v>3</v>
      </c>
      <c r="S196">
        <v>7</v>
      </c>
      <c r="T196">
        <v>5</v>
      </c>
      <c r="U196">
        <v>2</v>
      </c>
      <c r="V196">
        <v>8</v>
      </c>
      <c r="W196">
        <v>7</v>
      </c>
      <c r="X196">
        <v>1</v>
      </c>
      <c r="Y196">
        <v>6</v>
      </c>
      <c r="Z196">
        <v>7</v>
      </c>
      <c r="AA196">
        <v>-1</v>
      </c>
      <c r="AB196">
        <v>8</v>
      </c>
      <c r="AC196">
        <v>8</v>
      </c>
      <c r="AD196">
        <v>0</v>
      </c>
      <c r="AE196">
        <v>7</v>
      </c>
      <c r="AF196">
        <v>8</v>
      </c>
      <c r="AG196">
        <v>-1</v>
      </c>
      <c r="AH196">
        <v>8</v>
      </c>
      <c r="AI196">
        <v>8</v>
      </c>
      <c r="AJ196">
        <v>0</v>
      </c>
      <c r="AK196" t="s">
        <v>1940</v>
      </c>
      <c r="AL196" t="s">
        <v>1941</v>
      </c>
      <c r="AM196" t="s">
        <v>1942</v>
      </c>
      <c r="AN196" t="s">
        <v>1943</v>
      </c>
      <c r="AO196" t="s">
        <v>1942</v>
      </c>
      <c r="AP196" t="s">
        <v>1944</v>
      </c>
      <c r="AQ196" t="s">
        <v>1942</v>
      </c>
      <c r="AR196" t="s">
        <v>1942</v>
      </c>
      <c r="AS196" t="s">
        <v>1945</v>
      </c>
    </row>
    <row r="197" spans="1:45" x14ac:dyDescent="0.45">
      <c r="A197">
        <v>196</v>
      </c>
      <c r="B197">
        <v>237</v>
      </c>
      <c r="C197" t="s">
        <v>78</v>
      </c>
      <c r="D197" t="s">
        <v>79</v>
      </c>
      <c r="E197" t="s">
        <v>74</v>
      </c>
      <c r="F197" t="s">
        <v>77</v>
      </c>
      <c r="G197" t="s">
        <v>76</v>
      </c>
      <c r="H197">
        <v>14.388269521510457</v>
      </c>
      <c r="I197">
        <v>2</v>
      </c>
      <c r="J197">
        <v>8</v>
      </c>
      <c r="K197">
        <v>9</v>
      </c>
      <c r="L197">
        <v>-1</v>
      </c>
      <c r="M197">
        <v>7</v>
      </c>
      <c r="N197">
        <v>9</v>
      </c>
      <c r="O197">
        <v>-2</v>
      </c>
      <c r="P197">
        <v>9</v>
      </c>
      <c r="Q197">
        <v>9</v>
      </c>
      <c r="R197">
        <v>0</v>
      </c>
      <c r="S197">
        <v>8</v>
      </c>
      <c r="T197">
        <v>9</v>
      </c>
      <c r="U197">
        <v>-1</v>
      </c>
      <c r="V197">
        <v>7</v>
      </c>
      <c r="W197">
        <v>9</v>
      </c>
      <c r="X197">
        <v>-2</v>
      </c>
      <c r="Y197">
        <v>6</v>
      </c>
      <c r="Z197">
        <v>9</v>
      </c>
      <c r="AA197">
        <v>-3</v>
      </c>
      <c r="AB197">
        <v>7</v>
      </c>
      <c r="AC197">
        <v>9</v>
      </c>
      <c r="AD197">
        <v>-2</v>
      </c>
      <c r="AE197">
        <v>5</v>
      </c>
      <c r="AF197">
        <v>9</v>
      </c>
      <c r="AG197">
        <v>-4</v>
      </c>
      <c r="AH197">
        <v>7</v>
      </c>
      <c r="AI197">
        <v>9</v>
      </c>
      <c r="AJ197">
        <v>-2</v>
      </c>
      <c r="AK197" t="s">
        <v>1946</v>
      </c>
      <c r="AL197" t="s">
        <v>1947</v>
      </c>
      <c r="AM197" t="s">
        <v>1948</v>
      </c>
      <c r="AN197" t="s">
        <v>1949</v>
      </c>
      <c r="AO197" t="s">
        <v>1950</v>
      </c>
      <c r="AP197" t="s">
        <v>1951</v>
      </c>
      <c r="AQ197" t="s">
        <v>1952</v>
      </c>
      <c r="AR197" t="s">
        <v>1953</v>
      </c>
      <c r="AS197" t="s">
        <v>1954</v>
      </c>
    </row>
    <row r="198" spans="1:45" x14ac:dyDescent="0.45">
      <c r="A198">
        <v>197</v>
      </c>
      <c r="B198">
        <v>238</v>
      </c>
      <c r="C198" t="s">
        <v>72</v>
      </c>
      <c r="D198" t="s">
        <v>79</v>
      </c>
      <c r="E198" t="s">
        <v>74</v>
      </c>
      <c r="F198" t="s">
        <v>75</v>
      </c>
      <c r="G198" t="s">
        <v>76</v>
      </c>
      <c r="H198">
        <v>14.059460061894319</v>
      </c>
      <c r="I198">
        <v>3</v>
      </c>
      <c r="J198">
        <v>7</v>
      </c>
      <c r="K198">
        <v>9</v>
      </c>
      <c r="L198">
        <v>-2</v>
      </c>
      <c r="M198">
        <v>8</v>
      </c>
      <c r="N198">
        <v>10</v>
      </c>
      <c r="O198">
        <v>-2</v>
      </c>
      <c r="P198">
        <v>9</v>
      </c>
      <c r="Q198">
        <v>10</v>
      </c>
      <c r="R198">
        <v>-1</v>
      </c>
      <c r="S198">
        <v>8</v>
      </c>
      <c r="T198">
        <v>9</v>
      </c>
      <c r="U198">
        <v>-1</v>
      </c>
      <c r="V198">
        <v>7</v>
      </c>
      <c r="W198">
        <v>10</v>
      </c>
      <c r="X198">
        <v>-3</v>
      </c>
      <c r="Y198">
        <v>8</v>
      </c>
      <c r="Z198">
        <v>10</v>
      </c>
      <c r="AA198">
        <v>-2</v>
      </c>
      <c r="AB198">
        <v>7</v>
      </c>
      <c r="AC198">
        <v>10</v>
      </c>
      <c r="AD198">
        <v>-3</v>
      </c>
      <c r="AE198">
        <v>6</v>
      </c>
      <c r="AF198">
        <v>9</v>
      </c>
      <c r="AG198">
        <v>-3</v>
      </c>
      <c r="AH198">
        <v>8</v>
      </c>
      <c r="AI198">
        <v>10</v>
      </c>
      <c r="AJ198">
        <v>-2</v>
      </c>
      <c r="AK198" t="s">
        <v>1955</v>
      </c>
      <c r="AL198" t="s">
        <v>1956</v>
      </c>
      <c r="AM198" t="s">
        <v>1957</v>
      </c>
      <c r="AN198" t="s">
        <v>1958</v>
      </c>
      <c r="AO198" t="s">
        <v>1959</v>
      </c>
      <c r="AP198" t="s">
        <v>1960</v>
      </c>
      <c r="AQ198" t="s">
        <v>1961</v>
      </c>
      <c r="AR198" t="s">
        <v>1962</v>
      </c>
      <c r="AS198" t="s">
        <v>1963</v>
      </c>
    </row>
    <row r="199" spans="1:45" x14ac:dyDescent="0.45">
      <c r="A199">
        <v>198</v>
      </c>
      <c r="B199">
        <v>239</v>
      </c>
      <c r="C199" t="s">
        <v>72</v>
      </c>
      <c r="D199" t="s">
        <v>79</v>
      </c>
      <c r="E199" t="s">
        <v>74</v>
      </c>
      <c r="F199" t="s">
        <v>75</v>
      </c>
      <c r="G199" t="s">
        <v>76</v>
      </c>
      <c r="H199">
        <v>12.075831763481782</v>
      </c>
      <c r="I199">
        <v>2</v>
      </c>
      <c r="J199">
        <v>7</v>
      </c>
      <c r="K199">
        <v>5</v>
      </c>
      <c r="L199">
        <v>2</v>
      </c>
      <c r="M199">
        <v>8</v>
      </c>
      <c r="N199">
        <v>5</v>
      </c>
      <c r="O199">
        <v>3</v>
      </c>
      <c r="P199">
        <v>9</v>
      </c>
      <c r="Q199">
        <v>5</v>
      </c>
      <c r="R199">
        <v>4</v>
      </c>
      <c r="S199">
        <v>9</v>
      </c>
      <c r="T199">
        <v>5</v>
      </c>
      <c r="U199">
        <v>4</v>
      </c>
      <c r="V199">
        <v>8</v>
      </c>
      <c r="W199">
        <v>5</v>
      </c>
      <c r="X199">
        <v>3</v>
      </c>
      <c r="Y199">
        <v>7</v>
      </c>
      <c r="Z199">
        <v>5</v>
      </c>
      <c r="AA199">
        <v>2</v>
      </c>
      <c r="AB199">
        <v>8</v>
      </c>
      <c r="AC199">
        <v>5</v>
      </c>
      <c r="AD199">
        <v>3</v>
      </c>
      <c r="AE199">
        <v>6</v>
      </c>
      <c r="AF199">
        <v>4</v>
      </c>
      <c r="AG199">
        <v>2</v>
      </c>
      <c r="AH199">
        <v>7</v>
      </c>
      <c r="AI199">
        <v>5</v>
      </c>
      <c r="AJ199">
        <v>2</v>
      </c>
      <c r="AK199" t="s">
        <v>1964</v>
      </c>
      <c r="AL199" t="s">
        <v>1965</v>
      </c>
      <c r="AM199" t="s">
        <v>1966</v>
      </c>
      <c r="AN199" t="s">
        <v>1967</v>
      </c>
      <c r="AO199" t="s">
        <v>1968</v>
      </c>
      <c r="AP199" t="s">
        <v>1969</v>
      </c>
      <c r="AQ199" t="s">
        <v>1970</v>
      </c>
      <c r="AR199" t="s">
        <v>1971</v>
      </c>
      <c r="AS199" t="s">
        <v>1972</v>
      </c>
    </row>
    <row r="200" spans="1:45" x14ac:dyDescent="0.45">
      <c r="A200">
        <v>199</v>
      </c>
      <c r="B200">
        <v>240</v>
      </c>
      <c r="C200" t="s">
        <v>72</v>
      </c>
      <c r="D200" t="s">
        <v>192</v>
      </c>
      <c r="E200" t="s">
        <v>74</v>
      </c>
      <c r="F200" t="s">
        <v>75</v>
      </c>
      <c r="G200" t="s">
        <v>161</v>
      </c>
      <c r="H200">
        <v>12</v>
      </c>
      <c r="I200">
        <v>1</v>
      </c>
      <c r="J200">
        <v>8</v>
      </c>
      <c r="K200">
        <v>9</v>
      </c>
      <c r="L200">
        <v>-1</v>
      </c>
      <c r="M200">
        <v>9</v>
      </c>
      <c r="N200">
        <v>8</v>
      </c>
      <c r="O200">
        <v>1</v>
      </c>
      <c r="P200">
        <v>8</v>
      </c>
      <c r="Q200">
        <v>9</v>
      </c>
      <c r="R200">
        <v>-1</v>
      </c>
      <c r="S200">
        <v>7</v>
      </c>
      <c r="T200">
        <v>9</v>
      </c>
      <c r="U200">
        <v>-2</v>
      </c>
      <c r="V200">
        <v>7</v>
      </c>
      <c r="W200">
        <v>8</v>
      </c>
      <c r="X200">
        <v>-1</v>
      </c>
      <c r="Y200">
        <v>6</v>
      </c>
      <c r="Z200">
        <v>9</v>
      </c>
      <c r="AA200">
        <v>-3</v>
      </c>
      <c r="AB200">
        <v>7</v>
      </c>
      <c r="AC200">
        <v>10</v>
      </c>
      <c r="AD200">
        <v>-3</v>
      </c>
      <c r="AE200">
        <v>6</v>
      </c>
      <c r="AF200">
        <v>9</v>
      </c>
      <c r="AG200">
        <v>-3</v>
      </c>
      <c r="AH200">
        <v>7</v>
      </c>
      <c r="AI200">
        <v>10</v>
      </c>
      <c r="AJ200">
        <v>-3</v>
      </c>
      <c r="AK200" t="s">
        <v>1973</v>
      </c>
      <c r="AL200" t="s">
        <v>1974</v>
      </c>
      <c r="AM200" t="s">
        <v>1975</v>
      </c>
      <c r="AN200" t="s">
        <v>1976</v>
      </c>
      <c r="AO200" t="s">
        <v>1977</v>
      </c>
      <c r="AP200" t="s">
        <v>1978</v>
      </c>
      <c r="AQ200" t="s">
        <v>1979</v>
      </c>
      <c r="AR200" t="s">
        <v>1980</v>
      </c>
      <c r="AS200" t="s">
        <v>1981</v>
      </c>
    </row>
    <row r="201" spans="1:45" x14ac:dyDescent="0.45">
      <c r="A201">
        <v>200</v>
      </c>
      <c r="B201">
        <v>241</v>
      </c>
      <c r="C201" t="s">
        <v>78</v>
      </c>
      <c r="D201" t="s">
        <v>190</v>
      </c>
      <c r="E201" t="s">
        <v>74</v>
      </c>
      <c r="F201" t="s">
        <v>77</v>
      </c>
      <c r="G201" t="s">
        <v>76</v>
      </c>
      <c r="H201">
        <v>76.836958914277432</v>
      </c>
      <c r="I201">
        <v>3</v>
      </c>
      <c r="J201">
        <v>8</v>
      </c>
      <c r="K201">
        <v>4</v>
      </c>
      <c r="L201">
        <v>4</v>
      </c>
      <c r="M201">
        <v>7</v>
      </c>
      <c r="N201">
        <v>4</v>
      </c>
      <c r="O201">
        <v>3</v>
      </c>
      <c r="P201">
        <v>9</v>
      </c>
      <c r="Q201">
        <v>3</v>
      </c>
      <c r="R201">
        <v>6</v>
      </c>
      <c r="S201">
        <v>8</v>
      </c>
      <c r="T201">
        <v>5</v>
      </c>
      <c r="U201">
        <v>3</v>
      </c>
      <c r="V201">
        <v>7</v>
      </c>
      <c r="W201">
        <v>4</v>
      </c>
      <c r="X201">
        <v>3</v>
      </c>
      <c r="Y201">
        <v>8</v>
      </c>
      <c r="Z201">
        <v>5</v>
      </c>
      <c r="AA201">
        <v>3</v>
      </c>
      <c r="AB201">
        <v>6</v>
      </c>
      <c r="AC201">
        <v>1</v>
      </c>
      <c r="AD201">
        <v>5</v>
      </c>
      <c r="AE201">
        <v>7</v>
      </c>
      <c r="AF201">
        <v>5</v>
      </c>
      <c r="AG201">
        <v>2</v>
      </c>
      <c r="AH201">
        <v>6</v>
      </c>
      <c r="AI201">
        <v>5</v>
      </c>
      <c r="AJ201">
        <v>1</v>
      </c>
      <c r="AK201" t="s">
        <v>1982</v>
      </c>
      <c r="AL201" t="s">
        <v>1983</v>
      </c>
      <c r="AM201" t="s">
        <v>1984</v>
      </c>
      <c r="AN201" t="s">
        <v>1985</v>
      </c>
      <c r="AO201" t="s">
        <v>1986</v>
      </c>
      <c r="AP201" t="s">
        <v>1987</v>
      </c>
      <c r="AQ201" t="s">
        <v>1988</v>
      </c>
      <c r="AR201" t="s">
        <v>221</v>
      </c>
      <c r="AS201" t="s">
        <v>1989</v>
      </c>
    </row>
    <row r="202" spans="1:45" x14ac:dyDescent="0.45">
      <c r="A202">
        <v>201</v>
      </c>
      <c r="B202">
        <v>242</v>
      </c>
      <c r="C202" t="s">
        <v>72</v>
      </c>
      <c r="D202" t="s">
        <v>192</v>
      </c>
      <c r="E202" t="s">
        <v>74</v>
      </c>
      <c r="F202" t="s">
        <v>75</v>
      </c>
      <c r="G202" t="s">
        <v>76</v>
      </c>
      <c r="H202">
        <v>49.814620100080369</v>
      </c>
      <c r="I202">
        <v>1</v>
      </c>
      <c r="J202">
        <v>7</v>
      </c>
      <c r="K202">
        <v>5</v>
      </c>
      <c r="L202">
        <v>2</v>
      </c>
      <c r="M202">
        <v>8</v>
      </c>
      <c r="N202">
        <v>5</v>
      </c>
      <c r="O202">
        <v>3</v>
      </c>
      <c r="P202">
        <v>9</v>
      </c>
      <c r="Q202">
        <v>1</v>
      </c>
      <c r="R202">
        <v>8</v>
      </c>
      <c r="S202">
        <v>10</v>
      </c>
      <c r="T202">
        <v>5</v>
      </c>
      <c r="U202">
        <v>5</v>
      </c>
      <c r="V202">
        <v>8</v>
      </c>
      <c r="W202">
        <v>4</v>
      </c>
      <c r="X202">
        <v>4</v>
      </c>
      <c r="Y202">
        <v>7</v>
      </c>
      <c r="Z202">
        <v>2</v>
      </c>
      <c r="AA202">
        <v>5</v>
      </c>
      <c r="AB202">
        <v>8</v>
      </c>
      <c r="AC202">
        <v>2</v>
      </c>
      <c r="AD202">
        <v>6</v>
      </c>
      <c r="AE202">
        <v>6</v>
      </c>
      <c r="AF202">
        <v>5</v>
      </c>
      <c r="AG202">
        <v>1</v>
      </c>
      <c r="AH202">
        <v>8</v>
      </c>
      <c r="AI202">
        <v>4</v>
      </c>
      <c r="AJ202">
        <v>4</v>
      </c>
      <c r="AK202" t="s">
        <v>1990</v>
      </c>
      <c r="AL202" t="s">
        <v>1991</v>
      </c>
      <c r="AM202" t="s">
        <v>1992</v>
      </c>
      <c r="AN202" t="s">
        <v>1993</v>
      </c>
      <c r="AO202" t="s">
        <v>1994</v>
      </c>
      <c r="AP202" t="s">
        <v>1995</v>
      </c>
      <c r="AQ202" t="s">
        <v>1996</v>
      </c>
      <c r="AR202" t="s">
        <v>1997</v>
      </c>
      <c r="AS202" t="s">
        <v>1998</v>
      </c>
    </row>
    <row r="203" spans="1:45" x14ac:dyDescent="0.45">
      <c r="A203">
        <v>202</v>
      </c>
      <c r="B203">
        <v>243</v>
      </c>
      <c r="C203" t="s">
        <v>72</v>
      </c>
      <c r="D203" t="s">
        <v>79</v>
      </c>
      <c r="E203" t="s">
        <v>74</v>
      </c>
      <c r="F203" t="s">
        <v>77</v>
      </c>
      <c r="G203" t="s">
        <v>76</v>
      </c>
      <c r="H203">
        <v>84.584914020711025</v>
      </c>
      <c r="I203">
        <v>4</v>
      </c>
      <c r="J203">
        <v>7</v>
      </c>
      <c r="K203">
        <v>6</v>
      </c>
      <c r="L203">
        <v>1</v>
      </c>
      <c r="M203">
        <v>8</v>
      </c>
      <c r="N203">
        <v>8</v>
      </c>
      <c r="O203">
        <v>0</v>
      </c>
      <c r="P203">
        <v>9</v>
      </c>
      <c r="Q203">
        <v>8</v>
      </c>
      <c r="R203">
        <v>1</v>
      </c>
      <c r="S203">
        <v>8</v>
      </c>
      <c r="T203">
        <v>9</v>
      </c>
      <c r="U203">
        <v>-1</v>
      </c>
      <c r="V203">
        <v>7</v>
      </c>
      <c r="W203">
        <v>7</v>
      </c>
      <c r="X203">
        <v>0</v>
      </c>
      <c r="Y203">
        <v>6</v>
      </c>
      <c r="Z203">
        <v>7</v>
      </c>
      <c r="AA203">
        <v>-1</v>
      </c>
      <c r="AB203">
        <v>5</v>
      </c>
      <c r="AC203">
        <v>7</v>
      </c>
      <c r="AD203">
        <v>-2</v>
      </c>
      <c r="AE203">
        <v>6</v>
      </c>
      <c r="AF203">
        <v>8</v>
      </c>
      <c r="AG203">
        <v>-2</v>
      </c>
      <c r="AH203">
        <v>7</v>
      </c>
      <c r="AI203">
        <v>8</v>
      </c>
      <c r="AJ203">
        <v>-1</v>
      </c>
      <c r="AK203" t="s">
        <v>1999</v>
      </c>
      <c r="AL203" t="s">
        <v>2000</v>
      </c>
      <c r="AM203" t="s">
        <v>2001</v>
      </c>
      <c r="AN203" t="s">
        <v>2002</v>
      </c>
      <c r="AO203" t="s">
        <v>2003</v>
      </c>
      <c r="AP203" t="s">
        <v>2004</v>
      </c>
      <c r="AQ203" t="s">
        <v>2005</v>
      </c>
      <c r="AR203" t="s">
        <v>2006</v>
      </c>
      <c r="AS203" t="s">
        <v>2007</v>
      </c>
    </row>
    <row r="204" spans="1:45" x14ac:dyDescent="0.45">
      <c r="A204">
        <v>203</v>
      </c>
      <c r="B204">
        <v>244</v>
      </c>
      <c r="C204" t="s">
        <v>72</v>
      </c>
      <c r="D204" t="s">
        <v>190</v>
      </c>
      <c r="E204" t="s">
        <v>74</v>
      </c>
      <c r="F204" t="s">
        <v>75</v>
      </c>
      <c r="G204" t="s">
        <v>76</v>
      </c>
      <c r="H204">
        <v>115.63906290880351</v>
      </c>
      <c r="I204">
        <v>3</v>
      </c>
      <c r="J204">
        <v>5</v>
      </c>
      <c r="K204">
        <v>5</v>
      </c>
      <c r="L204">
        <v>0</v>
      </c>
      <c r="M204">
        <v>5</v>
      </c>
      <c r="N204">
        <v>5</v>
      </c>
      <c r="O204">
        <v>0</v>
      </c>
      <c r="P204">
        <v>6</v>
      </c>
      <c r="Q204">
        <v>5</v>
      </c>
      <c r="R204">
        <v>1</v>
      </c>
      <c r="S204">
        <v>4</v>
      </c>
      <c r="T204">
        <v>5</v>
      </c>
      <c r="U204">
        <v>-1</v>
      </c>
      <c r="V204">
        <v>7</v>
      </c>
      <c r="W204">
        <v>5</v>
      </c>
      <c r="X204">
        <v>2</v>
      </c>
      <c r="Y204">
        <v>6</v>
      </c>
      <c r="Z204">
        <v>5</v>
      </c>
      <c r="AA204">
        <v>1</v>
      </c>
      <c r="AB204">
        <v>6</v>
      </c>
      <c r="AC204">
        <v>5</v>
      </c>
      <c r="AD204">
        <v>1</v>
      </c>
      <c r="AE204">
        <v>5</v>
      </c>
      <c r="AF204">
        <v>5</v>
      </c>
      <c r="AG204">
        <v>0</v>
      </c>
      <c r="AH204">
        <v>6</v>
      </c>
      <c r="AI204">
        <v>5</v>
      </c>
      <c r="AJ204">
        <v>1</v>
      </c>
      <c r="AK204" t="s">
        <v>2008</v>
      </c>
      <c r="AL204" t="s">
        <v>2009</v>
      </c>
      <c r="AM204" t="s">
        <v>2010</v>
      </c>
      <c r="AN204" t="s">
        <v>2011</v>
      </c>
      <c r="AO204" t="s">
        <v>2012</v>
      </c>
      <c r="AP204" t="s">
        <v>2013</v>
      </c>
      <c r="AQ204" t="s">
        <v>2014</v>
      </c>
      <c r="AR204" t="s">
        <v>2015</v>
      </c>
      <c r="AS204" t="s">
        <v>2016</v>
      </c>
    </row>
    <row r="205" spans="1:45" x14ac:dyDescent="0.45">
      <c r="A205">
        <v>204</v>
      </c>
      <c r="B205">
        <v>245</v>
      </c>
      <c r="C205" t="s">
        <v>72</v>
      </c>
      <c r="D205" t="s">
        <v>73</v>
      </c>
      <c r="E205" t="s">
        <v>74</v>
      </c>
      <c r="F205" t="s">
        <v>77</v>
      </c>
      <c r="G205" t="s">
        <v>76</v>
      </c>
      <c r="H205">
        <v>38.112983265146859</v>
      </c>
      <c r="I205">
        <v>1</v>
      </c>
      <c r="J205">
        <v>8</v>
      </c>
      <c r="K205">
        <v>7</v>
      </c>
      <c r="L205">
        <v>1</v>
      </c>
      <c r="M205">
        <v>9</v>
      </c>
      <c r="N205">
        <v>7</v>
      </c>
      <c r="O205">
        <v>2</v>
      </c>
      <c r="P205">
        <v>7</v>
      </c>
      <c r="Q205">
        <v>7</v>
      </c>
      <c r="R205">
        <v>0</v>
      </c>
      <c r="S205">
        <v>8</v>
      </c>
      <c r="T205">
        <v>8</v>
      </c>
      <c r="U205">
        <v>0</v>
      </c>
      <c r="V205">
        <v>9</v>
      </c>
      <c r="W205">
        <v>7</v>
      </c>
      <c r="X205">
        <v>2</v>
      </c>
      <c r="Y205">
        <v>7</v>
      </c>
      <c r="Z205">
        <v>7</v>
      </c>
      <c r="AA205">
        <v>0</v>
      </c>
      <c r="AB205">
        <v>6</v>
      </c>
      <c r="AC205">
        <v>7</v>
      </c>
      <c r="AD205">
        <v>-1</v>
      </c>
      <c r="AE205">
        <v>7</v>
      </c>
      <c r="AF205">
        <v>7</v>
      </c>
      <c r="AG205">
        <v>0</v>
      </c>
      <c r="AH205">
        <v>8</v>
      </c>
      <c r="AI205">
        <v>7</v>
      </c>
      <c r="AJ205">
        <v>1</v>
      </c>
      <c r="AK205" t="s">
        <v>2017</v>
      </c>
      <c r="AL205" t="s">
        <v>2018</v>
      </c>
      <c r="AM205" t="s">
        <v>2019</v>
      </c>
      <c r="AN205" t="s">
        <v>2020</v>
      </c>
      <c r="AO205" t="s">
        <v>2021</v>
      </c>
      <c r="AP205" t="s">
        <v>2022</v>
      </c>
      <c r="AQ205" t="s">
        <v>2023</v>
      </c>
      <c r="AR205" t="s">
        <v>2024</v>
      </c>
      <c r="AS205" t="s">
        <v>2025</v>
      </c>
    </row>
    <row r="206" spans="1:45" x14ac:dyDescent="0.45">
      <c r="A206">
        <v>205</v>
      </c>
      <c r="B206">
        <v>246</v>
      </c>
      <c r="C206" t="s">
        <v>72</v>
      </c>
      <c r="D206" t="s">
        <v>73</v>
      </c>
      <c r="E206" t="s">
        <v>74</v>
      </c>
      <c r="F206" t="s">
        <v>75</v>
      </c>
      <c r="G206" t="s">
        <v>76</v>
      </c>
      <c r="H206">
        <v>25.019283739312534</v>
      </c>
      <c r="I206">
        <v>0</v>
      </c>
      <c r="J206">
        <v>9</v>
      </c>
      <c r="K206">
        <v>3</v>
      </c>
      <c r="L206">
        <v>6</v>
      </c>
      <c r="M206">
        <v>8</v>
      </c>
      <c r="N206">
        <v>1</v>
      </c>
      <c r="O206">
        <v>7</v>
      </c>
      <c r="P206">
        <v>8</v>
      </c>
      <c r="Q206">
        <v>1</v>
      </c>
      <c r="R206">
        <v>7</v>
      </c>
      <c r="S206">
        <v>7</v>
      </c>
      <c r="T206">
        <v>5</v>
      </c>
      <c r="U206">
        <v>2</v>
      </c>
      <c r="V206">
        <v>8</v>
      </c>
      <c r="W206">
        <v>1</v>
      </c>
      <c r="X206">
        <v>7</v>
      </c>
      <c r="Y206">
        <v>8</v>
      </c>
      <c r="Z206">
        <v>1</v>
      </c>
      <c r="AA206">
        <v>7</v>
      </c>
      <c r="AB206">
        <v>9</v>
      </c>
      <c r="AC206">
        <v>1</v>
      </c>
      <c r="AD206">
        <v>8</v>
      </c>
      <c r="AE206">
        <v>8</v>
      </c>
      <c r="AF206">
        <v>4</v>
      </c>
      <c r="AG206">
        <v>4</v>
      </c>
      <c r="AH206">
        <v>9</v>
      </c>
      <c r="AI206">
        <v>5</v>
      </c>
      <c r="AJ206">
        <v>4</v>
      </c>
      <c r="AK206" t="s">
        <v>2026</v>
      </c>
      <c r="AL206" t="s">
        <v>2027</v>
      </c>
      <c r="AM206" t="s">
        <v>2028</v>
      </c>
      <c r="AN206" t="s">
        <v>2029</v>
      </c>
      <c r="AO206" t="s">
        <v>2030</v>
      </c>
      <c r="AP206" t="s">
        <v>2031</v>
      </c>
      <c r="AQ206" t="s">
        <v>2032</v>
      </c>
      <c r="AR206" t="s">
        <v>2033</v>
      </c>
      <c r="AS206" t="s">
        <v>2034</v>
      </c>
    </row>
    <row r="207" spans="1:45" x14ac:dyDescent="0.45">
      <c r="A207">
        <v>206</v>
      </c>
      <c r="B207">
        <v>247</v>
      </c>
      <c r="C207" t="s">
        <v>72</v>
      </c>
      <c r="D207" t="s">
        <v>79</v>
      </c>
      <c r="E207" t="s">
        <v>74</v>
      </c>
      <c r="F207" t="s">
        <v>77</v>
      </c>
      <c r="G207" t="s">
        <v>76</v>
      </c>
      <c r="H207">
        <v>63.930872936395865</v>
      </c>
      <c r="I207">
        <v>1</v>
      </c>
      <c r="J207">
        <v>8</v>
      </c>
      <c r="K207">
        <v>8</v>
      </c>
      <c r="L207">
        <v>0</v>
      </c>
      <c r="M207">
        <v>9</v>
      </c>
      <c r="N207">
        <v>8</v>
      </c>
      <c r="O207">
        <v>1</v>
      </c>
      <c r="P207">
        <v>7</v>
      </c>
      <c r="Q207">
        <v>5</v>
      </c>
      <c r="R207">
        <v>2</v>
      </c>
      <c r="S207">
        <v>8</v>
      </c>
      <c r="T207">
        <v>7</v>
      </c>
      <c r="U207">
        <v>1</v>
      </c>
      <c r="V207">
        <v>7</v>
      </c>
      <c r="W207">
        <v>7</v>
      </c>
      <c r="X207">
        <v>0</v>
      </c>
      <c r="Y207">
        <v>8</v>
      </c>
      <c r="Z207">
        <v>6</v>
      </c>
      <c r="AA207">
        <v>2</v>
      </c>
      <c r="AB207">
        <v>7</v>
      </c>
      <c r="AC207">
        <v>6</v>
      </c>
      <c r="AD207">
        <v>1</v>
      </c>
      <c r="AE207">
        <v>8</v>
      </c>
      <c r="AF207">
        <v>7</v>
      </c>
      <c r="AG207">
        <v>1</v>
      </c>
      <c r="AH207">
        <v>9</v>
      </c>
      <c r="AI207">
        <v>7</v>
      </c>
      <c r="AJ207">
        <v>2</v>
      </c>
      <c r="AK207" t="s">
        <v>2035</v>
      </c>
      <c r="AL207" t="s">
        <v>2036</v>
      </c>
      <c r="AM207" t="s">
        <v>2037</v>
      </c>
      <c r="AN207" t="s">
        <v>2038</v>
      </c>
      <c r="AO207" t="s">
        <v>2039</v>
      </c>
      <c r="AP207" t="s">
        <v>2040</v>
      </c>
      <c r="AQ207" t="s">
        <v>2041</v>
      </c>
      <c r="AR207" t="s">
        <v>2042</v>
      </c>
      <c r="AS207" t="s">
        <v>2043</v>
      </c>
    </row>
    <row r="208" spans="1:45" x14ac:dyDescent="0.45">
      <c r="A208">
        <v>207</v>
      </c>
      <c r="B208">
        <v>248</v>
      </c>
      <c r="C208" t="s">
        <v>78</v>
      </c>
      <c r="D208" t="s">
        <v>73</v>
      </c>
      <c r="E208" t="s">
        <v>74</v>
      </c>
      <c r="F208" t="s">
        <v>77</v>
      </c>
      <c r="G208" t="s">
        <v>76</v>
      </c>
      <c r="H208">
        <v>61.72832185961984</v>
      </c>
      <c r="I208">
        <v>2</v>
      </c>
      <c r="J208">
        <v>7</v>
      </c>
      <c r="K208">
        <v>4</v>
      </c>
      <c r="L208">
        <v>3</v>
      </c>
      <c r="M208">
        <v>7</v>
      </c>
      <c r="N208">
        <v>3</v>
      </c>
      <c r="O208">
        <v>4</v>
      </c>
      <c r="P208">
        <v>6</v>
      </c>
      <c r="Q208">
        <v>1</v>
      </c>
      <c r="R208">
        <v>5</v>
      </c>
      <c r="S208">
        <v>7</v>
      </c>
      <c r="T208">
        <v>2</v>
      </c>
      <c r="U208">
        <v>5</v>
      </c>
      <c r="V208">
        <v>8</v>
      </c>
      <c r="W208">
        <v>1</v>
      </c>
      <c r="X208">
        <v>7</v>
      </c>
      <c r="Y208">
        <v>7</v>
      </c>
      <c r="Z208">
        <v>1</v>
      </c>
      <c r="AA208">
        <v>6</v>
      </c>
      <c r="AB208">
        <v>6</v>
      </c>
      <c r="AC208">
        <v>1</v>
      </c>
      <c r="AD208">
        <v>5</v>
      </c>
      <c r="AE208">
        <v>5</v>
      </c>
      <c r="AF208">
        <v>4</v>
      </c>
      <c r="AG208">
        <v>1</v>
      </c>
      <c r="AH208">
        <v>6</v>
      </c>
      <c r="AI208">
        <v>2</v>
      </c>
      <c r="AJ208">
        <v>4</v>
      </c>
      <c r="AK208" t="s">
        <v>2044</v>
      </c>
      <c r="AL208" t="s">
        <v>2045</v>
      </c>
      <c r="AM208" t="s">
        <v>2046</v>
      </c>
      <c r="AN208" t="s">
        <v>2047</v>
      </c>
      <c r="AO208" t="s">
        <v>2048</v>
      </c>
      <c r="AP208" t="s">
        <v>2049</v>
      </c>
      <c r="AQ208" t="s">
        <v>2050</v>
      </c>
      <c r="AR208" t="s">
        <v>2051</v>
      </c>
      <c r="AS208" t="s">
        <v>2052</v>
      </c>
    </row>
    <row r="209" spans="1:45" x14ac:dyDescent="0.45">
      <c r="A209">
        <v>208</v>
      </c>
      <c r="B209">
        <v>249</v>
      </c>
      <c r="C209" t="s">
        <v>72</v>
      </c>
      <c r="D209" t="s">
        <v>73</v>
      </c>
      <c r="E209" t="s">
        <v>74</v>
      </c>
      <c r="F209" t="s">
        <v>75</v>
      </c>
      <c r="G209" t="s">
        <v>76</v>
      </c>
      <c r="H209">
        <v>46.236748638937577</v>
      </c>
      <c r="I209">
        <v>1</v>
      </c>
      <c r="J209">
        <v>8</v>
      </c>
      <c r="K209">
        <v>7</v>
      </c>
      <c r="L209">
        <v>1</v>
      </c>
      <c r="M209">
        <v>8</v>
      </c>
      <c r="N209">
        <v>8</v>
      </c>
      <c r="O209">
        <v>0</v>
      </c>
      <c r="P209">
        <v>7</v>
      </c>
      <c r="Q209">
        <v>6</v>
      </c>
      <c r="R209">
        <v>1</v>
      </c>
      <c r="S209">
        <v>7</v>
      </c>
      <c r="T209">
        <v>7</v>
      </c>
      <c r="U209">
        <v>0</v>
      </c>
      <c r="V209">
        <v>8</v>
      </c>
      <c r="W209">
        <v>6</v>
      </c>
      <c r="X209">
        <v>2</v>
      </c>
      <c r="Y209">
        <v>7</v>
      </c>
      <c r="Z209">
        <v>7</v>
      </c>
      <c r="AA209">
        <v>0</v>
      </c>
      <c r="AB209">
        <v>8</v>
      </c>
      <c r="AC209">
        <v>6</v>
      </c>
      <c r="AD209">
        <v>2</v>
      </c>
      <c r="AE209">
        <v>6</v>
      </c>
      <c r="AF209">
        <v>6</v>
      </c>
      <c r="AG209">
        <v>0</v>
      </c>
      <c r="AH209">
        <v>7</v>
      </c>
      <c r="AI209">
        <v>6</v>
      </c>
      <c r="AJ209">
        <v>1</v>
      </c>
      <c r="AK209" t="s">
        <v>2053</v>
      </c>
      <c r="AL209" t="s">
        <v>2054</v>
      </c>
      <c r="AM209" t="s">
        <v>2055</v>
      </c>
      <c r="AN209" t="s">
        <v>2056</v>
      </c>
      <c r="AO209" t="s">
        <v>2057</v>
      </c>
      <c r="AP209" t="s">
        <v>2058</v>
      </c>
      <c r="AQ209" t="s">
        <v>2059</v>
      </c>
      <c r="AR209" t="s">
        <v>2060</v>
      </c>
      <c r="AS209" t="s">
        <v>2061</v>
      </c>
    </row>
    <row r="210" spans="1:45" x14ac:dyDescent="0.45">
      <c r="A210">
        <v>209</v>
      </c>
      <c r="B210">
        <v>250</v>
      </c>
      <c r="C210" t="s">
        <v>72</v>
      </c>
      <c r="D210" t="s">
        <v>73</v>
      </c>
      <c r="E210" t="s">
        <v>74</v>
      </c>
      <c r="F210" t="s">
        <v>77</v>
      </c>
      <c r="G210" t="s">
        <v>76</v>
      </c>
      <c r="H210">
        <v>35.059361449202029</v>
      </c>
      <c r="I210">
        <v>0</v>
      </c>
      <c r="J210">
        <v>7</v>
      </c>
      <c r="K210">
        <v>6</v>
      </c>
      <c r="L210">
        <v>1</v>
      </c>
      <c r="M210">
        <v>6</v>
      </c>
      <c r="N210">
        <v>6</v>
      </c>
      <c r="O210">
        <v>0</v>
      </c>
      <c r="P210">
        <v>8</v>
      </c>
      <c r="Q210">
        <v>6</v>
      </c>
      <c r="R210">
        <v>2</v>
      </c>
      <c r="S210">
        <v>7</v>
      </c>
      <c r="T210">
        <v>6</v>
      </c>
      <c r="U210">
        <v>1</v>
      </c>
      <c r="V210">
        <v>6</v>
      </c>
      <c r="W210">
        <v>6</v>
      </c>
      <c r="X210">
        <v>0</v>
      </c>
      <c r="Y210">
        <v>7</v>
      </c>
      <c r="Z210">
        <v>5</v>
      </c>
      <c r="AA210">
        <v>2</v>
      </c>
      <c r="AB210">
        <v>6</v>
      </c>
      <c r="AC210">
        <v>6</v>
      </c>
      <c r="AD210">
        <v>0</v>
      </c>
      <c r="AE210">
        <v>7</v>
      </c>
      <c r="AF210">
        <v>6</v>
      </c>
      <c r="AG210">
        <v>1</v>
      </c>
      <c r="AH210">
        <v>8</v>
      </c>
      <c r="AI210">
        <v>6</v>
      </c>
      <c r="AJ210">
        <v>2</v>
      </c>
      <c r="AK210" t="s">
        <v>2062</v>
      </c>
      <c r="AL210" t="s">
        <v>2063</v>
      </c>
      <c r="AM210" t="s">
        <v>2064</v>
      </c>
      <c r="AN210" t="s">
        <v>2065</v>
      </c>
      <c r="AO210" t="s">
        <v>2066</v>
      </c>
      <c r="AP210" t="s">
        <v>2067</v>
      </c>
      <c r="AQ210" t="s">
        <v>2068</v>
      </c>
      <c r="AR210" t="s">
        <v>2069</v>
      </c>
      <c r="AS210" t="s">
        <v>2070</v>
      </c>
    </row>
    <row r="211" spans="1:45" x14ac:dyDescent="0.45">
      <c r="A211">
        <v>210</v>
      </c>
      <c r="B211">
        <v>251</v>
      </c>
      <c r="C211" t="s">
        <v>78</v>
      </c>
      <c r="D211" t="s">
        <v>73</v>
      </c>
      <c r="E211" t="s">
        <v>74</v>
      </c>
      <c r="F211" t="s">
        <v>77</v>
      </c>
      <c r="G211" t="s">
        <v>76</v>
      </c>
      <c r="H211">
        <v>27.408284809620906</v>
      </c>
      <c r="I211">
        <v>0</v>
      </c>
      <c r="J211">
        <v>8</v>
      </c>
      <c r="K211">
        <v>7</v>
      </c>
      <c r="L211">
        <v>1</v>
      </c>
      <c r="M211">
        <v>7</v>
      </c>
      <c r="N211">
        <v>7</v>
      </c>
      <c r="O211">
        <v>0</v>
      </c>
      <c r="P211">
        <v>9</v>
      </c>
      <c r="Q211">
        <v>8</v>
      </c>
      <c r="R211">
        <v>1</v>
      </c>
      <c r="S211">
        <v>8</v>
      </c>
      <c r="T211">
        <v>8</v>
      </c>
      <c r="U211">
        <v>0</v>
      </c>
      <c r="V211">
        <v>7</v>
      </c>
      <c r="W211">
        <v>8</v>
      </c>
      <c r="X211">
        <v>-1</v>
      </c>
      <c r="Y211">
        <v>6</v>
      </c>
      <c r="Z211">
        <v>9</v>
      </c>
      <c r="AA211">
        <v>-3</v>
      </c>
      <c r="AB211">
        <v>7</v>
      </c>
      <c r="AC211">
        <v>8</v>
      </c>
      <c r="AD211">
        <v>-1</v>
      </c>
      <c r="AE211">
        <v>5</v>
      </c>
      <c r="AF211">
        <v>8</v>
      </c>
      <c r="AG211">
        <v>-3</v>
      </c>
      <c r="AH211">
        <v>7</v>
      </c>
      <c r="AI211">
        <v>8</v>
      </c>
      <c r="AJ211">
        <v>-1</v>
      </c>
      <c r="AK211" t="s">
        <v>2071</v>
      </c>
      <c r="AL211" t="s">
        <v>2072</v>
      </c>
      <c r="AM211" t="s">
        <v>2073</v>
      </c>
      <c r="AN211" t="s">
        <v>2074</v>
      </c>
      <c r="AO211" t="s">
        <v>2075</v>
      </c>
      <c r="AP211" t="s">
        <v>2076</v>
      </c>
      <c r="AQ211" t="s">
        <v>2077</v>
      </c>
      <c r="AR211" t="s">
        <v>2078</v>
      </c>
      <c r="AS211" t="s">
        <v>2079</v>
      </c>
    </row>
    <row r="212" spans="1:45" x14ac:dyDescent="0.45">
      <c r="A212">
        <v>211</v>
      </c>
      <c r="B212">
        <v>252</v>
      </c>
      <c r="C212" t="s">
        <v>72</v>
      </c>
      <c r="D212" t="s">
        <v>73</v>
      </c>
      <c r="E212" t="s">
        <v>74</v>
      </c>
      <c r="F212" t="s">
        <v>77</v>
      </c>
      <c r="G212" t="s">
        <v>76</v>
      </c>
      <c r="H212">
        <v>59.815604243370466</v>
      </c>
      <c r="I212">
        <v>1</v>
      </c>
      <c r="J212">
        <v>7</v>
      </c>
      <c r="K212">
        <v>7</v>
      </c>
      <c r="L212">
        <v>0</v>
      </c>
      <c r="M212">
        <v>6</v>
      </c>
      <c r="N212">
        <v>7</v>
      </c>
      <c r="O212">
        <v>-1</v>
      </c>
      <c r="P212">
        <v>8</v>
      </c>
      <c r="Q212">
        <v>7</v>
      </c>
      <c r="R212">
        <v>1</v>
      </c>
      <c r="S212">
        <v>9</v>
      </c>
      <c r="T212">
        <v>7</v>
      </c>
      <c r="U212">
        <v>2</v>
      </c>
      <c r="V212">
        <v>6</v>
      </c>
      <c r="W212">
        <v>7</v>
      </c>
      <c r="X212">
        <v>-1</v>
      </c>
      <c r="Y212">
        <v>7</v>
      </c>
      <c r="Z212">
        <v>7</v>
      </c>
      <c r="AA212">
        <v>0</v>
      </c>
      <c r="AB212">
        <v>5</v>
      </c>
      <c r="AC212">
        <v>7</v>
      </c>
      <c r="AD212">
        <v>-2</v>
      </c>
      <c r="AE212">
        <v>6</v>
      </c>
      <c r="AF212">
        <v>7</v>
      </c>
      <c r="AG212">
        <v>-1</v>
      </c>
      <c r="AH212">
        <v>7</v>
      </c>
      <c r="AI212">
        <v>7</v>
      </c>
      <c r="AJ212">
        <v>0</v>
      </c>
      <c r="AK212" t="s">
        <v>2080</v>
      </c>
      <c r="AL212" t="s">
        <v>2081</v>
      </c>
      <c r="AM212" t="s">
        <v>2082</v>
      </c>
      <c r="AN212" t="s">
        <v>2083</v>
      </c>
      <c r="AO212" t="s">
        <v>2084</v>
      </c>
      <c r="AP212" t="s">
        <v>2085</v>
      </c>
      <c r="AQ212" t="s">
        <v>2086</v>
      </c>
      <c r="AR212" t="s">
        <v>2087</v>
      </c>
      <c r="AS212" t="s">
        <v>2088</v>
      </c>
    </row>
    <row r="213" spans="1:45" x14ac:dyDescent="0.45">
      <c r="A213">
        <v>212</v>
      </c>
      <c r="B213">
        <v>253</v>
      </c>
      <c r="C213" t="s">
        <v>72</v>
      </c>
      <c r="D213" t="s">
        <v>73</v>
      </c>
      <c r="E213" t="s">
        <v>74</v>
      </c>
      <c r="F213" t="s">
        <v>77</v>
      </c>
      <c r="G213" t="s">
        <v>76</v>
      </c>
      <c r="H213">
        <v>53.356577828829899</v>
      </c>
      <c r="I213">
        <v>0</v>
      </c>
      <c r="J213">
        <v>7</v>
      </c>
      <c r="K213">
        <v>5</v>
      </c>
      <c r="L213">
        <v>2</v>
      </c>
      <c r="M213">
        <v>6</v>
      </c>
      <c r="N213">
        <v>5</v>
      </c>
      <c r="O213">
        <v>1</v>
      </c>
      <c r="P213">
        <v>8</v>
      </c>
      <c r="Q213">
        <v>1</v>
      </c>
      <c r="R213">
        <v>7</v>
      </c>
      <c r="S213">
        <v>9</v>
      </c>
      <c r="T213">
        <v>5</v>
      </c>
      <c r="U213">
        <v>4</v>
      </c>
      <c r="V213">
        <v>7</v>
      </c>
      <c r="W213">
        <v>5</v>
      </c>
      <c r="X213">
        <v>2</v>
      </c>
      <c r="Y213">
        <v>6</v>
      </c>
      <c r="Z213">
        <v>5</v>
      </c>
      <c r="AA213">
        <v>1</v>
      </c>
      <c r="AB213">
        <v>4</v>
      </c>
      <c r="AC213">
        <v>4</v>
      </c>
      <c r="AD213">
        <v>0</v>
      </c>
      <c r="AE213">
        <v>5</v>
      </c>
      <c r="AF213">
        <v>5</v>
      </c>
      <c r="AG213">
        <v>0</v>
      </c>
      <c r="AH213">
        <v>6</v>
      </c>
      <c r="AI213">
        <v>5</v>
      </c>
      <c r="AJ213">
        <v>1</v>
      </c>
      <c r="AK213" t="s">
        <v>2089</v>
      </c>
      <c r="AL213" t="s">
        <v>2090</v>
      </c>
      <c r="AM213" t="s">
        <v>2091</v>
      </c>
      <c r="AN213" t="s">
        <v>2092</v>
      </c>
      <c r="AO213" t="s">
        <v>2093</v>
      </c>
      <c r="AP213" t="s">
        <v>2094</v>
      </c>
      <c r="AQ213" t="s">
        <v>2095</v>
      </c>
      <c r="AR213" t="s">
        <v>2096</v>
      </c>
      <c r="AS213" t="s">
        <v>2097</v>
      </c>
    </row>
    <row r="214" spans="1:45" x14ac:dyDescent="0.45">
      <c r="A214">
        <v>213</v>
      </c>
      <c r="B214">
        <v>254</v>
      </c>
      <c r="C214" t="s">
        <v>72</v>
      </c>
      <c r="D214" t="s">
        <v>73</v>
      </c>
      <c r="E214" t="s">
        <v>74</v>
      </c>
      <c r="F214" t="s">
        <v>77</v>
      </c>
      <c r="G214" t="s">
        <v>76</v>
      </c>
      <c r="H214">
        <v>57.333918856481553</v>
      </c>
      <c r="I214">
        <v>4</v>
      </c>
      <c r="J214">
        <v>7</v>
      </c>
      <c r="K214">
        <v>7</v>
      </c>
      <c r="L214">
        <v>0</v>
      </c>
      <c r="M214">
        <v>8</v>
      </c>
      <c r="N214">
        <v>8</v>
      </c>
      <c r="O214">
        <v>0</v>
      </c>
      <c r="P214">
        <v>9</v>
      </c>
      <c r="Q214">
        <v>8</v>
      </c>
      <c r="R214">
        <v>1</v>
      </c>
      <c r="S214">
        <v>7</v>
      </c>
      <c r="T214">
        <v>8</v>
      </c>
      <c r="U214">
        <v>-1</v>
      </c>
      <c r="V214">
        <v>6</v>
      </c>
      <c r="W214">
        <v>8</v>
      </c>
      <c r="X214">
        <v>-2</v>
      </c>
      <c r="Y214">
        <v>8</v>
      </c>
      <c r="Z214">
        <v>8</v>
      </c>
      <c r="AA214">
        <v>0</v>
      </c>
      <c r="AB214">
        <v>7</v>
      </c>
      <c r="AC214">
        <v>8</v>
      </c>
      <c r="AD214">
        <v>-1</v>
      </c>
      <c r="AE214">
        <v>5</v>
      </c>
      <c r="AF214">
        <v>8</v>
      </c>
      <c r="AG214">
        <v>-3</v>
      </c>
      <c r="AH214">
        <v>8</v>
      </c>
      <c r="AI214">
        <v>8</v>
      </c>
      <c r="AJ214">
        <v>0</v>
      </c>
      <c r="AK214" t="s">
        <v>2098</v>
      </c>
      <c r="AL214" t="s">
        <v>2099</v>
      </c>
      <c r="AM214" t="s">
        <v>2100</v>
      </c>
      <c r="AN214" t="s">
        <v>2101</v>
      </c>
      <c r="AO214" t="s">
        <v>2102</v>
      </c>
      <c r="AP214" t="s">
        <v>2103</v>
      </c>
      <c r="AQ214" t="s">
        <v>2104</v>
      </c>
      <c r="AR214" t="s">
        <v>2105</v>
      </c>
      <c r="AS214" t="s">
        <v>2106</v>
      </c>
    </row>
    <row r="215" spans="1:45" x14ac:dyDescent="0.45">
      <c r="A215">
        <v>214</v>
      </c>
      <c r="B215">
        <v>255</v>
      </c>
      <c r="C215" t="s">
        <v>72</v>
      </c>
      <c r="D215" t="s">
        <v>73</v>
      </c>
      <c r="E215" t="s">
        <v>74</v>
      </c>
      <c r="F215" t="s">
        <v>75</v>
      </c>
      <c r="G215" t="s">
        <v>76</v>
      </c>
      <c r="H215">
        <v>64.979775667352939</v>
      </c>
      <c r="I215">
        <v>4</v>
      </c>
      <c r="J215">
        <v>7</v>
      </c>
      <c r="K215">
        <v>9</v>
      </c>
      <c r="L215">
        <v>-2</v>
      </c>
      <c r="M215">
        <v>8</v>
      </c>
      <c r="N215">
        <v>9</v>
      </c>
      <c r="O215">
        <v>-1</v>
      </c>
      <c r="P215">
        <v>9</v>
      </c>
      <c r="Q215">
        <v>9</v>
      </c>
      <c r="R215">
        <v>0</v>
      </c>
      <c r="S215">
        <v>7</v>
      </c>
      <c r="T215">
        <v>9</v>
      </c>
      <c r="U215">
        <v>-2</v>
      </c>
      <c r="V215">
        <v>8</v>
      </c>
      <c r="W215">
        <v>9</v>
      </c>
      <c r="X215">
        <v>-1</v>
      </c>
      <c r="Y215">
        <v>6</v>
      </c>
      <c r="Z215">
        <v>9</v>
      </c>
      <c r="AA215">
        <v>-3</v>
      </c>
      <c r="AB215">
        <v>7</v>
      </c>
      <c r="AC215">
        <v>9</v>
      </c>
      <c r="AD215">
        <v>-2</v>
      </c>
      <c r="AE215">
        <v>5</v>
      </c>
      <c r="AF215">
        <v>9</v>
      </c>
      <c r="AG215">
        <v>-4</v>
      </c>
      <c r="AH215">
        <v>8</v>
      </c>
      <c r="AI215">
        <v>9</v>
      </c>
      <c r="AJ215">
        <v>-1</v>
      </c>
      <c r="AK215" t="s">
        <v>2107</v>
      </c>
      <c r="AL215" t="s">
        <v>2108</v>
      </c>
      <c r="AM215" t="s">
        <v>2109</v>
      </c>
      <c r="AN215" t="s">
        <v>2110</v>
      </c>
      <c r="AO215" t="s">
        <v>2111</v>
      </c>
      <c r="AP215" t="s">
        <v>2112</v>
      </c>
      <c r="AQ215" t="s">
        <v>2113</v>
      </c>
      <c r="AR215" t="s">
        <v>2114</v>
      </c>
      <c r="AS215" t="s">
        <v>2115</v>
      </c>
    </row>
    <row r="216" spans="1:45" x14ac:dyDescent="0.45">
      <c r="A216">
        <v>215</v>
      </c>
      <c r="B216">
        <v>256</v>
      </c>
      <c r="C216" t="s">
        <v>72</v>
      </c>
      <c r="D216" t="s">
        <v>73</v>
      </c>
      <c r="E216" t="s">
        <v>74</v>
      </c>
      <c r="F216" t="s">
        <v>75</v>
      </c>
      <c r="G216" t="s">
        <v>76</v>
      </c>
      <c r="H216">
        <v>20.863929644639654</v>
      </c>
      <c r="I216">
        <v>2</v>
      </c>
      <c r="J216">
        <v>6</v>
      </c>
      <c r="K216">
        <v>5</v>
      </c>
      <c r="L216">
        <v>1</v>
      </c>
      <c r="M216">
        <v>7</v>
      </c>
      <c r="N216">
        <v>5</v>
      </c>
      <c r="O216">
        <v>2</v>
      </c>
      <c r="P216">
        <v>8</v>
      </c>
      <c r="Q216">
        <v>5</v>
      </c>
      <c r="R216">
        <v>3</v>
      </c>
      <c r="S216">
        <v>9</v>
      </c>
      <c r="T216">
        <v>5</v>
      </c>
      <c r="U216">
        <v>4</v>
      </c>
      <c r="V216">
        <v>8</v>
      </c>
      <c r="W216">
        <v>5</v>
      </c>
      <c r="X216">
        <v>3</v>
      </c>
      <c r="Y216">
        <v>6</v>
      </c>
      <c r="Z216">
        <v>5</v>
      </c>
      <c r="AA216">
        <v>1</v>
      </c>
      <c r="AB216">
        <v>7</v>
      </c>
      <c r="AC216">
        <v>5</v>
      </c>
      <c r="AD216">
        <v>2</v>
      </c>
      <c r="AE216">
        <v>5</v>
      </c>
      <c r="AF216">
        <v>5</v>
      </c>
      <c r="AG216">
        <v>0</v>
      </c>
      <c r="AH216">
        <v>6</v>
      </c>
      <c r="AI216">
        <v>5</v>
      </c>
      <c r="AJ216">
        <v>1</v>
      </c>
      <c r="AK216" t="s">
        <v>2116</v>
      </c>
      <c r="AL216" t="s">
        <v>2117</v>
      </c>
      <c r="AM216" t="s">
        <v>2118</v>
      </c>
      <c r="AN216" t="s">
        <v>2119</v>
      </c>
      <c r="AO216" t="s">
        <v>2120</v>
      </c>
      <c r="AP216" t="s">
        <v>2121</v>
      </c>
      <c r="AQ216" t="s">
        <v>2122</v>
      </c>
      <c r="AR216" t="s">
        <v>2123</v>
      </c>
      <c r="AS216" t="s">
        <v>2124</v>
      </c>
    </row>
    <row r="217" spans="1:45" x14ac:dyDescent="0.45">
      <c r="A217">
        <v>216</v>
      </c>
      <c r="B217">
        <v>257</v>
      </c>
      <c r="C217" t="s">
        <v>72</v>
      </c>
      <c r="D217" t="s">
        <v>73</v>
      </c>
      <c r="E217" t="s">
        <v>74</v>
      </c>
      <c r="F217" t="s">
        <v>75</v>
      </c>
      <c r="G217" t="s">
        <v>76</v>
      </c>
      <c r="H217">
        <v>43.203266373214916</v>
      </c>
      <c r="I217">
        <v>1</v>
      </c>
      <c r="J217">
        <v>6</v>
      </c>
      <c r="K217">
        <v>6</v>
      </c>
      <c r="L217">
        <v>0</v>
      </c>
      <c r="M217">
        <v>7</v>
      </c>
      <c r="N217">
        <v>7</v>
      </c>
      <c r="O217">
        <v>0</v>
      </c>
      <c r="P217">
        <v>8</v>
      </c>
      <c r="Q217">
        <v>7</v>
      </c>
      <c r="R217">
        <v>1</v>
      </c>
      <c r="S217">
        <v>9</v>
      </c>
      <c r="T217">
        <v>7</v>
      </c>
      <c r="U217">
        <v>2</v>
      </c>
      <c r="V217">
        <v>7</v>
      </c>
      <c r="W217">
        <v>6</v>
      </c>
      <c r="X217">
        <v>1</v>
      </c>
      <c r="Y217">
        <v>6</v>
      </c>
      <c r="Z217">
        <v>7</v>
      </c>
      <c r="AA217">
        <v>-1</v>
      </c>
      <c r="AB217">
        <v>5</v>
      </c>
      <c r="AC217">
        <v>7</v>
      </c>
      <c r="AD217">
        <v>-2</v>
      </c>
      <c r="AE217">
        <v>7</v>
      </c>
      <c r="AF217">
        <v>7</v>
      </c>
      <c r="AG217">
        <v>0</v>
      </c>
      <c r="AH217">
        <v>6</v>
      </c>
      <c r="AI217">
        <v>7</v>
      </c>
      <c r="AJ217">
        <v>-1</v>
      </c>
      <c r="AK217" t="s">
        <v>2125</v>
      </c>
      <c r="AL217" t="s">
        <v>2126</v>
      </c>
      <c r="AM217" t="s">
        <v>2127</v>
      </c>
      <c r="AN217" t="s">
        <v>2128</v>
      </c>
      <c r="AO217" t="s">
        <v>2129</v>
      </c>
      <c r="AP217" t="s">
        <v>2130</v>
      </c>
      <c r="AQ217" t="s">
        <v>2131</v>
      </c>
      <c r="AR217" t="s">
        <v>2132</v>
      </c>
      <c r="AS217" t="s">
        <v>2133</v>
      </c>
    </row>
    <row r="218" spans="1:45" x14ac:dyDescent="0.45">
      <c r="A218">
        <v>217</v>
      </c>
      <c r="B218">
        <v>258</v>
      </c>
      <c r="C218" t="s">
        <v>78</v>
      </c>
      <c r="D218" t="s">
        <v>73</v>
      </c>
      <c r="E218" t="s">
        <v>74</v>
      </c>
      <c r="F218" t="s">
        <v>77</v>
      </c>
      <c r="G218" t="s">
        <v>76</v>
      </c>
      <c r="H218">
        <v>37.268993067452101</v>
      </c>
      <c r="I218">
        <v>0</v>
      </c>
      <c r="J218">
        <v>7</v>
      </c>
      <c r="K218">
        <v>5</v>
      </c>
      <c r="L218">
        <v>2</v>
      </c>
      <c r="M218">
        <v>8</v>
      </c>
      <c r="N218">
        <v>5</v>
      </c>
      <c r="O218">
        <v>3</v>
      </c>
      <c r="P218">
        <v>9</v>
      </c>
      <c r="Q218">
        <v>5</v>
      </c>
      <c r="R218">
        <v>4</v>
      </c>
      <c r="S218">
        <v>9</v>
      </c>
      <c r="T218">
        <v>6</v>
      </c>
      <c r="U218">
        <v>3</v>
      </c>
      <c r="V218">
        <v>8</v>
      </c>
      <c r="W218">
        <v>5</v>
      </c>
      <c r="X218">
        <v>3</v>
      </c>
      <c r="Y218">
        <v>7</v>
      </c>
      <c r="Z218">
        <v>5</v>
      </c>
      <c r="AA218">
        <v>2</v>
      </c>
      <c r="AB218">
        <v>8</v>
      </c>
      <c r="AC218">
        <v>5</v>
      </c>
      <c r="AD218">
        <v>3</v>
      </c>
      <c r="AE218">
        <v>7</v>
      </c>
      <c r="AF218">
        <v>5</v>
      </c>
      <c r="AG218">
        <v>2</v>
      </c>
      <c r="AH218">
        <v>8</v>
      </c>
      <c r="AI218">
        <v>5</v>
      </c>
      <c r="AJ218">
        <v>3</v>
      </c>
      <c r="AK218" t="s">
        <v>2134</v>
      </c>
      <c r="AL218" t="s">
        <v>2135</v>
      </c>
      <c r="AM218" t="s">
        <v>2136</v>
      </c>
      <c r="AN218" t="s">
        <v>2137</v>
      </c>
      <c r="AO218" t="s">
        <v>2138</v>
      </c>
      <c r="AP218" t="s">
        <v>2139</v>
      </c>
      <c r="AQ218" t="s">
        <v>2140</v>
      </c>
      <c r="AR218" t="s">
        <v>2141</v>
      </c>
      <c r="AS218" t="s">
        <v>2142</v>
      </c>
    </row>
    <row r="219" spans="1:45" x14ac:dyDescent="0.45">
      <c r="A219">
        <v>218</v>
      </c>
      <c r="B219">
        <v>259</v>
      </c>
      <c r="C219" t="s">
        <v>72</v>
      </c>
      <c r="D219" t="s">
        <v>73</v>
      </c>
      <c r="E219" t="s">
        <v>74</v>
      </c>
      <c r="F219" t="s">
        <v>77</v>
      </c>
      <c r="G219" t="s">
        <v>76</v>
      </c>
      <c r="H219">
        <v>60.59434151841738</v>
      </c>
      <c r="I219">
        <v>3</v>
      </c>
      <c r="J219">
        <v>6</v>
      </c>
      <c r="K219">
        <v>6</v>
      </c>
      <c r="L219">
        <v>0</v>
      </c>
      <c r="M219">
        <v>7</v>
      </c>
      <c r="N219">
        <v>7</v>
      </c>
      <c r="O219">
        <v>0</v>
      </c>
      <c r="P219">
        <v>8</v>
      </c>
      <c r="Q219">
        <v>7</v>
      </c>
      <c r="R219">
        <v>1</v>
      </c>
      <c r="S219">
        <v>9</v>
      </c>
      <c r="T219">
        <v>7</v>
      </c>
      <c r="U219">
        <v>2</v>
      </c>
      <c r="V219">
        <v>5</v>
      </c>
      <c r="W219">
        <v>7</v>
      </c>
      <c r="X219">
        <v>-2</v>
      </c>
      <c r="Y219">
        <v>7</v>
      </c>
      <c r="Z219">
        <v>7</v>
      </c>
      <c r="AA219">
        <v>0</v>
      </c>
      <c r="AB219">
        <v>6</v>
      </c>
      <c r="AC219">
        <v>7</v>
      </c>
      <c r="AD219">
        <v>-1</v>
      </c>
      <c r="AE219">
        <v>4</v>
      </c>
      <c r="AF219">
        <v>7</v>
      </c>
      <c r="AG219">
        <v>-3</v>
      </c>
      <c r="AH219">
        <v>5</v>
      </c>
      <c r="AI219">
        <v>7</v>
      </c>
      <c r="AJ219">
        <v>-2</v>
      </c>
      <c r="AK219" t="s">
        <v>2143</v>
      </c>
      <c r="AL219" t="s">
        <v>2144</v>
      </c>
      <c r="AM219" t="s">
        <v>2145</v>
      </c>
      <c r="AN219" t="s">
        <v>2146</v>
      </c>
      <c r="AO219" t="s">
        <v>2147</v>
      </c>
      <c r="AP219" t="s">
        <v>2148</v>
      </c>
      <c r="AQ219" t="s">
        <v>2149</v>
      </c>
      <c r="AR219" t="s">
        <v>2150</v>
      </c>
      <c r="AS219" t="s">
        <v>2151</v>
      </c>
    </row>
    <row r="220" spans="1:45" x14ac:dyDescent="0.45">
      <c r="A220">
        <v>219</v>
      </c>
      <c r="B220">
        <v>260</v>
      </c>
      <c r="C220" t="s">
        <v>78</v>
      </c>
      <c r="D220" t="s">
        <v>192</v>
      </c>
      <c r="E220" t="s">
        <v>74</v>
      </c>
      <c r="F220" t="s">
        <v>75</v>
      </c>
      <c r="G220" t="s">
        <v>76</v>
      </c>
      <c r="H220">
        <v>239.86845749153417</v>
      </c>
      <c r="I220">
        <v>2</v>
      </c>
      <c r="J220">
        <v>8</v>
      </c>
      <c r="K220">
        <v>7</v>
      </c>
      <c r="L220">
        <v>1</v>
      </c>
      <c r="M220">
        <v>7</v>
      </c>
      <c r="N220">
        <v>8</v>
      </c>
      <c r="O220">
        <v>-1</v>
      </c>
      <c r="P220">
        <v>9</v>
      </c>
      <c r="Q220">
        <v>8</v>
      </c>
      <c r="R220">
        <v>1</v>
      </c>
      <c r="S220">
        <v>8</v>
      </c>
      <c r="T220">
        <v>8</v>
      </c>
      <c r="U220">
        <v>0</v>
      </c>
      <c r="V220">
        <v>7</v>
      </c>
      <c r="W220">
        <v>8</v>
      </c>
      <c r="X220">
        <v>-1</v>
      </c>
      <c r="Y220">
        <v>8</v>
      </c>
      <c r="Z220">
        <v>5</v>
      </c>
      <c r="AA220">
        <v>3</v>
      </c>
      <c r="AB220">
        <v>7</v>
      </c>
      <c r="AC220">
        <v>5</v>
      </c>
      <c r="AD220">
        <v>2</v>
      </c>
      <c r="AE220">
        <v>6</v>
      </c>
      <c r="AF220">
        <v>7</v>
      </c>
      <c r="AG220">
        <v>-1</v>
      </c>
      <c r="AH220">
        <v>9</v>
      </c>
      <c r="AI220">
        <v>6</v>
      </c>
      <c r="AJ220">
        <v>3</v>
      </c>
      <c r="AK220" t="s">
        <v>2152</v>
      </c>
      <c r="AL220" t="s">
        <v>2153</v>
      </c>
      <c r="AM220" t="s">
        <v>2154</v>
      </c>
      <c r="AN220" t="s">
        <v>2155</v>
      </c>
      <c r="AO220" t="s">
        <v>2156</v>
      </c>
      <c r="AP220" t="s">
        <v>2157</v>
      </c>
      <c r="AQ220" t="s">
        <v>2158</v>
      </c>
      <c r="AR220" t="s">
        <v>2159</v>
      </c>
      <c r="AS220" t="s">
        <v>2160</v>
      </c>
    </row>
    <row r="221" spans="1:45" x14ac:dyDescent="0.45">
      <c r="A221">
        <v>220</v>
      </c>
      <c r="B221">
        <v>261</v>
      </c>
      <c r="C221" t="s">
        <v>72</v>
      </c>
      <c r="D221" t="s">
        <v>190</v>
      </c>
      <c r="E221" t="s">
        <v>74</v>
      </c>
      <c r="F221" t="s">
        <v>75</v>
      </c>
      <c r="G221" t="s">
        <v>76</v>
      </c>
      <c r="H221">
        <v>152.839981192491</v>
      </c>
      <c r="I221">
        <v>1</v>
      </c>
      <c r="J221">
        <v>8</v>
      </c>
      <c r="K221">
        <v>10</v>
      </c>
      <c r="L221">
        <v>-2</v>
      </c>
      <c r="M221">
        <v>9</v>
      </c>
      <c r="N221">
        <v>10</v>
      </c>
      <c r="O221">
        <v>-1</v>
      </c>
      <c r="P221">
        <v>7</v>
      </c>
      <c r="Q221">
        <v>6</v>
      </c>
      <c r="R221">
        <v>1</v>
      </c>
      <c r="S221">
        <v>8</v>
      </c>
      <c r="T221">
        <v>9</v>
      </c>
      <c r="U221">
        <v>-1</v>
      </c>
      <c r="V221">
        <v>7</v>
      </c>
      <c r="W221">
        <v>9</v>
      </c>
      <c r="X221">
        <v>-2</v>
      </c>
      <c r="Y221">
        <v>6</v>
      </c>
      <c r="Z221">
        <v>9</v>
      </c>
      <c r="AA221">
        <v>-3</v>
      </c>
      <c r="AB221">
        <v>7</v>
      </c>
      <c r="AC221">
        <v>9</v>
      </c>
      <c r="AD221">
        <v>-2</v>
      </c>
      <c r="AE221">
        <v>5</v>
      </c>
      <c r="AF221">
        <v>8</v>
      </c>
      <c r="AG221">
        <v>-3</v>
      </c>
      <c r="AH221">
        <v>6</v>
      </c>
      <c r="AI221">
        <v>8</v>
      </c>
      <c r="AJ221">
        <v>-2</v>
      </c>
      <c r="AK221" t="s">
        <v>2161</v>
      </c>
      <c r="AL221" t="s">
        <v>2162</v>
      </c>
      <c r="AM221" t="s">
        <v>2163</v>
      </c>
      <c r="AN221" t="s">
        <v>2164</v>
      </c>
      <c r="AO221" t="s">
        <v>2165</v>
      </c>
      <c r="AP221" t="s">
        <v>2166</v>
      </c>
      <c r="AQ221" t="s">
        <v>2167</v>
      </c>
      <c r="AR221" t="s">
        <v>2168</v>
      </c>
      <c r="AS221" t="s">
        <v>2169</v>
      </c>
    </row>
    <row r="222" spans="1:45" x14ac:dyDescent="0.45">
      <c r="A222">
        <v>221</v>
      </c>
      <c r="B222">
        <v>262</v>
      </c>
      <c r="C222" t="s">
        <v>72</v>
      </c>
      <c r="D222" t="s">
        <v>79</v>
      </c>
      <c r="E222" t="s">
        <v>74</v>
      </c>
      <c r="F222" t="s">
        <v>77</v>
      </c>
      <c r="G222" t="s">
        <v>76</v>
      </c>
      <c r="H222">
        <v>65.651705954147928</v>
      </c>
      <c r="I222">
        <v>1</v>
      </c>
      <c r="J222">
        <v>8</v>
      </c>
      <c r="K222">
        <v>4</v>
      </c>
      <c r="L222">
        <v>4</v>
      </c>
      <c r="M222">
        <v>7</v>
      </c>
      <c r="N222">
        <v>4</v>
      </c>
      <c r="O222">
        <v>3</v>
      </c>
      <c r="P222">
        <v>6</v>
      </c>
      <c r="Q222">
        <v>4</v>
      </c>
      <c r="R222">
        <v>2</v>
      </c>
      <c r="S222">
        <v>8</v>
      </c>
      <c r="T222">
        <v>6</v>
      </c>
      <c r="U222">
        <v>2</v>
      </c>
      <c r="V222">
        <v>7</v>
      </c>
      <c r="W222">
        <v>5</v>
      </c>
      <c r="X222">
        <v>2</v>
      </c>
      <c r="Y222">
        <v>6</v>
      </c>
      <c r="Z222">
        <v>6</v>
      </c>
      <c r="AA222">
        <v>0</v>
      </c>
      <c r="AB222">
        <v>7</v>
      </c>
      <c r="AC222">
        <v>5</v>
      </c>
      <c r="AD222">
        <v>2</v>
      </c>
      <c r="AE222">
        <v>5</v>
      </c>
      <c r="AF222">
        <v>6</v>
      </c>
      <c r="AG222">
        <v>-1</v>
      </c>
      <c r="AH222">
        <v>7</v>
      </c>
      <c r="AI222">
        <v>5</v>
      </c>
      <c r="AJ222">
        <v>2</v>
      </c>
      <c r="AK222" t="s">
        <v>2170</v>
      </c>
      <c r="AL222" t="s">
        <v>2171</v>
      </c>
      <c r="AM222" t="s">
        <v>2172</v>
      </c>
      <c r="AN222" t="s">
        <v>2173</v>
      </c>
      <c r="AO222" t="s">
        <v>2174</v>
      </c>
      <c r="AP222" t="s">
        <v>2175</v>
      </c>
      <c r="AQ222" t="s">
        <v>2176</v>
      </c>
      <c r="AR222" t="s">
        <v>2177</v>
      </c>
      <c r="AS222" t="s">
        <v>2178</v>
      </c>
    </row>
    <row r="223" spans="1:45" x14ac:dyDescent="0.45">
      <c r="A223">
        <v>222</v>
      </c>
      <c r="B223">
        <v>263</v>
      </c>
      <c r="C223" t="s">
        <v>72</v>
      </c>
      <c r="D223" t="s">
        <v>190</v>
      </c>
      <c r="E223" t="s">
        <v>74</v>
      </c>
      <c r="F223" t="s">
        <v>77</v>
      </c>
      <c r="G223" t="s">
        <v>76</v>
      </c>
      <c r="H223">
        <v>55.082815093837773</v>
      </c>
      <c r="I223">
        <v>2</v>
      </c>
      <c r="J223">
        <v>8</v>
      </c>
      <c r="K223">
        <v>4</v>
      </c>
      <c r="L223">
        <v>4</v>
      </c>
      <c r="M223">
        <v>9</v>
      </c>
      <c r="N223">
        <v>5</v>
      </c>
      <c r="O223">
        <v>4</v>
      </c>
      <c r="P223">
        <v>7</v>
      </c>
      <c r="Q223">
        <v>4</v>
      </c>
      <c r="R223">
        <v>3</v>
      </c>
      <c r="S223">
        <v>8</v>
      </c>
      <c r="T223">
        <v>5</v>
      </c>
      <c r="U223">
        <v>3</v>
      </c>
      <c r="V223">
        <v>9</v>
      </c>
      <c r="W223">
        <v>5</v>
      </c>
      <c r="X223">
        <v>4</v>
      </c>
      <c r="Y223">
        <v>7</v>
      </c>
      <c r="Z223">
        <v>5</v>
      </c>
      <c r="AA223">
        <v>2</v>
      </c>
      <c r="AB223">
        <v>6</v>
      </c>
      <c r="AC223">
        <v>5</v>
      </c>
      <c r="AD223">
        <v>1</v>
      </c>
      <c r="AE223">
        <v>8</v>
      </c>
      <c r="AF223">
        <v>5</v>
      </c>
      <c r="AG223">
        <v>3</v>
      </c>
      <c r="AH223">
        <v>7</v>
      </c>
      <c r="AI223">
        <v>5</v>
      </c>
      <c r="AJ223">
        <v>2</v>
      </c>
      <c r="AK223" t="s">
        <v>2179</v>
      </c>
      <c r="AL223" t="s">
        <v>2180</v>
      </c>
      <c r="AM223" t="s">
        <v>2181</v>
      </c>
      <c r="AN223" t="s">
        <v>2182</v>
      </c>
      <c r="AO223" t="s">
        <v>2183</v>
      </c>
      <c r="AP223" t="s">
        <v>2184</v>
      </c>
      <c r="AQ223" t="s">
        <v>2185</v>
      </c>
      <c r="AR223" t="s">
        <v>2186</v>
      </c>
      <c r="AS223" t="s">
        <v>2187</v>
      </c>
    </row>
    <row r="224" spans="1:45" x14ac:dyDescent="0.45">
      <c r="A224">
        <v>223</v>
      </c>
      <c r="B224">
        <v>264</v>
      </c>
      <c r="C224" t="s">
        <v>78</v>
      </c>
      <c r="D224" t="s">
        <v>73</v>
      </c>
      <c r="E224" t="s">
        <v>74</v>
      </c>
      <c r="F224" t="s">
        <v>77</v>
      </c>
      <c r="G224" t="s">
        <v>76</v>
      </c>
      <c r="H224">
        <v>55.962228997949907</v>
      </c>
      <c r="I224">
        <v>2</v>
      </c>
      <c r="J224">
        <v>7</v>
      </c>
      <c r="K224">
        <v>6</v>
      </c>
      <c r="L224">
        <v>1</v>
      </c>
      <c r="M224">
        <v>6</v>
      </c>
      <c r="N224">
        <v>6</v>
      </c>
      <c r="O224">
        <v>0</v>
      </c>
      <c r="P224">
        <v>9</v>
      </c>
      <c r="Q224">
        <v>7</v>
      </c>
      <c r="R224">
        <v>2</v>
      </c>
      <c r="S224">
        <v>8</v>
      </c>
      <c r="T224">
        <v>7</v>
      </c>
      <c r="U224">
        <v>1</v>
      </c>
      <c r="V224">
        <v>7</v>
      </c>
      <c r="W224">
        <v>6</v>
      </c>
      <c r="X224">
        <v>1</v>
      </c>
      <c r="Y224">
        <v>6</v>
      </c>
      <c r="Z224">
        <v>6</v>
      </c>
      <c r="AA224">
        <v>0</v>
      </c>
      <c r="AB224">
        <v>5</v>
      </c>
      <c r="AC224">
        <v>8</v>
      </c>
      <c r="AD224">
        <v>-3</v>
      </c>
      <c r="AE224">
        <v>6</v>
      </c>
      <c r="AF224">
        <v>8</v>
      </c>
      <c r="AG224">
        <v>-2</v>
      </c>
      <c r="AH224">
        <v>7</v>
      </c>
      <c r="AI224">
        <v>7</v>
      </c>
      <c r="AJ224">
        <v>0</v>
      </c>
      <c r="AK224" t="s">
        <v>2188</v>
      </c>
      <c r="AL224" t="s">
        <v>2189</v>
      </c>
      <c r="AM224" t="s">
        <v>2190</v>
      </c>
      <c r="AN224" t="s">
        <v>2191</v>
      </c>
      <c r="AO224" t="s">
        <v>2192</v>
      </c>
      <c r="AP224" t="s">
        <v>2193</v>
      </c>
      <c r="AQ224" t="s">
        <v>2194</v>
      </c>
      <c r="AR224" t="s">
        <v>2195</v>
      </c>
      <c r="AS224" t="s">
        <v>2196</v>
      </c>
    </row>
    <row r="225" spans="1:45" x14ac:dyDescent="0.45">
      <c r="A225">
        <v>224</v>
      </c>
      <c r="B225">
        <v>265</v>
      </c>
      <c r="C225" t="s">
        <v>72</v>
      </c>
      <c r="D225" t="s">
        <v>73</v>
      </c>
      <c r="E225" t="s">
        <v>74</v>
      </c>
      <c r="F225" t="s">
        <v>75</v>
      </c>
      <c r="G225" t="s">
        <v>76</v>
      </c>
      <c r="H225">
        <v>54.626632937164906</v>
      </c>
      <c r="I225">
        <v>0</v>
      </c>
      <c r="J225">
        <v>8</v>
      </c>
      <c r="K225">
        <v>7</v>
      </c>
      <c r="L225">
        <v>1</v>
      </c>
      <c r="M225">
        <v>7</v>
      </c>
      <c r="N225">
        <v>7</v>
      </c>
      <c r="O225">
        <v>0</v>
      </c>
      <c r="P225">
        <v>9</v>
      </c>
      <c r="Q225">
        <v>7</v>
      </c>
      <c r="R225">
        <v>2</v>
      </c>
      <c r="S225">
        <v>8</v>
      </c>
      <c r="T225">
        <v>7</v>
      </c>
      <c r="U225">
        <v>1</v>
      </c>
      <c r="V225">
        <v>9</v>
      </c>
      <c r="W225">
        <v>7</v>
      </c>
      <c r="X225">
        <v>2</v>
      </c>
      <c r="Y225">
        <v>8</v>
      </c>
      <c r="Z225">
        <v>7</v>
      </c>
      <c r="AA225">
        <v>1</v>
      </c>
      <c r="AB225">
        <v>9</v>
      </c>
      <c r="AC225">
        <v>7</v>
      </c>
      <c r="AD225">
        <v>2</v>
      </c>
      <c r="AE225">
        <v>8</v>
      </c>
      <c r="AF225">
        <v>7</v>
      </c>
      <c r="AG225">
        <v>1</v>
      </c>
      <c r="AH225">
        <v>9</v>
      </c>
      <c r="AI225">
        <v>7</v>
      </c>
      <c r="AJ225">
        <v>2</v>
      </c>
      <c r="AK225" t="s">
        <v>2197</v>
      </c>
      <c r="AL225" t="s">
        <v>2198</v>
      </c>
      <c r="AM225" t="s">
        <v>2199</v>
      </c>
      <c r="AN225" t="s">
        <v>2200</v>
      </c>
      <c r="AO225" t="s">
        <v>2201</v>
      </c>
      <c r="AP225" t="s">
        <v>2202</v>
      </c>
      <c r="AQ225" t="s">
        <v>2203</v>
      </c>
      <c r="AR225" t="s">
        <v>2204</v>
      </c>
      <c r="AS225" t="s">
        <v>2205</v>
      </c>
    </row>
    <row r="226" spans="1:45" x14ac:dyDescent="0.45">
      <c r="A226">
        <v>225</v>
      </c>
      <c r="B226">
        <v>266</v>
      </c>
      <c r="C226" t="s">
        <v>72</v>
      </c>
      <c r="D226" t="s">
        <v>73</v>
      </c>
      <c r="E226" t="s">
        <v>74</v>
      </c>
      <c r="F226" t="s">
        <v>77</v>
      </c>
      <c r="G226" t="s">
        <v>76</v>
      </c>
      <c r="H226">
        <v>35.081133652244851</v>
      </c>
      <c r="I226">
        <v>1</v>
      </c>
      <c r="J226">
        <v>6</v>
      </c>
      <c r="K226">
        <v>6</v>
      </c>
      <c r="L226">
        <v>0</v>
      </c>
      <c r="M226">
        <v>7</v>
      </c>
      <c r="N226">
        <v>6</v>
      </c>
      <c r="O226">
        <v>1</v>
      </c>
      <c r="P226">
        <v>8</v>
      </c>
      <c r="Q226">
        <v>7</v>
      </c>
      <c r="R226">
        <v>1</v>
      </c>
      <c r="S226">
        <v>9</v>
      </c>
      <c r="T226">
        <v>7</v>
      </c>
      <c r="U226">
        <v>2</v>
      </c>
      <c r="V226">
        <v>7</v>
      </c>
      <c r="W226">
        <v>5</v>
      </c>
      <c r="X226">
        <v>2</v>
      </c>
      <c r="Y226">
        <v>6</v>
      </c>
      <c r="Z226">
        <v>6</v>
      </c>
      <c r="AA226">
        <v>0</v>
      </c>
      <c r="AB226">
        <v>5</v>
      </c>
      <c r="AC226">
        <v>6</v>
      </c>
      <c r="AD226">
        <v>-1</v>
      </c>
      <c r="AE226">
        <v>4</v>
      </c>
      <c r="AF226">
        <v>6</v>
      </c>
      <c r="AG226">
        <v>-2</v>
      </c>
      <c r="AH226">
        <v>7</v>
      </c>
      <c r="AI226">
        <v>7</v>
      </c>
      <c r="AJ226">
        <v>0</v>
      </c>
      <c r="AK226" t="s">
        <v>2206</v>
      </c>
      <c r="AL226" t="s">
        <v>2207</v>
      </c>
      <c r="AM226" t="s">
        <v>2208</v>
      </c>
      <c r="AN226" t="s">
        <v>2209</v>
      </c>
      <c r="AO226" t="s">
        <v>2210</v>
      </c>
      <c r="AP226" t="s">
        <v>2211</v>
      </c>
      <c r="AQ226" t="s">
        <v>2212</v>
      </c>
      <c r="AR226" t="s">
        <v>2213</v>
      </c>
      <c r="AS226" t="s">
        <v>2214</v>
      </c>
    </row>
    <row r="227" spans="1:45" x14ac:dyDescent="0.45">
      <c r="A227">
        <v>226</v>
      </c>
      <c r="B227">
        <v>267</v>
      </c>
      <c r="C227" t="s">
        <v>72</v>
      </c>
      <c r="D227" t="s">
        <v>192</v>
      </c>
      <c r="E227" t="s">
        <v>74</v>
      </c>
      <c r="F227" t="s">
        <v>75</v>
      </c>
      <c r="G227" t="s">
        <v>76</v>
      </c>
      <c r="H227">
        <v>87.922904428497816</v>
      </c>
      <c r="I227">
        <v>2</v>
      </c>
      <c r="J227">
        <v>6</v>
      </c>
      <c r="K227">
        <v>7</v>
      </c>
      <c r="L227">
        <v>-1</v>
      </c>
      <c r="M227">
        <v>7</v>
      </c>
      <c r="N227">
        <v>7</v>
      </c>
      <c r="O227">
        <v>0</v>
      </c>
      <c r="P227">
        <v>8</v>
      </c>
      <c r="Q227">
        <v>6</v>
      </c>
      <c r="R227">
        <v>2</v>
      </c>
      <c r="S227">
        <v>9</v>
      </c>
      <c r="T227">
        <v>7</v>
      </c>
      <c r="U227">
        <v>2</v>
      </c>
      <c r="V227">
        <v>7</v>
      </c>
      <c r="W227">
        <v>7</v>
      </c>
      <c r="X227">
        <v>0</v>
      </c>
      <c r="Y227">
        <v>8</v>
      </c>
      <c r="Z227">
        <v>7</v>
      </c>
      <c r="AA227">
        <v>1</v>
      </c>
      <c r="AB227">
        <v>7</v>
      </c>
      <c r="AC227">
        <v>7</v>
      </c>
      <c r="AD227">
        <v>0</v>
      </c>
      <c r="AE227">
        <v>8</v>
      </c>
      <c r="AF227">
        <v>7</v>
      </c>
      <c r="AG227">
        <v>1</v>
      </c>
      <c r="AH227">
        <v>8</v>
      </c>
      <c r="AI227">
        <v>7</v>
      </c>
      <c r="AJ227">
        <v>1</v>
      </c>
      <c r="AK227" t="s">
        <v>2215</v>
      </c>
      <c r="AL227" t="s">
        <v>2216</v>
      </c>
      <c r="AM227" t="s">
        <v>2217</v>
      </c>
      <c r="AN227" t="s">
        <v>2218</v>
      </c>
      <c r="AO227" t="s">
        <v>2219</v>
      </c>
      <c r="AP227" t="s">
        <v>2220</v>
      </c>
      <c r="AQ227" t="s">
        <v>2221</v>
      </c>
      <c r="AR227" t="s">
        <v>2222</v>
      </c>
      <c r="AS227" t="s">
        <v>2223</v>
      </c>
    </row>
    <row r="228" spans="1:45" x14ac:dyDescent="0.45">
      <c r="A228">
        <v>227</v>
      </c>
      <c r="B228">
        <v>268</v>
      </c>
      <c r="C228" t="s">
        <v>72</v>
      </c>
      <c r="D228" t="s">
        <v>81</v>
      </c>
      <c r="E228" t="s">
        <v>74</v>
      </c>
      <c r="F228" t="s">
        <v>77</v>
      </c>
      <c r="G228" t="s">
        <v>76</v>
      </c>
      <c r="H228">
        <v>30.701534518360898</v>
      </c>
      <c r="I228">
        <v>0</v>
      </c>
      <c r="J228">
        <v>7</v>
      </c>
      <c r="K228">
        <v>6</v>
      </c>
      <c r="L228">
        <v>1</v>
      </c>
      <c r="M228">
        <v>6</v>
      </c>
      <c r="N228">
        <v>6</v>
      </c>
      <c r="O228">
        <v>0</v>
      </c>
      <c r="P228">
        <v>8</v>
      </c>
      <c r="Q228">
        <v>6</v>
      </c>
      <c r="R228">
        <v>2</v>
      </c>
      <c r="S228">
        <v>7</v>
      </c>
      <c r="T228">
        <v>6</v>
      </c>
      <c r="U228">
        <v>1</v>
      </c>
      <c r="V228">
        <v>6</v>
      </c>
      <c r="W228">
        <v>6</v>
      </c>
      <c r="X228">
        <v>0</v>
      </c>
      <c r="Y228">
        <v>5</v>
      </c>
      <c r="Z228">
        <v>6</v>
      </c>
      <c r="AA228">
        <v>-1</v>
      </c>
      <c r="AB228">
        <v>6</v>
      </c>
      <c r="AC228">
        <v>6</v>
      </c>
      <c r="AD228">
        <v>0</v>
      </c>
      <c r="AE228">
        <v>5</v>
      </c>
      <c r="AF228">
        <v>6</v>
      </c>
      <c r="AG228">
        <v>-1</v>
      </c>
      <c r="AH228">
        <v>7</v>
      </c>
      <c r="AI228">
        <v>6</v>
      </c>
      <c r="AJ228">
        <v>1</v>
      </c>
      <c r="AK228" t="s">
        <v>2224</v>
      </c>
      <c r="AL228" t="s">
        <v>2225</v>
      </c>
      <c r="AM228" t="s">
        <v>2226</v>
      </c>
      <c r="AN228" t="s">
        <v>2227</v>
      </c>
      <c r="AO228" t="s">
        <v>2228</v>
      </c>
      <c r="AP228" t="s">
        <v>2229</v>
      </c>
      <c r="AQ228" t="s">
        <v>2230</v>
      </c>
      <c r="AR228" t="s">
        <v>2231</v>
      </c>
      <c r="AS228" t="s">
        <v>2232</v>
      </c>
    </row>
    <row r="229" spans="1:45" x14ac:dyDescent="0.45">
      <c r="A229">
        <v>228</v>
      </c>
      <c r="B229">
        <v>269</v>
      </c>
      <c r="C229" t="s">
        <v>72</v>
      </c>
      <c r="D229" t="s">
        <v>81</v>
      </c>
      <c r="E229" t="s">
        <v>74</v>
      </c>
      <c r="F229" t="s">
        <v>77</v>
      </c>
      <c r="G229" t="s">
        <v>76</v>
      </c>
      <c r="H229">
        <v>19.242651811733619</v>
      </c>
      <c r="I229">
        <v>2</v>
      </c>
      <c r="J229">
        <v>8</v>
      </c>
      <c r="K229">
        <v>8</v>
      </c>
      <c r="L229">
        <v>0</v>
      </c>
      <c r="M229">
        <v>9</v>
      </c>
      <c r="N229">
        <v>9</v>
      </c>
      <c r="O229">
        <v>0</v>
      </c>
      <c r="P229">
        <v>8</v>
      </c>
      <c r="Q229">
        <v>7</v>
      </c>
      <c r="R229">
        <v>1</v>
      </c>
      <c r="S229">
        <v>7</v>
      </c>
      <c r="T229">
        <v>8</v>
      </c>
      <c r="U229">
        <v>-1</v>
      </c>
      <c r="V229">
        <v>8</v>
      </c>
      <c r="W229">
        <v>9</v>
      </c>
      <c r="X229">
        <v>-1</v>
      </c>
      <c r="Y229">
        <v>7</v>
      </c>
      <c r="Z229">
        <v>8</v>
      </c>
      <c r="AA229">
        <v>-1</v>
      </c>
      <c r="AB229">
        <v>8</v>
      </c>
      <c r="AC229">
        <v>8</v>
      </c>
      <c r="AD229">
        <v>0</v>
      </c>
      <c r="AE229">
        <v>6</v>
      </c>
      <c r="AF229">
        <v>8</v>
      </c>
      <c r="AG229">
        <v>-2</v>
      </c>
      <c r="AH229">
        <v>7</v>
      </c>
      <c r="AI229">
        <v>8</v>
      </c>
      <c r="AJ229">
        <v>-1</v>
      </c>
      <c r="AK229" t="s">
        <v>2233</v>
      </c>
      <c r="AL229" t="s">
        <v>2234</v>
      </c>
      <c r="AM229" t="s">
        <v>2235</v>
      </c>
      <c r="AN229" t="s">
        <v>2236</v>
      </c>
      <c r="AO229" t="s">
        <v>2237</v>
      </c>
      <c r="AP229" t="s">
        <v>2238</v>
      </c>
      <c r="AQ229" t="s">
        <v>2239</v>
      </c>
      <c r="AR229" t="s">
        <v>2240</v>
      </c>
      <c r="AS229" t="s">
        <v>2241</v>
      </c>
    </row>
    <row r="230" spans="1:45" x14ac:dyDescent="0.45">
      <c r="A230">
        <v>229</v>
      </c>
      <c r="B230">
        <v>270</v>
      </c>
      <c r="C230" t="s">
        <v>72</v>
      </c>
      <c r="D230" t="s">
        <v>73</v>
      </c>
      <c r="E230" t="s">
        <v>74</v>
      </c>
      <c r="F230" t="s">
        <v>77</v>
      </c>
      <c r="G230" t="s">
        <v>76</v>
      </c>
      <c r="H230">
        <v>56.160676013012015</v>
      </c>
      <c r="I230">
        <v>2</v>
      </c>
      <c r="J230">
        <v>7</v>
      </c>
      <c r="K230">
        <v>6</v>
      </c>
      <c r="L230">
        <v>1</v>
      </c>
      <c r="M230">
        <v>8</v>
      </c>
      <c r="N230">
        <v>6</v>
      </c>
      <c r="O230">
        <v>2</v>
      </c>
      <c r="P230">
        <v>6</v>
      </c>
      <c r="Q230">
        <v>6</v>
      </c>
      <c r="R230">
        <v>0</v>
      </c>
      <c r="S230">
        <v>7</v>
      </c>
      <c r="T230">
        <v>6</v>
      </c>
      <c r="U230">
        <v>1</v>
      </c>
      <c r="V230">
        <v>8</v>
      </c>
      <c r="W230">
        <v>6</v>
      </c>
      <c r="X230">
        <v>2</v>
      </c>
      <c r="Y230">
        <v>7</v>
      </c>
      <c r="Z230">
        <v>7</v>
      </c>
      <c r="AA230">
        <v>0</v>
      </c>
      <c r="AB230">
        <v>6</v>
      </c>
      <c r="AC230">
        <v>6</v>
      </c>
      <c r="AD230">
        <v>0</v>
      </c>
      <c r="AE230">
        <v>5</v>
      </c>
      <c r="AF230">
        <v>6</v>
      </c>
      <c r="AG230">
        <v>-1</v>
      </c>
      <c r="AH230">
        <v>8</v>
      </c>
      <c r="AI230">
        <v>7</v>
      </c>
      <c r="AJ230">
        <v>1</v>
      </c>
      <c r="AK230" t="s">
        <v>2242</v>
      </c>
      <c r="AL230" t="s">
        <v>2243</v>
      </c>
      <c r="AM230" t="s">
        <v>2244</v>
      </c>
      <c r="AN230" t="s">
        <v>2245</v>
      </c>
      <c r="AO230" t="s">
        <v>2246</v>
      </c>
      <c r="AP230" t="s">
        <v>2247</v>
      </c>
      <c r="AQ230" t="s">
        <v>2248</v>
      </c>
      <c r="AR230" t="s">
        <v>2249</v>
      </c>
      <c r="AS230" t="s">
        <v>2250</v>
      </c>
    </row>
    <row r="231" spans="1:45" x14ac:dyDescent="0.45">
      <c r="A231">
        <v>230</v>
      </c>
      <c r="B231">
        <v>271</v>
      </c>
      <c r="C231" t="s">
        <v>72</v>
      </c>
      <c r="D231" t="s">
        <v>79</v>
      </c>
      <c r="E231" t="s">
        <v>74</v>
      </c>
      <c r="F231" t="s">
        <v>75</v>
      </c>
      <c r="G231" t="s">
        <v>76</v>
      </c>
      <c r="H231">
        <v>94.241364690138667</v>
      </c>
      <c r="I231">
        <v>4</v>
      </c>
      <c r="J231">
        <v>7</v>
      </c>
      <c r="K231">
        <v>4</v>
      </c>
      <c r="L231">
        <v>3</v>
      </c>
      <c r="M231">
        <v>6</v>
      </c>
      <c r="N231">
        <v>5</v>
      </c>
      <c r="O231">
        <v>1</v>
      </c>
      <c r="P231">
        <v>9</v>
      </c>
      <c r="Q231">
        <v>1</v>
      </c>
      <c r="R231">
        <v>8</v>
      </c>
      <c r="S231">
        <v>8</v>
      </c>
      <c r="T231">
        <v>6</v>
      </c>
      <c r="U231">
        <v>2</v>
      </c>
      <c r="V231">
        <v>6</v>
      </c>
      <c r="W231">
        <v>4</v>
      </c>
      <c r="X231">
        <v>2</v>
      </c>
      <c r="Y231">
        <v>8</v>
      </c>
      <c r="Z231">
        <v>4</v>
      </c>
      <c r="AA231">
        <v>4</v>
      </c>
      <c r="AB231">
        <v>7</v>
      </c>
      <c r="AC231">
        <v>5</v>
      </c>
      <c r="AD231">
        <v>2</v>
      </c>
      <c r="AE231">
        <v>5</v>
      </c>
      <c r="AF231">
        <v>5</v>
      </c>
      <c r="AG231">
        <v>0</v>
      </c>
      <c r="AH231">
        <v>7</v>
      </c>
      <c r="AI231">
        <v>5</v>
      </c>
      <c r="AJ231">
        <v>2</v>
      </c>
      <c r="AK231" t="s">
        <v>2251</v>
      </c>
      <c r="AL231" t="s">
        <v>2252</v>
      </c>
      <c r="AM231" t="s">
        <v>2253</v>
      </c>
      <c r="AN231" t="s">
        <v>2254</v>
      </c>
      <c r="AO231" t="s">
        <v>2255</v>
      </c>
      <c r="AP231" t="s">
        <v>2256</v>
      </c>
      <c r="AQ231" t="s">
        <v>2257</v>
      </c>
      <c r="AR231" t="s">
        <v>2258</v>
      </c>
      <c r="AS231" t="s">
        <v>2259</v>
      </c>
    </row>
    <row r="232" spans="1:45" x14ac:dyDescent="0.45">
      <c r="A232">
        <v>231</v>
      </c>
      <c r="B232">
        <v>272</v>
      </c>
      <c r="C232" t="s">
        <v>78</v>
      </c>
      <c r="D232" t="s">
        <v>192</v>
      </c>
      <c r="E232" t="s">
        <v>74</v>
      </c>
      <c r="F232" t="s">
        <v>75</v>
      </c>
      <c r="G232" t="s">
        <v>76</v>
      </c>
      <c r="H232">
        <v>166.25253148273322</v>
      </c>
      <c r="I232">
        <v>4</v>
      </c>
      <c r="J232">
        <v>7</v>
      </c>
      <c r="K232">
        <v>8</v>
      </c>
      <c r="L232">
        <v>-1</v>
      </c>
      <c r="M232">
        <v>6</v>
      </c>
      <c r="N232">
        <v>8</v>
      </c>
      <c r="O232">
        <v>-2</v>
      </c>
      <c r="P232">
        <v>8</v>
      </c>
      <c r="Q232">
        <v>8</v>
      </c>
      <c r="R232">
        <v>0</v>
      </c>
      <c r="S232">
        <v>9</v>
      </c>
      <c r="T232">
        <v>8</v>
      </c>
      <c r="U232">
        <v>1</v>
      </c>
      <c r="V232">
        <v>7</v>
      </c>
      <c r="W232">
        <v>7</v>
      </c>
      <c r="X232">
        <v>0</v>
      </c>
      <c r="Y232">
        <v>8</v>
      </c>
      <c r="Z232">
        <v>7</v>
      </c>
      <c r="AA232">
        <v>1</v>
      </c>
      <c r="AB232">
        <v>6</v>
      </c>
      <c r="AC232">
        <v>8</v>
      </c>
      <c r="AD232">
        <v>-2</v>
      </c>
      <c r="AE232">
        <v>7</v>
      </c>
      <c r="AF232">
        <v>7</v>
      </c>
      <c r="AG232">
        <v>0</v>
      </c>
      <c r="AH232">
        <v>8</v>
      </c>
      <c r="AI232">
        <v>8</v>
      </c>
      <c r="AJ232">
        <v>0</v>
      </c>
      <c r="AK232" t="s">
        <v>2260</v>
      </c>
      <c r="AL232" t="s">
        <v>2261</v>
      </c>
      <c r="AM232" t="s">
        <v>2262</v>
      </c>
      <c r="AN232" t="s">
        <v>2263</v>
      </c>
      <c r="AO232" t="s">
        <v>2264</v>
      </c>
      <c r="AP232" t="s">
        <v>2265</v>
      </c>
      <c r="AQ232" t="s">
        <v>2266</v>
      </c>
      <c r="AR232" t="s">
        <v>2267</v>
      </c>
      <c r="AS232" t="s">
        <v>2268</v>
      </c>
    </row>
    <row r="233" spans="1:45" x14ac:dyDescent="0.45">
      <c r="A233">
        <v>232</v>
      </c>
      <c r="B233">
        <v>273</v>
      </c>
      <c r="C233" t="s">
        <v>78</v>
      </c>
      <c r="D233" t="s">
        <v>73</v>
      </c>
      <c r="E233" t="s">
        <v>74</v>
      </c>
      <c r="F233" t="s">
        <v>77</v>
      </c>
      <c r="G233" t="s">
        <v>76</v>
      </c>
      <c r="H233">
        <v>52.03584907900089</v>
      </c>
      <c r="I233">
        <v>2</v>
      </c>
      <c r="J233">
        <v>8</v>
      </c>
      <c r="K233">
        <v>6</v>
      </c>
      <c r="L233">
        <v>2</v>
      </c>
      <c r="M233">
        <v>9</v>
      </c>
      <c r="N233">
        <v>6</v>
      </c>
      <c r="O233">
        <v>3</v>
      </c>
      <c r="P233">
        <v>7</v>
      </c>
      <c r="Q233">
        <v>6</v>
      </c>
      <c r="R233">
        <v>1</v>
      </c>
      <c r="S233">
        <v>8</v>
      </c>
      <c r="T233">
        <v>6</v>
      </c>
      <c r="U233">
        <v>2</v>
      </c>
      <c r="V233">
        <v>7</v>
      </c>
      <c r="W233">
        <v>6</v>
      </c>
      <c r="X233">
        <v>1</v>
      </c>
      <c r="Y233">
        <v>6</v>
      </c>
      <c r="Z233">
        <v>6</v>
      </c>
      <c r="AA233">
        <v>0</v>
      </c>
      <c r="AB233">
        <v>7</v>
      </c>
      <c r="AC233">
        <v>6</v>
      </c>
      <c r="AD233">
        <v>1</v>
      </c>
      <c r="AE233">
        <v>5</v>
      </c>
      <c r="AF233">
        <v>6</v>
      </c>
      <c r="AG233">
        <v>-1</v>
      </c>
      <c r="AH233">
        <v>6</v>
      </c>
      <c r="AI233">
        <v>6</v>
      </c>
      <c r="AJ233">
        <v>0</v>
      </c>
      <c r="AK233" t="s">
        <v>2269</v>
      </c>
      <c r="AL233" t="s">
        <v>2270</v>
      </c>
      <c r="AM233" t="s">
        <v>2271</v>
      </c>
      <c r="AN233" t="s">
        <v>2272</v>
      </c>
      <c r="AO233" t="s">
        <v>2273</v>
      </c>
      <c r="AP233" t="s">
        <v>2274</v>
      </c>
      <c r="AQ233" t="s">
        <v>2275</v>
      </c>
      <c r="AR233" t="s">
        <v>2276</v>
      </c>
      <c r="AS233" t="s">
        <v>2277</v>
      </c>
    </row>
    <row r="234" spans="1:45" x14ac:dyDescent="0.45">
      <c r="A234">
        <v>233</v>
      </c>
      <c r="B234">
        <v>274</v>
      </c>
      <c r="C234" t="s">
        <v>72</v>
      </c>
      <c r="D234" t="s">
        <v>79</v>
      </c>
      <c r="E234" t="s">
        <v>74</v>
      </c>
      <c r="F234" t="s">
        <v>77</v>
      </c>
      <c r="G234" t="s">
        <v>76</v>
      </c>
      <c r="H234">
        <v>16.880498891608681</v>
      </c>
      <c r="I234">
        <v>1</v>
      </c>
      <c r="J234">
        <v>7</v>
      </c>
      <c r="K234">
        <v>8</v>
      </c>
      <c r="L234">
        <v>-1</v>
      </c>
      <c r="M234">
        <v>7</v>
      </c>
      <c r="N234">
        <v>8</v>
      </c>
      <c r="O234">
        <v>-1</v>
      </c>
      <c r="P234">
        <v>8</v>
      </c>
      <c r="Q234">
        <v>8</v>
      </c>
      <c r="R234">
        <v>0</v>
      </c>
      <c r="S234">
        <v>9</v>
      </c>
      <c r="T234">
        <v>8</v>
      </c>
      <c r="U234">
        <v>1</v>
      </c>
      <c r="V234">
        <v>6</v>
      </c>
      <c r="W234">
        <v>9</v>
      </c>
      <c r="X234">
        <v>-3</v>
      </c>
      <c r="Y234">
        <v>5</v>
      </c>
      <c r="Z234">
        <v>8</v>
      </c>
      <c r="AA234">
        <v>-3</v>
      </c>
      <c r="AB234">
        <v>6</v>
      </c>
      <c r="AC234">
        <v>8</v>
      </c>
      <c r="AD234">
        <v>-2</v>
      </c>
      <c r="AE234">
        <v>6</v>
      </c>
      <c r="AF234">
        <v>8</v>
      </c>
      <c r="AG234">
        <v>-2</v>
      </c>
      <c r="AH234">
        <v>6</v>
      </c>
      <c r="AI234">
        <v>10</v>
      </c>
      <c r="AJ234">
        <v>-4</v>
      </c>
      <c r="AK234" t="s">
        <v>2278</v>
      </c>
      <c r="AL234" t="s">
        <v>2278</v>
      </c>
      <c r="AM234" t="s">
        <v>2279</v>
      </c>
      <c r="AN234" t="s">
        <v>2280</v>
      </c>
      <c r="AO234" t="s">
        <v>2281</v>
      </c>
      <c r="AP234" t="s">
        <v>2282</v>
      </c>
      <c r="AQ234" t="s">
        <v>2281</v>
      </c>
      <c r="AR234" t="s">
        <v>2281</v>
      </c>
      <c r="AS234" t="s">
        <v>2283</v>
      </c>
    </row>
    <row r="235" spans="1:45" x14ac:dyDescent="0.45">
      <c r="A235">
        <v>234</v>
      </c>
      <c r="B235">
        <v>275</v>
      </c>
      <c r="C235" t="s">
        <v>72</v>
      </c>
      <c r="D235" t="s">
        <v>190</v>
      </c>
      <c r="E235" t="s">
        <v>74</v>
      </c>
      <c r="F235" t="s">
        <v>75</v>
      </c>
      <c r="G235" t="s">
        <v>76</v>
      </c>
      <c r="H235">
        <v>98.672499687844734</v>
      </c>
      <c r="I235">
        <v>3</v>
      </c>
      <c r="J235">
        <v>8</v>
      </c>
      <c r="K235">
        <v>4</v>
      </c>
      <c r="L235">
        <v>4</v>
      </c>
      <c r="M235">
        <v>9</v>
      </c>
      <c r="N235">
        <v>4</v>
      </c>
      <c r="O235">
        <v>5</v>
      </c>
      <c r="P235">
        <v>8</v>
      </c>
      <c r="Q235">
        <v>4</v>
      </c>
      <c r="R235">
        <v>4</v>
      </c>
      <c r="S235">
        <v>7</v>
      </c>
      <c r="T235">
        <v>4</v>
      </c>
      <c r="U235">
        <v>3</v>
      </c>
      <c r="V235">
        <v>8</v>
      </c>
      <c r="W235">
        <v>1</v>
      </c>
      <c r="X235">
        <v>7</v>
      </c>
      <c r="Y235">
        <v>7</v>
      </c>
      <c r="Z235">
        <v>3</v>
      </c>
      <c r="AA235">
        <v>4</v>
      </c>
      <c r="AB235">
        <v>8</v>
      </c>
      <c r="AC235">
        <v>1</v>
      </c>
      <c r="AD235">
        <v>7</v>
      </c>
      <c r="AE235">
        <v>6</v>
      </c>
      <c r="AF235">
        <v>1</v>
      </c>
      <c r="AG235">
        <v>5</v>
      </c>
      <c r="AH235">
        <v>7</v>
      </c>
      <c r="AI235">
        <v>1</v>
      </c>
      <c r="AJ235">
        <v>6</v>
      </c>
      <c r="AK235" t="s">
        <v>2284</v>
      </c>
      <c r="AL235" t="s">
        <v>2285</v>
      </c>
      <c r="AM235" t="s">
        <v>2286</v>
      </c>
      <c r="AN235" t="s">
        <v>2287</v>
      </c>
      <c r="AO235" t="s">
        <v>2288</v>
      </c>
      <c r="AP235" t="s">
        <v>2289</v>
      </c>
      <c r="AQ235" t="s">
        <v>2290</v>
      </c>
      <c r="AR235" t="s">
        <v>2291</v>
      </c>
      <c r="AS235" t="s">
        <v>2292</v>
      </c>
    </row>
    <row r="236" spans="1:45" x14ac:dyDescent="0.45">
      <c r="A236">
        <v>235</v>
      </c>
      <c r="B236">
        <v>276</v>
      </c>
      <c r="C236" t="s">
        <v>72</v>
      </c>
      <c r="D236" t="s">
        <v>73</v>
      </c>
      <c r="E236" t="s">
        <v>74</v>
      </c>
      <c r="F236" t="s">
        <v>77</v>
      </c>
      <c r="G236" t="s">
        <v>76</v>
      </c>
      <c r="H236">
        <v>44.331175625937327</v>
      </c>
      <c r="I236">
        <v>0</v>
      </c>
      <c r="J236">
        <v>7</v>
      </c>
      <c r="K236">
        <v>6</v>
      </c>
      <c r="L236">
        <v>1</v>
      </c>
      <c r="M236">
        <v>6</v>
      </c>
      <c r="N236">
        <v>6</v>
      </c>
      <c r="O236">
        <v>0</v>
      </c>
      <c r="P236">
        <v>8</v>
      </c>
      <c r="Q236">
        <v>1</v>
      </c>
      <c r="R236">
        <v>7</v>
      </c>
      <c r="S236">
        <v>9</v>
      </c>
      <c r="T236">
        <v>6</v>
      </c>
      <c r="U236">
        <v>3</v>
      </c>
      <c r="V236">
        <v>8</v>
      </c>
      <c r="W236">
        <v>5</v>
      </c>
      <c r="X236">
        <v>3</v>
      </c>
      <c r="Y236">
        <v>9</v>
      </c>
      <c r="Z236">
        <v>6</v>
      </c>
      <c r="AA236">
        <v>3</v>
      </c>
      <c r="AB236">
        <v>7</v>
      </c>
      <c r="AC236">
        <v>5</v>
      </c>
      <c r="AD236">
        <v>2</v>
      </c>
      <c r="AE236">
        <v>5</v>
      </c>
      <c r="AF236">
        <v>6</v>
      </c>
      <c r="AG236">
        <v>-1</v>
      </c>
      <c r="AH236">
        <v>7</v>
      </c>
      <c r="AI236">
        <v>6</v>
      </c>
      <c r="AJ236">
        <v>1</v>
      </c>
      <c r="AK236" t="s">
        <v>2293</v>
      </c>
      <c r="AL236" t="s">
        <v>2294</v>
      </c>
      <c r="AM236" t="s">
        <v>2295</v>
      </c>
      <c r="AN236" t="s">
        <v>2296</v>
      </c>
      <c r="AO236" t="s">
        <v>2297</v>
      </c>
      <c r="AP236" t="s">
        <v>2298</v>
      </c>
      <c r="AQ236" t="s">
        <v>2299</v>
      </c>
      <c r="AR236" t="s">
        <v>2300</v>
      </c>
      <c r="AS236" t="s">
        <v>2301</v>
      </c>
    </row>
    <row r="237" spans="1:45" x14ac:dyDescent="0.45">
      <c r="A237">
        <v>236</v>
      </c>
      <c r="B237">
        <v>277</v>
      </c>
      <c r="C237" t="s">
        <v>72</v>
      </c>
      <c r="D237" t="s">
        <v>73</v>
      </c>
      <c r="E237" t="s">
        <v>74</v>
      </c>
      <c r="F237" t="s">
        <v>75</v>
      </c>
      <c r="G237" t="s">
        <v>76</v>
      </c>
      <c r="H237">
        <v>58.780725825648766</v>
      </c>
      <c r="I237">
        <v>3</v>
      </c>
      <c r="J237">
        <v>7</v>
      </c>
      <c r="K237">
        <v>7</v>
      </c>
      <c r="L237">
        <v>0</v>
      </c>
      <c r="M237">
        <v>7</v>
      </c>
      <c r="N237">
        <v>7</v>
      </c>
      <c r="O237">
        <v>0</v>
      </c>
      <c r="P237">
        <v>6</v>
      </c>
      <c r="Q237">
        <v>7</v>
      </c>
      <c r="R237">
        <v>-1</v>
      </c>
      <c r="S237">
        <v>8</v>
      </c>
      <c r="T237">
        <v>7</v>
      </c>
      <c r="U237">
        <v>1</v>
      </c>
      <c r="V237">
        <v>7</v>
      </c>
      <c r="W237">
        <v>7</v>
      </c>
      <c r="X237">
        <v>0</v>
      </c>
      <c r="Y237">
        <v>8</v>
      </c>
      <c r="Z237">
        <v>7</v>
      </c>
      <c r="AA237">
        <v>1</v>
      </c>
      <c r="AB237">
        <v>7</v>
      </c>
      <c r="AC237">
        <v>7</v>
      </c>
      <c r="AD237">
        <v>0</v>
      </c>
      <c r="AE237">
        <v>7</v>
      </c>
      <c r="AF237">
        <v>7</v>
      </c>
      <c r="AG237">
        <v>0</v>
      </c>
      <c r="AH237">
        <v>6</v>
      </c>
      <c r="AI237">
        <v>7</v>
      </c>
      <c r="AJ237">
        <v>-1</v>
      </c>
      <c r="AK237" t="s">
        <v>2302</v>
      </c>
      <c r="AL237" t="s">
        <v>2303</v>
      </c>
      <c r="AM237" t="s">
        <v>2304</v>
      </c>
      <c r="AN237" t="s">
        <v>2305</v>
      </c>
      <c r="AO237" t="s">
        <v>2306</v>
      </c>
      <c r="AP237" t="s">
        <v>2307</v>
      </c>
      <c r="AQ237" t="s">
        <v>2308</v>
      </c>
      <c r="AR237" t="s">
        <v>2309</v>
      </c>
      <c r="AS237" t="s">
        <v>2310</v>
      </c>
    </row>
    <row r="238" spans="1:45" x14ac:dyDescent="0.45">
      <c r="A238">
        <v>237</v>
      </c>
      <c r="B238">
        <v>278</v>
      </c>
      <c r="C238" t="s">
        <v>78</v>
      </c>
      <c r="D238" t="s">
        <v>73</v>
      </c>
      <c r="E238" t="s">
        <v>74</v>
      </c>
      <c r="F238" t="s">
        <v>75</v>
      </c>
      <c r="G238" t="s">
        <v>161</v>
      </c>
      <c r="H238">
        <v>15.495654569153539</v>
      </c>
      <c r="I238">
        <v>3</v>
      </c>
      <c r="J238">
        <v>7</v>
      </c>
      <c r="K238">
        <v>10</v>
      </c>
      <c r="L238">
        <v>-3</v>
      </c>
      <c r="M238">
        <v>8</v>
      </c>
      <c r="N238">
        <v>10</v>
      </c>
      <c r="O238">
        <v>-2</v>
      </c>
      <c r="P238">
        <v>9</v>
      </c>
      <c r="Q238">
        <v>4</v>
      </c>
      <c r="R238">
        <v>5</v>
      </c>
      <c r="S238">
        <v>8</v>
      </c>
      <c r="T238">
        <v>6</v>
      </c>
      <c r="U238">
        <v>2</v>
      </c>
      <c r="V238">
        <v>7</v>
      </c>
      <c r="W238">
        <v>3</v>
      </c>
      <c r="X238">
        <v>4</v>
      </c>
      <c r="Y238">
        <v>8</v>
      </c>
      <c r="Z238">
        <v>1</v>
      </c>
      <c r="AA238">
        <v>7</v>
      </c>
      <c r="AB238">
        <v>7</v>
      </c>
      <c r="AC238">
        <v>1</v>
      </c>
      <c r="AD238">
        <v>6</v>
      </c>
      <c r="AE238">
        <v>6</v>
      </c>
      <c r="AF238">
        <v>3</v>
      </c>
      <c r="AG238">
        <v>3</v>
      </c>
      <c r="AH238">
        <v>8</v>
      </c>
      <c r="AI238">
        <v>1</v>
      </c>
      <c r="AJ238">
        <v>7</v>
      </c>
      <c r="AK238" t="s">
        <v>2311</v>
      </c>
      <c r="AL238" t="s">
        <v>2312</v>
      </c>
      <c r="AM238" t="s">
        <v>2313</v>
      </c>
      <c r="AN238" t="s">
        <v>2314</v>
      </c>
      <c r="AO238" t="s">
        <v>2315</v>
      </c>
      <c r="AP238" t="s">
        <v>2316</v>
      </c>
      <c r="AQ238" t="s">
        <v>2317</v>
      </c>
      <c r="AR238" t="s">
        <v>2318</v>
      </c>
      <c r="AS238" t="s">
        <v>2319</v>
      </c>
    </row>
    <row r="239" spans="1:45" x14ac:dyDescent="0.45">
      <c r="A239">
        <v>238</v>
      </c>
      <c r="B239">
        <v>279</v>
      </c>
      <c r="C239" t="s">
        <v>72</v>
      </c>
      <c r="D239" t="s">
        <v>73</v>
      </c>
      <c r="E239" t="s">
        <v>74</v>
      </c>
      <c r="F239" t="s">
        <v>75</v>
      </c>
      <c r="G239" t="s">
        <v>76</v>
      </c>
      <c r="H239">
        <v>23.40408460716592</v>
      </c>
      <c r="I239">
        <v>1</v>
      </c>
      <c r="J239">
        <v>8</v>
      </c>
      <c r="K239">
        <v>8</v>
      </c>
      <c r="L239">
        <v>0</v>
      </c>
      <c r="M239">
        <v>7</v>
      </c>
      <c r="N239">
        <v>10</v>
      </c>
      <c r="O239">
        <v>-3</v>
      </c>
      <c r="P239">
        <v>9</v>
      </c>
      <c r="Q239">
        <v>8</v>
      </c>
      <c r="R239">
        <v>1</v>
      </c>
      <c r="S239">
        <v>8</v>
      </c>
      <c r="T239">
        <v>10</v>
      </c>
      <c r="U239">
        <v>-2</v>
      </c>
      <c r="V239">
        <v>7</v>
      </c>
      <c r="W239">
        <v>9</v>
      </c>
      <c r="X239">
        <v>-2</v>
      </c>
      <c r="Y239">
        <v>6</v>
      </c>
      <c r="Z239">
        <v>8</v>
      </c>
      <c r="AA239">
        <v>-2</v>
      </c>
      <c r="AB239">
        <v>7</v>
      </c>
      <c r="AC239">
        <v>7</v>
      </c>
      <c r="AD239">
        <v>0</v>
      </c>
      <c r="AE239">
        <v>5</v>
      </c>
      <c r="AF239">
        <v>9</v>
      </c>
      <c r="AG239">
        <v>-4</v>
      </c>
      <c r="AH239">
        <v>6</v>
      </c>
      <c r="AI239">
        <v>9</v>
      </c>
      <c r="AJ239">
        <v>-3</v>
      </c>
      <c r="AK239" t="s">
        <v>2320</v>
      </c>
      <c r="AL239" t="s">
        <v>2321</v>
      </c>
      <c r="AM239" t="s">
        <v>2322</v>
      </c>
      <c r="AN239" t="s">
        <v>2323</v>
      </c>
      <c r="AO239" t="s">
        <v>2324</v>
      </c>
      <c r="AP239" t="s">
        <v>2325</v>
      </c>
      <c r="AQ239" t="s">
        <v>2326</v>
      </c>
      <c r="AR239" t="s">
        <v>2327</v>
      </c>
      <c r="AS239" t="s">
        <v>2328</v>
      </c>
    </row>
    <row r="240" spans="1:45" x14ac:dyDescent="0.45">
      <c r="A240">
        <v>239</v>
      </c>
      <c r="B240">
        <v>280</v>
      </c>
      <c r="C240" t="s">
        <v>78</v>
      </c>
      <c r="D240" t="s">
        <v>192</v>
      </c>
      <c r="E240" t="s">
        <v>74</v>
      </c>
      <c r="F240" t="s">
        <v>75</v>
      </c>
      <c r="G240" t="s">
        <v>76</v>
      </c>
      <c r="H240">
        <v>100.92429770064602</v>
      </c>
      <c r="I240">
        <v>4</v>
      </c>
      <c r="J240">
        <v>8</v>
      </c>
      <c r="K240">
        <v>6</v>
      </c>
      <c r="L240">
        <v>2</v>
      </c>
      <c r="M240">
        <v>7</v>
      </c>
      <c r="N240">
        <v>6</v>
      </c>
      <c r="O240">
        <v>1</v>
      </c>
      <c r="P240">
        <v>6</v>
      </c>
      <c r="Q240">
        <v>6</v>
      </c>
      <c r="R240">
        <v>0</v>
      </c>
      <c r="S240">
        <v>8</v>
      </c>
      <c r="T240">
        <v>6</v>
      </c>
      <c r="U240">
        <v>2</v>
      </c>
      <c r="V240">
        <v>9</v>
      </c>
      <c r="W240">
        <v>6</v>
      </c>
      <c r="X240">
        <v>3</v>
      </c>
      <c r="Y240">
        <v>7</v>
      </c>
      <c r="Z240">
        <v>6</v>
      </c>
      <c r="AA240">
        <v>1</v>
      </c>
      <c r="AB240">
        <v>8</v>
      </c>
      <c r="AC240">
        <v>6</v>
      </c>
      <c r="AD240">
        <v>2</v>
      </c>
      <c r="AE240">
        <v>7</v>
      </c>
      <c r="AF240">
        <v>7</v>
      </c>
      <c r="AG240">
        <v>0</v>
      </c>
      <c r="AH240">
        <v>9</v>
      </c>
      <c r="AI240">
        <v>6</v>
      </c>
      <c r="AJ240">
        <v>3</v>
      </c>
      <c r="AK240" t="s">
        <v>2329</v>
      </c>
      <c r="AL240" t="s">
        <v>2330</v>
      </c>
      <c r="AM240" t="s">
        <v>2331</v>
      </c>
      <c r="AN240" t="s">
        <v>2332</v>
      </c>
      <c r="AO240" t="s">
        <v>2333</v>
      </c>
      <c r="AP240" t="s">
        <v>2334</v>
      </c>
      <c r="AQ240" t="s">
        <v>2335</v>
      </c>
      <c r="AR240" t="s">
        <v>2336</v>
      </c>
      <c r="AS240" t="s">
        <v>2337</v>
      </c>
    </row>
    <row r="241" spans="1:45" x14ac:dyDescent="0.45">
      <c r="A241">
        <v>240</v>
      </c>
      <c r="B241">
        <v>281</v>
      </c>
      <c r="C241" t="s">
        <v>72</v>
      </c>
      <c r="D241" t="s">
        <v>73</v>
      </c>
      <c r="E241" t="s">
        <v>74</v>
      </c>
      <c r="F241" t="s">
        <v>77</v>
      </c>
      <c r="G241" t="s">
        <v>76</v>
      </c>
      <c r="H241">
        <v>57.328311198778366</v>
      </c>
      <c r="I241">
        <v>3</v>
      </c>
      <c r="J241">
        <v>8</v>
      </c>
      <c r="K241">
        <v>8</v>
      </c>
      <c r="L241">
        <v>0</v>
      </c>
      <c r="M241">
        <v>9</v>
      </c>
      <c r="N241">
        <v>8</v>
      </c>
      <c r="O241">
        <v>1</v>
      </c>
      <c r="P241">
        <v>8</v>
      </c>
      <c r="Q241">
        <v>8</v>
      </c>
      <c r="R241">
        <v>0</v>
      </c>
      <c r="S241">
        <v>7</v>
      </c>
      <c r="T241">
        <v>8</v>
      </c>
      <c r="U241">
        <v>-1</v>
      </c>
      <c r="V241">
        <v>8</v>
      </c>
      <c r="W241">
        <v>8</v>
      </c>
      <c r="X241">
        <v>0</v>
      </c>
      <c r="Y241">
        <v>9</v>
      </c>
      <c r="Z241">
        <v>8</v>
      </c>
      <c r="AA241">
        <v>1</v>
      </c>
      <c r="AB241">
        <v>8</v>
      </c>
      <c r="AC241">
        <v>8</v>
      </c>
      <c r="AD241">
        <v>0</v>
      </c>
      <c r="AE241">
        <v>6</v>
      </c>
      <c r="AF241">
        <v>8</v>
      </c>
      <c r="AG241">
        <v>-2</v>
      </c>
      <c r="AH241">
        <v>8</v>
      </c>
      <c r="AI241">
        <v>8</v>
      </c>
      <c r="AJ241">
        <v>0</v>
      </c>
      <c r="AK241" t="s">
        <v>2338</v>
      </c>
      <c r="AL241" t="s">
        <v>2339</v>
      </c>
      <c r="AM241" t="s">
        <v>2340</v>
      </c>
      <c r="AN241" t="s">
        <v>2341</v>
      </c>
      <c r="AO241" t="s">
        <v>2342</v>
      </c>
      <c r="AP241" t="s">
        <v>2343</v>
      </c>
      <c r="AQ241" t="s">
        <v>2344</v>
      </c>
      <c r="AR241" t="s">
        <v>2345</v>
      </c>
      <c r="AS241" t="s">
        <v>2346</v>
      </c>
    </row>
    <row r="242" spans="1:45" x14ac:dyDescent="0.45">
      <c r="A242">
        <v>241</v>
      </c>
      <c r="B242">
        <v>282</v>
      </c>
      <c r="C242" t="s">
        <v>72</v>
      </c>
      <c r="D242" t="s">
        <v>73</v>
      </c>
      <c r="E242" t="s">
        <v>74</v>
      </c>
      <c r="F242" t="s">
        <v>75</v>
      </c>
      <c r="G242" t="s">
        <v>76</v>
      </c>
      <c r="H242">
        <v>61.115110224158109</v>
      </c>
      <c r="I242">
        <v>1</v>
      </c>
      <c r="J242">
        <v>7</v>
      </c>
      <c r="K242">
        <v>7</v>
      </c>
      <c r="L242">
        <v>0</v>
      </c>
      <c r="M242">
        <v>8</v>
      </c>
      <c r="N242">
        <v>6</v>
      </c>
      <c r="O242">
        <v>2</v>
      </c>
      <c r="P242">
        <v>9</v>
      </c>
      <c r="Q242">
        <v>7</v>
      </c>
      <c r="R242">
        <v>2</v>
      </c>
      <c r="S242">
        <v>7</v>
      </c>
      <c r="T242">
        <v>7</v>
      </c>
      <c r="U242">
        <v>0</v>
      </c>
      <c r="V242">
        <v>8</v>
      </c>
      <c r="W242">
        <v>8</v>
      </c>
      <c r="X242">
        <v>0</v>
      </c>
      <c r="Y242">
        <v>7</v>
      </c>
      <c r="Z242">
        <v>8</v>
      </c>
      <c r="AA242">
        <v>-1</v>
      </c>
      <c r="AB242">
        <v>8</v>
      </c>
      <c r="AC242">
        <v>8</v>
      </c>
      <c r="AD242">
        <v>0</v>
      </c>
      <c r="AE242">
        <v>7</v>
      </c>
      <c r="AF242">
        <v>8</v>
      </c>
      <c r="AG242">
        <v>-1</v>
      </c>
      <c r="AH242">
        <v>8</v>
      </c>
      <c r="AI242">
        <v>8</v>
      </c>
      <c r="AJ242">
        <v>0</v>
      </c>
      <c r="AK242" t="s">
        <v>2347</v>
      </c>
      <c r="AL242" t="s">
        <v>2348</v>
      </c>
      <c r="AM242" t="s">
        <v>2349</v>
      </c>
      <c r="AN242" t="s">
        <v>2350</v>
      </c>
      <c r="AO242" t="s">
        <v>2351</v>
      </c>
      <c r="AP242" t="s">
        <v>2352</v>
      </c>
      <c r="AQ242" t="s">
        <v>2353</v>
      </c>
      <c r="AR242" t="s">
        <v>2354</v>
      </c>
      <c r="AS242" t="s">
        <v>2355</v>
      </c>
    </row>
    <row r="243" spans="1:45" x14ac:dyDescent="0.45">
      <c r="A243">
        <v>242</v>
      </c>
      <c r="B243">
        <v>283</v>
      </c>
      <c r="C243" t="s">
        <v>78</v>
      </c>
      <c r="D243" t="s">
        <v>73</v>
      </c>
      <c r="E243" t="s">
        <v>74</v>
      </c>
      <c r="F243" t="s">
        <v>77</v>
      </c>
      <c r="G243" t="s">
        <v>76</v>
      </c>
      <c r="H243">
        <v>63.658553002604641</v>
      </c>
      <c r="I243">
        <v>2</v>
      </c>
      <c r="J243">
        <v>6</v>
      </c>
      <c r="K243">
        <v>6</v>
      </c>
      <c r="L243">
        <v>0</v>
      </c>
      <c r="M243">
        <v>7</v>
      </c>
      <c r="N243">
        <v>5</v>
      </c>
      <c r="O243">
        <v>2</v>
      </c>
      <c r="P243">
        <v>8</v>
      </c>
      <c r="Q243">
        <v>5</v>
      </c>
      <c r="R243">
        <v>3</v>
      </c>
      <c r="S243">
        <v>9</v>
      </c>
      <c r="T243">
        <v>7</v>
      </c>
      <c r="U243">
        <v>2</v>
      </c>
      <c r="V243">
        <v>7</v>
      </c>
      <c r="W243">
        <v>7</v>
      </c>
      <c r="X243">
        <v>0</v>
      </c>
      <c r="Y243">
        <v>8</v>
      </c>
      <c r="Z243">
        <v>7</v>
      </c>
      <c r="AA243">
        <v>1</v>
      </c>
      <c r="AB243">
        <v>6</v>
      </c>
      <c r="AC243">
        <v>7</v>
      </c>
      <c r="AD243">
        <v>-1</v>
      </c>
      <c r="AE243">
        <v>8</v>
      </c>
      <c r="AF243">
        <v>8</v>
      </c>
      <c r="AG243">
        <v>0</v>
      </c>
      <c r="AH243">
        <v>9</v>
      </c>
      <c r="AI243">
        <v>8</v>
      </c>
      <c r="AJ243">
        <v>1</v>
      </c>
      <c r="AK243" t="s">
        <v>2356</v>
      </c>
      <c r="AL243" t="s">
        <v>2357</v>
      </c>
      <c r="AM243" t="s">
        <v>2358</v>
      </c>
      <c r="AN243" t="s">
        <v>2359</v>
      </c>
      <c r="AO243" t="s">
        <v>2360</v>
      </c>
      <c r="AP243" t="s">
        <v>2361</v>
      </c>
      <c r="AQ243" t="s">
        <v>2362</v>
      </c>
      <c r="AR243" t="s">
        <v>2363</v>
      </c>
      <c r="AS243" t="s">
        <v>2364</v>
      </c>
    </row>
    <row r="244" spans="1:45" x14ac:dyDescent="0.45">
      <c r="A244">
        <v>243</v>
      </c>
      <c r="B244">
        <v>284</v>
      </c>
      <c r="C244" t="s">
        <v>78</v>
      </c>
      <c r="D244" t="s">
        <v>190</v>
      </c>
      <c r="E244" t="s">
        <v>74</v>
      </c>
      <c r="F244" t="s">
        <v>77</v>
      </c>
      <c r="G244" t="s">
        <v>76</v>
      </c>
      <c r="H244">
        <v>89.534629383719221</v>
      </c>
      <c r="I244">
        <v>2</v>
      </c>
      <c r="J244">
        <v>7</v>
      </c>
      <c r="K244">
        <v>6</v>
      </c>
      <c r="L244">
        <v>1</v>
      </c>
      <c r="M244">
        <v>8</v>
      </c>
      <c r="N244">
        <v>6</v>
      </c>
      <c r="O244">
        <v>2</v>
      </c>
      <c r="P244">
        <v>6</v>
      </c>
      <c r="Q244">
        <v>6</v>
      </c>
      <c r="R244">
        <v>0</v>
      </c>
      <c r="S244">
        <v>8</v>
      </c>
      <c r="T244">
        <v>6</v>
      </c>
      <c r="U244">
        <v>2</v>
      </c>
      <c r="V244">
        <v>9</v>
      </c>
      <c r="W244">
        <v>6</v>
      </c>
      <c r="X244">
        <v>3</v>
      </c>
      <c r="Y244">
        <v>7</v>
      </c>
      <c r="Z244">
        <v>6</v>
      </c>
      <c r="AA244">
        <v>1</v>
      </c>
      <c r="AB244">
        <v>8</v>
      </c>
      <c r="AC244">
        <v>6</v>
      </c>
      <c r="AD244">
        <v>2</v>
      </c>
      <c r="AE244">
        <v>5</v>
      </c>
      <c r="AF244">
        <v>6</v>
      </c>
      <c r="AG244">
        <v>-1</v>
      </c>
      <c r="AH244">
        <v>6</v>
      </c>
      <c r="AI244">
        <v>6</v>
      </c>
      <c r="AJ244">
        <v>0</v>
      </c>
      <c r="AK244" t="s">
        <v>1191</v>
      </c>
      <c r="AL244" t="s">
        <v>2365</v>
      </c>
      <c r="AM244" t="s">
        <v>2366</v>
      </c>
      <c r="AN244" t="s">
        <v>2367</v>
      </c>
      <c r="AO244" t="s">
        <v>2368</v>
      </c>
      <c r="AP244" t="s">
        <v>2369</v>
      </c>
      <c r="AQ244" t="s">
        <v>2370</v>
      </c>
      <c r="AR244" t="s">
        <v>2371</v>
      </c>
      <c r="AS244" t="s">
        <v>2372</v>
      </c>
    </row>
    <row r="245" spans="1:45" x14ac:dyDescent="0.45">
      <c r="A245">
        <v>244</v>
      </c>
      <c r="B245">
        <v>285</v>
      </c>
      <c r="C245" t="s">
        <v>72</v>
      </c>
      <c r="D245" t="s">
        <v>79</v>
      </c>
      <c r="E245" t="s">
        <v>74</v>
      </c>
      <c r="F245" t="s">
        <v>75</v>
      </c>
      <c r="G245" t="s">
        <v>76</v>
      </c>
      <c r="H245">
        <v>48.877277263559897</v>
      </c>
      <c r="I245">
        <v>3</v>
      </c>
      <c r="J245">
        <v>8</v>
      </c>
      <c r="K245">
        <v>7</v>
      </c>
      <c r="L245">
        <v>1</v>
      </c>
      <c r="M245">
        <v>8</v>
      </c>
      <c r="N245">
        <v>6</v>
      </c>
      <c r="O245">
        <v>2</v>
      </c>
      <c r="P245">
        <v>7</v>
      </c>
      <c r="Q245">
        <v>6</v>
      </c>
      <c r="R245">
        <v>1</v>
      </c>
      <c r="S245">
        <v>9</v>
      </c>
      <c r="T245">
        <v>8</v>
      </c>
      <c r="U245">
        <v>1</v>
      </c>
      <c r="V245">
        <v>8</v>
      </c>
      <c r="W245">
        <v>6</v>
      </c>
      <c r="X245">
        <v>2</v>
      </c>
      <c r="Y245">
        <v>9</v>
      </c>
      <c r="Z245">
        <v>6</v>
      </c>
      <c r="AA245">
        <v>3</v>
      </c>
      <c r="AB245">
        <v>7</v>
      </c>
      <c r="AC245">
        <v>6</v>
      </c>
      <c r="AD245">
        <v>1</v>
      </c>
      <c r="AE245">
        <v>6</v>
      </c>
      <c r="AF245">
        <v>6</v>
      </c>
      <c r="AG245">
        <v>0</v>
      </c>
      <c r="AH245">
        <v>7</v>
      </c>
      <c r="AI245">
        <v>6</v>
      </c>
      <c r="AJ245">
        <v>1</v>
      </c>
      <c r="AK245" t="s">
        <v>2373</v>
      </c>
      <c r="AL245" t="s">
        <v>2374</v>
      </c>
      <c r="AM245" t="s">
        <v>2375</v>
      </c>
      <c r="AN245" t="s">
        <v>2376</v>
      </c>
      <c r="AO245" t="s">
        <v>2377</v>
      </c>
      <c r="AP245" t="s">
        <v>2378</v>
      </c>
      <c r="AQ245" t="s">
        <v>2379</v>
      </c>
      <c r="AR245" t="s">
        <v>2380</v>
      </c>
      <c r="AS245" t="s">
        <v>2381</v>
      </c>
    </row>
    <row r="246" spans="1:45" x14ac:dyDescent="0.45">
      <c r="A246">
        <v>245</v>
      </c>
      <c r="B246">
        <v>286</v>
      </c>
      <c r="C246" t="s">
        <v>78</v>
      </c>
      <c r="D246" t="s">
        <v>79</v>
      </c>
      <c r="E246" t="s">
        <v>74</v>
      </c>
      <c r="F246" t="s">
        <v>75</v>
      </c>
      <c r="G246" t="s">
        <v>76</v>
      </c>
      <c r="H246">
        <v>165.26437186565826</v>
      </c>
      <c r="I246">
        <v>0</v>
      </c>
      <c r="J246">
        <v>6</v>
      </c>
      <c r="K246">
        <v>4</v>
      </c>
      <c r="L246">
        <v>2</v>
      </c>
      <c r="M246">
        <v>7</v>
      </c>
      <c r="N246">
        <v>4</v>
      </c>
      <c r="O246">
        <v>3</v>
      </c>
      <c r="P246">
        <v>8</v>
      </c>
      <c r="Q246">
        <v>1</v>
      </c>
      <c r="R246">
        <v>7</v>
      </c>
      <c r="S246">
        <v>9</v>
      </c>
      <c r="T246">
        <v>4</v>
      </c>
      <c r="U246">
        <v>5</v>
      </c>
      <c r="V246">
        <v>8</v>
      </c>
      <c r="W246">
        <v>4</v>
      </c>
      <c r="X246">
        <v>4</v>
      </c>
      <c r="Y246">
        <v>7</v>
      </c>
      <c r="Z246">
        <v>4</v>
      </c>
      <c r="AA246">
        <v>3</v>
      </c>
      <c r="AB246">
        <v>8</v>
      </c>
      <c r="AC246">
        <v>5</v>
      </c>
      <c r="AD246">
        <v>3</v>
      </c>
      <c r="AE246">
        <v>6</v>
      </c>
      <c r="AF246">
        <v>5</v>
      </c>
      <c r="AG246">
        <v>1</v>
      </c>
      <c r="AH246">
        <v>8</v>
      </c>
      <c r="AI246">
        <v>5</v>
      </c>
      <c r="AJ246">
        <v>3</v>
      </c>
      <c r="AK246" t="s">
        <v>2382</v>
      </c>
      <c r="AL246" t="s">
        <v>2383</v>
      </c>
      <c r="AM246" t="s">
        <v>218</v>
      </c>
      <c r="AN246" t="s">
        <v>2384</v>
      </c>
      <c r="AO246" t="s">
        <v>2385</v>
      </c>
      <c r="AP246" t="s">
        <v>2386</v>
      </c>
      <c r="AQ246" t="s">
        <v>2387</v>
      </c>
      <c r="AR246" t="s">
        <v>2388</v>
      </c>
      <c r="AS246" t="s">
        <v>2389</v>
      </c>
    </row>
    <row r="247" spans="1:45" x14ac:dyDescent="0.45">
      <c r="A247">
        <v>246</v>
      </c>
      <c r="B247">
        <v>287</v>
      </c>
      <c r="C247" t="s">
        <v>78</v>
      </c>
      <c r="D247" t="s">
        <v>73</v>
      </c>
      <c r="E247" t="s">
        <v>74</v>
      </c>
      <c r="F247" t="s">
        <v>77</v>
      </c>
      <c r="G247" t="s">
        <v>76</v>
      </c>
      <c r="H247">
        <v>29.810391383107362</v>
      </c>
      <c r="I247">
        <v>0</v>
      </c>
      <c r="J247">
        <v>6</v>
      </c>
      <c r="K247">
        <v>6</v>
      </c>
      <c r="L247">
        <v>0</v>
      </c>
      <c r="M247">
        <v>5</v>
      </c>
      <c r="N247">
        <v>7</v>
      </c>
      <c r="O247">
        <v>-2</v>
      </c>
      <c r="P247">
        <v>8</v>
      </c>
      <c r="Q247">
        <v>7</v>
      </c>
      <c r="R247">
        <v>1</v>
      </c>
      <c r="S247">
        <v>7</v>
      </c>
      <c r="T247">
        <v>7</v>
      </c>
      <c r="U247">
        <v>0</v>
      </c>
      <c r="V247">
        <v>4</v>
      </c>
      <c r="W247">
        <v>7</v>
      </c>
      <c r="X247">
        <v>-3</v>
      </c>
      <c r="Y247">
        <v>6</v>
      </c>
      <c r="Z247">
        <v>7</v>
      </c>
      <c r="AA247">
        <v>-1</v>
      </c>
      <c r="AB247">
        <v>5</v>
      </c>
      <c r="AC247">
        <v>7</v>
      </c>
      <c r="AD247">
        <v>-2</v>
      </c>
      <c r="AE247">
        <v>4</v>
      </c>
      <c r="AF247">
        <v>7</v>
      </c>
      <c r="AG247">
        <v>-3</v>
      </c>
      <c r="AH247">
        <v>7</v>
      </c>
      <c r="AI247">
        <v>7</v>
      </c>
      <c r="AJ247">
        <v>0</v>
      </c>
      <c r="AK247" t="s">
        <v>2390</v>
      </c>
      <c r="AL247" t="s">
        <v>2391</v>
      </c>
      <c r="AM247" t="s">
        <v>2392</v>
      </c>
      <c r="AN247" t="s">
        <v>2393</v>
      </c>
      <c r="AO247" t="s">
        <v>2394</v>
      </c>
      <c r="AP247" t="s">
        <v>2395</v>
      </c>
      <c r="AQ247" t="s">
        <v>2396</v>
      </c>
      <c r="AR247" t="s">
        <v>2397</v>
      </c>
      <c r="AS247" t="s">
        <v>2398</v>
      </c>
    </row>
    <row r="248" spans="1:45" x14ac:dyDescent="0.45">
      <c r="A248">
        <v>247</v>
      </c>
      <c r="B248">
        <v>288</v>
      </c>
      <c r="C248" t="s">
        <v>72</v>
      </c>
      <c r="D248" t="s">
        <v>190</v>
      </c>
      <c r="E248" t="s">
        <v>74</v>
      </c>
      <c r="F248" t="s">
        <v>75</v>
      </c>
      <c r="G248" t="s">
        <v>76</v>
      </c>
      <c r="H248">
        <v>63.401347640607888</v>
      </c>
      <c r="I248">
        <v>4</v>
      </c>
      <c r="J248">
        <v>7</v>
      </c>
      <c r="K248">
        <v>8</v>
      </c>
      <c r="L248">
        <v>-1</v>
      </c>
      <c r="M248">
        <v>6</v>
      </c>
      <c r="N248">
        <v>8</v>
      </c>
      <c r="O248">
        <v>-2</v>
      </c>
      <c r="P248">
        <v>5</v>
      </c>
      <c r="Q248">
        <v>8</v>
      </c>
      <c r="R248">
        <v>-3</v>
      </c>
      <c r="S248">
        <v>4</v>
      </c>
      <c r="T248">
        <v>8</v>
      </c>
      <c r="U248">
        <v>-4</v>
      </c>
      <c r="V248">
        <v>8</v>
      </c>
      <c r="W248">
        <v>8</v>
      </c>
      <c r="X248">
        <v>0</v>
      </c>
      <c r="Y248">
        <v>6</v>
      </c>
      <c r="Z248">
        <v>8</v>
      </c>
      <c r="AA248">
        <v>-2</v>
      </c>
      <c r="AB248">
        <v>5</v>
      </c>
      <c r="AC248">
        <v>8</v>
      </c>
      <c r="AD248">
        <v>-3</v>
      </c>
      <c r="AE248">
        <v>3</v>
      </c>
      <c r="AF248">
        <v>8</v>
      </c>
      <c r="AG248">
        <v>-5</v>
      </c>
      <c r="AH248">
        <v>6</v>
      </c>
      <c r="AI248">
        <v>8</v>
      </c>
      <c r="AJ248">
        <v>-2</v>
      </c>
      <c r="AK248" t="s">
        <v>2399</v>
      </c>
      <c r="AL248" t="s">
        <v>2400</v>
      </c>
      <c r="AM248" t="s">
        <v>2401</v>
      </c>
      <c r="AN248" t="s">
        <v>2402</v>
      </c>
      <c r="AO248" t="s">
        <v>2403</v>
      </c>
      <c r="AP248" t="s">
        <v>2404</v>
      </c>
      <c r="AQ248" t="s">
        <v>2405</v>
      </c>
      <c r="AR248" t="s">
        <v>2406</v>
      </c>
      <c r="AS248" t="s">
        <v>2407</v>
      </c>
    </row>
    <row r="249" spans="1:45" x14ac:dyDescent="0.45">
      <c r="A249">
        <v>248</v>
      </c>
      <c r="B249">
        <v>289</v>
      </c>
      <c r="C249" t="s">
        <v>72</v>
      </c>
      <c r="D249" t="s">
        <v>79</v>
      </c>
      <c r="E249" t="s">
        <v>74</v>
      </c>
      <c r="F249" t="s">
        <v>77</v>
      </c>
      <c r="G249" t="s">
        <v>76</v>
      </c>
      <c r="H249">
        <v>44.642379143503852</v>
      </c>
      <c r="I249">
        <v>1</v>
      </c>
      <c r="J249">
        <v>6</v>
      </c>
      <c r="K249">
        <v>7</v>
      </c>
      <c r="L249">
        <v>-1</v>
      </c>
      <c r="M249">
        <v>7</v>
      </c>
      <c r="N249">
        <v>7</v>
      </c>
      <c r="O249">
        <v>0</v>
      </c>
      <c r="P249">
        <v>5</v>
      </c>
      <c r="Q249">
        <v>7</v>
      </c>
      <c r="R249">
        <v>-2</v>
      </c>
      <c r="S249">
        <v>8</v>
      </c>
      <c r="T249">
        <v>7</v>
      </c>
      <c r="U249">
        <v>1</v>
      </c>
      <c r="V249">
        <v>7</v>
      </c>
      <c r="W249">
        <v>7</v>
      </c>
      <c r="X249">
        <v>0</v>
      </c>
      <c r="Y249">
        <v>8</v>
      </c>
      <c r="Z249">
        <v>7</v>
      </c>
      <c r="AA249">
        <v>1</v>
      </c>
      <c r="AB249">
        <v>7</v>
      </c>
      <c r="AC249">
        <v>7</v>
      </c>
      <c r="AD249">
        <v>0</v>
      </c>
      <c r="AE249">
        <v>6</v>
      </c>
      <c r="AF249">
        <v>7</v>
      </c>
      <c r="AG249">
        <v>-1</v>
      </c>
      <c r="AH249">
        <v>8</v>
      </c>
      <c r="AI249">
        <v>7</v>
      </c>
      <c r="AJ249">
        <v>1</v>
      </c>
      <c r="AK249" t="s">
        <v>2408</v>
      </c>
      <c r="AL249" t="s">
        <v>2409</v>
      </c>
      <c r="AM249" t="s">
        <v>2410</v>
      </c>
      <c r="AN249" t="s">
        <v>2411</v>
      </c>
      <c r="AO249" t="s">
        <v>2412</v>
      </c>
      <c r="AP249" t="s">
        <v>2413</v>
      </c>
      <c r="AQ249" t="s">
        <v>2414</v>
      </c>
      <c r="AR249" t="s">
        <v>2415</v>
      </c>
      <c r="AS249" t="s">
        <v>2416</v>
      </c>
    </row>
    <row r="250" spans="1:45" x14ac:dyDescent="0.45">
      <c r="A250">
        <v>249</v>
      </c>
      <c r="B250">
        <v>290</v>
      </c>
      <c r="C250" t="s">
        <v>78</v>
      </c>
      <c r="D250" t="s">
        <v>192</v>
      </c>
      <c r="E250" t="s">
        <v>74</v>
      </c>
      <c r="F250" t="s">
        <v>75</v>
      </c>
      <c r="G250" t="s">
        <v>76</v>
      </c>
      <c r="H250">
        <v>82.175623018826684</v>
      </c>
      <c r="I250">
        <v>3</v>
      </c>
      <c r="J250">
        <v>9</v>
      </c>
      <c r="K250">
        <v>9</v>
      </c>
      <c r="L250">
        <v>0</v>
      </c>
      <c r="M250">
        <v>8</v>
      </c>
      <c r="N250">
        <v>9</v>
      </c>
      <c r="O250">
        <v>-1</v>
      </c>
      <c r="P250">
        <v>8</v>
      </c>
      <c r="Q250">
        <v>9</v>
      </c>
      <c r="R250">
        <v>-1</v>
      </c>
      <c r="S250">
        <v>9</v>
      </c>
      <c r="T250">
        <v>9</v>
      </c>
      <c r="U250">
        <v>0</v>
      </c>
      <c r="V250">
        <v>8</v>
      </c>
      <c r="W250">
        <v>9</v>
      </c>
      <c r="X250">
        <v>-1</v>
      </c>
      <c r="Y250">
        <v>7</v>
      </c>
      <c r="Z250">
        <v>9</v>
      </c>
      <c r="AA250">
        <v>-2</v>
      </c>
      <c r="AB250">
        <v>8</v>
      </c>
      <c r="AC250">
        <v>9</v>
      </c>
      <c r="AD250">
        <v>-1</v>
      </c>
      <c r="AE250">
        <v>7</v>
      </c>
      <c r="AF250">
        <v>9</v>
      </c>
      <c r="AG250">
        <v>-2</v>
      </c>
      <c r="AH250">
        <v>8</v>
      </c>
      <c r="AI250">
        <v>9</v>
      </c>
      <c r="AJ250">
        <v>-1</v>
      </c>
      <c r="AK250" t="s">
        <v>2417</v>
      </c>
      <c r="AL250" t="s">
        <v>2418</v>
      </c>
      <c r="AM250" t="s">
        <v>2419</v>
      </c>
      <c r="AN250" t="s">
        <v>2420</v>
      </c>
      <c r="AO250" t="s">
        <v>2421</v>
      </c>
      <c r="AP250" t="s">
        <v>2422</v>
      </c>
      <c r="AQ250" t="s">
        <v>2423</v>
      </c>
      <c r="AR250" t="s">
        <v>2424</v>
      </c>
      <c r="AS250" t="s">
        <v>2425</v>
      </c>
    </row>
    <row r="251" spans="1:45" x14ac:dyDescent="0.45">
      <c r="A251">
        <v>250</v>
      </c>
      <c r="B251">
        <v>291</v>
      </c>
      <c r="C251" t="s">
        <v>72</v>
      </c>
      <c r="D251" t="s">
        <v>73</v>
      </c>
      <c r="E251" t="s">
        <v>74</v>
      </c>
      <c r="F251" t="s">
        <v>77</v>
      </c>
      <c r="G251" t="s">
        <v>76</v>
      </c>
      <c r="H251">
        <v>52.054939407172547</v>
      </c>
      <c r="I251">
        <v>3</v>
      </c>
      <c r="J251">
        <v>8</v>
      </c>
      <c r="K251">
        <v>7</v>
      </c>
      <c r="L251">
        <v>1</v>
      </c>
      <c r="M251">
        <v>7</v>
      </c>
      <c r="N251">
        <v>6</v>
      </c>
      <c r="O251">
        <v>1</v>
      </c>
      <c r="P251">
        <v>9</v>
      </c>
      <c r="Q251">
        <v>5</v>
      </c>
      <c r="R251">
        <v>4</v>
      </c>
      <c r="S251">
        <v>8</v>
      </c>
      <c r="T251">
        <v>6</v>
      </c>
      <c r="U251">
        <v>2</v>
      </c>
      <c r="V251">
        <v>7</v>
      </c>
      <c r="W251">
        <v>6</v>
      </c>
      <c r="X251">
        <v>1</v>
      </c>
      <c r="Y251">
        <v>8</v>
      </c>
      <c r="Z251">
        <v>6</v>
      </c>
      <c r="AA251">
        <v>2</v>
      </c>
      <c r="AB251">
        <v>7</v>
      </c>
      <c r="AC251">
        <v>6</v>
      </c>
      <c r="AD251">
        <v>1</v>
      </c>
      <c r="AE251">
        <v>6</v>
      </c>
      <c r="AF251">
        <v>6</v>
      </c>
      <c r="AG251">
        <v>0</v>
      </c>
      <c r="AH251">
        <v>8</v>
      </c>
      <c r="AI251">
        <v>7</v>
      </c>
      <c r="AJ251">
        <v>1</v>
      </c>
      <c r="AK251" t="s">
        <v>2426</v>
      </c>
      <c r="AL251" t="s">
        <v>2427</v>
      </c>
      <c r="AM251" t="s">
        <v>2428</v>
      </c>
      <c r="AN251" t="s">
        <v>2429</v>
      </c>
      <c r="AO251" t="s">
        <v>2430</v>
      </c>
      <c r="AP251" t="s">
        <v>2431</v>
      </c>
      <c r="AQ251" t="s">
        <v>2432</v>
      </c>
      <c r="AR251" t="s">
        <v>2433</v>
      </c>
      <c r="AS251" t="s">
        <v>2434</v>
      </c>
    </row>
    <row r="252" spans="1:45" x14ac:dyDescent="0.45">
      <c r="A252">
        <v>251</v>
      </c>
      <c r="B252">
        <v>292</v>
      </c>
      <c r="C252" t="s">
        <v>72</v>
      </c>
      <c r="D252" t="s">
        <v>73</v>
      </c>
      <c r="E252" t="s">
        <v>74</v>
      </c>
      <c r="F252" t="s">
        <v>77</v>
      </c>
      <c r="G252" t="s">
        <v>76</v>
      </c>
      <c r="H252">
        <v>42.978837780399274</v>
      </c>
      <c r="I252">
        <v>4</v>
      </c>
      <c r="J252">
        <v>8</v>
      </c>
      <c r="K252">
        <v>8</v>
      </c>
      <c r="L252">
        <v>0</v>
      </c>
      <c r="M252">
        <v>7</v>
      </c>
      <c r="N252">
        <v>8</v>
      </c>
      <c r="O252">
        <v>-1</v>
      </c>
      <c r="P252">
        <v>9</v>
      </c>
      <c r="Q252">
        <v>8</v>
      </c>
      <c r="R252">
        <v>1</v>
      </c>
      <c r="S252">
        <v>8</v>
      </c>
      <c r="T252">
        <v>9</v>
      </c>
      <c r="U252">
        <v>-1</v>
      </c>
      <c r="V252">
        <v>9</v>
      </c>
      <c r="W252">
        <v>8</v>
      </c>
      <c r="X252">
        <v>1</v>
      </c>
      <c r="Y252">
        <v>8</v>
      </c>
      <c r="Z252">
        <v>10</v>
      </c>
      <c r="AA252">
        <v>-2</v>
      </c>
      <c r="AB252">
        <v>9</v>
      </c>
      <c r="AC252">
        <v>7</v>
      </c>
      <c r="AD252">
        <v>2</v>
      </c>
      <c r="AE252">
        <v>8</v>
      </c>
      <c r="AF252">
        <v>7</v>
      </c>
      <c r="AG252">
        <v>1</v>
      </c>
      <c r="AH252">
        <v>9</v>
      </c>
      <c r="AI252">
        <v>10</v>
      </c>
      <c r="AJ252">
        <v>-1</v>
      </c>
      <c r="AK252" t="s">
        <v>2435</v>
      </c>
      <c r="AL252" t="s">
        <v>2436</v>
      </c>
      <c r="AM252" t="s">
        <v>2437</v>
      </c>
      <c r="AN252" t="s">
        <v>2438</v>
      </c>
      <c r="AO252" t="s">
        <v>2439</v>
      </c>
      <c r="AP252" t="s">
        <v>2440</v>
      </c>
      <c r="AQ252" t="s">
        <v>2441</v>
      </c>
      <c r="AR252" t="s">
        <v>2442</v>
      </c>
      <c r="AS252" t="s">
        <v>2443</v>
      </c>
    </row>
    <row r="253" spans="1:45" x14ac:dyDescent="0.45">
      <c r="A253">
        <v>252</v>
      </c>
      <c r="B253">
        <v>293</v>
      </c>
      <c r="C253" t="s">
        <v>72</v>
      </c>
      <c r="D253" t="s">
        <v>190</v>
      </c>
      <c r="E253" t="s">
        <v>74</v>
      </c>
      <c r="F253" t="s">
        <v>77</v>
      </c>
      <c r="G253" t="s">
        <v>76</v>
      </c>
      <c r="H253">
        <v>62.53740786274534</v>
      </c>
      <c r="I253">
        <v>3</v>
      </c>
      <c r="J253">
        <v>8</v>
      </c>
      <c r="K253">
        <v>6</v>
      </c>
      <c r="L253">
        <v>2</v>
      </c>
      <c r="M253">
        <v>9</v>
      </c>
      <c r="N253">
        <v>6</v>
      </c>
      <c r="O253">
        <v>3</v>
      </c>
      <c r="P253">
        <v>7</v>
      </c>
      <c r="Q253">
        <v>1</v>
      </c>
      <c r="R253">
        <v>6</v>
      </c>
      <c r="S253">
        <v>8</v>
      </c>
      <c r="T253">
        <v>6</v>
      </c>
      <c r="U253">
        <v>2</v>
      </c>
      <c r="V253">
        <v>9</v>
      </c>
      <c r="W253">
        <v>5</v>
      </c>
      <c r="X253">
        <v>4</v>
      </c>
      <c r="Y253">
        <v>7</v>
      </c>
      <c r="Z253">
        <v>6</v>
      </c>
      <c r="AA253">
        <v>1</v>
      </c>
      <c r="AB253">
        <v>8</v>
      </c>
      <c r="AC253">
        <v>6</v>
      </c>
      <c r="AD253">
        <v>2</v>
      </c>
      <c r="AE253">
        <v>7</v>
      </c>
      <c r="AF253">
        <v>6</v>
      </c>
      <c r="AG253">
        <v>1</v>
      </c>
      <c r="AH253">
        <v>9</v>
      </c>
      <c r="AI253">
        <v>6</v>
      </c>
      <c r="AJ253">
        <v>3</v>
      </c>
      <c r="AK253" t="s">
        <v>2444</v>
      </c>
      <c r="AL253" t="s">
        <v>2445</v>
      </c>
      <c r="AM253" t="s">
        <v>2446</v>
      </c>
      <c r="AN253" t="s">
        <v>2447</v>
      </c>
      <c r="AO253" t="s">
        <v>2448</v>
      </c>
      <c r="AP253" t="s">
        <v>219</v>
      </c>
      <c r="AQ253" t="s">
        <v>2449</v>
      </c>
      <c r="AR253" t="s">
        <v>2450</v>
      </c>
      <c r="AS253" t="s">
        <v>2451</v>
      </c>
    </row>
    <row r="254" spans="1:45" x14ac:dyDescent="0.45">
      <c r="A254">
        <v>253</v>
      </c>
      <c r="B254">
        <v>294</v>
      </c>
      <c r="C254" t="s">
        <v>78</v>
      </c>
      <c r="D254" t="s">
        <v>79</v>
      </c>
      <c r="E254" t="s">
        <v>74</v>
      </c>
      <c r="F254" t="s">
        <v>75</v>
      </c>
      <c r="G254" t="s">
        <v>76</v>
      </c>
      <c r="H254">
        <v>90.048830341448124</v>
      </c>
      <c r="I254">
        <v>4</v>
      </c>
      <c r="J254">
        <v>8</v>
      </c>
      <c r="K254">
        <v>8</v>
      </c>
      <c r="L254">
        <v>0</v>
      </c>
      <c r="M254">
        <v>9</v>
      </c>
      <c r="N254">
        <v>8</v>
      </c>
      <c r="O254">
        <v>1</v>
      </c>
      <c r="P254">
        <v>8</v>
      </c>
      <c r="Q254">
        <v>3</v>
      </c>
      <c r="R254">
        <v>5</v>
      </c>
      <c r="S254">
        <v>7</v>
      </c>
      <c r="T254">
        <v>9</v>
      </c>
      <c r="U254">
        <v>-2</v>
      </c>
      <c r="V254">
        <v>8</v>
      </c>
      <c r="W254">
        <v>8</v>
      </c>
      <c r="X254">
        <v>0</v>
      </c>
      <c r="Y254">
        <v>7</v>
      </c>
      <c r="Z254">
        <v>8</v>
      </c>
      <c r="AA254">
        <v>-1</v>
      </c>
      <c r="AB254">
        <v>8</v>
      </c>
      <c r="AC254">
        <v>8</v>
      </c>
      <c r="AD254">
        <v>0</v>
      </c>
      <c r="AE254">
        <v>6</v>
      </c>
      <c r="AF254">
        <v>8</v>
      </c>
      <c r="AG254">
        <v>-2</v>
      </c>
      <c r="AH254">
        <v>8</v>
      </c>
      <c r="AI254">
        <v>8</v>
      </c>
      <c r="AJ254">
        <v>0</v>
      </c>
      <c r="AK254" t="s">
        <v>2452</v>
      </c>
      <c r="AL254" t="s">
        <v>2453</v>
      </c>
      <c r="AM254" t="s">
        <v>2454</v>
      </c>
      <c r="AN254" t="s">
        <v>2455</v>
      </c>
      <c r="AO254" t="s">
        <v>2456</v>
      </c>
      <c r="AP254" t="s">
        <v>2457</v>
      </c>
      <c r="AQ254" t="s">
        <v>2458</v>
      </c>
      <c r="AR254" t="s">
        <v>2459</v>
      </c>
      <c r="AS254" t="s">
        <v>2460</v>
      </c>
    </row>
    <row r="255" spans="1:45" x14ac:dyDescent="0.45">
      <c r="A255">
        <v>254</v>
      </c>
      <c r="B255">
        <v>295</v>
      </c>
      <c r="C255" t="s">
        <v>78</v>
      </c>
      <c r="D255" t="s">
        <v>79</v>
      </c>
      <c r="E255" t="s">
        <v>74</v>
      </c>
      <c r="F255" t="s">
        <v>75</v>
      </c>
      <c r="G255" t="s">
        <v>76</v>
      </c>
      <c r="H255">
        <v>74.379785722700021</v>
      </c>
      <c r="I255">
        <v>1</v>
      </c>
      <c r="J255">
        <v>6</v>
      </c>
      <c r="K255">
        <v>4</v>
      </c>
      <c r="L255">
        <v>2</v>
      </c>
      <c r="M255">
        <v>7</v>
      </c>
      <c r="N255">
        <v>3</v>
      </c>
      <c r="O255">
        <v>4</v>
      </c>
      <c r="P255">
        <v>8</v>
      </c>
      <c r="Q255">
        <v>1</v>
      </c>
      <c r="R255">
        <v>7</v>
      </c>
      <c r="S255">
        <v>9</v>
      </c>
      <c r="T255">
        <v>7</v>
      </c>
      <c r="U255">
        <v>2</v>
      </c>
      <c r="V255">
        <v>7</v>
      </c>
      <c r="W255">
        <v>3</v>
      </c>
      <c r="X255">
        <v>4</v>
      </c>
      <c r="Y255">
        <v>8</v>
      </c>
      <c r="Z255">
        <v>6</v>
      </c>
      <c r="AA255">
        <v>2</v>
      </c>
      <c r="AB255">
        <v>7</v>
      </c>
      <c r="AC255">
        <v>5</v>
      </c>
      <c r="AD255">
        <v>2</v>
      </c>
      <c r="AE255">
        <v>6</v>
      </c>
      <c r="AF255">
        <v>6</v>
      </c>
      <c r="AG255">
        <v>0</v>
      </c>
      <c r="AH255">
        <v>7</v>
      </c>
      <c r="AI255">
        <v>6</v>
      </c>
      <c r="AJ255">
        <v>1</v>
      </c>
      <c r="AK255" t="s">
        <v>2461</v>
      </c>
      <c r="AL255" t="s">
        <v>2462</v>
      </c>
      <c r="AM255" t="s">
        <v>2463</v>
      </c>
      <c r="AN255" t="s">
        <v>2464</v>
      </c>
      <c r="AO255" t="s">
        <v>2465</v>
      </c>
      <c r="AP255" t="s">
        <v>2466</v>
      </c>
      <c r="AQ255" t="s">
        <v>2467</v>
      </c>
      <c r="AR255" t="s">
        <v>2468</v>
      </c>
      <c r="AS255" t="s">
        <v>2469</v>
      </c>
    </row>
    <row r="256" spans="1:45" x14ac:dyDescent="0.45">
      <c r="A256">
        <v>255</v>
      </c>
      <c r="B256">
        <v>296</v>
      </c>
      <c r="C256" t="s">
        <v>72</v>
      </c>
      <c r="D256" t="s">
        <v>73</v>
      </c>
      <c r="E256" t="s">
        <v>74</v>
      </c>
      <c r="F256" t="s">
        <v>75</v>
      </c>
      <c r="G256" t="s">
        <v>76</v>
      </c>
      <c r="H256">
        <v>61.953258506214127</v>
      </c>
      <c r="I256">
        <v>1</v>
      </c>
      <c r="J256">
        <v>7</v>
      </c>
      <c r="K256">
        <v>6</v>
      </c>
      <c r="L256">
        <v>1</v>
      </c>
      <c r="M256">
        <v>8</v>
      </c>
      <c r="N256">
        <v>6</v>
      </c>
      <c r="O256">
        <v>2</v>
      </c>
      <c r="P256">
        <v>6</v>
      </c>
      <c r="Q256">
        <v>1</v>
      </c>
      <c r="R256">
        <v>5</v>
      </c>
      <c r="S256">
        <v>6</v>
      </c>
      <c r="T256">
        <v>7</v>
      </c>
      <c r="U256">
        <v>-1</v>
      </c>
      <c r="V256">
        <v>7</v>
      </c>
      <c r="W256">
        <v>5</v>
      </c>
      <c r="X256">
        <v>2</v>
      </c>
      <c r="Y256">
        <v>6</v>
      </c>
      <c r="Z256">
        <v>6</v>
      </c>
      <c r="AA256">
        <v>0</v>
      </c>
      <c r="AB256">
        <v>7</v>
      </c>
      <c r="AC256">
        <v>6</v>
      </c>
      <c r="AD256">
        <v>1</v>
      </c>
      <c r="AE256">
        <v>6</v>
      </c>
      <c r="AF256">
        <v>6</v>
      </c>
      <c r="AG256">
        <v>0</v>
      </c>
      <c r="AH256">
        <v>6</v>
      </c>
      <c r="AI256">
        <v>6</v>
      </c>
      <c r="AJ256">
        <v>0</v>
      </c>
      <c r="AK256" t="s">
        <v>2470</v>
      </c>
      <c r="AL256" t="s">
        <v>2471</v>
      </c>
      <c r="AM256" t="s">
        <v>2472</v>
      </c>
      <c r="AN256" t="s">
        <v>2473</v>
      </c>
      <c r="AO256" t="s">
        <v>2474</v>
      </c>
      <c r="AP256" t="s">
        <v>2475</v>
      </c>
      <c r="AQ256" t="s">
        <v>2476</v>
      </c>
      <c r="AR256" t="s">
        <v>2477</v>
      </c>
      <c r="AS256" t="s">
        <v>2478</v>
      </c>
    </row>
    <row r="257" spans="1:45" x14ac:dyDescent="0.45">
      <c r="A257">
        <v>256</v>
      </c>
      <c r="B257">
        <v>297</v>
      </c>
      <c r="C257" t="s">
        <v>72</v>
      </c>
      <c r="D257" t="s">
        <v>190</v>
      </c>
      <c r="E257" t="s">
        <v>74</v>
      </c>
      <c r="F257" t="s">
        <v>77</v>
      </c>
      <c r="G257" t="s">
        <v>76</v>
      </c>
      <c r="H257">
        <v>113.03341630863818</v>
      </c>
      <c r="I257">
        <v>4</v>
      </c>
      <c r="J257">
        <v>7</v>
      </c>
      <c r="K257">
        <v>8</v>
      </c>
      <c r="L257">
        <v>-1</v>
      </c>
      <c r="M257">
        <v>8</v>
      </c>
      <c r="N257">
        <v>8</v>
      </c>
      <c r="O257">
        <v>0</v>
      </c>
      <c r="P257">
        <v>6</v>
      </c>
      <c r="Q257">
        <v>5</v>
      </c>
      <c r="R257">
        <v>1</v>
      </c>
      <c r="S257">
        <v>8</v>
      </c>
      <c r="T257">
        <v>8</v>
      </c>
      <c r="U257">
        <v>0</v>
      </c>
      <c r="V257">
        <v>7</v>
      </c>
      <c r="W257">
        <v>8</v>
      </c>
      <c r="X257">
        <v>-1</v>
      </c>
      <c r="Y257">
        <v>6</v>
      </c>
      <c r="Z257">
        <v>7</v>
      </c>
      <c r="AA257">
        <v>-1</v>
      </c>
      <c r="AB257">
        <v>7</v>
      </c>
      <c r="AC257">
        <v>7</v>
      </c>
      <c r="AD257">
        <v>0</v>
      </c>
      <c r="AE257">
        <v>5</v>
      </c>
      <c r="AF257">
        <v>7</v>
      </c>
      <c r="AG257">
        <v>-2</v>
      </c>
      <c r="AH257">
        <v>6</v>
      </c>
      <c r="AI257">
        <v>7</v>
      </c>
      <c r="AJ257">
        <v>-1</v>
      </c>
      <c r="AK257" t="s">
        <v>2479</v>
      </c>
      <c r="AL257" t="s">
        <v>2480</v>
      </c>
      <c r="AM257" t="s">
        <v>2481</v>
      </c>
      <c r="AN257" t="s">
        <v>2482</v>
      </c>
      <c r="AO257" t="s">
        <v>2483</v>
      </c>
      <c r="AP257" t="s">
        <v>2484</v>
      </c>
      <c r="AQ257" t="s">
        <v>2485</v>
      </c>
      <c r="AR257" t="s">
        <v>2486</v>
      </c>
      <c r="AS257" t="s">
        <v>2487</v>
      </c>
    </row>
    <row r="258" spans="1:45" x14ac:dyDescent="0.45">
      <c r="A258">
        <v>257</v>
      </c>
      <c r="B258">
        <v>298</v>
      </c>
      <c r="C258" t="s">
        <v>72</v>
      </c>
      <c r="D258" t="s">
        <v>81</v>
      </c>
      <c r="E258" t="s">
        <v>74</v>
      </c>
      <c r="F258" t="s">
        <v>77</v>
      </c>
      <c r="G258" t="s">
        <v>76</v>
      </c>
      <c r="H258">
        <v>39.760615265521771</v>
      </c>
      <c r="I258">
        <v>1</v>
      </c>
      <c r="J258">
        <v>7</v>
      </c>
      <c r="K258">
        <v>7</v>
      </c>
      <c r="L258">
        <v>0</v>
      </c>
      <c r="M258">
        <v>6</v>
      </c>
      <c r="N258">
        <v>8</v>
      </c>
      <c r="O258">
        <v>-2</v>
      </c>
      <c r="P258">
        <v>8</v>
      </c>
      <c r="Q258">
        <v>4</v>
      </c>
      <c r="R258">
        <v>4</v>
      </c>
      <c r="S258">
        <v>9</v>
      </c>
      <c r="T258">
        <v>8</v>
      </c>
      <c r="U258">
        <v>1</v>
      </c>
      <c r="V258">
        <v>7</v>
      </c>
      <c r="W258">
        <v>5</v>
      </c>
      <c r="X258">
        <v>2</v>
      </c>
      <c r="Y258">
        <v>6</v>
      </c>
      <c r="Z258">
        <v>7</v>
      </c>
      <c r="AA258">
        <v>-1</v>
      </c>
      <c r="AB258">
        <v>7</v>
      </c>
      <c r="AC258">
        <v>5</v>
      </c>
      <c r="AD258">
        <v>2</v>
      </c>
      <c r="AE258">
        <v>5</v>
      </c>
      <c r="AF258">
        <v>6</v>
      </c>
      <c r="AG258">
        <v>-1</v>
      </c>
      <c r="AH258">
        <v>6</v>
      </c>
      <c r="AI258">
        <v>6</v>
      </c>
      <c r="AJ258">
        <v>0</v>
      </c>
      <c r="AK258" t="s">
        <v>2488</v>
      </c>
      <c r="AL258" t="s">
        <v>2489</v>
      </c>
      <c r="AM258" t="s">
        <v>2490</v>
      </c>
      <c r="AN258" t="s">
        <v>225</v>
      </c>
      <c r="AO258" t="s">
        <v>2491</v>
      </c>
      <c r="AP258" t="s">
        <v>2492</v>
      </c>
      <c r="AQ258" t="s">
        <v>2493</v>
      </c>
      <c r="AR258" t="s">
        <v>2494</v>
      </c>
      <c r="AS258" t="s">
        <v>2495</v>
      </c>
    </row>
    <row r="259" spans="1:45" x14ac:dyDescent="0.45">
      <c r="A259">
        <v>258</v>
      </c>
      <c r="B259">
        <v>299</v>
      </c>
      <c r="C259" t="s">
        <v>78</v>
      </c>
      <c r="D259" t="s">
        <v>79</v>
      </c>
      <c r="E259" t="s">
        <v>74</v>
      </c>
      <c r="F259" t="s">
        <v>77</v>
      </c>
      <c r="G259" t="s">
        <v>76</v>
      </c>
      <c r="H259">
        <v>62.951761698596449</v>
      </c>
      <c r="I259">
        <v>2</v>
      </c>
      <c r="J259">
        <v>7</v>
      </c>
      <c r="K259">
        <v>6</v>
      </c>
      <c r="L259">
        <v>1</v>
      </c>
      <c r="M259">
        <v>8</v>
      </c>
      <c r="N259">
        <v>7</v>
      </c>
      <c r="O259">
        <v>1</v>
      </c>
      <c r="P259">
        <v>9</v>
      </c>
      <c r="Q259">
        <v>2</v>
      </c>
      <c r="R259">
        <v>7</v>
      </c>
      <c r="S259">
        <v>8</v>
      </c>
      <c r="T259">
        <v>7</v>
      </c>
      <c r="U259">
        <v>1</v>
      </c>
      <c r="V259">
        <v>9</v>
      </c>
      <c r="W259">
        <v>5</v>
      </c>
      <c r="X259">
        <v>4</v>
      </c>
      <c r="Y259">
        <v>7</v>
      </c>
      <c r="Z259">
        <v>5</v>
      </c>
      <c r="AA259">
        <v>2</v>
      </c>
      <c r="AB259">
        <v>8</v>
      </c>
      <c r="AC259">
        <v>5</v>
      </c>
      <c r="AD259">
        <v>3</v>
      </c>
      <c r="AE259">
        <v>6</v>
      </c>
      <c r="AF259">
        <v>6</v>
      </c>
      <c r="AG259">
        <v>0</v>
      </c>
      <c r="AH259">
        <v>6</v>
      </c>
      <c r="AI259">
        <v>5</v>
      </c>
      <c r="AJ259">
        <v>1</v>
      </c>
      <c r="AK259" t="s">
        <v>2496</v>
      </c>
      <c r="AL259" t="s">
        <v>2497</v>
      </c>
      <c r="AM259" t="s">
        <v>2498</v>
      </c>
      <c r="AN259" t="s">
        <v>2499</v>
      </c>
      <c r="AO259" t="s">
        <v>2500</v>
      </c>
      <c r="AP259" t="s">
        <v>2501</v>
      </c>
      <c r="AQ259" t="s">
        <v>2502</v>
      </c>
      <c r="AR259" t="s">
        <v>2503</v>
      </c>
      <c r="AS259" t="s">
        <v>2504</v>
      </c>
    </row>
    <row r="260" spans="1:45" x14ac:dyDescent="0.45">
      <c r="A260">
        <v>259</v>
      </c>
      <c r="B260">
        <v>300</v>
      </c>
      <c r="C260" t="s">
        <v>78</v>
      </c>
      <c r="D260" t="s">
        <v>190</v>
      </c>
      <c r="E260" t="s">
        <v>74</v>
      </c>
      <c r="F260" t="s">
        <v>75</v>
      </c>
      <c r="G260" t="s">
        <v>76</v>
      </c>
      <c r="H260">
        <v>201.21477312297552</v>
      </c>
      <c r="I260">
        <v>4</v>
      </c>
      <c r="J260">
        <v>7</v>
      </c>
      <c r="K260">
        <v>2</v>
      </c>
      <c r="L260">
        <v>5</v>
      </c>
      <c r="M260">
        <v>6</v>
      </c>
      <c r="N260">
        <v>1</v>
      </c>
      <c r="O260">
        <v>5</v>
      </c>
      <c r="P260">
        <v>8</v>
      </c>
      <c r="Q260">
        <v>1</v>
      </c>
      <c r="R260">
        <v>7</v>
      </c>
      <c r="S260">
        <v>9</v>
      </c>
      <c r="T260">
        <v>6</v>
      </c>
      <c r="U260">
        <v>3</v>
      </c>
      <c r="V260">
        <v>7</v>
      </c>
      <c r="W260">
        <v>2</v>
      </c>
      <c r="X260">
        <v>5</v>
      </c>
      <c r="Y260">
        <v>6</v>
      </c>
      <c r="Z260">
        <v>3</v>
      </c>
      <c r="AA260">
        <v>3</v>
      </c>
      <c r="AB260">
        <v>7</v>
      </c>
      <c r="AC260">
        <v>1</v>
      </c>
      <c r="AD260">
        <v>6</v>
      </c>
      <c r="AE260">
        <v>5</v>
      </c>
      <c r="AF260">
        <v>5</v>
      </c>
      <c r="AG260">
        <v>0</v>
      </c>
      <c r="AH260">
        <v>6</v>
      </c>
      <c r="AI260">
        <v>4</v>
      </c>
      <c r="AJ260">
        <v>2</v>
      </c>
      <c r="AK260" t="s">
        <v>2505</v>
      </c>
      <c r="AL260" t="s">
        <v>2506</v>
      </c>
      <c r="AM260" t="s">
        <v>2507</v>
      </c>
      <c r="AN260" t="s">
        <v>2359</v>
      </c>
      <c r="AO260" t="s">
        <v>2508</v>
      </c>
      <c r="AP260" t="s">
        <v>2509</v>
      </c>
      <c r="AQ260" t="s">
        <v>2510</v>
      </c>
      <c r="AR260" t="s">
        <v>2511</v>
      </c>
      <c r="AS260" t="s">
        <v>2512</v>
      </c>
    </row>
    <row r="261" spans="1:45" x14ac:dyDescent="0.45">
      <c r="A261">
        <v>260</v>
      </c>
      <c r="B261">
        <v>301</v>
      </c>
      <c r="C261" t="s">
        <v>72</v>
      </c>
      <c r="D261" t="s">
        <v>73</v>
      </c>
      <c r="E261" t="s">
        <v>80</v>
      </c>
      <c r="F261" t="s">
        <v>77</v>
      </c>
      <c r="G261" t="s">
        <v>76</v>
      </c>
      <c r="H261">
        <v>38.011109922211489</v>
      </c>
      <c r="I261">
        <v>2</v>
      </c>
      <c r="J261">
        <v>9</v>
      </c>
      <c r="K261">
        <v>6</v>
      </c>
      <c r="L261">
        <v>3</v>
      </c>
      <c r="M261">
        <v>8</v>
      </c>
      <c r="N261">
        <v>6</v>
      </c>
      <c r="O261">
        <v>2</v>
      </c>
      <c r="P261">
        <v>9</v>
      </c>
      <c r="Q261">
        <v>7</v>
      </c>
      <c r="R261">
        <v>2</v>
      </c>
      <c r="S261">
        <v>8</v>
      </c>
      <c r="T261">
        <v>6</v>
      </c>
      <c r="U261">
        <v>2</v>
      </c>
      <c r="V261">
        <v>9</v>
      </c>
      <c r="W261">
        <v>5</v>
      </c>
      <c r="X261">
        <v>4</v>
      </c>
      <c r="Y261">
        <v>7</v>
      </c>
      <c r="Z261">
        <v>6</v>
      </c>
      <c r="AA261">
        <v>1</v>
      </c>
      <c r="AB261">
        <v>8</v>
      </c>
      <c r="AC261">
        <v>5</v>
      </c>
      <c r="AD261">
        <v>3</v>
      </c>
      <c r="AE261">
        <v>6</v>
      </c>
      <c r="AF261">
        <v>6</v>
      </c>
      <c r="AG261">
        <v>0</v>
      </c>
      <c r="AH261">
        <v>8</v>
      </c>
      <c r="AI261">
        <v>6</v>
      </c>
      <c r="AJ261">
        <v>2</v>
      </c>
      <c r="AK261" t="s">
        <v>2513</v>
      </c>
      <c r="AL261" t="s">
        <v>2514</v>
      </c>
      <c r="AM261" t="s">
        <v>2515</v>
      </c>
      <c r="AN261" t="s">
        <v>2516</v>
      </c>
      <c r="AO261" t="s">
        <v>2517</v>
      </c>
      <c r="AP261" t="s">
        <v>2518</v>
      </c>
      <c r="AQ261" t="s">
        <v>2519</v>
      </c>
      <c r="AR261" t="s">
        <v>2520</v>
      </c>
      <c r="AS261" t="s">
        <v>2521</v>
      </c>
    </row>
    <row r="262" spans="1:45" x14ac:dyDescent="0.45">
      <c r="A262">
        <v>261</v>
      </c>
      <c r="B262">
        <v>302</v>
      </c>
      <c r="C262" t="s">
        <v>78</v>
      </c>
      <c r="D262" t="s">
        <v>73</v>
      </c>
      <c r="E262" t="s">
        <v>74</v>
      </c>
      <c r="F262" t="s">
        <v>77</v>
      </c>
      <c r="G262" t="s">
        <v>76</v>
      </c>
      <c r="H262">
        <v>43.39619440236465</v>
      </c>
      <c r="I262">
        <v>1</v>
      </c>
      <c r="J262">
        <v>7</v>
      </c>
      <c r="K262">
        <v>6</v>
      </c>
      <c r="L262">
        <v>1</v>
      </c>
      <c r="M262">
        <v>8</v>
      </c>
      <c r="N262">
        <v>7</v>
      </c>
      <c r="O262">
        <v>1</v>
      </c>
      <c r="P262">
        <v>9</v>
      </c>
      <c r="Q262">
        <v>1</v>
      </c>
      <c r="R262">
        <v>8</v>
      </c>
      <c r="S262">
        <v>7</v>
      </c>
      <c r="T262">
        <v>9</v>
      </c>
      <c r="U262">
        <v>-2</v>
      </c>
      <c r="V262">
        <v>6</v>
      </c>
      <c r="W262">
        <v>5</v>
      </c>
      <c r="X262">
        <v>1</v>
      </c>
      <c r="Y262">
        <v>7</v>
      </c>
      <c r="Z262">
        <v>4</v>
      </c>
      <c r="AA262">
        <v>3</v>
      </c>
      <c r="AB262">
        <v>5</v>
      </c>
      <c r="AC262">
        <v>4</v>
      </c>
      <c r="AD262">
        <v>1</v>
      </c>
      <c r="AE262">
        <v>6</v>
      </c>
      <c r="AF262">
        <v>5</v>
      </c>
      <c r="AG262">
        <v>1</v>
      </c>
      <c r="AH262">
        <v>7</v>
      </c>
      <c r="AI262">
        <v>5</v>
      </c>
      <c r="AJ262">
        <v>2</v>
      </c>
      <c r="AK262" t="s">
        <v>2522</v>
      </c>
      <c r="AL262" t="s">
        <v>2523</v>
      </c>
      <c r="AM262" t="s">
        <v>2524</v>
      </c>
      <c r="AN262" t="s">
        <v>2525</v>
      </c>
      <c r="AO262" t="s">
        <v>2526</v>
      </c>
      <c r="AP262" t="s">
        <v>2527</v>
      </c>
      <c r="AQ262" t="s">
        <v>2528</v>
      </c>
      <c r="AR262" t="s">
        <v>2529</v>
      </c>
      <c r="AS262" t="s">
        <v>2530</v>
      </c>
    </row>
    <row r="263" spans="1:45" x14ac:dyDescent="0.45">
      <c r="A263">
        <v>262</v>
      </c>
      <c r="B263">
        <v>303</v>
      </c>
      <c r="C263" t="s">
        <v>78</v>
      </c>
      <c r="D263" t="s">
        <v>73</v>
      </c>
      <c r="E263" t="s">
        <v>74</v>
      </c>
      <c r="F263" t="s">
        <v>77</v>
      </c>
      <c r="G263" t="s">
        <v>76</v>
      </c>
      <c r="H263">
        <v>52.503080801953715</v>
      </c>
      <c r="I263">
        <v>4</v>
      </c>
      <c r="J263">
        <v>6</v>
      </c>
      <c r="K263">
        <v>9</v>
      </c>
      <c r="L263">
        <v>-3</v>
      </c>
      <c r="M263">
        <v>7</v>
      </c>
      <c r="N263">
        <v>9</v>
      </c>
      <c r="O263">
        <v>-2</v>
      </c>
      <c r="P263">
        <v>8</v>
      </c>
      <c r="Q263">
        <v>8</v>
      </c>
      <c r="R263">
        <v>0</v>
      </c>
      <c r="S263">
        <v>8</v>
      </c>
      <c r="T263">
        <v>9</v>
      </c>
      <c r="U263">
        <v>-1</v>
      </c>
      <c r="V263">
        <v>7</v>
      </c>
      <c r="W263">
        <v>8</v>
      </c>
      <c r="X263">
        <v>-1</v>
      </c>
      <c r="Y263">
        <v>7</v>
      </c>
      <c r="Z263">
        <v>9</v>
      </c>
      <c r="AA263">
        <v>-2</v>
      </c>
      <c r="AB263">
        <v>7</v>
      </c>
      <c r="AC263">
        <v>9</v>
      </c>
      <c r="AD263">
        <v>-2</v>
      </c>
      <c r="AE263">
        <v>6</v>
      </c>
      <c r="AF263">
        <v>8</v>
      </c>
      <c r="AG263">
        <v>-2</v>
      </c>
      <c r="AH263">
        <v>7</v>
      </c>
      <c r="AI263">
        <v>8</v>
      </c>
      <c r="AJ263">
        <v>-1</v>
      </c>
      <c r="AK263" t="s">
        <v>2531</v>
      </c>
      <c r="AL263" t="s">
        <v>2532</v>
      </c>
      <c r="AM263" t="s">
        <v>2533</v>
      </c>
      <c r="AN263" t="s">
        <v>2534</v>
      </c>
      <c r="AO263" t="s">
        <v>2535</v>
      </c>
      <c r="AP263" t="s">
        <v>2536</v>
      </c>
      <c r="AQ263" t="s">
        <v>2537</v>
      </c>
      <c r="AR263" t="s">
        <v>2538</v>
      </c>
      <c r="AS263" t="s">
        <v>2539</v>
      </c>
    </row>
    <row r="264" spans="1:45" x14ac:dyDescent="0.45">
      <c r="A264">
        <v>263</v>
      </c>
      <c r="B264">
        <v>304</v>
      </c>
      <c r="C264" t="s">
        <v>78</v>
      </c>
      <c r="D264" t="s">
        <v>73</v>
      </c>
      <c r="E264" t="s">
        <v>74</v>
      </c>
      <c r="F264" t="s">
        <v>75</v>
      </c>
      <c r="G264" t="s">
        <v>76</v>
      </c>
      <c r="H264">
        <v>87.421676929285155</v>
      </c>
      <c r="I264">
        <v>3</v>
      </c>
      <c r="J264">
        <v>8</v>
      </c>
      <c r="K264">
        <v>8</v>
      </c>
      <c r="L264">
        <v>0</v>
      </c>
      <c r="M264">
        <v>7</v>
      </c>
      <c r="N264">
        <v>8</v>
      </c>
      <c r="O264">
        <v>-1</v>
      </c>
      <c r="P264">
        <v>9</v>
      </c>
      <c r="Q264">
        <v>5</v>
      </c>
      <c r="R264">
        <v>4</v>
      </c>
      <c r="S264">
        <v>8</v>
      </c>
      <c r="T264">
        <v>7</v>
      </c>
      <c r="U264">
        <v>1</v>
      </c>
      <c r="V264">
        <v>7</v>
      </c>
      <c r="W264">
        <v>7</v>
      </c>
      <c r="X264">
        <v>0</v>
      </c>
      <c r="Y264">
        <v>6</v>
      </c>
      <c r="Z264">
        <v>5</v>
      </c>
      <c r="AA264">
        <v>1</v>
      </c>
      <c r="AB264">
        <v>5</v>
      </c>
      <c r="AC264">
        <v>5</v>
      </c>
      <c r="AD264">
        <v>0</v>
      </c>
      <c r="AE264">
        <v>6</v>
      </c>
      <c r="AF264">
        <v>6</v>
      </c>
      <c r="AG264">
        <v>0</v>
      </c>
      <c r="AH264">
        <v>7</v>
      </c>
      <c r="AI264">
        <v>6</v>
      </c>
      <c r="AJ264">
        <v>1</v>
      </c>
      <c r="AK264" t="s">
        <v>2540</v>
      </c>
      <c r="AL264" t="s">
        <v>2541</v>
      </c>
      <c r="AM264" t="s">
        <v>2542</v>
      </c>
      <c r="AN264" t="s">
        <v>2543</v>
      </c>
      <c r="AO264" t="s">
        <v>2544</v>
      </c>
      <c r="AP264" t="s">
        <v>2545</v>
      </c>
      <c r="AQ264" t="s">
        <v>2546</v>
      </c>
      <c r="AR264" t="s">
        <v>2547</v>
      </c>
      <c r="AS264" t="s">
        <v>2548</v>
      </c>
    </row>
    <row r="265" spans="1:45" x14ac:dyDescent="0.45">
      <c r="A265">
        <v>264</v>
      </c>
      <c r="B265">
        <v>305</v>
      </c>
      <c r="C265" t="s">
        <v>78</v>
      </c>
      <c r="D265" t="s">
        <v>79</v>
      </c>
      <c r="E265" t="s">
        <v>74</v>
      </c>
      <c r="F265" t="s">
        <v>75</v>
      </c>
      <c r="G265" t="s">
        <v>76</v>
      </c>
      <c r="H265">
        <v>207.8535676437989</v>
      </c>
      <c r="I265">
        <v>3</v>
      </c>
      <c r="J265">
        <v>8</v>
      </c>
      <c r="K265">
        <v>7</v>
      </c>
      <c r="L265">
        <v>1</v>
      </c>
      <c r="M265">
        <v>7</v>
      </c>
      <c r="N265">
        <v>7</v>
      </c>
      <c r="O265">
        <v>0</v>
      </c>
      <c r="P265">
        <v>9</v>
      </c>
      <c r="Q265">
        <v>7</v>
      </c>
      <c r="R265">
        <v>2</v>
      </c>
      <c r="S265">
        <v>8</v>
      </c>
      <c r="T265">
        <v>8</v>
      </c>
      <c r="U265">
        <v>0</v>
      </c>
      <c r="V265">
        <v>7</v>
      </c>
      <c r="W265">
        <v>7</v>
      </c>
      <c r="X265">
        <v>0</v>
      </c>
      <c r="Y265">
        <v>8</v>
      </c>
      <c r="Z265">
        <v>7</v>
      </c>
      <c r="AA265">
        <v>1</v>
      </c>
      <c r="AB265">
        <v>7</v>
      </c>
      <c r="AC265">
        <v>7</v>
      </c>
      <c r="AD265">
        <v>0</v>
      </c>
      <c r="AE265">
        <v>6</v>
      </c>
      <c r="AF265">
        <v>7</v>
      </c>
      <c r="AG265">
        <v>-1</v>
      </c>
      <c r="AH265">
        <v>8</v>
      </c>
      <c r="AI265">
        <v>7</v>
      </c>
      <c r="AJ265">
        <v>1</v>
      </c>
      <c r="AK265" t="s">
        <v>2549</v>
      </c>
      <c r="AL265" t="s">
        <v>2550</v>
      </c>
      <c r="AM265" t="s">
        <v>2551</v>
      </c>
      <c r="AN265" t="s">
        <v>2552</v>
      </c>
      <c r="AO265" t="s">
        <v>2553</v>
      </c>
      <c r="AP265" t="s">
        <v>2554</v>
      </c>
      <c r="AQ265" t="s">
        <v>2555</v>
      </c>
      <c r="AR265" t="s">
        <v>2556</v>
      </c>
      <c r="AS265" t="s">
        <v>2557</v>
      </c>
    </row>
    <row r="266" spans="1:45" x14ac:dyDescent="0.45">
      <c r="A266">
        <v>265</v>
      </c>
      <c r="B266">
        <v>306</v>
      </c>
      <c r="C266" t="s">
        <v>72</v>
      </c>
      <c r="D266" t="s">
        <v>73</v>
      </c>
      <c r="E266" t="s">
        <v>74</v>
      </c>
      <c r="F266" t="s">
        <v>77</v>
      </c>
      <c r="G266" t="s">
        <v>76</v>
      </c>
      <c r="H266">
        <v>23.464725276110865</v>
      </c>
      <c r="I266">
        <v>0</v>
      </c>
      <c r="J266">
        <v>7</v>
      </c>
      <c r="K266">
        <v>6</v>
      </c>
      <c r="L266">
        <v>1</v>
      </c>
      <c r="M266">
        <v>6</v>
      </c>
      <c r="N266">
        <v>5</v>
      </c>
      <c r="O266">
        <v>1</v>
      </c>
      <c r="P266">
        <v>8</v>
      </c>
      <c r="Q266">
        <v>5</v>
      </c>
      <c r="R266">
        <v>3</v>
      </c>
      <c r="S266">
        <v>8</v>
      </c>
      <c r="T266">
        <v>7</v>
      </c>
      <c r="U266">
        <v>1</v>
      </c>
      <c r="V266">
        <v>7</v>
      </c>
      <c r="W266">
        <v>6</v>
      </c>
      <c r="X266">
        <v>1</v>
      </c>
      <c r="Y266">
        <v>7</v>
      </c>
      <c r="Z266">
        <v>7</v>
      </c>
      <c r="AA266">
        <v>0</v>
      </c>
      <c r="AB266">
        <v>7</v>
      </c>
      <c r="AC266">
        <v>5</v>
      </c>
      <c r="AD266">
        <v>2</v>
      </c>
      <c r="AE266">
        <v>6</v>
      </c>
      <c r="AF266">
        <v>6</v>
      </c>
      <c r="AG266">
        <v>0</v>
      </c>
      <c r="AH266">
        <v>7</v>
      </c>
      <c r="AI266">
        <v>6</v>
      </c>
      <c r="AJ266">
        <v>1</v>
      </c>
      <c r="AK266" t="s">
        <v>2558</v>
      </c>
      <c r="AL266" t="s">
        <v>2559</v>
      </c>
      <c r="AM266" t="s">
        <v>2560</v>
      </c>
      <c r="AN266" t="s">
        <v>2561</v>
      </c>
      <c r="AO266" t="s">
        <v>2562</v>
      </c>
      <c r="AP266" t="s">
        <v>2563</v>
      </c>
      <c r="AQ266" t="s">
        <v>2564</v>
      </c>
      <c r="AR266" t="s">
        <v>2565</v>
      </c>
      <c r="AS266" t="s">
        <v>2566</v>
      </c>
    </row>
    <row r="267" spans="1:45" x14ac:dyDescent="0.45">
      <c r="A267">
        <v>266</v>
      </c>
      <c r="B267">
        <v>307</v>
      </c>
      <c r="C267" t="s">
        <v>72</v>
      </c>
      <c r="D267" t="s">
        <v>190</v>
      </c>
      <c r="E267" t="s">
        <v>74</v>
      </c>
      <c r="F267" t="s">
        <v>77</v>
      </c>
      <c r="G267" t="s">
        <v>76</v>
      </c>
      <c r="H267">
        <v>61.291326923379387</v>
      </c>
      <c r="I267">
        <v>3</v>
      </c>
      <c r="J267">
        <v>7</v>
      </c>
      <c r="K267">
        <v>7</v>
      </c>
      <c r="L267">
        <v>0</v>
      </c>
      <c r="M267">
        <v>6</v>
      </c>
      <c r="N267">
        <v>6</v>
      </c>
      <c r="O267">
        <v>0</v>
      </c>
      <c r="P267">
        <v>8</v>
      </c>
      <c r="Q267">
        <v>6</v>
      </c>
      <c r="R267">
        <v>2</v>
      </c>
      <c r="S267">
        <v>7</v>
      </c>
      <c r="T267">
        <v>6</v>
      </c>
      <c r="U267">
        <v>1</v>
      </c>
      <c r="V267">
        <v>8</v>
      </c>
      <c r="W267">
        <v>7</v>
      </c>
      <c r="X267">
        <v>1</v>
      </c>
      <c r="Y267">
        <v>7</v>
      </c>
      <c r="Z267">
        <v>7</v>
      </c>
      <c r="AA267">
        <v>0</v>
      </c>
      <c r="AB267">
        <v>6</v>
      </c>
      <c r="AC267">
        <v>7</v>
      </c>
      <c r="AD267">
        <v>-1</v>
      </c>
      <c r="AE267">
        <v>5</v>
      </c>
      <c r="AF267">
        <v>7</v>
      </c>
      <c r="AG267">
        <v>-2</v>
      </c>
      <c r="AH267">
        <v>8</v>
      </c>
      <c r="AI267">
        <v>7</v>
      </c>
      <c r="AJ267">
        <v>1</v>
      </c>
      <c r="AK267" t="s">
        <v>2567</v>
      </c>
      <c r="AL267" t="s">
        <v>2568</v>
      </c>
      <c r="AM267" t="s">
        <v>2569</v>
      </c>
      <c r="AN267" t="s">
        <v>2570</v>
      </c>
      <c r="AO267" t="s">
        <v>2571</v>
      </c>
      <c r="AP267" t="s">
        <v>2572</v>
      </c>
      <c r="AQ267" t="s">
        <v>2573</v>
      </c>
      <c r="AR267" t="s">
        <v>2574</v>
      </c>
      <c r="AS267" t="s">
        <v>2575</v>
      </c>
    </row>
    <row r="268" spans="1:45" x14ac:dyDescent="0.45">
      <c r="A268">
        <v>267</v>
      </c>
      <c r="B268">
        <v>308</v>
      </c>
      <c r="C268" t="s">
        <v>78</v>
      </c>
      <c r="D268" t="s">
        <v>79</v>
      </c>
      <c r="E268" t="s">
        <v>74</v>
      </c>
      <c r="F268" t="s">
        <v>75</v>
      </c>
      <c r="G268" t="s">
        <v>76</v>
      </c>
      <c r="H268">
        <v>62.413088429523192</v>
      </c>
      <c r="I268">
        <v>2</v>
      </c>
      <c r="J268">
        <v>7</v>
      </c>
      <c r="K268">
        <v>6</v>
      </c>
      <c r="L268">
        <v>1</v>
      </c>
      <c r="M268">
        <v>8</v>
      </c>
      <c r="N268">
        <v>7</v>
      </c>
      <c r="O268">
        <v>1</v>
      </c>
      <c r="P268">
        <v>9</v>
      </c>
      <c r="Q268">
        <v>7</v>
      </c>
      <c r="R268">
        <v>2</v>
      </c>
      <c r="S268">
        <v>9</v>
      </c>
      <c r="T268">
        <v>6</v>
      </c>
      <c r="U268">
        <v>3</v>
      </c>
      <c r="V268">
        <v>7</v>
      </c>
      <c r="W268">
        <v>6</v>
      </c>
      <c r="X268">
        <v>1</v>
      </c>
      <c r="Y268">
        <v>8</v>
      </c>
      <c r="Z268">
        <v>6</v>
      </c>
      <c r="AA268">
        <v>2</v>
      </c>
      <c r="AB268">
        <v>8</v>
      </c>
      <c r="AC268">
        <v>6</v>
      </c>
      <c r="AD268">
        <v>2</v>
      </c>
      <c r="AE268">
        <v>7</v>
      </c>
      <c r="AF268">
        <v>7</v>
      </c>
      <c r="AG268">
        <v>0</v>
      </c>
      <c r="AH268">
        <v>8</v>
      </c>
      <c r="AI268">
        <v>7</v>
      </c>
      <c r="AJ268">
        <v>1</v>
      </c>
      <c r="AK268" t="s">
        <v>2576</v>
      </c>
      <c r="AL268" t="s">
        <v>2577</v>
      </c>
      <c r="AM268" t="s">
        <v>2578</v>
      </c>
      <c r="AN268" t="s">
        <v>2579</v>
      </c>
      <c r="AO268" t="s">
        <v>2580</v>
      </c>
      <c r="AP268" t="s">
        <v>2581</v>
      </c>
      <c r="AQ268" t="s">
        <v>2582</v>
      </c>
      <c r="AR268" t="s">
        <v>2583</v>
      </c>
      <c r="AS268" t="s">
        <v>2584</v>
      </c>
    </row>
    <row r="269" spans="1:45" x14ac:dyDescent="0.45">
      <c r="A269">
        <v>268</v>
      </c>
      <c r="B269">
        <v>309</v>
      </c>
      <c r="C269" t="s">
        <v>72</v>
      </c>
      <c r="D269" t="s">
        <v>81</v>
      </c>
      <c r="E269" t="s">
        <v>74</v>
      </c>
      <c r="F269" t="s">
        <v>77</v>
      </c>
      <c r="G269" t="s">
        <v>76</v>
      </c>
      <c r="H269">
        <v>24.868365897966566</v>
      </c>
      <c r="I269">
        <v>2</v>
      </c>
      <c r="J269">
        <v>7</v>
      </c>
      <c r="K269">
        <v>7</v>
      </c>
      <c r="L269">
        <v>0</v>
      </c>
      <c r="M269">
        <v>8</v>
      </c>
      <c r="N269">
        <v>7</v>
      </c>
      <c r="O269">
        <v>1</v>
      </c>
      <c r="P269">
        <v>6</v>
      </c>
      <c r="Q269">
        <v>2</v>
      </c>
      <c r="R269">
        <v>4</v>
      </c>
      <c r="S269">
        <v>5</v>
      </c>
      <c r="T269">
        <v>7</v>
      </c>
      <c r="U269">
        <v>-2</v>
      </c>
      <c r="V269">
        <v>7</v>
      </c>
      <c r="W269">
        <v>7</v>
      </c>
      <c r="X269">
        <v>0</v>
      </c>
      <c r="Y269">
        <v>6</v>
      </c>
      <c r="Z269">
        <v>7</v>
      </c>
      <c r="AA269">
        <v>-1</v>
      </c>
      <c r="AB269">
        <v>7</v>
      </c>
      <c r="AC269">
        <v>7</v>
      </c>
      <c r="AD269">
        <v>0</v>
      </c>
      <c r="AE269">
        <v>4</v>
      </c>
      <c r="AF269">
        <v>7</v>
      </c>
      <c r="AG269">
        <v>-3</v>
      </c>
      <c r="AH269">
        <v>6</v>
      </c>
      <c r="AI269">
        <v>7</v>
      </c>
      <c r="AJ269">
        <v>-1</v>
      </c>
      <c r="AK269" t="s">
        <v>2585</v>
      </c>
      <c r="AL269" t="s">
        <v>2586</v>
      </c>
      <c r="AM269" t="s">
        <v>2587</v>
      </c>
      <c r="AN269" t="s">
        <v>2588</v>
      </c>
      <c r="AO269" t="s">
        <v>2589</v>
      </c>
      <c r="AP269" t="s">
        <v>2590</v>
      </c>
      <c r="AQ269" t="s">
        <v>2591</v>
      </c>
      <c r="AR269" t="s">
        <v>2592</v>
      </c>
      <c r="AS269" t="s">
        <v>2593</v>
      </c>
    </row>
    <row r="270" spans="1:45" x14ac:dyDescent="0.45">
      <c r="A270">
        <v>269</v>
      </c>
      <c r="B270">
        <v>310</v>
      </c>
      <c r="C270" t="s">
        <v>78</v>
      </c>
      <c r="D270" t="s">
        <v>79</v>
      </c>
      <c r="E270" t="s">
        <v>74</v>
      </c>
      <c r="F270" t="s">
        <v>75</v>
      </c>
      <c r="G270" t="s">
        <v>76</v>
      </c>
      <c r="H270">
        <v>86.076379103852986</v>
      </c>
      <c r="I270">
        <v>4</v>
      </c>
      <c r="J270">
        <v>7</v>
      </c>
      <c r="K270">
        <v>4</v>
      </c>
      <c r="L270">
        <v>3</v>
      </c>
      <c r="M270">
        <v>8</v>
      </c>
      <c r="N270">
        <v>5</v>
      </c>
      <c r="O270">
        <v>3</v>
      </c>
      <c r="P270">
        <v>9</v>
      </c>
      <c r="Q270">
        <v>2</v>
      </c>
      <c r="R270">
        <v>7</v>
      </c>
      <c r="S270">
        <v>8</v>
      </c>
      <c r="T270">
        <v>6</v>
      </c>
      <c r="U270">
        <v>2</v>
      </c>
      <c r="V270">
        <v>7</v>
      </c>
      <c r="W270">
        <v>3</v>
      </c>
      <c r="X270">
        <v>4</v>
      </c>
      <c r="Y270">
        <v>8</v>
      </c>
      <c r="Z270">
        <v>3</v>
      </c>
      <c r="AA270">
        <v>5</v>
      </c>
      <c r="AB270">
        <v>7</v>
      </c>
      <c r="AC270">
        <v>1</v>
      </c>
      <c r="AD270">
        <v>6</v>
      </c>
      <c r="AE270">
        <v>6</v>
      </c>
      <c r="AF270">
        <v>3</v>
      </c>
      <c r="AG270">
        <v>3</v>
      </c>
      <c r="AH270">
        <v>8</v>
      </c>
      <c r="AI270">
        <v>1</v>
      </c>
      <c r="AJ270">
        <v>7</v>
      </c>
      <c r="AK270" t="s">
        <v>2594</v>
      </c>
      <c r="AL270" t="s">
        <v>2595</v>
      </c>
      <c r="AM270" t="s">
        <v>2596</v>
      </c>
      <c r="AN270" t="s">
        <v>2597</v>
      </c>
      <c r="AO270" t="s">
        <v>2598</v>
      </c>
      <c r="AP270" t="s">
        <v>2599</v>
      </c>
      <c r="AQ270" t="s">
        <v>2600</v>
      </c>
      <c r="AR270" t="s">
        <v>2601</v>
      </c>
      <c r="AS270" t="s">
        <v>2602</v>
      </c>
    </row>
    <row r="271" spans="1:45" x14ac:dyDescent="0.45">
      <c r="A271">
        <v>270</v>
      </c>
      <c r="B271">
        <v>311</v>
      </c>
      <c r="C271" t="s">
        <v>72</v>
      </c>
      <c r="D271" t="s">
        <v>73</v>
      </c>
      <c r="E271" t="s">
        <v>74</v>
      </c>
      <c r="F271" t="s">
        <v>75</v>
      </c>
      <c r="G271" t="s">
        <v>161</v>
      </c>
      <c r="H271">
        <v>51.163827287340645</v>
      </c>
      <c r="I271">
        <v>0</v>
      </c>
      <c r="J271">
        <v>4</v>
      </c>
      <c r="K271">
        <v>8</v>
      </c>
      <c r="L271">
        <v>-4</v>
      </c>
      <c r="M271">
        <v>5</v>
      </c>
      <c r="N271">
        <v>8</v>
      </c>
      <c r="O271">
        <v>-3</v>
      </c>
      <c r="P271">
        <v>8</v>
      </c>
      <c r="Q271">
        <v>3</v>
      </c>
      <c r="R271">
        <v>5</v>
      </c>
      <c r="S271">
        <v>8</v>
      </c>
      <c r="T271">
        <v>8</v>
      </c>
      <c r="U271">
        <v>0</v>
      </c>
      <c r="V271">
        <v>6</v>
      </c>
      <c r="W271">
        <v>3</v>
      </c>
      <c r="X271">
        <v>3</v>
      </c>
      <c r="Y271">
        <v>7</v>
      </c>
      <c r="Z271">
        <v>1</v>
      </c>
      <c r="AA271">
        <v>6</v>
      </c>
      <c r="AB271">
        <v>6</v>
      </c>
      <c r="AC271">
        <v>8</v>
      </c>
      <c r="AD271">
        <v>-2</v>
      </c>
      <c r="AE271">
        <v>7</v>
      </c>
      <c r="AF271">
        <v>6</v>
      </c>
      <c r="AG271">
        <v>1</v>
      </c>
      <c r="AH271">
        <v>7</v>
      </c>
      <c r="AI271">
        <v>7</v>
      </c>
      <c r="AJ271">
        <v>0</v>
      </c>
      <c r="AK271" t="s">
        <v>2603</v>
      </c>
      <c r="AL271" t="s">
        <v>2604</v>
      </c>
      <c r="AM271" t="s">
        <v>2605</v>
      </c>
      <c r="AN271" t="s">
        <v>2606</v>
      </c>
      <c r="AO271" t="s">
        <v>2607</v>
      </c>
      <c r="AP271" t="s">
        <v>2608</v>
      </c>
      <c r="AQ271" t="s">
        <v>2609</v>
      </c>
      <c r="AR271" t="s">
        <v>2610</v>
      </c>
      <c r="AS271" t="s">
        <v>2611</v>
      </c>
    </row>
    <row r="272" spans="1:45" x14ac:dyDescent="0.45">
      <c r="A272">
        <v>271</v>
      </c>
      <c r="B272">
        <v>312</v>
      </c>
      <c r="C272" t="s">
        <v>72</v>
      </c>
      <c r="D272" t="s">
        <v>73</v>
      </c>
      <c r="E272" t="s">
        <v>74</v>
      </c>
      <c r="F272" t="s">
        <v>75</v>
      </c>
      <c r="G272" t="s">
        <v>76</v>
      </c>
      <c r="H272">
        <v>59.536534781641741</v>
      </c>
      <c r="I272">
        <v>2</v>
      </c>
      <c r="J272">
        <v>7</v>
      </c>
      <c r="K272">
        <v>7</v>
      </c>
      <c r="L272">
        <v>0</v>
      </c>
      <c r="M272">
        <v>6</v>
      </c>
      <c r="N272">
        <v>7</v>
      </c>
      <c r="O272">
        <v>-1</v>
      </c>
      <c r="P272">
        <v>5</v>
      </c>
      <c r="Q272">
        <v>4</v>
      </c>
      <c r="R272">
        <v>1</v>
      </c>
      <c r="S272">
        <v>4</v>
      </c>
      <c r="T272">
        <v>7</v>
      </c>
      <c r="U272">
        <v>-3</v>
      </c>
      <c r="V272">
        <v>6</v>
      </c>
      <c r="W272">
        <v>7</v>
      </c>
      <c r="X272">
        <v>-1</v>
      </c>
      <c r="Y272">
        <v>3</v>
      </c>
      <c r="Z272">
        <v>6</v>
      </c>
      <c r="AA272">
        <v>-3</v>
      </c>
      <c r="AB272">
        <v>5</v>
      </c>
      <c r="AC272">
        <v>5</v>
      </c>
      <c r="AD272">
        <v>0</v>
      </c>
      <c r="AE272">
        <v>7</v>
      </c>
      <c r="AF272">
        <v>7</v>
      </c>
      <c r="AG272">
        <v>0</v>
      </c>
      <c r="AH272">
        <v>8</v>
      </c>
      <c r="AI272">
        <v>6</v>
      </c>
      <c r="AJ272">
        <v>2</v>
      </c>
      <c r="AK272" t="s">
        <v>2612</v>
      </c>
      <c r="AL272" t="s">
        <v>2613</v>
      </c>
      <c r="AM272" t="s">
        <v>2614</v>
      </c>
      <c r="AN272" t="s">
        <v>2615</v>
      </c>
      <c r="AO272" t="s">
        <v>2616</v>
      </c>
      <c r="AP272" t="s">
        <v>2617</v>
      </c>
      <c r="AQ272" t="s">
        <v>2618</v>
      </c>
      <c r="AR272" t="s">
        <v>2619</v>
      </c>
      <c r="AS272" t="s">
        <v>2620</v>
      </c>
    </row>
    <row r="273" spans="1:45" x14ac:dyDescent="0.45">
      <c r="A273">
        <v>272</v>
      </c>
      <c r="B273">
        <v>313</v>
      </c>
      <c r="C273" t="s">
        <v>78</v>
      </c>
      <c r="D273" t="s">
        <v>73</v>
      </c>
      <c r="E273" t="s">
        <v>74</v>
      </c>
      <c r="F273" t="s">
        <v>77</v>
      </c>
      <c r="G273" t="s">
        <v>76</v>
      </c>
      <c r="H273">
        <v>41.477336340285511</v>
      </c>
      <c r="I273">
        <v>1</v>
      </c>
      <c r="J273">
        <v>7</v>
      </c>
      <c r="K273">
        <v>7</v>
      </c>
      <c r="L273">
        <v>0</v>
      </c>
      <c r="M273">
        <v>7</v>
      </c>
      <c r="N273">
        <v>8</v>
      </c>
      <c r="O273">
        <v>-1</v>
      </c>
      <c r="P273">
        <v>8</v>
      </c>
      <c r="Q273">
        <v>2</v>
      </c>
      <c r="R273">
        <v>6</v>
      </c>
      <c r="S273">
        <v>9</v>
      </c>
      <c r="T273">
        <v>6</v>
      </c>
      <c r="U273">
        <v>3</v>
      </c>
      <c r="V273">
        <v>6</v>
      </c>
      <c r="W273">
        <v>6</v>
      </c>
      <c r="X273">
        <v>0</v>
      </c>
      <c r="Y273">
        <v>7</v>
      </c>
      <c r="Z273">
        <v>6</v>
      </c>
      <c r="AA273">
        <v>1</v>
      </c>
      <c r="AB273">
        <v>6</v>
      </c>
      <c r="AC273">
        <v>5</v>
      </c>
      <c r="AD273">
        <v>1</v>
      </c>
      <c r="AE273">
        <v>7</v>
      </c>
      <c r="AF273">
        <v>5</v>
      </c>
      <c r="AG273">
        <v>2</v>
      </c>
      <c r="AH273">
        <v>8</v>
      </c>
      <c r="AI273">
        <v>6</v>
      </c>
      <c r="AJ273">
        <v>2</v>
      </c>
      <c r="AK273" t="s">
        <v>2621</v>
      </c>
      <c r="AL273" t="s">
        <v>2622</v>
      </c>
      <c r="AM273" t="s">
        <v>2623</v>
      </c>
      <c r="AN273" t="s">
        <v>2624</v>
      </c>
      <c r="AO273" t="s">
        <v>2625</v>
      </c>
      <c r="AP273" t="s">
        <v>2626</v>
      </c>
      <c r="AQ273" t="s">
        <v>2627</v>
      </c>
      <c r="AR273" t="s">
        <v>2628</v>
      </c>
      <c r="AS273" t="s">
        <v>2629</v>
      </c>
    </row>
    <row r="274" spans="1:45" x14ac:dyDescent="0.45">
      <c r="A274">
        <v>273</v>
      </c>
      <c r="B274">
        <v>314</v>
      </c>
      <c r="C274" t="s">
        <v>72</v>
      </c>
      <c r="D274" t="s">
        <v>190</v>
      </c>
      <c r="E274" t="s">
        <v>74</v>
      </c>
      <c r="F274" t="s">
        <v>75</v>
      </c>
      <c r="G274" t="s">
        <v>76</v>
      </c>
      <c r="H274">
        <v>98.598807393645089</v>
      </c>
      <c r="I274">
        <v>4</v>
      </c>
      <c r="J274">
        <v>7</v>
      </c>
      <c r="K274">
        <v>3</v>
      </c>
      <c r="L274">
        <v>4</v>
      </c>
      <c r="M274">
        <v>8</v>
      </c>
      <c r="N274">
        <v>3</v>
      </c>
      <c r="O274">
        <v>5</v>
      </c>
      <c r="P274">
        <v>6</v>
      </c>
      <c r="Q274">
        <v>1</v>
      </c>
      <c r="R274">
        <v>5</v>
      </c>
      <c r="S274">
        <v>9</v>
      </c>
      <c r="T274">
        <v>6</v>
      </c>
      <c r="U274">
        <v>3</v>
      </c>
      <c r="V274">
        <v>7</v>
      </c>
      <c r="W274">
        <v>1</v>
      </c>
      <c r="X274">
        <v>6</v>
      </c>
      <c r="Y274">
        <v>8</v>
      </c>
      <c r="Z274">
        <v>1</v>
      </c>
      <c r="AA274">
        <v>7</v>
      </c>
      <c r="AB274">
        <v>5</v>
      </c>
      <c r="AC274">
        <v>1</v>
      </c>
      <c r="AD274">
        <v>4</v>
      </c>
      <c r="AE274">
        <v>6</v>
      </c>
      <c r="AF274">
        <v>1</v>
      </c>
      <c r="AG274">
        <v>5</v>
      </c>
      <c r="AH274">
        <v>8</v>
      </c>
      <c r="AI274">
        <v>1</v>
      </c>
      <c r="AJ274">
        <v>7</v>
      </c>
      <c r="AK274" t="s">
        <v>2630</v>
      </c>
      <c r="AL274" t="s">
        <v>2631</v>
      </c>
      <c r="AM274" t="s">
        <v>2632</v>
      </c>
      <c r="AN274" t="s">
        <v>2633</v>
      </c>
      <c r="AO274" t="s">
        <v>2634</v>
      </c>
      <c r="AP274" t="s">
        <v>2635</v>
      </c>
      <c r="AQ274" t="s">
        <v>2636</v>
      </c>
      <c r="AR274" t="s">
        <v>2637</v>
      </c>
      <c r="AS274" t="s">
        <v>2638</v>
      </c>
    </row>
    <row r="275" spans="1:45" x14ac:dyDescent="0.45">
      <c r="A275">
        <v>274</v>
      </c>
      <c r="B275">
        <v>315</v>
      </c>
      <c r="C275" t="s">
        <v>72</v>
      </c>
      <c r="D275" t="s">
        <v>73</v>
      </c>
      <c r="E275" t="s">
        <v>74</v>
      </c>
      <c r="F275" t="s">
        <v>77</v>
      </c>
      <c r="G275" t="s">
        <v>76</v>
      </c>
      <c r="H275">
        <v>64.49523984068324</v>
      </c>
      <c r="I275">
        <v>2</v>
      </c>
      <c r="J275">
        <v>8</v>
      </c>
      <c r="K275">
        <v>6</v>
      </c>
      <c r="L275">
        <v>2</v>
      </c>
      <c r="M275">
        <v>7</v>
      </c>
      <c r="N275">
        <v>6</v>
      </c>
      <c r="O275">
        <v>1</v>
      </c>
      <c r="P275">
        <v>9</v>
      </c>
      <c r="Q275">
        <v>5</v>
      </c>
      <c r="R275">
        <v>4</v>
      </c>
      <c r="S275">
        <v>8</v>
      </c>
      <c r="T275">
        <v>6</v>
      </c>
      <c r="U275">
        <v>2</v>
      </c>
      <c r="V275">
        <v>7</v>
      </c>
      <c r="W275">
        <v>6</v>
      </c>
      <c r="X275">
        <v>1</v>
      </c>
      <c r="Y275">
        <v>6</v>
      </c>
      <c r="Z275">
        <v>6</v>
      </c>
      <c r="AA275">
        <v>0</v>
      </c>
      <c r="AB275">
        <v>5</v>
      </c>
      <c r="AC275">
        <v>6</v>
      </c>
      <c r="AD275">
        <v>-1</v>
      </c>
      <c r="AE275">
        <v>6</v>
      </c>
      <c r="AF275">
        <v>6</v>
      </c>
      <c r="AG275">
        <v>0</v>
      </c>
      <c r="AH275">
        <v>7</v>
      </c>
      <c r="AI275">
        <v>6</v>
      </c>
      <c r="AJ275">
        <v>1</v>
      </c>
      <c r="AK275" t="s">
        <v>2639</v>
      </c>
      <c r="AL275" t="s">
        <v>2640</v>
      </c>
      <c r="AM275" t="s">
        <v>2641</v>
      </c>
      <c r="AN275" t="s">
        <v>2642</v>
      </c>
      <c r="AO275" t="s">
        <v>2643</v>
      </c>
      <c r="AP275" t="s">
        <v>2644</v>
      </c>
      <c r="AQ275" t="s">
        <v>2645</v>
      </c>
      <c r="AR275" t="s">
        <v>2646</v>
      </c>
      <c r="AS275" t="s">
        <v>2647</v>
      </c>
    </row>
    <row r="276" spans="1:45" x14ac:dyDescent="0.45">
      <c r="A276">
        <v>275</v>
      </c>
      <c r="B276">
        <v>316</v>
      </c>
      <c r="C276" t="s">
        <v>72</v>
      </c>
      <c r="D276" t="s">
        <v>79</v>
      </c>
      <c r="E276" t="s">
        <v>74</v>
      </c>
      <c r="F276" t="s">
        <v>75</v>
      </c>
      <c r="G276" t="s">
        <v>76</v>
      </c>
      <c r="H276">
        <v>68.927057472571349</v>
      </c>
      <c r="I276">
        <v>2</v>
      </c>
      <c r="J276">
        <v>7</v>
      </c>
      <c r="K276">
        <v>8</v>
      </c>
      <c r="L276">
        <v>-1</v>
      </c>
      <c r="M276">
        <v>6</v>
      </c>
      <c r="N276">
        <v>9</v>
      </c>
      <c r="O276">
        <v>-3</v>
      </c>
      <c r="P276">
        <v>5</v>
      </c>
      <c r="Q276">
        <v>5</v>
      </c>
      <c r="R276">
        <v>0</v>
      </c>
      <c r="S276">
        <v>8</v>
      </c>
      <c r="T276">
        <v>7</v>
      </c>
      <c r="U276">
        <v>1</v>
      </c>
      <c r="V276">
        <v>7</v>
      </c>
      <c r="W276">
        <v>6</v>
      </c>
      <c r="X276">
        <v>1</v>
      </c>
      <c r="Y276">
        <v>6</v>
      </c>
      <c r="Z276">
        <v>7</v>
      </c>
      <c r="AA276">
        <v>-1</v>
      </c>
      <c r="AB276">
        <v>7</v>
      </c>
      <c r="AC276">
        <v>7</v>
      </c>
      <c r="AD276">
        <v>0</v>
      </c>
      <c r="AE276">
        <v>6</v>
      </c>
      <c r="AF276">
        <v>7</v>
      </c>
      <c r="AG276">
        <v>-1</v>
      </c>
      <c r="AH276">
        <v>7</v>
      </c>
      <c r="AI276">
        <v>7</v>
      </c>
      <c r="AJ276">
        <v>0</v>
      </c>
      <c r="AK276" t="s">
        <v>2648</v>
      </c>
      <c r="AL276" t="s">
        <v>2649</v>
      </c>
      <c r="AM276" t="s">
        <v>2650</v>
      </c>
      <c r="AN276" t="s">
        <v>2651</v>
      </c>
      <c r="AO276" t="s">
        <v>2652</v>
      </c>
      <c r="AP276" t="s">
        <v>2653</v>
      </c>
      <c r="AQ276" t="s">
        <v>2654</v>
      </c>
      <c r="AR276" t="s">
        <v>2655</v>
      </c>
      <c r="AS276" t="s">
        <v>2656</v>
      </c>
    </row>
    <row r="277" spans="1:45" x14ac:dyDescent="0.45">
      <c r="A277">
        <v>276</v>
      </c>
      <c r="B277">
        <v>317</v>
      </c>
      <c r="C277" t="s">
        <v>78</v>
      </c>
      <c r="D277" t="s">
        <v>73</v>
      </c>
      <c r="E277" t="s">
        <v>74</v>
      </c>
      <c r="F277" t="s">
        <v>77</v>
      </c>
      <c r="G277" t="s">
        <v>76</v>
      </c>
      <c r="H277">
        <v>46.014357195241693</v>
      </c>
      <c r="I277">
        <v>1</v>
      </c>
      <c r="J277">
        <v>8</v>
      </c>
      <c r="K277">
        <v>6</v>
      </c>
      <c r="L277">
        <v>2</v>
      </c>
      <c r="M277">
        <v>7</v>
      </c>
      <c r="N277">
        <v>6</v>
      </c>
      <c r="O277">
        <v>1</v>
      </c>
      <c r="P277">
        <v>9</v>
      </c>
      <c r="Q277">
        <v>3</v>
      </c>
      <c r="R277">
        <v>6</v>
      </c>
      <c r="S277">
        <v>8</v>
      </c>
      <c r="T277">
        <v>7</v>
      </c>
      <c r="U277">
        <v>1</v>
      </c>
      <c r="V277">
        <v>7</v>
      </c>
      <c r="W277">
        <v>7</v>
      </c>
      <c r="X277">
        <v>0</v>
      </c>
      <c r="Y277">
        <v>6</v>
      </c>
      <c r="Z277">
        <v>7</v>
      </c>
      <c r="AA277">
        <v>-1</v>
      </c>
      <c r="AB277">
        <v>7</v>
      </c>
      <c r="AC277">
        <v>5</v>
      </c>
      <c r="AD277">
        <v>2</v>
      </c>
      <c r="AE277">
        <v>5</v>
      </c>
      <c r="AF277">
        <v>7</v>
      </c>
      <c r="AG277">
        <v>-2</v>
      </c>
      <c r="AH277">
        <v>8</v>
      </c>
      <c r="AI277">
        <v>7</v>
      </c>
      <c r="AJ277">
        <v>1</v>
      </c>
      <c r="AK277" t="s">
        <v>2657</v>
      </c>
      <c r="AL277" t="s">
        <v>2658</v>
      </c>
      <c r="AM277" t="s">
        <v>2659</v>
      </c>
      <c r="AN277" t="s">
        <v>2660</v>
      </c>
      <c r="AO277" t="s">
        <v>2661</v>
      </c>
      <c r="AP277" t="s">
        <v>2662</v>
      </c>
      <c r="AQ277" t="s">
        <v>2663</v>
      </c>
      <c r="AR277" t="s">
        <v>2664</v>
      </c>
      <c r="AS277" t="s">
        <v>2665</v>
      </c>
    </row>
    <row r="278" spans="1:45" x14ac:dyDescent="0.45">
      <c r="A278">
        <v>277</v>
      </c>
      <c r="B278">
        <v>318</v>
      </c>
      <c r="C278" t="s">
        <v>72</v>
      </c>
      <c r="D278" t="s">
        <v>79</v>
      </c>
      <c r="E278" t="s">
        <v>74</v>
      </c>
      <c r="F278" t="s">
        <v>77</v>
      </c>
      <c r="G278" t="s">
        <v>76</v>
      </c>
      <c r="H278">
        <v>99.726036588577088</v>
      </c>
      <c r="I278">
        <v>4</v>
      </c>
      <c r="J278">
        <v>6</v>
      </c>
      <c r="K278">
        <v>8</v>
      </c>
      <c r="L278">
        <v>-2</v>
      </c>
      <c r="M278">
        <v>5</v>
      </c>
      <c r="N278">
        <v>8</v>
      </c>
      <c r="O278">
        <v>-3</v>
      </c>
      <c r="P278">
        <v>8</v>
      </c>
      <c r="Q278">
        <v>6</v>
      </c>
      <c r="R278">
        <v>2</v>
      </c>
      <c r="S278">
        <v>7</v>
      </c>
      <c r="T278">
        <v>7</v>
      </c>
      <c r="U278">
        <v>0</v>
      </c>
      <c r="V278">
        <v>7</v>
      </c>
      <c r="W278">
        <v>7</v>
      </c>
      <c r="X278">
        <v>0</v>
      </c>
      <c r="Y278">
        <v>6</v>
      </c>
      <c r="Z278">
        <v>4</v>
      </c>
      <c r="AA278">
        <v>2</v>
      </c>
      <c r="AB278">
        <v>7</v>
      </c>
      <c r="AC278">
        <v>5</v>
      </c>
      <c r="AD278">
        <v>2</v>
      </c>
      <c r="AE278">
        <v>5</v>
      </c>
      <c r="AF278">
        <v>5</v>
      </c>
      <c r="AG278">
        <v>0</v>
      </c>
      <c r="AH278">
        <v>6</v>
      </c>
      <c r="AI278">
        <v>5</v>
      </c>
      <c r="AJ278">
        <v>1</v>
      </c>
      <c r="AK278" t="s">
        <v>2666</v>
      </c>
      <c r="AL278" t="s">
        <v>2667</v>
      </c>
      <c r="AM278" t="s">
        <v>2668</v>
      </c>
      <c r="AN278" t="s">
        <v>2669</v>
      </c>
      <c r="AO278" t="s">
        <v>2670</v>
      </c>
      <c r="AP278" t="s">
        <v>2671</v>
      </c>
      <c r="AQ278" t="s">
        <v>2672</v>
      </c>
      <c r="AR278" t="s">
        <v>2673</v>
      </c>
      <c r="AS278" t="s">
        <v>2674</v>
      </c>
    </row>
    <row r="279" spans="1:45" x14ac:dyDescent="0.45">
      <c r="A279">
        <v>278</v>
      </c>
      <c r="B279">
        <v>319</v>
      </c>
      <c r="C279" t="s">
        <v>72</v>
      </c>
      <c r="D279" t="s">
        <v>73</v>
      </c>
      <c r="E279" t="s">
        <v>74</v>
      </c>
      <c r="F279" t="s">
        <v>77</v>
      </c>
      <c r="G279" t="s">
        <v>76</v>
      </c>
      <c r="H279">
        <v>52.446999586420119</v>
      </c>
      <c r="I279">
        <v>3</v>
      </c>
      <c r="J279">
        <v>6</v>
      </c>
      <c r="K279">
        <v>6</v>
      </c>
      <c r="L279">
        <v>0</v>
      </c>
      <c r="M279">
        <v>7</v>
      </c>
      <c r="N279">
        <v>7</v>
      </c>
      <c r="O279">
        <v>0</v>
      </c>
      <c r="P279">
        <v>8</v>
      </c>
      <c r="Q279">
        <v>5</v>
      </c>
      <c r="R279">
        <v>3</v>
      </c>
      <c r="S279">
        <v>7</v>
      </c>
      <c r="T279">
        <v>7</v>
      </c>
      <c r="U279">
        <v>0</v>
      </c>
      <c r="V279">
        <v>8</v>
      </c>
      <c r="W279">
        <v>6</v>
      </c>
      <c r="X279">
        <v>2</v>
      </c>
      <c r="Y279">
        <v>8</v>
      </c>
      <c r="Z279">
        <v>6</v>
      </c>
      <c r="AA279">
        <v>2</v>
      </c>
      <c r="AB279">
        <v>8</v>
      </c>
      <c r="AC279">
        <v>6</v>
      </c>
      <c r="AD279">
        <v>2</v>
      </c>
      <c r="AE279">
        <v>5</v>
      </c>
      <c r="AF279">
        <v>6</v>
      </c>
      <c r="AG279">
        <v>-1</v>
      </c>
      <c r="AH279">
        <v>7</v>
      </c>
      <c r="AI279">
        <v>6</v>
      </c>
      <c r="AJ279">
        <v>1</v>
      </c>
      <c r="AK279" t="s">
        <v>2675</v>
      </c>
      <c r="AL279" t="s">
        <v>2676</v>
      </c>
      <c r="AM279" t="s">
        <v>2677</v>
      </c>
      <c r="AN279" t="s">
        <v>2678</v>
      </c>
      <c r="AO279" t="s">
        <v>2679</v>
      </c>
      <c r="AP279" t="s">
        <v>2680</v>
      </c>
      <c r="AQ279" t="s">
        <v>2680</v>
      </c>
      <c r="AR279" t="s">
        <v>2681</v>
      </c>
      <c r="AS279" t="s">
        <v>2682</v>
      </c>
    </row>
    <row r="280" spans="1:45" x14ac:dyDescent="0.45">
      <c r="A280">
        <v>279</v>
      </c>
      <c r="B280">
        <v>320</v>
      </c>
      <c r="C280" t="s">
        <v>78</v>
      </c>
      <c r="D280" t="s">
        <v>73</v>
      </c>
      <c r="E280" t="s">
        <v>74</v>
      </c>
      <c r="F280" t="s">
        <v>75</v>
      </c>
      <c r="G280" t="s">
        <v>161</v>
      </c>
      <c r="H280">
        <v>95.230457444272716</v>
      </c>
      <c r="I280">
        <v>0</v>
      </c>
      <c r="J280">
        <v>8</v>
      </c>
      <c r="K280">
        <v>6</v>
      </c>
      <c r="L280">
        <v>2</v>
      </c>
      <c r="M280">
        <v>7</v>
      </c>
      <c r="N280">
        <v>7</v>
      </c>
      <c r="O280">
        <v>0</v>
      </c>
      <c r="P280">
        <v>9</v>
      </c>
      <c r="Q280">
        <v>5</v>
      </c>
      <c r="R280">
        <v>4</v>
      </c>
      <c r="S280">
        <v>8</v>
      </c>
      <c r="T280">
        <v>8</v>
      </c>
      <c r="U280">
        <v>0</v>
      </c>
      <c r="V280">
        <v>7</v>
      </c>
      <c r="W280">
        <v>6</v>
      </c>
      <c r="X280">
        <v>1</v>
      </c>
      <c r="Y280">
        <v>8</v>
      </c>
      <c r="Z280">
        <v>3</v>
      </c>
      <c r="AA280">
        <v>5</v>
      </c>
      <c r="AB280">
        <v>6</v>
      </c>
      <c r="AC280">
        <v>6</v>
      </c>
      <c r="AD280">
        <v>0</v>
      </c>
      <c r="AE280">
        <v>7</v>
      </c>
      <c r="AF280">
        <v>8</v>
      </c>
      <c r="AG280">
        <v>-1</v>
      </c>
      <c r="AH280">
        <v>8</v>
      </c>
      <c r="AI280">
        <v>6</v>
      </c>
      <c r="AJ280">
        <v>2</v>
      </c>
      <c r="AK280" t="s">
        <v>2683</v>
      </c>
      <c r="AL280" t="s">
        <v>2684</v>
      </c>
      <c r="AM280" t="s">
        <v>2685</v>
      </c>
      <c r="AN280" t="s">
        <v>2686</v>
      </c>
      <c r="AO280" t="s">
        <v>2687</v>
      </c>
      <c r="AP280" t="s">
        <v>2688</v>
      </c>
      <c r="AQ280" t="s">
        <v>2689</v>
      </c>
      <c r="AR280" t="s">
        <v>2690</v>
      </c>
      <c r="AS280" t="s">
        <v>2691</v>
      </c>
    </row>
    <row r="281" spans="1:45" x14ac:dyDescent="0.45">
      <c r="A281">
        <v>280</v>
      </c>
      <c r="B281">
        <v>321</v>
      </c>
      <c r="C281" t="s">
        <v>72</v>
      </c>
      <c r="D281" t="s">
        <v>73</v>
      </c>
      <c r="E281" t="s">
        <v>74</v>
      </c>
      <c r="F281" t="s">
        <v>75</v>
      </c>
      <c r="G281" t="s">
        <v>76</v>
      </c>
      <c r="H281">
        <v>90.421767556985316</v>
      </c>
      <c r="I281">
        <v>2</v>
      </c>
      <c r="J281">
        <v>8</v>
      </c>
      <c r="K281">
        <v>4</v>
      </c>
      <c r="L281">
        <v>4</v>
      </c>
      <c r="M281">
        <v>7</v>
      </c>
      <c r="N281">
        <v>4</v>
      </c>
      <c r="O281">
        <v>3</v>
      </c>
      <c r="P281">
        <v>9</v>
      </c>
      <c r="Q281">
        <v>1</v>
      </c>
      <c r="R281">
        <v>8</v>
      </c>
      <c r="S281">
        <v>8</v>
      </c>
      <c r="T281">
        <v>6</v>
      </c>
      <c r="U281">
        <v>2</v>
      </c>
      <c r="V281">
        <v>7</v>
      </c>
      <c r="W281">
        <v>3</v>
      </c>
      <c r="X281">
        <v>4</v>
      </c>
      <c r="Y281">
        <v>8</v>
      </c>
      <c r="Z281">
        <v>2</v>
      </c>
      <c r="AA281">
        <v>6</v>
      </c>
      <c r="AB281">
        <v>7</v>
      </c>
      <c r="AC281">
        <v>1</v>
      </c>
      <c r="AD281">
        <v>6</v>
      </c>
      <c r="AE281">
        <v>6</v>
      </c>
      <c r="AF281">
        <v>5</v>
      </c>
      <c r="AG281">
        <v>1</v>
      </c>
      <c r="AH281">
        <v>8</v>
      </c>
      <c r="AI281">
        <v>4</v>
      </c>
      <c r="AJ281">
        <v>4</v>
      </c>
      <c r="AK281" t="s">
        <v>2692</v>
      </c>
      <c r="AL281" t="s">
        <v>2693</v>
      </c>
      <c r="AM281" t="s">
        <v>2694</v>
      </c>
      <c r="AN281" t="s">
        <v>2695</v>
      </c>
      <c r="AO281" t="s">
        <v>2696</v>
      </c>
      <c r="AP281" t="s">
        <v>2697</v>
      </c>
      <c r="AQ281" t="s">
        <v>2698</v>
      </c>
      <c r="AR281" t="s">
        <v>2699</v>
      </c>
      <c r="AS281" t="s">
        <v>2700</v>
      </c>
    </row>
    <row r="282" spans="1:45" x14ac:dyDescent="0.45">
      <c r="A282">
        <v>281</v>
      </c>
      <c r="B282">
        <v>322</v>
      </c>
      <c r="C282" t="s">
        <v>72</v>
      </c>
      <c r="D282" t="s">
        <v>79</v>
      </c>
      <c r="E282" t="s">
        <v>74</v>
      </c>
      <c r="F282" t="s">
        <v>75</v>
      </c>
      <c r="G282" t="s">
        <v>76</v>
      </c>
      <c r="H282">
        <v>79.568410959105293</v>
      </c>
      <c r="I282">
        <v>3</v>
      </c>
      <c r="J282">
        <v>7</v>
      </c>
      <c r="K282">
        <v>6</v>
      </c>
      <c r="L282">
        <v>1</v>
      </c>
      <c r="M282">
        <v>8</v>
      </c>
      <c r="N282">
        <v>7</v>
      </c>
      <c r="O282">
        <v>1</v>
      </c>
      <c r="P282">
        <v>9</v>
      </c>
      <c r="Q282">
        <v>4</v>
      </c>
      <c r="R282">
        <v>5</v>
      </c>
      <c r="S282">
        <v>8</v>
      </c>
      <c r="T282">
        <v>8</v>
      </c>
      <c r="U282">
        <v>0</v>
      </c>
      <c r="V282">
        <v>9</v>
      </c>
      <c r="W282">
        <v>6</v>
      </c>
      <c r="X282">
        <v>3</v>
      </c>
      <c r="Y282">
        <v>7</v>
      </c>
      <c r="Z282">
        <v>6</v>
      </c>
      <c r="AA282">
        <v>1</v>
      </c>
      <c r="AB282">
        <v>7</v>
      </c>
      <c r="AC282">
        <v>5</v>
      </c>
      <c r="AD282">
        <v>2</v>
      </c>
      <c r="AE282">
        <v>6</v>
      </c>
      <c r="AF282">
        <v>7</v>
      </c>
      <c r="AG282">
        <v>-1</v>
      </c>
      <c r="AH282">
        <v>8</v>
      </c>
      <c r="AI282">
        <v>6</v>
      </c>
      <c r="AJ282">
        <v>2</v>
      </c>
      <c r="AK282" t="s">
        <v>2701</v>
      </c>
      <c r="AL282" t="s">
        <v>2702</v>
      </c>
      <c r="AM282" t="s">
        <v>2703</v>
      </c>
      <c r="AN282" t="s">
        <v>2704</v>
      </c>
      <c r="AO282" t="s">
        <v>2705</v>
      </c>
      <c r="AP282" t="s">
        <v>2706</v>
      </c>
      <c r="AQ282" t="s">
        <v>2707</v>
      </c>
      <c r="AR282" t="s">
        <v>2708</v>
      </c>
      <c r="AS282" t="s">
        <v>2709</v>
      </c>
    </row>
    <row r="283" spans="1:45" x14ac:dyDescent="0.45">
      <c r="A283">
        <v>282</v>
      </c>
      <c r="B283">
        <v>323</v>
      </c>
      <c r="C283" t="s">
        <v>72</v>
      </c>
      <c r="D283" t="s">
        <v>192</v>
      </c>
      <c r="E283" t="s">
        <v>74</v>
      </c>
      <c r="F283" t="s">
        <v>75</v>
      </c>
      <c r="G283" t="s">
        <v>76</v>
      </c>
      <c r="H283">
        <v>143.26428279139992</v>
      </c>
      <c r="I283">
        <v>4</v>
      </c>
      <c r="J283">
        <v>7</v>
      </c>
      <c r="K283">
        <v>8</v>
      </c>
      <c r="L283">
        <v>-1</v>
      </c>
      <c r="M283">
        <v>8</v>
      </c>
      <c r="N283">
        <v>8</v>
      </c>
      <c r="O283">
        <v>0</v>
      </c>
      <c r="P283">
        <v>9</v>
      </c>
      <c r="Q283">
        <v>9</v>
      </c>
      <c r="R283">
        <v>0</v>
      </c>
      <c r="S283">
        <v>8</v>
      </c>
      <c r="T283">
        <v>9</v>
      </c>
      <c r="U283">
        <v>-1</v>
      </c>
      <c r="V283">
        <v>7</v>
      </c>
      <c r="W283">
        <v>7</v>
      </c>
      <c r="X283">
        <v>0</v>
      </c>
      <c r="Y283">
        <v>6</v>
      </c>
      <c r="Z283">
        <v>8</v>
      </c>
      <c r="AA283">
        <v>-2</v>
      </c>
      <c r="AB283">
        <v>7</v>
      </c>
      <c r="AC283">
        <v>8</v>
      </c>
      <c r="AD283">
        <v>-1</v>
      </c>
      <c r="AE283">
        <v>6</v>
      </c>
      <c r="AF283">
        <v>8</v>
      </c>
      <c r="AG283">
        <v>-2</v>
      </c>
      <c r="AH283">
        <v>8</v>
      </c>
      <c r="AI283">
        <v>7</v>
      </c>
      <c r="AJ283">
        <v>1</v>
      </c>
      <c r="AK283" t="s">
        <v>2710</v>
      </c>
      <c r="AL283" t="s">
        <v>2711</v>
      </c>
      <c r="AM283" t="s">
        <v>2712</v>
      </c>
      <c r="AN283" t="s">
        <v>2713</v>
      </c>
      <c r="AO283" t="s">
        <v>2714</v>
      </c>
      <c r="AP283" t="s">
        <v>2715</v>
      </c>
      <c r="AQ283" t="s">
        <v>2716</v>
      </c>
      <c r="AR283" t="s">
        <v>2717</v>
      </c>
      <c r="AS283" t="s">
        <v>2718</v>
      </c>
    </row>
    <row r="284" spans="1:45" x14ac:dyDescent="0.45">
      <c r="A284">
        <v>283</v>
      </c>
      <c r="B284">
        <v>324</v>
      </c>
      <c r="C284" t="s">
        <v>72</v>
      </c>
      <c r="D284" t="s">
        <v>79</v>
      </c>
      <c r="E284" t="s">
        <v>74</v>
      </c>
      <c r="F284" t="s">
        <v>77</v>
      </c>
      <c r="G284" t="s">
        <v>76</v>
      </c>
      <c r="H284">
        <v>53.12578994339983</v>
      </c>
      <c r="I284">
        <v>2</v>
      </c>
      <c r="J284">
        <v>7</v>
      </c>
      <c r="K284">
        <v>5</v>
      </c>
      <c r="L284">
        <v>2</v>
      </c>
      <c r="M284">
        <v>6</v>
      </c>
      <c r="N284">
        <v>5</v>
      </c>
      <c r="O284">
        <v>1</v>
      </c>
      <c r="P284">
        <v>8</v>
      </c>
      <c r="Q284">
        <v>2</v>
      </c>
      <c r="R284">
        <v>6</v>
      </c>
      <c r="S284">
        <v>9</v>
      </c>
      <c r="T284">
        <v>6</v>
      </c>
      <c r="U284">
        <v>3</v>
      </c>
      <c r="V284">
        <v>7</v>
      </c>
      <c r="W284">
        <v>5</v>
      </c>
      <c r="X284">
        <v>2</v>
      </c>
      <c r="Y284">
        <v>8</v>
      </c>
      <c r="Z284">
        <v>4</v>
      </c>
      <c r="AA284">
        <v>4</v>
      </c>
      <c r="AB284">
        <v>6</v>
      </c>
      <c r="AC284">
        <v>5</v>
      </c>
      <c r="AD284">
        <v>1</v>
      </c>
      <c r="AE284">
        <v>5</v>
      </c>
      <c r="AF284">
        <v>5</v>
      </c>
      <c r="AG284">
        <v>0</v>
      </c>
      <c r="AH284">
        <v>7</v>
      </c>
      <c r="AI284">
        <v>4</v>
      </c>
      <c r="AJ284">
        <v>3</v>
      </c>
      <c r="AK284" t="s">
        <v>2719</v>
      </c>
      <c r="AL284" t="s">
        <v>2720</v>
      </c>
      <c r="AM284" t="s">
        <v>2721</v>
      </c>
      <c r="AN284" t="s">
        <v>2722</v>
      </c>
      <c r="AO284" t="s">
        <v>2723</v>
      </c>
      <c r="AP284" t="s">
        <v>2724</v>
      </c>
      <c r="AQ284" t="s">
        <v>2725</v>
      </c>
      <c r="AR284" t="s">
        <v>2726</v>
      </c>
      <c r="AS284" t="s">
        <v>2727</v>
      </c>
    </row>
    <row r="285" spans="1:45" x14ac:dyDescent="0.45">
      <c r="A285">
        <v>284</v>
      </c>
      <c r="B285">
        <v>325</v>
      </c>
      <c r="C285" t="s">
        <v>78</v>
      </c>
      <c r="D285" t="s">
        <v>73</v>
      </c>
      <c r="E285" t="s">
        <v>74</v>
      </c>
      <c r="F285" t="s">
        <v>77</v>
      </c>
      <c r="G285" t="s">
        <v>76</v>
      </c>
      <c r="H285">
        <v>57.839722408977117</v>
      </c>
      <c r="I285">
        <v>2</v>
      </c>
      <c r="J285">
        <v>8</v>
      </c>
      <c r="K285">
        <v>7</v>
      </c>
      <c r="L285">
        <v>1</v>
      </c>
      <c r="M285">
        <v>9</v>
      </c>
      <c r="N285">
        <v>7</v>
      </c>
      <c r="O285">
        <v>2</v>
      </c>
      <c r="P285">
        <v>8</v>
      </c>
      <c r="Q285">
        <v>5</v>
      </c>
      <c r="R285">
        <v>3</v>
      </c>
      <c r="S285">
        <v>7</v>
      </c>
      <c r="T285">
        <v>7</v>
      </c>
      <c r="U285">
        <v>0</v>
      </c>
      <c r="V285">
        <v>8</v>
      </c>
      <c r="W285">
        <v>5</v>
      </c>
      <c r="X285">
        <v>3</v>
      </c>
      <c r="Y285">
        <v>7</v>
      </c>
      <c r="Z285">
        <v>6</v>
      </c>
      <c r="AA285">
        <v>1</v>
      </c>
      <c r="AB285">
        <v>6</v>
      </c>
      <c r="AC285">
        <v>5</v>
      </c>
      <c r="AD285">
        <v>1</v>
      </c>
      <c r="AE285">
        <v>5</v>
      </c>
      <c r="AF285">
        <v>7</v>
      </c>
      <c r="AG285">
        <v>-2</v>
      </c>
      <c r="AH285">
        <v>7</v>
      </c>
      <c r="AI285">
        <v>6</v>
      </c>
      <c r="AJ285">
        <v>1</v>
      </c>
      <c r="AK285" t="s">
        <v>2728</v>
      </c>
      <c r="AL285" t="s">
        <v>2729</v>
      </c>
      <c r="AM285" t="s">
        <v>2730</v>
      </c>
      <c r="AN285" t="s">
        <v>2731</v>
      </c>
      <c r="AO285" t="s">
        <v>2732</v>
      </c>
      <c r="AP285" t="s">
        <v>2733</v>
      </c>
      <c r="AQ285" t="s">
        <v>2734</v>
      </c>
      <c r="AR285" t="s">
        <v>2735</v>
      </c>
      <c r="AS285" t="s">
        <v>2736</v>
      </c>
    </row>
    <row r="286" spans="1:45" x14ac:dyDescent="0.45">
      <c r="A286">
        <v>285</v>
      </c>
      <c r="B286">
        <v>326</v>
      </c>
      <c r="C286" t="s">
        <v>78</v>
      </c>
      <c r="D286" t="s">
        <v>190</v>
      </c>
      <c r="E286" t="s">
        <v>74</v>
      </c>
      <c r="F286" t="s">
        <v>77</v>
      </c>
      <c r="G286" t="s">
        <v>76</v>
      </c>
      <c r="H286">
        <v>71.478356479857041</v>
      </c>
      <c r="I286">
        <v>3</v>
      </c>
      <c r="J286">
        <v>7</v>
      </c>
      <c r="K286">
        <v>7</v>
      </c>
      <c r="L286">
        <v>0</v>
      </c>
      <c r="M286">
        <v>6</v>
      </c>
      <c r="N286">
        <v>7</v>
      </c>
      <c r="O286">
        <v>-1</v>
      </c>
      <c r="P286">
        <v>8</v>
      </c>
      <c r="Q286">
        <v>5</v>
      </c>
      <c r="R286">
        <v>3</v>
      </c>
      <c r="S286">
        <v>9</v>
      </c>
      <c r="T286">
        <v>8</v>
      </c>
      <c r="U286">
        <v>1</v>
      </c>
      <c r="V286">
        <v>7</v>
      </c>
      <c r="W286">
        <v>6</v>
      </c>
      <c r="X286">
        <v>1</v>
      </c>
      <c r="Y286">
        <v>8</v>
      </c>
      <c r="Z286">
        <v>6</v>
      </c>
      <c r="AA286">
        <v>2</v>
      </c>
      <c r="AB286">
        <v>6</v>
      </c>
      <c r="AC286">
        <v>6</v>
      </c>
      <c r="AD286">
        <v>0</v>
      </c>
      <c r="AE286">
        <v>7</v>
      </c>
      <c r="AF286">
        <v>7</v>
      </c>
      <c r="AG286">
        <v>0</v>
      </c>
      <c r="AH286">
        <v>6</v>
      </c>
      <c r="AI286">
        <v>7</v>
      </c>
      <c r="AJ286">
        <v>-1</v>
      </c>
      <c r="AK286" t="s">
        <v>2737</v>
      </c>
      <c r="AL286" t="s">
        <v>2738</v>
      </c>
      <c r="AM286" t="s">
        <v>2739</v>
      </c>
      <c r="AN286" t="s">
        <v>2740</v>
      </c>
      <c r="AO286" t="s">
        <v>2741</v>
      </c>
      <c r="AP286" t="s">
        <v>2742</v>
      </c>
      <c r="AQ286" t="s">
        <v>2743</v>
      </c>
      <c r="AR286" t="s">
        <v>2744</v>
      </c>
      <c r="AS286" t="s">
        <v>2745</v>
      </c>
    </row>
    <row r="287" spans="1:45" x14ac:dyDescent="0.45">
      <c r="A287">
        <v>286</v>
      </c>
      <c r="B287">
        <v>327</v>
      </c>
      <c r="C287" t="s">
        <v>72</v>
      </c>
      <c r="D287" t="s">
        <v>73</v>
      </c>
      <c r="E287" t="s">
        <v>74</v>
      </c>
      <c r="F287" t="s">
        <v>77</v>
      </c>
      <c r="G287" t="s">
        <v>76</v>
      </c>
      <c r="H287">
        <v>41.557400538078461</v>
      </c>
      <c r="I287">
        <v>0</v>
      </c>
      <c r="J287">
        <v>8</v>
      </c>
      <c r="K287">
        <v>4</v>
      </c>
      <c r="L287">
        <v>4</v>
      </c>
      <c r="M287">
        <v>7</v>
      </c>
      <c r="N287">
        <v>4</v>
      </c>
      <c r="O287">
        <v>3</v>
      </c>
      <c r="P287">
        <v>9</v>
      </c>
      <c r="Q287">
        <v>2</v>
      </c>
      <c r="R287">
        <v>7</v>
      </c>
      <c r="S287">
        <v>8</v>
      </c>
      <c r="T287">
        <v>8</v>
      </c>
      <c r="U287">
        <v>0</v>
      </c>
      <c r="V287">
        <v>6</v>
      </c>
      <c r="W287">
        <v>5</v>
      </c>
      <c r="X287">
        <v>1</v>
      </c>
      <c r="Y287">
        <v>5</v>
      </c>
      <c r="Z287">
        <v>5</v>
      </c>
      <c r="AA287">
        <v>0</v>
      </c>
      <c r="AB287">
        <v>4</v>
      </c>
      <c r="AC287">
        <v>4</v>
      </c>
      <c r="AD287">
        <v>0</v>
      </c>
      <c r="AE287">
        <v>5</v>
      </c>
      <c r="AF287">
        <v>6</v>
      </c>
      <c r="AG287">
        <v>-1</v>
      </c>
      <c r="AH287">
        <v>7</v>
      </c>
      <c r="AI287">
        <v>5</v>
      </c>
      <c r="AJ287">
        <v>2</v>
      </c>
      <c r="AK287" t="s">
        <v>2746</v>
      </c>
      <c r="AL287" t="s">
        <v>2747</v>
      </c>
      <c r="AM287" t="s">
        <v>2748</v>
      </c>
      <c r="AN287" t="s">
        <v>2749</v>
      </c>
      <c r="AO287" t="s">
        <v>2750</v>
      </c>
      <c r="AP287" t="s">
        <v>2751</v>
      </c>
      <c r="AQ287" t="s">
        <v>2752</v>
      </c>
      <c r="AR287" t="s">
        <v>2753</v>
      </c>
      <c r="AS287" t="s">
        <v>2754</v>
      </c>
    </row>
    <row r="288" spans="1:45" x14ac:dyDescent="0.45">
      <c r="A288">
        <v>287</v>
      </c>
      <c r="B288">
        <v>328</v>
      </c>
      <c r="C288" t="s">
        <v>72</v>
      </c>
      <c r="D288" t="s">
        <v>190</v>
      </c>
      <c r="E288" t="s">
        <v>74</v>
      </c>
      <c r="F288" t="s">
        <v>77</v>
      </c>
      <c r="G288" t="s">
        <v>76</v>
      </c>
      <c r="H288">
        <v>67.482639187662173</v>
      </c>
      <c r="I288">
        <v>4</v>
      </c>
      <c r="J288">
        <v>7</v>
      </c>
      <c r="K288">
        <v>10</v>
      </c>
      <c r="L288">
        <v>-3</v>
      </c>
      <c r="M288">
        <v>8</v>
      </c>
      <c r="N288">
        <v>10</v>
      </c>
      <c r="O288">
        <v>-2</v>
      </c>
      <c r="P288">
        <v>9</v>
      </c>
      <c r="Q288">
        <v>7</v>
      </c>
      <c r="R288">
        <v>2</v>
      </c>
      <c r="S288">
        <v>8</v>
      </c>
      <c r="T288">
        <v>7</v>
      </c>
      <c r="U288">
        <v>1</v>
      </c>
      <c r="V288">
        <v>7</v>
      </c>
      <c r="W288">
        <v>8</v>
      </c>
      <c r="X288">
        <v>-1</v>
      </c>
      <c r="Y288">
        <v>6</v>
      </c>
      <c r="Z288">
        <v>7</v>
      </c>
      <c r="AA288">
        <v>-1</v>
      </c>
      <c r="AB288">
        <v>5</v>
      </c>
      <c r="AC288">
        <v>8</v>
      </c>
      <c r="AD288">
        <v>-3</v>
      </c>
      <c r="AE288">
        <v>4</v>
      </c>
      <c r="AF288">
        <v>8</v>
      </c>
      <c r="AG288">
        <v>-4</v>
      </c>
      <c r="AH288">
        <v>5</v>
      </c>
      <c r="AI288">
        <v>8</v>
      </c>
      <c r="AJ288">
        <v>-3</v>
      </c>
      <c r="AK288" t="s">
        <v>2755</v>
      </c>
      <c r="AL288" t="s">
        <v>2756</v>
      </c>
      <c r="AM288" t="s">
        <v>2757</v>
      </c>
      <c r="AN288" t="s">
        <v>2758</v>
      </c>
      <c r="AO288" t="s">
        <v>2759</v>
      </c>
      <c r="AP288" t="s">
        <v>2760</v>
      </c>
      <c r="AQ288" t="s">
        <v>2761</v>
      </c>
      <c r="AR288" t="s">
        <v>2762</v>
      </c>
      <c r="AS288" t="s">
        <v>2763</v>
      </c>
    </row>
    <row r="289" spans="1:45" x14ac:dyDescent="0.45">
      <c r="A289">
        <v>288</v>
      </c>
      <c r="B289">
        <v>329</v>
      </c>
      <c r="C289" t="s">
        <v>78</v>
      </c>
      <c r="D289" t="s">
        <v>81</v>
      </c>
      <c r="E289" t="s">
        <v>74</v>
      </c>
      <c r="F289" t="s">
        <v>77</v>
      </c>
      <c r="G289" t="s">
        <v>76</v>
      </c>
      <c r="H289">
        <v>24.906152542079461</v>
      </c>
      <c r="I289">
        <v>0</v>
      </c>
      <c r="J289">
        <v>8</v>
      </c>
      <c r="K289">
        <v>8</v>
      </c>
      <c r="L289">
        <v>0</v>
      </c>
      <c r="M289">
        <v>9</v>
      </c>
      <c r="N289">
        <v>8</v>
      </c>
      <c r="O289">
        <v>1</v>
      </c>
      <c r="P289">
        <v>7</v>
      </c>
      <c r="Q289">
        <v>5</v>
      </c>
      <c r="R289">
        <v>2</v>
      </c>
      <c r="S289">
        <v>8</v>
      </c>
      <c r="T289">
        <v>9</v>
      </c>
      <c r="U289">
        <v>-1</v>
      </c>
      <c r="V289">
        <v>7</v>
      </c>
      <c r="W289">
        <v>10</v>
      </c>
      <c r="X289">
        <v>-3</v>
      </c>
      <c r="Y289">
        <v>8</v>
      </c>
      <c r="Z289">
        <v>10</v>
      </c>
      <c r="AA289">
        <v>-2</v>
      </c>
      <c r="AB289">
        <v>7</v>
      </c>
      <c r="AC289">
        <v>9</v>
      </c>
      <c r="AD289">
        <v>-2</v>
      </c>
      <c r="AE289">
        <v>8</v>
      </c>
      <c r="AF289">
        <v>9</v>
      </c>
      <c r="AG289">
        <v>-1</v>
      </c>
      <c r="AH289">
        <v>9</v>
      </c>
      <c r="AI289">
        <v>10</v>
      </c>
      <c r="AJ289">
        <v>-1</v>
      </c>
      <c r="AK289" t="s">
        <v>2764</v>
      </c>
      <c r="AL289" t="s">
        <v>2765</v>
      </c>
      <c r="AM289" t="s">
        <v>2766</v>
      </c>
      <c r="AN289" t="s">
        <v>2767</v>
      </c>
      <c r="AO289" t="s">
        <v>2768</v>
      </c>
      <c r="AP289" t="s">
        <v>2769</v>
      </c>
      <c r="AQ289" t="s">
        <v>2770</v>
      </c>
      <c r="AR289" t="s">
        <v>2771</v>
      </c>
      <c r="AS289" t="s">
        <v>2772</v>
      </c>
    </row>
    <row r="290" spans="1:45" x14ac:dyDescent="0.45">
      <c r="A290">
        <v>289</v>
      </c>
      <c r="B290">
        <v>330</v>
      </c>
      <c r="C290" t="s">
        <v>72</v>
      </c>
      <c r="D290" t="s">
        <v>73</v>
      </c>
      <c r="E290" t="s">
        <v>74</v>
      </c>
      <c r="F290" t="s">
        <v>189</v>
      </c>
      <c r="G290" t="s">
        <v>76</v>
      </c>
      <c r="H290">
        <v>30.872567401289103</v>
      </c>
      <c r="I290">
        <v>1</v>
      </c>
      <c r="J290">
        <v>7</v>
      </c>
      <c r="K290">
        <v>7</v>
      </c>
      <c r="L290">
        <v>0</v>
      </c>
      <c r="M290">
        <v>8</v>
      </c>
      <c r="N290">
        <v>7</v>
      </c>
      <c r="O290">
        <v>1</v>
      </c>
      <c r="P290">
        <v>6</v>
      </c>
      <c r="Q290">
        <v>5</v>
      </c>
      <c r="R290">
        <v>1</v>
      </c>
      <c r="S290">
        <v>8</v>
      </c>
      <c r="T290">
        <v>6</v>
      </c>
      <c r="U290">
        <v>2</v>
      </c>
      <c r="V290">
        <v>9</v>
      </c>
      <c r="W290">
        <v>5</v>
      </c>
      <c r="X290">
        <v>4</v>
      </c>
      <c r="Y290">
        <v>7</v>
      </c>
      <c r="Z290">
        <v>5</v>
      </c>
      <c r="AA290">
        <v>2</v>
      </c>
      <c r="AB290">
        <v>8</v>
      </c>
      <c r="AC290">
        <v>5</v>
      </c>
      <c r="AD290">
        <v>3</v>
      </c>
      <c r="AE290">
        <v>9</v>
      </c>
      <c r="AF290">
        <v>5</v>
      </c>
      <c r="AG290">
        <v>4</v>
      </c>
      <c r="AH290">
        <v>7</v>
      </c>
      <c r="AI290">
        <v>6</v>
      </c>
      <c r="AJ290">
        <v>1</v>
      </c>
      <c r="AK290" t="s">
        <v>2773</v>
      </c>
      <c r="AL290" t="s">
        <v>2774</v>
      </c>
      <c r="AM290" t="s">
        <v>2775</v>
      </c>
      <c r="AN290" t="s">
        <v>2776</v>
      </c>
      <c r="AO290" t="s">
        <v>2777</v>
      </c>
      <c r="AP290" t="s">
        <v>2778</v>
      </c>
      <c r="AQ290" t="s">
        <v>2779</v>
      </c>
      <c r="AR290" t="s">
        <v>2780</v>
      </c>
      <c r="AS290" t="s">
        <v>2781</v>
      </c>
    </row>
    <row r="291" spans="1:45" x14ac:dyDescent="0.45">
      <c r="A291">
        <v>290</v>
      </c>
      <c r="B291">
        <v>331</v>
      </c>
      <c r="C291" t="s">
        <v>78</v>
      </c>
      <c r="D291" t="s">
        <v>73</v>
      </c>
      <c r="E291" t="s">
        <v>74</v>
      </c>
      <c r="F291" t="s">
        <v>77</v>
      </c>
      <c r="G291" t="s">
        <v>76</v>
      </c>
      <c r="H291">
        <v>37.099837162190148</v>
      </c>
      <c r="I291">
        <v>2</v>
      </c>
      <c r="J291">
        <v>8</v>
      </c>
      <c r="K291">
        <v>8</v>
      </c>
      <c r="L291">
        <v>0</v>
      </c>
      <c r="M291">
        <v>9</v>
      </c>
      <c r="N291">
        <v>8</v>
      </c>
      <c r="O291">
        <v>1</v>
      </c>
      <c r="P291">
        <v>8</v>
      </c>
      <c r="Q291">
        <v>8</v>
      </c>
      <c r="R291">
        <v>0</v>
      </c>
      <c r="S291">
        <v>9</v>
      </c>
      <c r="T291">
        <v>8</v>
      </c>
      <c r="U291">
        <v>1</v>
      </c>
      <c r="V291">
        <v>7</v>
      </c>
      <c r="W291">
        <v>8</v>
      </c>
      <c r="X291">
        <v>-1</v>
      </c>
      <c r="Y291">
        <v>6</v>
      </c>
      <c r="Z291">
        <v>8</v>
      </c>
      <c r="AA291">
        <v>-2</v>
      </c>
      <c r="AB291">
        <v>7</v>
      </c>
      <c r="AC291">
        <v>8</v>
      </c>
      <c r="AD291">
        <v>-1</v>
      </c>
      <c r="AE291">
        <v>5</v>
      </c>
      <c r="AF291">
        <v>8</v>
      </c>
      <c r="AG291">
        <v>-3</v>
      </c>
      <c r="AH291">
        <v>4</v>
      </c>
      <c r="AI291">
        <v>8</v>
      </c>
      <c r="AJ291">
        <v>-4</v>
      </c>
      <c r="AK291" t="s">
        <v>2782</v>
      </c>
      <c r="AL291" t="s">
        <v>2783</v>
      </c>
      <c r="AM291" t="s">
        <v>2784</v>
      </c>
      <c r="AN291" t="s">
        <v>2785</v>
      </c>
      <c r="AO291" t="s">
        <v>2786</v>
      </c>
      <c r="AP291" t="s">
        <v>2787</v>
      </c>
      <c r="AQ291" t="s">
        <v>2788</v>
      </c>
      <c r="AR291" t="s">
        <v>2789</v>
      </c>
      <c r="AS291" t="s">
        <v>2790</v>
      </c>
    </row>
    <row r="292" spans="1:45" x14ac:dyDescent="0.45">
      <c r="A292">
        <v>291</v>
      </c>
      <c r="B292">
        <v>332</v>
      </c>
      <c r="C292" t="s">
        <v>78</v>
      </c>
      <c r="D292" t="s">
        <v>81</v>
      </c>
      <c r="E292" t="s">
        <v>74</v>
      </c>
      <c r="F292" t="s">
        <v>77</v>
      </c>
      <c r="G292" t="s">
        <v>76</v>
      </c>
      <c r="H292">
        <v>50.732127670408843</v>
      </c>
      <c r="I292">
        <v>2</v>
      </c>
      <c r="J292">
        <v>8</v>
      </c>
      <c r="K292">
        <v>9</v>
      </c>
      <c r="L292">
        <v>-1</v>
      </c>
      <c r="M292">
        <v>9</v>
      </c>
      <c r="N292">
        <v>9</v>
      </c>
      <c r="O292">
        <v>0</v>
      </c>
      <c r="P292">
        <v>7</v>
      </c>
      <c r="Q292">
        <v>3</v>
      </c>
      <c r="R292">
        <v>4</v>
      </c>
      <c r="S292">
        <v>8</v>
      </c>
      <c r="T292">
        <v>10</v>
      </c>
      <c r="U292">
        <v>-2</v>
      </c>
      <c r="V292">
        <v>9</v>
      </c>
      <c r="W292">
        <v>8</v>
      </c>
      <c r="X292">
        <v>1</v>
      </c>
      <c r="Y292">
        <v>8</v>
      </c>
      <c r="Z292">
        <v>8</v>
      </c>
      <c r="AA292">
        <v>0</v>
      </c>
      <c r="AB292">
        <v>9</v>
      </c>
      <c r="AC292">
        <v>6</v>
      </c>
      <c r="AD292">
        <v>3</v>
      </c>
      <c r="AE292">
        <v>8</v>
      </c>
      <c r="AF292">
        <v>8</v>
      </c>
      <c r="AG292">
        <v>0</v>
      </c>
      <c r="AH292">
        <v>9</v>
      </c>
      <c r="AI292">
        <v>8</v>
      </c>
      <c r="AJ292">
        <v>1</v>
      </c>
      <c r="AK292" t="s">
        <v>2791</v>
      </c>
      <c r="AL292" t="s">
        <v>2792</v>
      </c>
      <c r="AM292" t="s">
        <v>2793</v>
      </c>
      <c r="AN292" t="s">
        <v>2794</v>
      </c>
      <c r="AO292" t="s">
        <v>2795</v>
      </c>
      <c r="AP292" t="s">
        <v>2796</v>
      </c>
      <c r="AQ292" t="s">
        <v>2797</v>
      </c>
      <c r="AR292" t="s">
        <v>2798</v>
      </c>
      <c r="AS292" t="s">
        <v>2799</v>
      </c>
    </row>
    <row r="293" spans="1:45" x14ac:dyDescent="0.45">
      <c r="A293">
        <v>292</v>
      </c>
      <c r="B293">
        <v>333</v>
      </c>
      <c r="C293" t="s">
        <v>72</v>
      </c>
      <c r="D293" t="s">
        <v>192</v>
      </c>
      <c r="E293" t="s">
        <v>74</v>
      </c>
      <c r="F293" t="s">
        <v>75</v>
      </c>
      <c r="G293" t="s">
        <v>161</v>
      </c>
      <c r="H293">
        <v>67.299038388373177</v>
      </c>
      <c r="I293">
        <v>2</v>
      </c>
      <c r="J293">
        <v>7</v>
      </c>
      <c r="K293">
        <v>6</v>
      </c>
      <c r="L293">
        <v>1</v>
      </c>
      <c r="M293">
        <v>8</v>
      </c>
      <c r="N293">
        <v>6</v>
      </c>
      <c r="O293">
        <v>2</v>
      </c>
      <c r="P293">
        <v>9</v>
      </c>
      <c r="Q293">
        <v>1</v>
      </c>
      <c r="R293">
        <v>8</v>
      </c>
      <c r="S293">
        <v>8</v>
      </c>
      <c r="T293">
        <v>6</v>
      </c>
      <c r="U293">
        <v>2</v>
      </c>
      <c r="V293">
        <v>6</v>
      </c>
      <c r="W293">
        <v>5</v>
      </c>
      <c r="X293">
        <v>1</v>
      </c>
      <c r="Y293">
        <v>7</v>
      </c>
      <c r="Z293">
        <v>6</v>
      </c>
      <c r="AA293">
        <v>1</v>
      </c>
      <c r="AB293">
        <v>5</v>
      </c>
      <c r="AC293">
        <v>5</v>
      </c>
      <c r="AD293">
        <v>0</v>
      </c>
      <c r="AE293">
        <v>6</v>
      </c>
      <c r="AF293">
        <v>6</v>
      </c>
      <c r="AG293">
        <v>0</v>
      </c>
      <c r="AH293">
        <v>8</v>
      </c>
      <c r="AI293">
        <v>6</v>
      </c>
      <c r="AJ293">
        <v>2</v>
      </c>
      <c r="AK293" t="s">
        <v>2800</v>
      </c>
      <c r="AL293" t="s">
        <v>2801</v>
      </c>
      <c r="AM293" t="s">
        <v>2802</v>
      </c>
      <c r="AN293" t="s">
        <v>2803</v>
      </c>
      <c r="AO293" t="s">
        <v>2804</v>
      </c>
      <c r="AP293" t="s">
        <v>2805</v>
      </c>
      <c r="AQ293" t="s">
        <v>2806</v>
      </c>
      <c r="AR293" t="s">
        <v>2807</v>
      </c>
      <c r="AS293" t="s">
        <v>2808</v>
      </c>
    </row>
    <row r="294" spans="1:45" x14ac:dyDescent="0.45">
      <c r="A294">
        <v>293</v>
      </c>
      <c r="B294">
        <v>334</v>
      </c>
      <c r="C294" t="s">
        <v>72</v>
      </c>
      <c r="D294" t="s">
        <v>81</v>
      </c>
      <c r="E294" t="s">
        <v>74</v>
      </c>
      <c r="F294" t="s">
        <v>77</v>
      </c>
      <c r="G294" t="s">
        <v>76</v>
      </c>
      <c r="H294">
        <v>38.678966815682955</v>
      </c>
      <c r="I294">
        <v>1</v>
      </c>
      <c r="J294">
        <v>7</v>
      </c>
      <c r="K294">
        <v>8</v>
      </c>
      <c r="L294">
        <v>-1</v>
      </c>
      <c r="M294">
        <v>8</v>
      </c>
      <c r="N294">
        <v>8</v>
      </c>
      <c r="O294">
        <v>0</v>
      </c>
      <c r="P294">
        <v>9</v>
      </c>
      <c r="Q294">
        <v>5</v>
      </c>
      <c r="R294">
        <v>4</v>
      </c>
      <c r="S294">
        <v>9</v>
      </c>
      <c r="T294">
        <v>8</v>
      </c>
      <c r="U294">
        <v>1</v>
      </c>
      <c r="V294">
        <v>8</v>
      </c>
      <c r="W294">
        <v>5</v>
      </c>
      <c r="X294">
        <v>3</v>
      </c>
      <c r="Y294">
        <v>7</v>
      </c>
      <c r="Z294">
        <v>6</v>
      </c>
      <c r="AA294">
        <v>1</v>
      </c>
      <c r="AB294">
        <v>6</v>
      </c>
      <c r="AC294">
        <v>5</v>
      </c>
      <c r="AD294">
        <v>1</v>
      </c>
      <c r="AE294">
        <v>7</v>
      </c>
      <c r="AF294">
        <v>6</v>
      </c>
      <c r="AG294">
        <v>1</v>
      </c>
      <c r="AH294">
        <v>8</v>
      </c>
      <c r="AI294">
        <v>6</v>
      </c>
      <c r="AJ294">
        <v>2</v>
      </c>
      <c r="AK294" t="s">
        <v>2809</v>
      </c>
      <c r="AL294" t="s">
        <v>2810</v>
      </c>
      <c r="AM294" t="s">
        <v>2811</v>
      </c>
      <c r="AN294" t="s">
        <v>2812</v>
      </c>
      <c r="AO294" t="s">
        <v>2813</v>
      </c>
      <c r="AP294" t="s">
        <v>2814</v>
      </c>
      <c r="AQ294" t="s">
        <v>2815</v>
      </c>
      <c r="AR294" t="s">
        <v>2816</v>
      </c>
      <c r="AS294" t="s">
        <v>2817</v>
      </c>
    </row>
    <row r="295" spans="1:45" x14ac:dyDescent="0.45">
      <c r="A295">
        <v>294</v>
      </c>
      <c r="B295">
        <v>335</v>
      </c>
      <c r="C295" t="s">
        <v>72</v>
      </c>
      <c r="D295" t="s">
        <v>81</v>
      </c>
      <c r="E295" t="s">
        <v>74</v>
      </c>
      <c r="F295" t="s">
        <v>77</v>
      </c>
      <c r="G295" t="s">
        <v>76</v>
      </c>
      <c r="H295">
        <v>54.880929043429468</v>
      </c>
      <c r="I295">
        <v>3</v>
      </c>
      <c r="J295">
        <v>7</v>
      </c>
      <c r="K295">
        <v>6</v>
      </c>
      <c r="L295">
        <v>1</v>
      </c>
      <c r="M295">
        <v>8</v>
      </c>
      <c r="N295">
        <v>6</v>
      </c>
      <c r="O295">
        <v>2</v>
      </c>
      <c r="P295">
        <v>9</v>
      </c>
      <c r="Q295">
        <v>3</v>
      </c>
      <c r="R295">
        <v>6</v>
      </c>
      <c r="S295">
        <v>8</v>
      </c>
      <c r="T295">
        <v>7</v>
      </c>
      <c r="U295">
        <v>1</v>
      </c>
      <c r="V295">
        <v>6</v>
      </c>
      <c r="W295">
        <v>5</v>
      </c>
      <c r="X295">
        <v>1</v>
      </c>
      <c r="Y295">
        <v>7</v>
      </c>
      <c r="Z295">
        <v>6</v>
      </c>
      <c r="AA295">
        <v>1</v>
      </c>
      <c r="AB295">
        <v>5</v>
      </c>
      <c r="AC295">
        <v>5</v>
      </c>
      <c r="AD295">
        <v>0</v>
      </c>
      <c r="AE295">
        <v>6</v>
      </c>
      <c r="AF295">
        <v>5</v>
      </c>
      <c r="AG295">
        <v>1</v>
      </c>
      <c r="AH295">
        <v>7</v>
      </c>
      <c r="AI295">
        <v>6</v>
      </c>
      <c r="AJ295">
        <v>1</v>
      </c>
      <c r="AK295" t="s">
        <v>2818</v>
      </c>
      <c r="AL295" t="s">
        <v>2819</v>
      </c>
      <c r="AM295" t="s">
        <v>2820</v>
      </c>
      <c r="AN295" t="s">
        <v>2821</v>
      </c>
      <c r="AO295" t="s">
        <v>2822</v>
      </c>
      <c r="AP295" t="s">
        <v>2823</v>
      </c>
      <c r="AQ295" t="s">
        <v>2824</v>
      </c>
      <c r="AR295" t="s">
        <v>2825</v>
      </c>
      <c r="AS295" t="s">
        <v>2826</v>
      </c>
    </row>
    <row r="296" spans="1:45" x14ac:dyDescent="0.45">
      <c r="A296">
        <v>295</v>
      </c>
      <c r="B296">
        <v>336</v>
      </c>
      <c r="C296" t="s">
        <v>78</v>
      </c>
      <c r="D296" t="s">
        <v>188</v>
      </c>
      <c r="E296" t="s">
        <v>74</v>
      </c>
      <c r="F296" t="s">
        <v>77</v>
      </c>
      <c r="G296" t="s">
        <v>76</v>
      </c>
      <c r="H296">
        <v>30.555930339510926</v>
      </c>
      <c r="I296">
        <v>0</v>
      </c>
      <c r="J296">
        <v>6</v>
      </c>
      <c r="K296">
        <v>8</v>
      </c>
      <c r="L296">
        <v>-2</v>
      </c>
      <c r="M296">
        <v>5</v>
      </c>
      <c r="N296">
        <v>9</v>
      </c>
      <c r="O296">
        <v>-4</v>
      </c>
      <c r="P296">
        <v>8</v>
      </c>
      <c r="Q296">
        <v>9</v>
      </c>
      <c r="R296">
        <v>-1</v>
      </c>
      <c r="S296">
        <v>9</v>
      </c>
      <c r="T296">
        <v>10</v>
      </c>
      <c r="U296">
        <v>-1</v>
      </c>
      <c r="V296">
        <v>8</v>
      </c>
      <c r="W296">
        <v>8</v>
      </c>
      <c r="X296">
        <v>0</v>
      </c>
      <c r="Y296">
        <v>7</v>
      </c>
      <c r="Z296">
        <v>8</v>
      </c>
      <c r="AA296">
        <v>-1</v>
      </c>
      <c r="AB296">
        <v>8</v>
      </c>
      <c r="AC296">
        <v>9</v>
      </c>
      <c r="AD296">
        <v>-1</v>
      </c>
      <c r="AE296">
        <v>7</v>
      </c>
      <c r="AF296">
        <v>10</v>
      </c>
      <c r="AG296">
        <v>-3</v>
      </c>
      <c r="AH296">
        <v>8</v>
      </c>
      <c r="AI296">
        <v>10</v>
      </c>
      <c r="AJ296">
        <v>-2</v>
      </c>
      <c r="AK296" t="s">
        <v>2827</v>
      </c>
      <c r="AL296" t="s">
        <v>2828</v>
      </c>
      <c r="AM296" t="s">
        <v>2829</v>
      </c>
      <c r="AN296" t="s">
        <v>2830</v>
      </c>
      <c r="AO296" t="s">
        <v>2831</v>
      </c>
      <c r="AP296" t="s">
        <v>2832</v>
      </c>
      <c r="AQ296" t="s">
        <v>2833</v>
      </c>
      <c r="AR296" t="s">
        <v>2834</v>
      </c>
      <c r="AS296" t="s">
        <v>2835</v>
      </c>
    </row>
    <row r="297" spans="1:45" x14ac:dyDescent="0.45">
      <c r="A297">
        <v>296</v>
      </c>
      <c r="B297">
        <v>337</v>
      </c>
      <c r="C297" t="s">
        <v>78</v>
      </c>
      <c r="D297" t="s">
        <v>192</v>
      </c>
      <c r="E297" t="s">
        <v>74</v>
      </c>
      <c r="F297" t="s">
        <v>77</v>
      </c>
      <c r="G297" t="s">
        <v>76</v>
      </c>
      <c r="H297">
        <v>12</v>
      </c>
      <c r="I297">
        <v>0</v>
      </c>
      <c r="J297">
        <v>5</v>
      </c>
      <c r="K297">
        <v>7</v>
      </c>
      <c r="L297">
        <v>-2</v>
      </c>
      <c r="M297">
        <v>6</v>
      </c>
      <c r="N297">
        <v>7</v>
      </c>
      <c r="O297">
        <v>-1</v>
      </c>
      <c r="P297">
        <v>7</v>
      </c>
      <c r="Q297">
        <v>6</v>
      </c>
      <c r="R297">
        <v>1</v>
      </c>
      <c r="S297">
        <v>8</v>
      </c>
      <c r="T297">
        <v>7</v>
      </c>
      <c r="U297">
        <v>1</v>
      </c>
      <c r="V297">
        <v>9</v>
      </c>
      <c r="W297">
        <v>7</v>
      </c>
      <c r="X297">
        <v>2</v>
      </c>
      <c r="Y297">
        <v>7</v>
      </c>
      <c r="Z297">
        <v>1</v>
      </c>
      <c r="AA297">
        <v>6</v>
      </c>
      <c r="AB297">
        <v>8</v>
      </c>
      <c r="AC297">
        <v>5</v>
      </c>
      <c r="AD297">
        <v>3</v>
      </c>
      <c r="AE297">
        <v>7</v>
      </c>
      <c r="AF297">
        <v>7</v>
      </c>
      <c r="AG297">
        <v>0</v>
      </c>
      <c r="AH297">
        <v>8</v>
      </c>
      <c r="AI297">
        <v>7</v>
      </c>
      <c r="AJ297">
        <v>1</v>
      </c>
      <c r="AK297" t="s">
        <v>2836</v>
      </c>
      <c r="AL297" t="s">
        <v>2837</v>
      </c>
      <c r="AM297" t="s">
        <v>2838</v>
      </c>
      <c r="AN297" t="s">
        <v>2839</v>
      </c>
      <c r="AO297" t="s">
        <v>2840</v>
      </c>
      <c r="AP297" t="s">
        <v>2841</v>
      </c>
      <c r="AQ297" t="s">
        <v>2842</v>
      </c>
      <c r="AR297" t="s">
        <v>2843</v>
      </c>
      <c r="AS297" t="s">
        <v>2844</v>
      </c>
    </row>
    <row r="298" spans="1:45" x14ac:dyDescent="0.45">
      <c r="A298">
        <v>297</v>
      </c>
      <c r="B298">
        <v>338</v>
      </c>
      <c r="C298" t="s">
        <v>72</v>
      </c>
      <c r="D298" t="s">
        <v>73</v>
      </c>
      <c r="E298" t="s">
        <v>74</v>
      </c>
      <c r="F298" t="s">
        <v>77</v>
      </c>
      <c r="G298" t="s">
        <v>76</v>
      </c>
      <c r="H298">
        <v>63.788147206243494</v>
      </c>
      <c r="I298">
        <v>2</v>
      </c>
      <c r="J298">
        <v>6</v>
      </c>
      <c r="K298">
        <v>5</v>
      </c>
      <c r="L298">
        <v>1</v>
      </c>
      <c r="M298">
        <v>5</v>
      </c>
      <c r="N298">
        <v>10</v>
      </c>
      <c r="O298">
        <v>-5</v>
      </c>
      <c r="P298">
        <v>7</v>
      </c>
      <c r="Q298">
        <v>5</v>
      </c>
      <c r="R298">
        <v>2</v>
      </c>
      <c r="S298">
        <v>6</v>
      </c>
      <c r="T298">
        <v>5</v>
      </c>
      <c r="U298">
        <v>1</v>
      </c>
      <c r="V298">
        <v>4</v>
      </c>
      <c r="W298">
        <v>2</v>
      </c>
      <c r="X298">
        <v>2</v>
      </c>
      <c r="Y298">
        <v>3</v>
      </c>
      <c r="Z298">
        <v>3</v>
      </c>
      <c r="AA298">
        <v>0</v>
      </c>
      <c r="AB298">
        <v>4</v>
      </c>
      <c r="AC298">
        <v>2</v>
      </c>
      <c r="AD298">
        <v>2</v>
      </c>
      <c r="AE298">
        <v>5</v>
      </c>
      <c r="AF298">
        <v>5</v>
      </c>
      <c r="AG298">
        <v>0</v>
      </c>
      <c r="AH298">
        <v>6</v>
      </c>
      <c r="AI298">
        <v>5</v>
      </c>
      <c r="AJ298">
        <v>1</v>
      </c>
      <c r="AK298" t="s">
        <v>2845</v>
      </c>
      <c r="AL298" t="s">
        <v>2846</v>
      </c>
      <c r="AM298" t="s">
        <v>2847</v>
      </c>
      <c r="AN298" t="s">
        <v>2848</v>
      </c>
      <c r="AO298" t="s">
        <v>2849</v>
      </c>
      <c r="AP298" t="s">
        <v>2850</v>
      </c>
      <c r="AQ298" t="s">
        <v>2851</v>
      </c>
      <c r="AR298" t="s">
        <v>2852</v>
      </c>
      <c r="AS298" t="s">
        <v>2853</v>
      </c>
    </row>
    <row r="299" spans="1:45" x14ac:dyDescent="0.45">
      <c r="A299">
        <v>298</v>
      </c>
      <c r="B299">
        <v>339</v>
      </c>
      <c r="C299" t="s">
        <v>78</v>
      </c>
      <c r="D299" t="s">
        <v>73</v>
      </c>
      <c r="E299" t="s">
        <v>74</v>
      </c>
      <c r="F299" t="s">
        <v>77</v>
      </c>
      <c r="G299" t="s">
        <v>161</v>
      </c>
      <c r="H299">
        <v>12</v>
      </c>
      <c r="I299">
        <v>0</v>
      </c>
      <c r="J299">
        <v>6</v>
      </c>
      <c r="K299">
        <v>5</v>
      </c>
      <c r="L299">
        <v>1</v>
      </c>
      <c r="M299">
        <v>6</v>
      </c>
      <c r="N299">
        <v>5</v>
      </c>
      <c r="O299">
        <v>1</v>
      </c>
      <c r="P299">
        <v>8</v>
      </c>
      <c r="Q299">
        <v>5</v>
      </c>
      <c r="R299">
        <v>3</v>
      </c>
      <c r="S299">
        <v>7</v>
      </c>
      <c r="T299">
        <v>10</v>
      </c>
      <c r="U299">
        <v>-3</v>
      </c>
      <c r="V299">
        <v>8</v>
      </c>
      <c r="W299">
        <v>10</v>
      </c>
      <c r="X299">
        <v>-2</v>
      </c>
      <c r="Y299">
        <v>7</v>
      </c>
      <c r="Z299">
        <v>5</v>
      </c>
      <c r="AA299">
        <v>2</v>
      </c>
      <c r="AB299">
        <v>6</v>
      </c>
      <c r="AC299">
        <v>5</v>
      </c>
      <c r="AD299">
        <v>1</v>
      </c>
      <c r="AE299">
        <v>5</v>
      </c>
      <c r="AF299">
        <v>5</v>
      </c>
      <c r="AG299">
        <v>0</v>
      </c>
      <c r="AH299">
        <v>7</v>
      </c>
      <c r="AI299">
        <v>5</v>
      </c>
      <c r="AJ299">
        <v>2</v>
      </c>
      <c r="AK299" t="s">
        <v>2854</v>
      </c>
      <c r="AL299" t="s">
        <v>2855</v>
      </c>
      <c r="AM299" t="s">
        <v>2856</v>
      </c>
      <c r="AN299" t="s">
        <v>2857</v>
      </c>
      <c r="AO299" t="s">
        <v>2858</v>
      </c>
      <c r="AP299" t="s">
        <v>2859</v>
      </c>
      <c r="AQ299" t="s">
        <v>2860</v>
      </c>
      <c r="AR299" t="s">
        <v>2861</v>
      </c>
      <c r="AS299" t="s">
        <v>2862</v>
      </c>
    </row>
    <row r="300" spans="1:45" x14ac:dyDescent="0.45">
      <c r="A300">
        <v>299</v>
      </c>
      <c r="B300">
        <v>340</v>
      </c>
      <c r="C300" t="s">
        <v>78</v>
      </c>
      <c r="D300" t="s">
        <v>73</v>
      </c>
      <c r="E300" t="s">
        <v>74</v>
      </c>
      <c r="F300" t="s">
        <v>75</v>
      </c>
      <c r="G300" t="s">
        <v>76</v>
      </c>
      <c r="H300">
        <v>44.425793599291865</v>
      </c>
      <c r="I300">
        <v>0</v>
      </c>
      <c r="J300">
        <v>8</v>
      </c>
      <c r="K300">
        <v>10</v>
      </c>
      <c r="L300">
        <v>-2</v>
      </c>
      <c r="M300">
        <v>8</v>
      </c>
      <c r="N300">
        <v>10</v>
      </c>
      <c r="O300">
        <v>-2</v>
      </c>
      <c r="P300">
        <v>9</v>
      </c>
      <c r="Q300">
        <v>10</v>
      </c>
      <c r="R300">
        <v>-1</v>
      </c>
      <c r="S300">
        <v>8</v>
      </c>
      <c r="T300">
        <v>10</v>
      </c>
      <c r="U300">
        <v>-2</v>
      </c>
      <c r="V300">
        <v>7</v>
      </c>
      <c r="W300">
        <v>10</v>
      </c>
      <c r="X300">
        <v>-3</v>
      </c>
      <c r="Y300">
        <v>5</v>
      </c>
      <c r="Z300">
        <v>10</v>
      </c>
      <c r="AA300">
        <v>-5</v>
      </c>
      <c r="AB300">
        <v>6</v>
      </c>
      <c r="AC300">
        <v>10</v>
      </c>
      <c r="AD300">
        <v>-4</v>
      </c>
      <c r="AE300">
        <v>5</v>
      </c>
      <c r="AF300">
        <v>10</v>
      </c>
      <c r="AG300">
        <v>-5</v>
      </c>
      <c r="AH300">
        <v>7</v>
      </c>
      <c r="AI300">
        <v>10</v>
      </c>
      <c r="AJ300">
        <v>-3</v>
      </c>
      <c r="AK300" t="s">
        <v>2863</v>
      </c>
      <c r="AL300" t="s">
        <v>2864</v>
      </c>
      <c r="AM300" t="s">
        <v>2865</v>
      </c>
      <c r="AN300" t="s">
        <v>2866</v>
      </c>
      <c r="AO300" t="s">
        <v>2867</v>
      </c>
      <c r="AP300" t="s">
        <v>2868</v>
      </c>
      <c r="AQ300" t="s">
        <v>2869</v>
      </c>
      <c r="AR300" t="s">
        <v>2870</v>
      </c>
      <c r="AS300" t="s">
        <v>2871</v>
      </c>
    </row>
    <row r="301" spans="1:45" x14ac:dyDescent="0.45">
      <c r="A301">
        <v>300</v>
      </c>
      <c r="B301">
        <v>341</v>
      </c>
      <c r="C301" t="s">
        <v>78</v>
      </c>
      <c r="D301" t="s">
        <v>73</v>
      </c>
      <c r="E301" t="s">
        <v>74</v>
      </c>
      <c r="F301" t="s">
        <v>77</v>
      </c>
      <c r="G301" t="s">
        <v>76</v>
      </c>
      <c r="H301">
        <v>27.88557871420862</v>
      </c>
      <c r="I301">
        <v>1</v>
      </c>
      <c r="J301">
        <v>7</v>
      </c>
      <c r="K301">
        <v>9</v>
      </c>
      <c r="L301">
        <v>-2</v>
      </c>
      <c r="M301">
        <v>8</v>
      </c>
      <c r="N301">
        <v>9</v>
      </c>
      <c r="O301">
        <v>-1</v>
      </c>
      <c r="P301">
        <v>6</v>
      </c>
      <c r="Q301">
        <v>8</v>
      </c>
      <c r="R301">
        <v>-2</v>
      </c>
      <c r="S301">
        <v>8</v>
      </c>
      <c r="T301">
        <v>10</v>
      </c>
      <c r="U301">
        <v>-2</v>
      </c>
      <c r="V301">
        <v>7</v>
      </c>
      <c r="W301">
        <v>8</v>
      </c>
      <c r="X301">
        <v>-1</v>
      </c>
      <c r="Y301">
        <v>8</v>
      </c>
      <c r="Z301">
        <v>8</v>
      </c>
      <c r="AA301">
        <v>0</v>
      </c>
      <c r="AB301">
        <v>7</v>
      </c>
      <c r="AC301">
        <v>10</v>
      </c>
      <c r="AD301">
        <v>-3</v>
      </c>
      <c r="AE301">
        <v>6</v>
      </c>
      <c r="AF301">
        <v>9</v>
      </c>
      <c r="AG301">
        <v>-3</v>
      </c>
      <c r="AH301">
        <v>7</v>
      </c>
      <c r="AI301">
        <v>9</v>
      </c>
      <c r="AJ301">
        <v>-2</v>
      </c>
      <c r="AK301" t="s">
        <v>2872</v>
      </c>
      <c r="AL301" t="s">
        <v>2873</v>
      </c>
      <c r="AM301" t="s">
        <v>2874</v>
      </c>
      <c r="AN301" t="s">
        <v>2875</v>
      </c>
      <c r="AO301" t="s">
        <v>2876</v>
      </c>
      <c r="AP301" t="s">
        <v>2877</v>
      </c>
      <c r="AQ301" t="s">
        <v>2878</v>
      </c>
      <c r="AR301" t="s">
        <v>2879</v>
      </c>
      <c r="AS301" t="s">
        <v>2880</v>
      </c>
    </row>
    <row r="302" spans="1:45" x14ac:dyDescent="0.45">
      <c r="A302">
        <v>301</v>
      </c>
      <c r="B302">
        <v>342</v>
      </c>
      <c r="C302" t="s">
        <v>78</v>
      </c>
      <c r="D302" t="s">
        <v>81</v>
      </c>
      <c r="E302" t="s">
        <v>74</v>
      </c>
      <c r="F302" t="s">
        <v>77</v>
      </c>
      <c r="G302" t="s">
        <v>76</v>
      </c>
      <c r="H302">
        <v>12</v>
      </c>
      <c r="I302">
        <v>0</v>
      </c>
      <c r="J302">
        <v>9</v>
      </c>
      <c r="K302">
        <v>8</v>
      </c>
      <c r="L302">
        <v>1</v>
      </c>
      <c r="M302">
        <v>8</v>
      </c>
      <c r="N302">
        <v>7</v>
      </c>
      <c r="O302">
        <v>1</v>
      </c>
      <c r="P302">
        <v>7</v>
      </c>
      <c r="Q302">
        <v>9</v>
      </c>
      <c r="R302">
        <v>-2</v>
      </c>
      <c r="S302">
        <v>8</v>
      </c>
      <c r="T302">
        <v>5</v>
      </c>
      <c r="U302">
        <v>3</v>
      </c>
      <c r="V302">
        <v>7</v>
      </c>
      <c r="W302">
        <v>7</v>
      </c>
      <c r="X302">
        <v>0</v>
      </c>
      <c r="Y302">
        <v>8</v>
      </c>
      <c r="Z302">
        <v>7</v>
      </c>
      <c r="AA302">
        <v>1</v>
      </c>
      <c r="AB302">
        <v>7</v>
      </c>
      <c r="AC302">
        <v>7</v>
      </c>
      <c r="AD302">
        <v>0</v>
      </c>
      <c r="AE302">
        <v>6</v>
      </c>
      <c r="AF302">
        <v>6</v>
      </c>
      <c r="AG302">
        <v>0</v>
      </c>
      <c r="AH302">
        <v>7</v>
      </c>
      <c r="AI302">
        <v>7</v>
      </c>
      <c r="AJ302">
        <v>0</v>
      </c>
      <c r="AK302" t="s">
        <v>2881</v>
      </c>
      <c r="AL302" t="s">
        <v>2882</v>
      </c>
      <c r="AM302" t="s">
        <v>2883</v>
      </c>
      <c r="AN302" t="s">
        <v>2884</v>
      </c>
      <c r="AO302" t="s">
        <v>2885</v>
      </c>
      <c r="AP302" t="s">
        <v>2886</v>
      </c>
      <c r="AQ302" t="s">
        <v>2887</v>
      </c>
      <c r="AR302" t="s">
        <v>2888</v>
      </c>
      <c r="AS302" t="s">
        <v>2889</v>
      </c>
    </row>
    <row r="303" spans="1:45" x14ac:dyDescent="0.45">
      <c r="A303">
        <v>302</v>
      </c>
      <c r="B303">
        <v>343</v>
      </c>
      <c r="C303" t="s">
        <v>72</v>
      </c>
      <c r="D303" t="s">
        <v>73</v>
      </c>
      <c r="E303" t="s">
        <v>74</v>
      </c>
      <c r="F303" t="s">
        <v>77</v>
      </c>
      <c r="G303" t="s">
        <v>76</v>
      </c>
      <c r="H303">
        <v>29.296554822510188</v>
      </c>
      <c r="I303">
        <v>0</v>
      </c>
      <c r="J303">
        <v>6</v>
      </c>
      <c r="K303">
        <v>7</v>
      </c>
      <c r="L303">
        <v>-1</v>
      </c>
      <c r="M303">
        <v>7</v>
      </c>
      <c r="N303">
        <v>7</v>
      </c>
      <c r="O303">
        <v>0</v>
      </c>
      <c r="P303">
        <v>5</v>
      </c>
      <c r="Q303">
        <v>4</v>
      </c>
      <c r="R303">
        <v>1</v>
      </c>
      <c r="S303">
        <v>8</v>
      </c>
      <c r="T303">
        <v>8</v>
      </c>
      <c r="U303">
        <v>0</v>
      </c>
      <c r="V303">
        <v>6</v>
      </c>
      <c r="W303">
        <v>7</v>
      </c>
      <c r="X303">
        <v>-1</v>
      </c>
      <c r="Y303">
        <v>8</v>
      </c>
      <c r="Z303">
        <v>7</v>
      </c>
      <c r="AA303">
        <v>1</v>
      </c>
      <c r="AB303">
        <v>6</v>
      </c>
      <c r="AC303">
        <v>5</v>
      </c>
      <c r="AD303">
        <v>1</v>
      </c>
      <c r="AE303">
        <v>7</v>
      </c>
      <c r="AF303">
        <v>5</v>
      </c>
      <c r="AG303">
        <v>2</v>
      </c>
      <c r="AH303">
        <v>6</v>
      </c>
      <c r="AI303">
        <v>7</v>
      </c>
      <c r="AJ303">
        <v>-1</v>
      </c>
      <c r="AK303" t="s">
        <v>2890</v>
      </c>
      <c r="AL303" t="s">
        <v>2891</v>
      </c>
      <c r="AM303" t="s">
        <v>2892</v>
      </c>
      <c r="AN303" t="s">
        <v>2893</v>
      </c>
      <c r="AO303" t="s">
        <v>2894</v>
      </c>
      <c r="AP303" t="s">
        <v>2895</v>
      </c>
      <c r="AQ303" t="s">
        <v>2896</v>
      </c>
      <c r="AR303" t="s">
        <v>2897</v>
      </c>
      <c r="AS303" t="s">
        <v>2898</v>
      </c>
    </row>
    <row r="304" spans="1:45" x14ac:dyDescent="0.45">
      <c r="A304">
        <v>303</v>
      </c>
      <c r="B304">
        <v>344</v>
      </c>
      <c r="C304" t="s">
        <v>78</v>
      </c>
      <c r="D304" t="s">
        <v>73</v>
      </c>
      <c r="E304" t="s">
        <v>74</v>
      </c>
      <c r="F304" t="s">
        <v>77</v>
      </c>
      <c r="G304" t="s">
        <v>76</v>
      </c>
      <c r="H304">
        <v>28.590580607166206</v>
      </c>
      <c r="I304">
        <v>2</v>
      </c>
      <c r="J304">
        <v>7</v>
      </c>
      <c r="K304">
        <v>6</v>
      </c>
      <c r="L304">
        <v>1</v>
      </c>
      <c r="M304">
        <v>6</v>
      </c>
      <c r="N304">
        <v>10</v>
      </c>
      <c r="O304">
        <v>-4</v>
      </c>
      <c r="P304">
        <v>8</v>
      </c>
      <c r="Q304">
        <v>5</v>
      </c>
      <c r="R304">
        <v>3</v>
      </c>
      <c r="S304">
        <v>5</v>
      </c>
      <c r="T304">
        <v>4</v>
      </c>
      <c r="U304">
        <v>1</v>
      </c>
      <c r="V304">
        <v>7</v>
      </c>
      <c r="W304">
        <v>3</v>
      </c>
      <c r="X304">
        <v>4</v>
      </c>
      <c r="Y304">
        <v>6</v>
      </c>
      <c r="Z304">
        <v>7</v>
      </c>
      <c r="AA304">
        <v>-1</v>
      </c>
      <c r="AB304">
        <v>7</v>
      </c>
      <c r="AC304">
        <v>4</v>
      </c>
      <c r="AD304">
        <v>3</v>
      </c>
      <c r="AE304">
        <v>6</v>
      </c>
      <c r="AF304">
        <v>4</v>
      </c>
      <c r="AG304">
        <v>2</v>
      </c>
      <c r="AH304">
        <v>7</v>
      </c>
      <c r="AI304">
        <v>5</v>
      </c>
      <c r="AJ304">
        <v>2</v>
      </c>
      <c r="AK304" t="s">
        <v>2899</v>
      </c>
      <c r="AL304" t="s">
        <v>2900</v>
      </c>
      <c r="AM304" t="s">
        <v>2901</v>
      </c>
      <c r="AN304" t="s">
        <v>2902</v>
      </c>
      <c r="AO304" t="s">
        <v>2903</v>
      </c>
      <c r="AP304" t="s">
        <v>2904</v>
      </c>
      <c r="AQ304" t="s">
        <v>2905</v>
      </c>
      <c r="AR304" t="s">
        <v>2906</v>
      </c>
      <c r="AS304" t="s">
        <v>2907</v>
      </c>
    </row>
    <row r="305" spans="1:45" x14ac:dyDescent="0.45">
      <c r="A305">
        <v>304</v>
      </c>
      <c r="B305">
        <v>345</v>
      </c>
      <c r="C305" t="s">
        <v>78</v>
      </c>
      <c r="D305" t="s">
        <v>81</v>
      </c>
      <c r="E305" t="s">
        <v>74</v>
      </c>
      <c r="F305" t="s">
        <v>75</v>
      </c>
      <c r="G305" t="s">
        <v>76</v>
      </c>
      <c r="H305">
        <v>12</v>
      </c>
      <c r="I305">
        <v>0</v>
      </c>
      <c r="J305">
        <v>8</v>
      </c>
      <c r="K305">
        <v>10</v>
      </c>
      <c r="L305">
        <v>-2</v>
      </c>
      <c r="M305">
        <v>7</v>
      </c>
      <c r="N305">
        <v>10</v>
      </c>
      <c r="O305">
        <v>-3</v>
      </c>
      <c r="P305">
        <v>6</v>
      </c>
      <c r="Q305">
        <v>10</v>
      </c>
      <c r="R305">
        <v>-4</v>
      </c>
      <c r="S305">
        <v>7</v>
      </c>
      <c r="T305">
        <v>10</v>
      </c>
      <c r="U305">
        <v>-3</v>
      </c>
      <c r="V305">
        <v>8</v>
      </c>
      <c r="W305">
        <v>10</v>
      </c>
      <c r="X305">
        <v>-2</v>
      </c>
      <c r="Y305">
        <v>7</v>
      </c>
      <c r="Z305">
        <v>10</v>
      </c>
      <c r="AA305">
        <v>-3</v>
      </c>
      <c r="AB305">
        <v>6</v>
      </c>
      <c r="AC305">
        <v>10</v>
      </c>
      <c r="AD305">
        <v>-4</v>
      </c>
      <c r="AE305">
        <v>5</v>
      </c>
      <c r="AF305">
        <v>10</v>
      </c>
      <c r="AG305">
        <v>-5</v>
      </c>
      <c r="AH305">
        <v>7</v>
      </c>
      <c r="AI305">
        <v>10</v>
      </c>
      <c r="AJ305">
        <v>-3</v>
      </c>
      <c r="AK305" t="s">
        <v>2908</v>
      </c>
      <c r="AL305" t="s">
        <v>2909</v>
      </c>
      <c r="AM305" t="s">
        <v>2910</v>
      </c>
      <c r="AN305" t="s">
        <v>2911</v>
      </c>
      <c r="AO305" t="s">
        <v>2912</v>
      </c>
      <c r="AP305" t="s">
        <v>2913</v>
      </c>
      <c r="AQ305" t="s">
        <v>2914</v>
      </c>
      <c r="AR305" t="s">
        <v>2915</v>
      </c>
      <c r="AS305" t="s">
        <v>2916</v>
      </c>
    </row>
    <row r="306" spans="1:45" x14ac:dyDescent="0.45">
      <c r="A306">
        <v>305</v>
      </c>
      <c r="B306">
        <v>346</v>
      </c>
      <c r="C306" t="s">
        <v>78</v>
      </c>
      <c r="D306" t="s">
        <v>73</v>
      </c>
      <c r="E306" t="s">
        <v>74</v>
      </c>
      <c r="F306" t="s">
        <v>77</v>
      </c>
      <c r="G306" t="s">
        <v>76</v>
      </c>
      <c r="H306">
        <v>35.56113599804722</v>
      </c>
      <c r="I306">
        <v>0</v>
      </c>
      <c r="J306">
        <v>7</v>
      </c>
      <c r="K306">
        <v>7</v>
      </c>
      <c r="L306">
        <v>0</v>
      </c>
      <c r="M306">
        <v>8</v>
      </c>
      <c r="N306">
        <v>9</v>
      </c>
      <c r="O306">
        <v>-1</v>
      </c>
      <c r="P306">
        <v>6</v>
      </c>
      <c r="Q306">
        <v>8</v>
      </c>
      <c r="R306">
        <v>-2</v>
      </c>
      <c r="S306">
        <v>9</v>
      </c>
      <c r="T306">
        <v>6</v>
      </c>
      <c r="U306">
        <v>3</v>
      </c>
      <c r="V306">
        <v>7</v>
      </c>
      <c r="W306">
        <v>5</v>
      </c>
      <c r="X306">
        <v>2</v>
      </c>
      <c r="Y306">
        <v>8</v>
      </c>
      <c r="Z306">
        <v>3</v>
      </c>
      <c r="AA306">
        <v>5</v>
      </c>
      <c r="AB306">
        <v>6</v>
      </c>
      <c r="AC306">
        <v>9</v>
      </c>
      <c r="AD306">
        <v>-3</v>
      </c>
      <c r="AE306">
        <v>5</v>
      </c>
      <c r="AF306">
        <v>3</v>
      </c>
      <c r="AG306">
        <v>2</v>
      </c>
      <c r="AH306">
        <v>7</v>
      </c>
      <c r="AI306">
        <v>4</v>
      </c>
      <c r="AJ306">
        <v>3</v>
      </c>
      <c r="AK306" t="s">
        <v>2917</v>
      </c>
      <c r="AL306" t="s">
        <v>2918</v>
      </c>
      <c r="AM306" t="s">
        <v>2919</v>
      </c>
      <c r="AN306" t="s">
        <v>2920</v>
      </c>
      <c r="AO306" t="s">
        <v>2921</v>
      </c>
      <c r="AP306" t="s">
        <v>2922</v>
      </c>
      <c r="AQ306" t="s">
        <v>2923</v>
      </c>
      <c r="AR306" t="s">
        <v>2924</v>
      </c>
      <c r="AS306" t="s">
        <v>2925</v>
      </c>
    </row>
    <row r="307" spans="1:45" x14ac:dyDescent="0.45">
      <c r="A307">
        <v>306</v>
      </c>
      <c r="B307">
        <v>347</v>
      </c>
      <c r="C307" t="s">
        <v>72</v>
      </c>
      <c r="D307" t="s">
        <v>79</v>
      </c>
      <c r="E307" t="s">
        <v>74</v>
      </c>
      <c r="F307" t="s">
        <v>77</v>
      </c>
      <c r="G307" t="s">
        <v>76</v>
      </c>
      <c r="H307">
        <v>53.890037909245386</v>
      </c>
      <c r="I307">
        <v>3</v>
      </c>
      <c r="J307">
        <v>7</v>
      </c>
      <c r="K307">
        <v>3</v>
      </c>
      <c r="L307">
        <v>4</v>
      </c>
      <c r="M307">
        <v>8</v>
      </c>
      <c r="N307">
        <v>8</v>
      </c>
      <c r="O307">
        <v>0</v>
      </c>
      <c r="P307">
        <v>7</v>
      </c>
      <c r="Q307">
        <v>8</v>
      </c>
      <c r="R307">
        <v>-1</v>
      </c>
      <c r="S307">
        <v>9</v>
      </c>
      <c r="T307">
        <v>4</v>
      </c>
      <c r="U307">
        <v>5</v>
      </c>
      <c r="V307">
        <v>8</v>
      </c>
      <c r="W307">
        <v>4</v>
      </c>
      <c r="X307">
        <v>4</v>
      </c>
      <c r="Y307">
        <v>8</v>
      </c>
      <c r="Z307">
        <v>3</v>
      </c>
      <c r="AA307">
        <v>5</v>
      </c>
      <c r="AB307">
        <v>7</v>
      </c>
      <c r="AC307">
        <v>7</v>
      </c>
      <c r="AD307">
        <v>0</v>
      </c>
      <c r="AE307">
        <v>6</v>
      </c>
      <c r="AF307">
        <v>5</v>
      </c>
      <c r="AG307">
        <v>1</v>
      </c>
      <c r="AH307">
        <v>7</v>
      </c>
      <c r="AI307">
        <v>5</v>
      </c>
      <c r="AJ307">
        <v>2</v>
      </c>
      <c r="AK307" t="s">
        <v>2926</v>
      </c>
      <c r="AL307" t="s">
        <v>2927</v>
      </c>
      <c r="AM307" t="s">
        <v>2928</v>
      </c>
      <c r="AN307" t="s">
        <v>2929</v>
      </c>
      <c r="AO307" t="s">
        <v>2930</v>
      </c>
      <c r="AP307" t="s">
        <v>2931</v>
      </c>
      <c r="AQ307" t="s">
        <v>2932</v>
      </c>
      <c r="AR307" t="s">
        <v>2933</v>
      </c>
      <c r="AS307" t="s">
        <v>2934</v>
      </c>
    </row>
    <row r="308" spans="1:45" x14ac:dyDescent="0.45">
      <c r="A308">
        <v>307</v>
      </c>
      <c r="B308">
        <v>348</v>
      </c>
      <c r="C308" t="s">
        <v>72</v>
      </c>
      <c r="D308" t="s">
        <v>192</v>
      </c>
      <c r="E308" t="s">
        <v>74</v>
      </c>
      <c r="F308" t="s">
        <v>75</v>
      </c>
      <c r="G308" t="s">
        <v>161</v>
      </c>
      <c r="H308">
        <v>13.061045456733474</v>
      </c>
      <c r="I308">
        <v>2</v>
      </c>
      <c r="J308">
        <v>7</v>
      </c>
      <c r="K308">
        <v>2</v>
      </c>
      <c r="L308">
        <v>5</v>
      </c>
      <c r="M308">
        <v>6</v>
      </c>
      <c r="N308">
        <v>2</v>
      </c>
      <c r="O308">
        <v>4</v>
      </c>
      <c r="P308">
        <v>8</v>
      </c>
      <c r="Q308">
        <v>2</v>
      </c>
      <c r="R308">
        <v>6</v>
      </c>
      <c r="S308">
        <v>7</v>
      </c>
      <c r="T308">
        <v>1</v>
      </c>
      <c r="U308">
        <v>6</v>
      </c>
      <c r="V308">
        <v>5</v>
      </c>
      <c r="W308">
        <v>2</v>
      </c>
      <c r="X308">
        <v>3</v>
      </c>
      <c r="Y308">
        <v>6</v>
      </c>
      <c r="Z308">
        <v>2</v>
      </c>
      <c r="AA308">
        <v>4</v>
      </c>
      <c r="AB308">
        <v>4</v>
      </c>
      <c r="AC308">
        <v>2</v>
      </c>
      <c r="AD308">
        <v>2</v>
      </c>
      <c r="AE308">
        <v>6</v>
      </c>
      <c r="AF308">
        <v>2</v>
      </c>
      <c r="AG308">
        <v>4</v>
      </c>
      <c r="AH308">
        <v>5</v>
      </c>
      <c r="AI308">
        <v>2</v>
      </c>
      <c r="AJ308">
        <v>3</v>
      </c>
      <c r="AK308" t="s">
        <v>2935</v>
      </c>
      <c r="AL308" t="s">
        <v>2936</v>
      </c>
      <c r="AM308" t="s">
        <v>2937</v>
      </c>
      <c r="AN308" t="s">
        <v>2938</v>
      </c>
      <c r="AO308" t="s">
        <v>2939</v>
      </c>
      <c r="AP308" t="s">
        <v>2940</v>
      </c>
      <c r="AQ308" t="s">
        <v>2941</v>
      </c>
      <c r="AR308" t="s">
        <v>2942</v>
      </c>
      <c r="AS308" t="s">
        <v>2943</v>
      </c>
    </row>
    <row r="309" spans="1:45" x14ac:dyDescent="0.45">
      <c r="A309">
        <v>308</v>
      </c>
      <c r="B309">
        <v>349</v>
      </c>
      <c r="C309" t="s">
        <v>72</v>
      </c>
      <c r="D309" t="s">
        <v>79</v>
      </c>
      <c r="E309" t="s">
        <v>74</v>
      </c>
      <c r="F309" t="s">
        <v>75</v>
      </c>
      <c r="G309" t="s">
        <v>76</v>
      </c>
      <c r="H309">
        <v>155.0359851566416</v>
      </c>
      <c r="I309">
        <v>2</v>
      </c>
      <c r="J309">
        <v>7</v>
      </c>
      <c r="K309">
        <v>10</v>
      </c>
      <c r="L309">
        <v>-3</v>
      </c>
      <c r="M309">
        <v>6</v>
      </c>
      <c r="N309">
        <v>8</v>
      </c>
      <c r="O309">
        <v>-2</v>
      </c>
      <c r="P309">
        <v>5</v>
      </c>
      <c r="Q309">
        <v>8</v>
      </c>
      <c r="R309">
        <v>-3</v>
      </c>
      <c r="S309">
        <v>4</v>
      </c>
      <c r="T309">
        <v>8</v>
      </c>
      <c r="U309">
        <v>-4</v>
      </c>
      <c r="V309">
        <v>7</v>
      </c>
      <c r="W309">
        <v>10</v>
      </c>
      <c r="X309">
        <v>-3</v>
      </c>
      <c r="Y309">
        <v>6</v>
      </c>
      <c r="Z309">
        <v>10</v>
      </c>
      <c r="AA309">
        <v>-4</v>
      </c>
      <c r="AB309">
        <v>5</v>
      </c>
      <c r="AC309">
        <v>6</v>
      </c>
      <c r="AD309">
        <v>-1</v>
      </c>
      <c r="AE309">
        <v>6</v>
      </c>
      <c r="AF309">
        <v>8</v>
      </c>
      <c r="AG309">
        <v>-2</v>
      </c>
      <c r="AH309">
        <v>7</v>
      </c>
      <c r="AI309">
        <v>8</v>
      </c>
      <c r="AJ309">
        <v>-1</v>
      </c>
      <c r="AK309" t="s">
        <v>2944</v>
      </c>
      <c r="AL309" t="s">
        <v>2945</v>
      </c>
      <c r="AM309" t="s">
        <v>2946</v>
      </c>
      <c r="AN309" t="s">
        <v>2947</v>
      </c>
      <c r="AO309" t="s">
        <v>2948</v>
      </c>
      <c r="AP309" t="s">
        <v>2949</v>
      </c>
      <c r="AQ309" t="s">
        <v>2950</v>
      </c>
      <c r="AR309" t="s">
        <v>2951</v>
      </c>
      <c r="AS309" t="s">
        <v>2952</v>
      </c>
    </row>
    <row r="310" spans="1:45" x14ac:dyDescent="0.45">
      <c r="A310">
        <v>309</v>
      </c>
      <c r="B310">
        <v>350</v>
      </c>
      <c r="C310" t="s">
        <v>78</v>
      </c>
      <c r="D310" t="s">
        <v>73</v>
      </c>
      <c r="E310" t="s">
        <v>74</v>
      </c>
      <c r="F310" t="s">
        <v>77</v>
      </c>
      <c r="G310" t="s">
        <v>76</v>
      </c>
      <c r="H310">
        <v>66.836602467838588</v>
      </c>
      <c r="I310">
        <v>1</v>
      </c>
      <c r="J310">
        <v>7</v>
      </c>
      <c r="K310">
        <v>10</v>
      </c>
      <c r="L310">
        <v>-3</v>
      </c>
      <c r="M310">
        <v>6</v>
      </c>
      <c r="N310">
        <v>10</v>
      </c>
      <c r="O310">
        <v>-4</v>
      </c>
      <c r="P310">
        <v>8</v>
      </c>
      <c r="Q310">
        <v>10</v>
      </c>
      <c r="R310">
        <v>-2</v>
      </c>
      <c r="S310">
        <v>9</v>
      </c>
      <c r="T310">
        <v>10</v>
      </c>
      <c r="U310">
        <v>-1</v>
      </c>
      <c r="V310">
        <v>6</v>
      </c>
      <c r="W310">
        <v>10</v>
      </c>
      <c r="X310">
        <v>-4</v>
      </c>
      <c r="Y310">
        <v>7</v>
      </c>
      <c r="Z310">
        <v>9</v>
      </c>
      <c r="AA310">
        <v>-2</v>
      </c>
      <c r="AB310">
        <v>6</v>
      </c>
      <c r="AC310">
        <v>9</v>
      </c>
      <c r="AD310">
        <v>-3</v>
      </c>
      <c r="AE310">
        <v>5</v>
      </c>
      <c r="AF310">
        <v>10</v>
      </c>
      <c r="AG310">
        <v>-5</v>
      </c>
      <c r="AH310">
        <v>6</v>
      </c>
      <c r="AI310">
        <v>10</v>
      </c>
      <c r="AJ310">
        <v>-4</v>
      </c>
      <c r="AK310" t="s">
        <v>2953</v>
      </c>
      <c r="AL310" t="s">
        <v>2954</v>
      </c>
      <c r="AM310" t="s">
        <v>2955</v>
      </c>
      <c r="AN310" t="s">
        <v>2956</v>
      </c>
      <c r="AO310" t="s">
        <v>2957</v>
      </c>
      <c r="AP310" t="s">
        <v>2958</v>
      </c>
      <c r="AQ310" t="s">
        <v>2959</v>
      </c>
      <c r="AR310" t="s">
        <v>2960</v>
      </c>
      <c r="AS310" t="s">
        <v>2961</v>
      </c>
    </row>
    <row r="311" spans="1:45" x14ac:dyDescent="0.45">
      <c r="A311">
        <v>310</v>
      </c>
      <c r="B311">
        <v>351</v>
      </c>
      <c r="C311" t="s">
        <v>72</v>
      </c>
      <c r="D311" t="s">
        <v>188</v>
      </c>
      <c r="E311" t="s">
        <v>74</v>
      </c>
      <c r="F311" t="s">
        <v>77</v>
      </c>
      <c r="G311" t="s">
        <v>76</v>
      </c>
      <c r="H311">
        <v>20.583400587174825</v>
      </c>
      <c r="I311">
        <v>0</v>
      </c>
      <c r="J311">
        <v>7</v>
      </c>
      <c r="K311">
        <v>7</v>
      </c>
      <c r="L311">
        <v>0</v>
      </c>
      <c r="M311">
        <v>8</v>
      </c>
      <c r="N311">
        <v>7</v>
      </c>
      <c r="O311">
        <v>1</v>
      </c>
      <c r="P311">
        <v>9</v>
      </c>
      <c r="Q311">
        <v>5</v>
      </c>
      <c r="R311">
        <v>4</v>
      </c>
      <c r="S311">
        <v>7</v>
      </c>
      <c r="T311">
        <v>8</v>
      </c>
      <c r="U311">
        <v>-1</v>
      </c>
      <c r="V311">
        <v>8</v>
      </c>
      <c r="W311">
        <v>8</v>
      </c>
      <c r="X311">
        <v>0</v>
      </c>
      <c r="Y311">
        <v>6</v>
      </c>
      <c r="Z311">
        <v>9</v>
      </c>
      <c r="AA311">
        <v>-3</v>
      </c>
      <c r="AB311">
        <v>7</v>
      </c>
      <c r="AC311">
        <v>9</v>
      </c>
      <c r="AD311">
        <v>-2</v>
      </c>
      <c r="AE311">
        <v>5</v>
      </c>
      <c r="AF311">
        <v>9</v>
      </c>
      <c r="AG311">
        <v>-4</v>
      </c>
      <c r="AH311">
        <v>8</v>
      </c>
      <c r="AI311">
        <v>10</v>
      </c>
      <c r="AJ311">
        <v>-2</v>
      </c>
      <c r="AK311" t="s">
        <v>2962</v>
      </c>
      <c r="AL311" t="s">
        <v>2963</v>
      </c>
      <c r="AM311" t="s">
        <v>2964</v>
      </c>
      <c r="AN311" t="s">
        <v>2965</v>
      </c>
      <c r="AO311" t="s">
        <v>2966</v>
      </c>
      <c r="AP311" t="s">
        <v>2967</v>
      </c>
      <c r="AQ311" t="s">
        <v>2968</v>
      </c>
      <c r="AR311" t="s">
        <v>2969</v>
      </c>
      <c r="AS311" t="s">
        <v>2970</v>
      </c>
    </row>
    <row r="312" spans="1:45" x14ac:dyDescent="0.45">
      <c r="A312">
        <v>311</v>
      </c>
      <c r="B312">
        <v>352</v>
      </c>
      <c r="C312" t="s">
        <v>72</v>
      </c>
      <c r="D312" t="s">
        <v>188</v>
      </c>
      <c r="E312" t="s">
        <v>74</v>
      </c>
      <c r="F312" t="s">
        <v>77</v>
      </c>
      <c r="G312" t="s">
        <v>76</v>
      </c>
      <c r="H312">
        <v>13.399195748693748</v>
      </c>
      <c r="I312">
        <v>0</v>
      </c>
      <c r="J312">
        <v>6</v>
      </c>
      <c r="K312">
        <v>6</v>
      </c>
      <c r="L312">
        <v>0</v>
      </c>
      <c r="M312">
        <v>7</v>
      </c>
      <c r="N312">
        <v>5</v>
      </c>
      <c r="O312">
        <v>2</v>
      </c>
      <c r="P312">
        <v>8</v>
      </c>
      <c r="Q312">
        <v>4</v>
      </c>
      <c r="R312">
        <v>4</v>
      </c>
      <c r="S312">
        <v>9</v>
      </c>
      <c r="T312">
        <v>7</v>
      </c>
      <c r="U312">
        <v>2</v>
      </c>
      <c r="V312">
        <v>8</v>
      </c>
      <c r="W312">
        <v>5</v>
      </c>
      <c r="X312">
        <v>3</v>
      </c>
      <c r="Y312">
        <v>7</v>
      </c>
      <c r="Z312">
        <v>6</v>
      </c>
      <c r="AA312">
        <v>1</v>
      </c>
      <c r="AB312">
        <v>7</v>
      </c>
      <c r="AC312">
        <v>6</v>
      </c>
      <c r="AD312">
        <v>1</v>
      </c>
      <c r="AE312">
        <v>6</v>
      </c>
      <c r="AF312">
        <v>7</v>
      </c>
      <c r="AG312">
        <v>-1</v>
      </c>
      <c r="AH312">
        <v>8</v>
      </c>
      <c r="AI312">
        <v>7</v>
      </c>
      <c r="AJ312">
        <v>1</v>
      </c>
      <c r="AK312" t="s">
        <v>2971</v>
      </c>
      <c r="AL312" t="s">
        <v>2972</v>
      </c>
      <c r="AM312" t="s">
        <v>2973</v>
      </c>
      <c r="AN312" t="s">
        <v>2974</v>
      </c>
      <c r="AO312" t="s">
        <v>2975</v>
      </c>
      <c r="AP312" t="s">
        <v>2976</v>
      </c>
      <c r="AQ312" t="s">
        <v>2977</v>
      </c>
      <c r="AR312" t="s">
        <v>2978</v>
      </c>
      <c r="AS312" t="s">
        <v>2979</v>
      </c>
    </row>
    <row r="313" spans="1:45" x14ac:dyDescent="0.45">
      <c r="A313">
        <v>312</v>
      </c>
      <c r="B313">
        <v>353</v>
      </c>
      <c r="C313" t="s">
        <v>78</v>
      </c>
      <c r="D313" t="s">
        <v>81</v>
      </c>
      <c r="E313" t="s">
        <v>74</v>
      </c>
      <c r="F313" t="s">
        <v>77</v>
      </c>
      <c r="G313" t="s">
        <v>76</v>
      </c>
      <c r="H313">
        <v>21.154020638350037</v>
      </c>
      <c r="I313">
        <v>0</v>
      </c>
      <c r="J313">
        <v>8</v>
      </c>
      <c r="K313">
        <v>8</v>
      </c>
      <c r="L313">
        <v>0</v>
      </c>
      <c r="M313">
        <v>7</v>
      </c>
      <c r="N313">
        <v>9</v>
      </c>
      <c r="O313">
        <v>-2</v>
      </c>
      <c r="P313">
        <v>6</v>
      </c>
      <c r="Q313">
        <v>10</v>
      </c>
      <c r="R313">
        <v>-4</v>
      </c>
      <c r="S313">
        <v>8</v>
      </c>
      <c r="T313">
        <v>10</v>
      </c>
      <c r="U313">
        <v>-2</v>
      </c>
      <c r="V313">
        <v>7</v>
      </c>
      <c r="W313">
        <v>8</v>
      </c>
      <c r="X313">
        <v>-1</v>
      </c>
      <c r="Y313">
        <v>6</v>
      </c>
      <c r="Z313">
        <v>9</v>
      </c>
      <c r="AA313">
        <v>-3</v>
      </c>
      <c r="AB313">
        <v>5</v>
      </c>
      <c r="AC313">
        <v>8</v>
      </c>
      <c r="AD313">
        <v>-3</v>
      </c>
      <c r="AE313">
        <v>6</v>
      </c>
      <c r="AF313">
        <v>8</v>
      </c>
      <c r="AG313">
        <v>-2</v>
      </c>
      <c r="AH313">
        <v>7</v>
      </c>
      <c r="AI313">
        <v>10</v>
      </c>
      <c r="AJ313">
        <v>-3</v>
      </c>
      <c r="AK313" t="s">
        <v>2980</v>
      </c>
      <c r="AL313" t="s">
        <v>2981</v>
      </c>
      <c r="AM313" t="s">
        <v>2982</v>
      </c>
      <c r="AN313" t="s">
        <v>2983</v>
      </c>
      <c r="AO313" t="s">
        <v>2984</v>
      </c>
      <c r="AP313" t="s">
        <v>2985</v>
      </c>
      <c r="AQ313" t="s">
        <v>2986</v>
      </c>
      <c r="AR313" t="s">
        <v>2987</v>
      </c>
      <c r="AS313" t="s">
        <v>2988</v>
      </c>
    </row>
    <row r="314" spans="1:45" x14ac:dyDescent="0.45">
      <c r="A314">
        <v>313</v>
      </c>
      <c r="B314">
        <v>354</v>
      </c>
      <c r="C314" t="s">
        <v>78</v>
      </c>
      <c r="D314" t="s">
        <v>188</v>
      </c>
      <c r="E314" t="s">
        <v>74</v>
      </c>
      <c r="F314" t="s">
        <v>77</v>
      </c>
      <c r="G314" t="s">
        <v>76</v>
      </c>
      <c r="H314">
        <v>15.09854392394401</v>
      </c>
      <c r="I314">
        <v>0</v>
      </c>
      <c r="J314">
        <v>8</v>
      </c>
      <c r="K314">
        <v>6</v>
      </c>
      <c r="L314">
        <v>2</v>
      </c>
      <c r="M314">
        <v>7</v>
      </c>
      <c r="N314">
        <v>6</v>
      </c>
      <c r="O314">
        <v>1</v>
      </c>
      <c r="P314">
        <v>9</v>
      </c>
      <c r="Q314">
        <v>7</v>
      </c>
      <c r="R314">
        <v>2</v>
      </c>
      <c r="S314">
        <v>8</v>
      </c>
      <c r="T314">
        <v>7</v>
      </c>
      <c r="U314">
        <v>1</v>
      </c>
      <c r="V314">
        <v>7</v>
      </c>
      <c r="W314">
        <v>7</v>
      </c>
      <c r="X314">
        <v>0</v>
      </c>
      <c r="Y314">
        <v>8</v>
      </c>
      <c r="Z314">
        <v>8</v>
      </c>
      <c r="AA314">
        <v>0</v>
      </c>
      <c r="AB314">
        <v>7</v>
      </c>
      <c r="AC314">
        <v>5</v>
      </c>
      <c r="AD314">
        <v>2</v>
      </c>
      <c r="AE314">
        <v>6</v>
      </c>
      <c r="AF314">
        <v>5</v>
      </c>
      <c r="AG314">
        <v>1</v>
      </c>
      <c r="AH314">
        <v>8</v>
      </c>
      <c r="AI314">
        <v>8</v>
      </c>
      <c r="AJ314">
        <v>0</v>
      </c>
      <c r="AK314" t="s">
        <v>2989</v>
      </c>
      <c r="AL314" t="s">
        <v>2990</v>
      </c>
      <c r="AM314" t="s">
        <v>2991</v>
      </c>
      <c r="AN314" t="s">
        <v>2992</v>
      </c>
      <c r="AO314" t="s">
        <v>2993</v>
      </c>
      <c r="AP314" t="s">
        <v>2994</v>
      </c>
      <c r="AQ314" t="s">
        <v>2995</v>
      </c>
      <c r="AR314" t="s">
        <v>2996</v>
      </c>
      <c r="AS314" t="s">
        <v>2997</v>
      </c>
    </row>
    <row r="315" spans="1:45" x14ac:dyDescent="0.45">
      <c r="A315">
        <v>314</v>
      </c>
      <c r="B315">
        <v>355</v>
      </c>
      <c r="C315" t="s">
        <v>72</v>
      </c>
      <c r="D315" t="s">
        <v>188</v>
      </c>
      <c r="E315" t="s">
        <v>74</v>
      </c>
      <c r="F315" t="s">
        <v>77</v>
      </c>
      <c r="G315" t="s">
        <v>76</v>
      </c>
      <c r="H315">
        <v>13.048571564590558</v>
      </c>
      <c r="I315">
        <v>0</v>
      </c>
      <c r="J315">
        <v>7</v>
      </c>
      <c r="K315">
        <v>7</v>
      </c>
      <c r="L315">
        <v>0</v>
      </c>
      <c r="M315">
        <v>8</v>
      </c>
      <c r="N315">
        <v>8</v>
      </c>
      <c r="O315">
        <v>0</v>
      </c>
      <c r="P315">
        <v>6</v>
      </c>
      <c r="Q315">
        <v>8</v>
      </c>
      <c r="R315">
        <v>-2</v>
      </c>
      <c r="S315">
        <v>8</v>
      </c>
      <c r="T315">
        <v>8</v>
      </c>
      <c r="U315">
        <v>0</v>
      </c>
      <c r="V315">
        <v>7</v>
      </c>
      <c r="W315">
        <v>5</v>
      </c>
      <c r="X315">
        <v>2</v>
      </c>
      <c r="Y315">
        <v>8</v>
      </c>
      <c r="Z315">
        <v>8</v>
      </c>
      <c r="AA315">
        <v>0</v>
      </c>
      <c r="AB315">
        <v>7</v>
      </c>
      <c r="AC315">
        <v>6</v>
      </c>
      <c r="AD315">
        <v>1</v>
      </c>
      <c r="AE315">
        <v>6</v>
      </c>
      <c r="AF315">
        <v>6</v>
      </c>
      <c r="AG315">
        <v>0</v>
      </c>
      <c r="AH315">
        <v>8</v>
      </c>
      <c r="AI315">
        <v>8</v>
      </c>
      <c r="AJ315">
        <v>0</v>
      </c>
      <c r="AK315" t="s">
        <v>2998</v>
      </c>
      <c r="AL315" t="s">
        <v>2999</v>
      </c>
      <c r="AM315" t="s">
        <v>3000</v>
      </c>
      <c r="AN315" t="s">
        <v>3001</v>
      </c>
      <c r="AO315" t="s">
        <v>3002</v>
      </c>
      <c r="AP315" t="s">
        <v>3003</v>
      </c>
      <c r="AQ315" t="s">
        <v>3004</v>
      </c>
      <c r="AR315" t="s">
        <v>3005</v>
      </c>
      <c r="AS315" t="s">
        <v>3006</v>
      </c>
    </row>
    <row r="316" spans="1:45" x14ac:dyDescent="0.45">
      <c r="A316">
        <v>315</v>
      </c>
      <c r="B316">
        <v>356</v>
      </c>
      <c r="C316" t="s">
        <v>78</v>
      </c>
      <c r="D316" t="s">
        <v>188</v>
      </c>
      <c r="E316" t="s">
        <v>74</v>
      </c>
      <c r="F316" t="s">
        <v>77</v>
      </c>
      <c r="G316" t="s">
        <v>76</v>
      </c>
      <c r="H316">
        <v>19.116078353507707</v>
      </c>
      <c r="I316">
        <v>0</v>
      </c>
      <c r="J316">
        <v>5</v>
      </c>
      <c r="K316">
        <v>4</v>
      </c>
      <c r="L316">
        <v>1</v>
      </c>
      <c r="M316">
        <v>6</v>
      </c>
      <c r="N316">
        <v>5</v>
      </c>
      <c r="O316">
        <v>1</v>
      </c>
      <c r="P316">
        <v>7</v>
      </c>
      <c r="Q316">
        <v>5</v>
      </c>
      <c r="R316">
        <v>2</v>
      </c>
      <c r="S316">
        <v>8</v>
      </c>
      <c r="T316">
        <v>7</v>
      </c>
      <c r="U316">
        <v>1</v>
      </c>
      <c r="V316">
        <v>4</v>
      </c>
      <c r="W316">
        <v>5</v>
      </c>
      <c r="X316">
        <v>-1</v>
      </c>
      <c r="Y316">
        <v>6</v>
      </c>
      <c r="Z316">
        <v>8</v>
      </c>
      <c r="AA316">
        <v>-2</v>
      </c>
      <c r="AB316">
        <v>4</v>
      </c>
      <c r="AC316">
        <v>5</v>
      </c>
      <c r="AD316">
        <v>-1</v>
      </c>
      <c r="AE316">
        <v>5</v>
      </c>
      <c r="AF316">
        <v>6</v>
      </c>
      <c r="AG316">
        <v>-1</v>
      </c>
      <c r="AH316">
        <v>6</v>
      </c>
      <c r="AI316">
        <v>8</v>
      </c>
      <c r="AJ316">
        <v>-2</v>
      </c>
      <c r="AK316" t="s">
        <v>3007</v>
      </c>
      <c r="AL316" t="s">
        <v>3008</v>
      </c>
      <c r="AM316" t="s">
        <v>3009</v>
      </c>
      <c r="AN316" t="s">
        <v>3010</v>
      </c>
      <c r="AO316" t="s">
        <v>3011</v>
      </c>
      <c r="AP316" t="s">
        <v>3012</v>
      </c>
      <c r="AQ316" t="s">
        <v>3013</v>
      </c>
      <c r="AR316" t="s">
        <v>3014</v>
      </c>
      <c r="AS316" t="s">
        <v>3015</v>
      </c>
    </row>
    <row r="317" spans="1:45" x14ac:dyDescent="0.45">
      <c r="A317">
        <v>316</v>
      </c>
      <c r="B317">
        <v>357</v>
      </c>
      <c r="C317" t="s">
        <v>72</v>
      </c>
      <c r="D317" t="s">
        <v>81</v>
      </c>
      <c r="E317" t="s">
        <v>74</v>
      </c>
      <c r="F317" t="s">
        <v>77</v>
      </c>
      <c r="G317" t="s">
        <v>76</v>
      </c>
      <c r="H317">
        <v>25.247410838725333</v>
      </c>
      <c r="I317">
        <v>0</v>
      </c>
      <c r="J317">
        <v>7</v>
      </c>
      <c r="K317">
        <v>6</v>
      </c>
      <c r="L317">
        <v>1</v>
      </c>
      <c r="M317">
        <v>8</v>
      </c>
      <c r="N317">
        <v>8</v>
      </c>
      <c r="O317">
        <v>0</v>
      </c>
      <c r="P317">
        <v>9</v>
      </c>
      <c r="Q317">
        <v>5</v>
      </c>
      <c r="R317">
        <v>4</v>
      </c>
      <c r="S317">
        <v>8</v>
      </c>
      <c r="T317">
        <v>6</v>
      </c>
      <c r="U317">
        <v>2</v>
      </c>
      <c r="V317">
        <v>9</v>
      </c>
      <c r="W317">
        <v>6</v>
      </c>
      <c r="X317">
        <v>3</v>
      </c>
      <c r="Y317">
        <v>8</v>
      </c>
      <c r="Z317">
        <v>7</v>
      </c>
      <c r="AA317">
        <v>1</v>
      </c>
      <c r="AB317">
        <v>9</v>
      </c>
      <c r="AC317">
        <v>6</v>
      </c>
      <c r="AD317">
        <v>3</v>
      </c>
      <c r="AE317">
        <v>5</v>
      </c>
      <c r="AF317">
        <v>7</v>
      </c>
      <c r="AG317">
        <v>-2</v>
      </c>
      <c r="AH317">
        <v>8</v>
      </c>
      <c r="AI317">
        <v>7</v>
      </c>
      <c r="AJ317">
        <v>1</v>
      </c>
      <c r="AK317" t="s">
        <v>3016</v>
      </c>
      <c r="AL317" t="s">
        <v>3017</v>
      </c>
      <c r="AM317" t="s">
        <v>3018</v>
      </c>
      <c r="AN317" t="s">
        <v>3019</v>
      </c>
      <c r="AO317" t="s">
        <v>3020</v>
      </c>
      <c r="AP317" t="s">
        <v>3021</v>
      </c>
      <c r="AQ317" t="s">
        <v>3022</v>
      </c>
      <c r="AR317" t="s">
        <v>3023</v>
      </c>
      <c r="AS317" t="s">
        <v>3024</v>
      </c>
    </row>
    <row r="318" spans="1:45" x14ac:dyDescent="0.45">
      <c r="A318">
        <v>317</v>
      </c>
      <c r="B318">
        <v>358</v>
      </c>
      <c r="C318" t="s">
        <v>72</v>
      </c>
      <c r="D318" t="s">
        <v>188</v>
      </c>
      <c r="E318" t="s">
        <v>74</v>
      </c>
      <c r="F318" t="s">
        <v>77</v>
      </c>
      <c r="G318" t="s">
        <v>76</v>
      </c>
      <c r="H318">
        <v>15.035346755924781</v>
      </c>
      <c r="I318">
        <v>0</v>
      </c>
      <c r="J318">
        <v>7</v>
      </c>
      <c r="K318">
        <v>7</v>
      </c>
      <c r="L318">
        <v>0</v>
      </c>
      <c r="M318">
        <v>8</v>
      </c>
      <c r="N318">
        <v>7</v>
      </c>
      <c r="O318">
        <v>1</v>
      </c>
      <c r="P318">
        <v>6</v>
      </c>
      <c r="Q318">
        <v>5</v>
      </c>
      <c r="R318">
        <v>1</v>
      </c>
      <c r="S318">
        <v>7</v>
      </c>
      <c r="T318">
        <v>8</v>
      </c>
      <c r="U318">
        <v>-1</v>
      </c>
      <c r="V318">
        <v>8</v>
      </c>
      <c r="W318">
        <v>5</v>
      </c>
      <c r="X318">
        <v>3</v>
      </c>
      <c r="Y318">
        <v>7</v>
      </c>
      <c r="Z318">
        <v>8</v>
      </c>
      <c r="AA318">
        <v>-1</v>
      </c>
      <c r="AB318">
        <v>6</v>
      </c>
      <c r="AC318">
        <v>5</v>
      </c>
      <c r="AD318">
        <v>1</v>
      </c>
      <c r="AE318">
        <v>7</v>
      </c>
      <c r="AF318">
        <v>7</v>
      </c>
      <c r="AG318">
        <v>0</v>
      </c>
      <c r="AH318">
        <v>8</v>
      </c>
      <c r="AI318">
        <v>8</v>
      </c>
      <c r="AJ318">
        <v>0</v>
      </c>
      <c r="AK318" t="s">
        <v>3025</v>
      </c>
      <c r="AL318" t="s">
        <v>3026</v>
      </c>
      <c r="AM318" t="s">
        <v>3027</v>
      </c>
      <c r="AN318" t="s">
        <v>3028</v>
      </c>
      <c r="AO318" t="s">
        <v>3029</v>
      </c>
      <c r="AP318" t="s">
        <v>3030</v>
      </c>
      <c r="AQ318" t="s">
        <v>3031</v>
      </c>
      <c r="AR318" t="s">
        <v>3032</v>
      </c>
      <c r="AS318" t="s">
        <v>3033</v>
      </c>
    </row>
    <row r="319" spans="1:45" x14ac:dyDescent="0.45">
      <c r="A319">
        <v>318</v>
      </c>
      <c r="B319">
        <v>359</v>
      </c>
      <c r="C319" t="s">
        <v>72</v>
      </c>
      <c r="D319" t="s">
        <v>81</v>
      </c>
      <c r="E319" t="s">
        <v>74</v>
      </c>
      <c r="F319" t="s">
        <v>75</v>
      </c>
      <c r="G319" t="s">
        <v>76</v>
      </c>
      <c r="H319">
        <v>19.779826782176841</v>
      </c>
      <c r="I319">
        <v>0</v>
      </c>
      <c r="J319">
        <v>7</v>
      </c>
      <c r="K319">
        <v>4</v>
      </c>
      <c r="L319">
        <v>3</v>
      </c>
      <c r="M319">
        <v>6</v>
      </c>
      <c r="N319">
        <v>4</v>
      </c>
      <c r="O319">
        <v>2</v>
      </c>
      <c r="P319">
        <v>8</v>
      </c>
      <c r="Q319">
        <v>6</v>
      </c>
      <c r="R319">
        <v>2</v>
      </c>
      <c r="S319">
        <v>9</v>
      </c>
      <c r="T319">
        <v>7</v>
      </c>
      <c r="U319">
        <v>2</v>
      </c>
      <c r="V319">
        <v>8</v>
      </c>
      <c r="W319">
        <v>5</v>
      </c>
      <c r="X319">
        <v>3</v>
      </c>
      <c r="Y319">
        <v>7</v>
      </c>
      <c r="Z319">
        <v>8</v>
      </c>
      <c r="AA319">
        <v>-1</v>
      </c>
      <c r="AB319">
        <v>8</v>
      </c>
      <c r="AC319">
        <v>5</v>
      </c>
      <c r="AD319">
        <v>3</v>
      </c>
      <c r="AE319">
        <v>5</v>
      </c>
      <c r="AF319">
        <v>5</v>
      </c>
      <c r="AG319">
        <v>0</v>
      </c>
      <c r="AH319">
        <v>7</v>
      </c>
      <c r="AI319">
        <v>8</v>
      </c>
      <c r="AJ319">
        <v>-1</v>
      </c>
      <c r="AK319" t="s">
        <v>3034</v>
      </c>
      <c r="AL319" t="s">
        <v>3035</v>
      </c>
      <c r="AM319" t="s">
        <v>3036</v>
      </c>
      <c r="AN319" t="s">
        <v>3037</v>
      </c>
      <c r="AO319" t="s">
        <v>3038</v>
      </c>
      <c r="AP319" t="s">
        <v>3039</v>
      </c>
      <c r="AQ319" t="s">
        <v>3040</v>
      </c>
      <c r="AR319" t="s">
        <v>3041</v>
      </c>
      <c r="AS319" t="s">
        <v>3042</v>
      </c>
    </row>
    <row r="320" spans="1:45" x14ac:dyDescent="0.45">
      <c r="A320">
        <v>319</v>
      </c>
      <c r="B320">
        <v>360</v>
      </c>
      <c r="C320" t="s">
        <v>72</v>
      </c>
      <c r="D320" t="s">
        <v>188</v>
      </c>
      <c r="E320" t="s">
        <v>74</v>
      </c>
      <c r="F320" t="s">
        <v>77</v>
      </c>
      <c r="G320" t="s">
        <v>76</v>
      </c>
      <c r="H320">
        <v>16.628916625967342</v>
      </c>
      <c r="I320">
        <v>0</v>
      </c>
      <c r="J320">
        <v>6</v>
      </c>
      <c r="K320">
        <v>8</v>
      </c>
      <c r="L320">
        <v>-2</v>
      </c>
      <c r="M320">
        <v>7</v>
      </c>
      <c r="N320">
        <v>8</v>
      </c>
      <c r="O320">
        <v>-1</v>
      </c>
      <c r="P320">
        <v>8</v>
      </c>
      <c r="Q320">
        <v>10</v>
      </c>
      <c r="R320">
        <v>-2</v>
      </c>
      <c r="S320">
        <v>7</v>
      </c>
      <c r="T320">
        <v>10</v>
      </c>
      <c r="U320">
        <v>-3</v>
      </c>
      <c r="V320">
        <v>6</v>
      </c>
      <c r="W320">
        <v>9</v>
      </c>
      <c r="X320">
        <v>-3</v>
      </c>
      <c r="Y320">
        <v>5</v>
      </c>
      <c r="Z320">
        <v>10</v>
      </c>
      <c r="AA320">
        <v>-5</v>
      </c>
      <c r="AB320">
        <v>6</v>
      </c>
      <c r="AC320">
        <v>8</v>
      </c>
      <c r="AD320">
        <v>-2</v>
      </c>
      <c r="AE320">
        <v>5</v>
      </c>
      <c r="AF320">
        <v>8</v>
      </c>
      <c r="AG320">
        <v>-3</v>
      </c>
      <c r="AH320">
        <v>6</v>
      </c>
      <c r="AI320">
        <v>10</v>
      </c>
      <c r="AJ320">
        <v>-4</v>
      </c>
      <c r="AK320" t="s">
        <v>3043</v>
      </c>
      <c r="AL320" t="s">
        <v>3044</v>
      </c>
      <c r="AM320" t="s">
        <v>3045</v>
      </c>
      <c r="AN320" t="s">
        <v>3046</v>
      </c>
      <c r="AO320" t="s">
        <v>3047</v>
      </c>
      <c r="AP320" t="s">
        <v>3048</v>
      </c>
      <c r="AQ320" t="s">
        <v>3049</v>
      </c>
      <c r="AR320" t="s">
        <v>3050</v>
      </c>
      <c r="AS320" t="s">
        <v>3051</v>
      </c>
    </row>
    <row r="321" spans="1:45" x14ac:dyDescent="0.45">
      <c r="A321">
        <v>320</v>
      </c>
      <c r="B321">
        <v>361</v>
      </c>
      <c r="C321" t="s">
        <v>78</v>
      </c>
      <c r="D321" t="s">
        <v>73</v>
      </c>
      <c r="E321" t="s">
        <v>74</v>
      </c>
      <c r="F321" t="s">
        <v>75</v>
      </c>
      <c r="G321" t="s">
        <v>76</v>
      </c>
      <c r="H321">
        <v>26.052937516419025</v>
      </c>
      <c r="I321">
        <v>0</v>
      </c>
      <c r="J321">
        <v>7</v>
      </c>
      <c r="K321">
        <v>5</v>
      </c>
      <c r="L321">
        <v>2</v>
      </c>
      <c r="M321">
        <v>8</v>
      </c>
      <c r="N321">
        <v>7</v>
      </c>
      <c r="O321">
        <v>1</v>
      </c>
      <c r="P321">
        <v>9</v>
      </c>
      <c r="Q321">
        <v>7</v>
      </c>
      <c r="R321">
        <v>2</v>
      </c>
      <c r="S321">
        <v>7</v>
      </c>
      <c r="T321">
        <v>9</v>
      </c>
      <c r="U321">
        <v>-2</v>
      </c>
      <c r="V321">
        <v>6</v>
      </c>
      <c r="W321">
        <v>5</v>
      </c>
      <c r="X321">
        <v>1</v>
      </c>
      <c r="Y321">
        <v>7</v>
      </c>
      <c r="Z321">
        <v>6</v>
      </c>
      <c r="AA321">
        <v>1</v>
      </c>
      <c r="AB321">
        <v>8</v>
      </c>
      <c r="AC321">
        <v>5</v>
      </c>
      <c r="AD321">
        <v>3</v>
      </c>
      <c r="AE321">
        <v>6</v>
      </c>
      <c r="AF321">
        <v>7</v>
      </c>
      <c r="AG321">
        <v>-1</v>
      </c>
      <c r="AH321">
        <v>7</v>
      </c>
      <c r="AI321">
        <v>7</v>
      </c>
      <c r="AJ321">
        <v>0</v>
      </c>
      <c r="AK321" t="s">
        <v>3052</v>
      </c>
      <c r="AL321" t="s">
        <v>3053</v>
      </c>
      <c r="AM321" t="s">
        <v>3054</v>
      </c>
      <c r="AN321" t="s">
        <v>3055</v>
      </c>
      <c r="AO321" t="s">
        <v>3056</v>
      </c>
      <c r="AP321" t="s">
        <v>3057</v>
      </c>
      <c r="AQ321" t="s">
        <v>3058</v>
      </c>
      <c r="AR321" t="s">
        <v>3059</v>
      </c>
      <c r="AS321" t="s">
        <v>3060</v>
      </c>
    </row>
    <row r="322" spans="1:45" x14ac:dyDescent="0.45">
      <c r="A322">
        <v>321</v>
      </c>
      <c r="B322">
        <v>362</v>
      </c>
      <c r="C322" t="s">
        <v>72</v>
      </c>
      <c r="D322" t="s">
        <v>188</v>
      </c>
      <c r="E322" t="s">
        <v>74</v>
      </c>
      <c r="F322" t="s">
        <v>77</v>
      </c>
      <c r="G322" t="s">
        <v>76</v>
      </c>
      <c r="H322">
        <v>12.704507617919734</v>
      </c>
      <c r="I322">
        <v>0</v>
      </c>
      <c r="J322">
        <v>7</v>
      </c>
      <c r="K322">
        <v>8</v>
      </c>
      <c r="L322">
        <v>-1</v>
      </c>
      <c r="M322">
        <v>6</v>
      </c>
      <c r="N322">
        <v>8</v>
      </c>
      <c r="O322">
        <v>-2</v>
      </c>
      <c r="P322">
        <v>8</v>
      </c>
      <c r="Q322">
        <v>7</v>
      </c>
      <c r="R322">
        <v>1</v>
      </c>
      <c r="S322">
        <v>5</v>
      </c>
      <c r="T322">
        <v>9</v>
      </c>
      <c r="U322">
        <v>-4</v>
      </c>
      <c r="V322">
        <v>6</v>
      </c>
      <c r="W322">
        <v>9</v>
      </c>
      <c r="X322">
        <v>-3</v>
      </c>
      <c r="Y322">
        <v>4</v>
      </c>
      <c r="Z322">
        <v>9</v>
      </c>
      <c r="AA322">
        <v>-5</v>
      </c>
      <c r="AB322">
        <v>5</v>
      </c>
      <c r="AC322">
        <v>7</v>
      </c>
      <c r="AD322">
        <v>-2</v>
      </c>
      <c r="AE322">
        <v>6</v>
      </c>
      <c r="AF322">
        <v>9</v>
      </c>
      <c r="AG322">
        <v>-3</v>
      </c>
      <c r="AH322">
        <v>7</v>
      </c>
      <c r="AI322">
        <v>9</v>
      </c>
      <c r="AJ322">
        <v>-2</v>
      </c>
      <c r="AK322" t="s">
        <v>3061</v>
      </c>
      <c r="AL322" t="s">
        <v>3062</v>
      </c>
      <c r="AM322" t="s">
        <v>3063</v>
      </c>
      <c r="AN322" t="s">
        <v>3064</v>
      </c>
      <c r="AO322" t="s">
        <v>3065</v>
      </c>
      <c r="AP322" t="s">
        <v>3066</v>
      </c>
      <c r="AQ322" t="s">
        <v>3067</v>
      </c>
      <c r="AR322" t="s">
        <v>3068</v>
      </c>
      <c r="AS322" t="s">
        <v>3069</v>
      </c>
    </row>
    <row r="323" spans="1:45" x14ac:dyDescent="0.45">
      <c r="A323">
        <v>322</v>
      </c>
      <c r="B323">
        <v>363</v>
      </c>
      <c r="C323" t="s">
        <v>78</v>
      </c>
      <c r="D323" t="s">
        <v>81</v>
      </c>
      <c r="E323" t="s">
        <v>74</v>
      </c>
      <c r="F323" t="s">
        <v>77</v>
      </c>
      <c r="G323" t="s">
        <v>76</v>
      </c>
      <c r="H323">
        <v>30.604448029933732</v>
      </c>
      <c r="I323">
        <v>0</v>
      </c>
      <c r="J323">
        <v>8</v>
      </c>
      <c r="K323">
        <v>5</v>
      </c>
      <c r="L323">
        <v>3</v>
      </c>
      <c r="M323">
        <v>7</v>
      </c>
      <c r="N323">
        <v>5</v>
      </c>
      <c r="O323">
        <v>2</v>
      </c>
      <c r="P323">
        <v>9</v>
      </c>
      <c r="Q323">
        <v>5</v>
      </c>
      <c r="R323">
        <v>4</v>
      </c>
      <c r="S323">
        <v>8</v>
      </c>
      <c r="T323">
        <v>7</v>
      </c>
      <c r="U323">
        <v>1</v>
      </c>
      <c r="V323">
        <v>9</v>
      </c>
      <c r="W323">
        <v>5</v>
      </c>
      <c r="X323">
        <v>4</v>
      </c>
      <c r="Y323">
        <v>8</v>
      </c>
      <c r="Z323">
        <v>7</v>
      </c>
      <c r="AA323">
        <v>1</v>
      </c>
      <c r="AB323">
        <v>9</v>
      </c>
      <c r="AC323">
        <v>5</v>
      </c>
      <c r="AD323">
        <v>4</v>
      </c>
      <c r="AE323">
        <v>7</v>
      </c>
      <c r="AF323">
        <v>5</v>
      </c>
      <c r="AG323">
        <v>2</v>
      </c>
      <c r="AH323">
        <v>9</v>
      </c>
      <c r="AI323">
        <v>7</v>
      </c>
      <c r="AJ323">
        <v>2</v>
      </c>
      <c r="AK323" t="s">
        <v>3070</v>
      </c>
      <c r="AL323" t="s">
        <v>3071</v>
      </c>
      <c r="AM323" t="s">
        <v>3072</v>
      </c>
      <c r="AN323" t="s">
        <v>3073</v>
      </c>
      <c r="AO323" t="s">
        <v>3074</v>
      </c>
      <c r="AP323" t="s">
        <v>3075</v>
      </c>
      <c r="AQ323" t="s">
        <v>3076</v>
      </c>
      <c r="AR323" t="s">
        <v>3077</v>
      </c>
      <c r="AS323" t="s">
        <v>3078</v>
      </c>
    </row>
    <row r="324" spans="1:45" x14ac:dyDescent="0.45">
      <c r="A324">
        <v>323</v>
      </c>
      <c r="B324">
        <v>364</v>
      </c>
      <c r="C324" t="s">
        <v>78</v>
      </c>
      <c r="D324" t="s">
        <v>81</v>
      </c>
      <c r="E324" t="s">
        <v>74</v>
      </c>
      <c r="F324" t="s">
        <v>75</v>
      </c>
      <c r="G324" t="s">
        <v>76</v>
      </c>
      <c r="H324">
        <v>23.43716324596955</v>
      </c>
      <c r="I324">
        <v>0</v>
      </c>
      <c r="J324">
        <v>6</v>
      </c>
      <c r="K324">
        <v>7</v>
      </c>
      <c r="L324">
        <v>-1</v>
      </c>
      <c r="M324">
        <v>7</v>
      </c>
      <c r="N324">
        <v>7</v>
      </c>
      <c r="O324">
        <v>0</v>
      </c>
      <c r="P324">
        <v>8</v>
      </c>
      <c r="Q324">
        <v>8</v>
      </c>
      <c r="R324">
        <v>0</v>
      </c>
      <c r="S324">
        <v>9</v>
      </c>
      <c r="T324">
        <v>8</v>
      </c>
      <c r="U324">
        <v>1</v>
      </c>
      <c r="V324">
        <v>6</v>
      </c>
      <c r="W324">
        <v>6</v>
      </c>
      <c r="X324">
        <v>0</v>
      </c>
      <c r="Y324">
        <v>7</v>
      </c>
      <c r="Z324">
        <v>7</v>
      </c>
      <c r="AA324">
        <v>0</v>
      </c>
      <c r="AB324">
        <v>6</v>
      </c>
      <c r="AC324">
        <v>6</v>
      </c>
      <c r="AD324">
        <v>0</v>
      </c>
      <c r="AE324">
        <v>5</v>
      </c>
      <c r="AF324">
        <v>7</v>
      </c>
      <c r="AG324">
        <v>-2</v>
      </c>
      <c r="AH324">
        <v>7</v>
      </c>
      <c r="AI324">
        <v>7</v>
      </c>
      <c r="AJ324">
        <v>0</v>
      </c>
      <c r="AK324" t="s">
        <v>3079</v>
      </c>
      <c r="AL324" t="s">
        <v>3080</v>
      </c>
      <c r="AM324" t="s">
        <v>3081</v>
      </c>
      <c r="AN324" t="s">
        <v>3082</v>
      </c>
      <c r="AO324" t="s">
        <v>3083</v>
      </c>
      <c r="AP324" t="s">
        <v>3084</v>
      </c>
      <c r="AQ324" t="s">
        <v>3085</v>
      </c>
      <c r="AR324" t="s">
        <v>3086</v>
      </c>
      <c r="AS324" t="s">
        <v>3087</v>
      </c>
    </row>
    <row r="325" spans="1:45" x14ac:dyDescent="0.45">
      <c r="A325">
        <v>324</v>
      </c>
      <c r="B325">
        <v>365</v>
      </c>
      <c r="C325" t="s">
        <v>72</v>
      </c>
      <c r="D325" t="s">
        <v>188</v>
      </c>
      <c r="E325" t="s">
        <v>74</v>
      </c>
      <c r="F325" t="s">
        <v>77</v>
      </c>
      <c r="G325" t="s">
        <v>76</v>
      </c>
      <c r="H325">
        <v>12</v>
      </c>
      <c r="I325">
        <v>0</v>
      </c>
      <c r="J325">
        <v>7</v>
      </c>
      <c r="K325">
        <v>7</v>
      </c>
      <c r="L325">
        <v>0</v>
      </c>
      <c r="M325">
        <v>8</v>
      </c>
      <c r="N325">
        <v>7</v>
      </c>
      <c r="O325">
        <v>1</v>
      </c>
      <c r="P325">
        <v>6</v>
      </c>
      <c r="Q325">
        <v>5</v>
      </c>
      <c r="R325">
        <v>1</v>
      </c>
      <c r="S325">
        <v>7</v>
      </c>
      <c r="T325">
        <v>7</v>
      </c>
      <c r="U325">
        <v>0</v>
      </c>
      <c r="V325">
        <v>6</v>
      </c>
      <c r="W325">
        <v>7</v>
      </c>
      <c r="X325">
        <v>-1</v>
      </c>
      <c r="Y325">
        <v>8</v>
      </c>
      <c r="Z325">
        <v>7</v>
      </c>
      <c r="AA325">
        <v>1</v>
      </c>
      <c r="AB325">
        <v>7</v>
      </c>
      <c r="AC325">
        <v>5</v>
      </c>
      <c r="AD325">
        <v>2</v>
      </c>
      <c r="AE325">
        <v>6</v>
      </c>
      <c r="AF325">
        <v>5</v>
      </c>
      <c r="AG325">
        <v>1</v>
      </c>
      <c r="AH325">
        <v>8</v>
      </c>
      <c r="AI325">
        <v>8</v>
      </c>
      <c r="AJ325">
        <v>0</v>
      </c>
      <c r="AK325" t="s">
        <v>3088</v>
      </c>
      <c r="AL325" t="s">
        <v>3089</v>
      </c>
      <c r="AM325" t="s">
        <v>3090</v>
      </c>
      <c r="AN325" t="s">
        <v>3091</v>
      </c>
      <c r="AO325" t="s">
        <v>3092</v>
      </c>
      <c r="AP325" t="s">
        <v>3093</v>
      </c>
      <c r="AQ325" t="s">
        <v>3094</v>
      </c>
      <c r="AR325" t="s">
        <v>3095</v>
      </c>
      <c r="AS325" t="s">
        <v>3096</v>
      </c>
    </row>
    <row r="326" spans="1:45" x14ac:dyDescent="0.45">
      <c r="A326">
        <v>325</v>
      </c>
      <c r="B326">
        <v>366</v>
      </c>
      <c r="C326" t="s">
        <v>78</v>
      </c>
      <c r="D326" t="s">
        <v>73</v>
      </c>
      <c r="E326" t="s">
        <v>74</v>
      </c>
      <c r="F326" t="s">
        <v>77</v>
      </c>
      <c r="G326" t="s">
        <v>76</v>
      </c>
      <c r="H326">
        <v>34.149565642574508</v>
      </c>
      <c r="I326">
        <v>1</v>
      </c>
      <c r="J326">
        <v>6</v>
      </c>
      <c r="K326">
        <v>2</v>
      </c>
      <c r="L326">
        <v>4</v>
      </c>
      <c r="M326">
        <v>5</v>
      </c>
      <c r="N326">
        <v>2</v>
      </c>
      <c r="O326">
        <v>3</v>
      </c>
      <c r="P326">
        <v>7</v>
      </c>
      <c r="Q326">
        <v>6</v>
      </c>
      <c r="R326">
        <v>1</v>
      </c>
      <c r="S326">
        <v>9</v>
      </c>
      <c r="T326">
        <v>7</v>
      </c>
      <c r="U326">
        <v>2</v>
      </c>
      <c r="V326">
        <v>7</v>
      </c>
      <c r="W326">
        <v>2</v>
      </c>
      <c r="X326">
        <v>5</v>
      </c>
      <c r="Y326">
        <v>6</v>
      </c>
      <c r="Z326">
        <v>5</v>
      </c>
      <c r="AA326">
        <v>1</v>
      </c>
      <c r="AB326">
        <v>5</v>
      </c>
      <c r="AC326">
        <v>5</v>
      </c>
      <c r="AD326">
        <v>0</v>
      </c>
      <c r="AE326">
        <v>4</v>
      </c>
      <c r="AF326">
        <v>6</v>
      </c>
      <c r="AG326">
        <v>-2</v>
      </c>
      <c r="AH326">
        <v>7</v>
      </c>
      <c r="AI326">
        <v>5</v>
      </c>
      <c r="AJ326">
        <v>2</v>
      </c>
      <c r="AK326" t="s">
        <v>3097</v>
      </c>
      <c r="AL326" t="s">
        <v>3098</v>
      </c>
      <c r="AM326" t="s">
        <v>3099</v>
      </c>
      <c r="AN326" t="s">
        <v>3100</v>
      </c>
      <c r="AO326" t="s">
        <v>3101</v>
      </c>
      <c r="AP326" t="s">
        <v>3102</v>
      </c>
      <c r="AQ326" t="s">
        <v>3103</v>
      </c>
      <c r="AR326" t="s">
        <v>3104</v>
      </c>
      <c r="AS326" t="s">
        <v>3105</v>
      </c>
    </row>
    <row r="327" spans="1:45" x14ac:dyDescent="0.45">
      <c r="A327">
        <v>326</v>
      </c>
      <c r="B327">
        <v>367</v>
      </c>
      <c r="C327" t="s">
        <v>72</v>
      </c>
      <c r="D327" t="s">
        <v>79</v>
      </c>
      <c r="E327" t="s">
        <v>74</v>
      </c>
      <c r="F327" t="s">
        <v>77</v>
      </c>
      <c r="G327" t="s">
        <v>76</v>
      </c>
      <c r="H327">
        <v>55.850836481322354</v>
      </c>
      <c r="I327">
        <v>2</v>
      </c>
      <c r="J327">
        <v>7</v>
      </c>
      <c r="K327">
        <v>8</v>
      </c>
      <c r="L327">
        <v>-1</v>
      </c>
      <c r="M327">
        <v>8</v>
      </c>
      <c r="N327">
        <v>9</v>
      </c>
      <c r="O327">
        <v>-1</v>
      </c>
      <c r="P327">
        <v>6</v>
      </c>
      <c r="Q327">
        <v>9</v>
      </c>
      <c r="R327">
        <v>-3</v>
      </c>
      <c r="S327">
        <v>9</v>
      </c>
      <c r="T327">
        <v>10</v>
      </c>
      <c r="U327">
        <v>-1</v>
      </c>
      <c r="V327">
        <v>7</v>
      </c>
      <c r="W327">
        <v>8</v>
      </c>
      <c r="X327">
        <v>-1</v>
      </c>
      <c r="Y327">
        <v>8</v>
      </c>
      <c r="Z327">
        <v>10</v>
      </c>
      <c r="AA327">
        <v>-2</v>
      </c>
      <c r="AB327">
        <v>6</v>
      </c>
      <c r="AC327">
        <v>9</v>
      </c>
      <c r="AD327">
        <v>-3</v>
      </c>
      <c r="AE327">
        <v>7</v>
      </c>
      <c r="AF327">
        <v>9</v>
      </c>
      <c r="AG327">
        <v>-2</v>
      </c>
      <c r="AH327">
        <v>6</v>
      </c>
      <c r="AI327">
        <v>10</v>
      </c>
      <c r="AJ327">
        <v>-4</v>
      </c>
      <c r="AK327" t="s">
        <v>3106</v>
      </c>
      <c r="AL327" t="s">
        <v>3107</v>
      </c>
      <c r="AM327" t="s">
        <v>3108</v>
      </c>
      <c r="AN327" t="s">
        <v>3109</v>
      </c>
      <c r="AO327" t="s">
        <v>3110</v>
      </c>
      <c r="AP327" t="s">
        <v>3111</v>
      </c>
      <c r="AQ327" t="s">
        <v>3112</v>
      </c>
      <c r="AR327" t="s">
        <v>3113</v>
      </c>
      <c r="AS327" t="s">
        <v>3114</v>
      </c>
    </row>
    <row r="328" spans="1:45" x14ac:dyDescent="0.45">
      <c r="A328">
        <v>327</v>
      </c>
      <c r="B328">
        <v>368</v>
      </c>
      <c r="C328" t="s">
        <v>72</v>
      </c>
      <c r="D328" t="s">
        <v>81</v>
      </c>
      <c r="E328" t="s">
        <v>74</v>
      </c>
      <c r="F328" t="s">
        <v>77</v>
      </c>
      <c r="G328" t="s">
        <v>76</v>
      </c>
      <c r="H328">
        <v>19.300429643124527</v>
      </c>
      <c r="I328">
        <v>0</v>
      </c>
      <c r="J328">
        <v>8</v>
      </c>
      <c r="K328">
        <v>7</v>
      </c>
      <c r="L328">
        <v>1</v>
      </c>
      <c r="M328">
        <v>7</v>
      </c>
      <c r="N328">
        <v>7</v>
      </c>
      <c r="O328">
        <v>0</v>
      </c>
      <c r="P328">
        <v>6</v>
      </c>
      <c r="Q328">
        <v>7</v>
      </c>
      <c r="R328">
        <v>-1</v>
      </c>
      <c r="S328">
        <v>8</v>
      </c>
      <c r="T328">
        <v>9</v>
      </c>
      <c r="U328">
        <v>-1</v>
      </c>
      <c r="V328">
        <v>7</v>
      </c>
      <c r="W328">
        <v>7</v>
      </c>
      <c r="X328">
        <v>0</v>
      </c>
      <c r="Y328">
        <v>6</v>
      </c>
      <c r="Z328">
        <v>8</v>
      </c>
      <c r="AA328">
        <v>-2</v>
      </c>
      <c r="AB328">
        <v>6</v>
      </c>
      <c r="AC328">
        <v>5</v>
      </c>
      <c r="AD328">
        <v>1</v>
      </c>
      <c r="AE328">
        <v>7</v>
      </c>
      <c r="AF328">
        <v>7</v>
      </c>
      <c r="AG328">
        <v>0</v>
      </c>
      <c r="AH328">
        <v>5</v>
      </c>
      <c r="AI328">
        <v>8</v>
      </c>
      <c r="AJ328">
        <v>-3</v>
      </c>
      <c r="AK328" t="s">
        <v>3115</v>
      </c>
      <c r="AL328" t="s">
        <v>3116</v>
      </c>
      <c r="AM328" t="s">
        <v>3117</v>
      </c>
      <c r="AN328" t="s">
        <v>3118</v>
      </c>
      <c r="AO328" t="s">
        <v>3119</v>
      </c>
      <c r="AP328" t="s">
        <v>3120</v>
      </c>
      <c r="AQ328" t="s">
        <v>3121</v>
      </c>
      <c r="AR328" t="s">
        <v>3122</v>
      </c>
      <c r="AS328" t="s">
        <v>3123</v>
      </c>
    </row>
    <row r="329" spans="1:45" x14ac:dyDescent="0.45">
      <c r="A329">
        <v>328</v>
      </c>
      <c r="B329">
        <v>369</v>
      </c>
      <c r="C329" t="s">
        <v>78</v>
      </c>
      <c r="D329" t="s">
        <v>79</v>
      </c>
      <c r="E329" t="s">
        <v>74</v>
      </c>
      <c r="F329" t="s">
        <v>75</v>
      </c>
      <c r="G329" t="s">
        <v>76</v>
      </c>
      <c r="H329">
        <v>94.745427256404227</v>
      </c>
      <c r="I329">
        <v>3</v>
      </c>
      <c r="J329">
        <v>7</v>
      </c>
      <c r="K329">
        <v>7</v>
      </c>
      <c r="L329">
        <v>0</v>
      </c>
      <c r="M329">
        <v>8</v>
      </c>
      <c r="N329">
        <v>8</v>
      </c>
      <c r="O329">
        <v>0</v>
      </c>
      <c r="P329">
        <v>9</v>
      </c>
      <c r="Q329">
        <v>9</v>
      </c>
      <c r="R329">
        <v>0</v>
      </c>
      <c r="S329">
        <v>8</v>
      </c>
      <c r="T329">
        <v>9</v>
      </c>
      <c r="U329">
        <v>-1</v>
      </c>
      <c r="V329">
        <v>7</v>
      </c>
      <c r="W329">
        <v>9</v>
      </c>
      <c r="X329">
        <v>-2</v>
      </c>
      <c r="Y329">
        <v>6</v>
      </c>
      <c r="Z329">
        <v>8</v>
      </c>
      <c r="AA329">
        <v>-2</v>
      </c>
      <c r="AB329">
        <v>7</v>
      </c>
      <c r="AC329">
        <v>7</v>
      </c>
      <c r="AD329">
        <v>0</v>
      </c>
      <c r="AE329">
        <v>5</v>
      </c>
      <c r="AF329">
        <v>7</v>
      </c>
      <c r="AG329">
        <v>-2</v>
      </c>
      <c r="AH329">
        <v>8</v>
      </c>
      <c r="AI329">
        <v>9</v>
      </c>
      <c r="AJ329">
        <v>-1</v>
      </c>
      <c r="AK329" t="s">
        <v>3124</v>
      </c>
      <c r="AL329" t="s">
        <v>3125</v>
      </c>
      <c r="AM329" t="s">
        <v>3126</v>
      </c>
      <c r="AN329" t="s">
        <v>3127</v>
      </c>
      <c r="AO329" t="s">
        <v>3128</v>
      </c>
      <c r="AP329" t="s">
        <v>3129</v>
      </c>
      <c r="AQ329" t="s">
        <v>3130</v>
      </c>
      <c r="AR329" t="s">
        <v>3131</v>
      </c>
      <c r="AS329" t="s">
        <v>3132</v>
      </c>
    </row>
    <row r="330" spans="1:45" x14ac:dyDescent="0.45">
      <c r="A330">
        <v>329</v>
      </c>
      <c r="B330">
        <v>370</v>
      </c>
      <c r="C330" t="s">
        <v>72</v>
      </c>
      <c r="D330" t="s">
        <v>81</v>
      </c>
      <c r="E330" t="s">
        <v>74</v>
      </c>
      <c r="F330" t="s">
        <v>77</v>
      </c>
      <c r="G330" t="s">
        <v>76</v>
      </c>
      <c r="H330">
        <v>16.153030239215884</v>
      </c>
      <c r="I330">
        <v>0</v>
      </c>
      <c r="J330">
        <v>5</v>
      </c>
      <c r="K330">
        <v>7</v>
      </c>
      <c r="L330">
        <v>-2</v>
      </c>
      <c r="M330">
        <v>6</v>
      </c>
      <c r="N330">
        <v>7</v>
      </c>
      <c r="O330">
        <v>-1</v>
      </c>
      <c r="P330">
        <v>8</v>
      </c>
      <c r="Q330">
        <v>9</v>
      </c>
      <c r="R330">
        <v>-1</v>
      </c>
      <c r="S330">
        <v>9</v>
      </c>
      <c r="T330">
        <v>9</v>
      </c>
      <c r="U330">
        <v>0</v>
      </c>
      <c r="V330">
        <v>7</v>
      </c>
      <c r="W330">
        <v>9</v>
      </c>
      <c r="X330">
        <v>-2</v>
      </c>
      <c r="Y330">
        <v>6</v>
      </c>
      <c r="Z330">
        <v>9</v>
      </c>
      <c r="AA330">
        <v>-3</v>
      </c>
      <c r="AB330">
        <v>5</v>
      </c>
      <c r="AC330">
        <v>5</v>
      </c>
      <c r="AD330">
        <v>0</v>
      </c>
      <c r="AE330">
        <v>6</v>
      </c>
      <c r="AF330">
        <v>6</v>
      </c>
      <c r="AG330">
        <v>0</v>
      </c>
      <c r="AH330">
        <v>4</v>
      </c>
      <c r="AI330">
        <v>9</v>
      </c>
      <c r="AJ330">
        <v>-5</v>
      </c>
      <c r="AK330" t="s">
        <v>3133</v>
      </c>
      <c r="AL330" t="s">
        <v>3134</v>
      </c>
      <c r="AM330" t="s">
        <v>3135</v>
      </c>
      <c r="AN330" t="s">
        <v>3136</v>
      </c>
      <c r="AO330" t="s">
        <v>3137</v>
      </c>
      <c r="AP330" t="s">
        <v>3138</v>
      </c>
      <c r="AQ330" t="s">
        <v>3139</v>
      </c>
      <c r="AR330" t="s">
        <v>3140</v>
      </c>
      <c r="AS330" t="s">
        <v>3141</v>
      </c>
    </row>
    <row r="331" spans="1:45" x14ac:dyDescent="0.45">
      <c r="A331">
        <v>330</v>
      </c>
      <c r="B331">
        <v>371</v>
      </c>
      <c r="C331" t="s">
        <v>78</v>
      </c>
      <c r="D331" t="s">
        <v>188</v>
      </c>
      <c r="E331" t="s">
        <v>74</v>
      </c>
      <c r="F331" t="s">
        <v>77</v>
      </c>
      <c r="G331" t="s">
        <v>76</v>
      </c>
      <c r="H331">
        <v>13.633275693680602</v>
      </c>
      <c r="I331">
        <v>0</v>
      </c>
      <c r="J331">
        <v>7</v>
      </c>
      <c r="K331">
        <v>3</v>
      </c>
      <c r="L331">
        <v>4</v>
      </c>
      <c r="M331">
        <v>7</v>
      </c>
      <c r="N331">
        <v>3</v>
      </c>
      <c r="O331">
        <v>4</v>
      </c>
      <c r="P331">
        <v>6</v>
      </c>
      <c r="Q331">
        <v>5</v>
      </c>
      <c r="R331">
        <v>1</v>
      </c>
      <c r="S331">
        <v>6</v>
      </c>
      <c r="T331">
        <v>6</v>
      </c>
      <c r="U331">
        <v>0</v>
      </c>
      <c r="V331">
        <v>7</v>
      </c>
      <c r="W331">
        <v>4</v>
      </c>
      <c r="X331">
        <v>3</v>
      </c>
      <c r="Y331">
        <v>7</v>
      </c>
      <c r="Z331">
        <v>5</v>
      </c>
      <c r="AA331">
        <v>2</v>
      </c>
      <c r="AB331">
        <v>6</v>
      </c>
      <c r="AC331">
        <v>5</v>
      </c>
      <c r="AD331">
        <v>1</v>
      </c>
      <c r="AE331">
        <v>6</v>
      </c>
      <c r="AF331">
        <v>5</v>
      </c>
      <c r="AG331">
        <v>1</v>
      </c>
      <c r="AH331">
        <v>7</v>
      </c>
      <c r="AI331">
        <v>5</v>
      </c>
      <c r="AJ331">
        <v>2</v>
      </c>
      <c r="AK331" t="s">
        <v>3142</v>
      </c>
      <c r="AL331" t="s">
        <v>3143</v>
      </c>
      <c r="AM331" t="s">
        <v>3144</v>
      </c>
      <c r="AN331" t="s">
        <v>3145</v>
      </c>
      <c r="AO331" t="s">
        <v>3146</v>
      </c>
      <c r="AP331" t="s">
        <v>3147</v>
      </c>
      <c r="AQ331" t="s">
        <v>3148</v>
      </c>
      <c r="AR331" t="s">
        <v>3149</v>
      </c>
      <c r="AS331" t="s">
        <v>3150</v>
      </c>
    </row>
    <row r="332" spans="1:45" x14ac:dyDescent="0.45">
      <c r="A332">
        <v>331</v>
      </c>
      <c r="B332">
        <v>372</v>
      </c>
      <c r="C332" t="s">
        <v>78</v>
      </c>
      <c r="D332" t="s">
        <v>73</v>
      </c>
      <c r="E332" t="s">
        <v>74</v>
      </c>
      <c r="F332" t="s">
        <v>77</v>
      </c>
      <c r="G332" t="s">
        <v>76</v>
      </c>
      <c r="H332">
        <v>28.605971020831554</v>
      </c>
      <c r="I332">
        <v>1</v>
      </c>
      <c r="J332">
        <v>7</v>
      </c>
      <c r="K332">
        <v>4</v>
      </c>
      <c r="L332">
        <v>3</v>
      </c>
      <c r="M332">
        <v>6</v>
      </c>
      <c r="N332">
        <v>4</v>
      </c>
      <c r="O332">
        <v>2</v>
      </c>
      <c r="P332">
        <v>8</v>
      </c>
      <c r="Q332">
        <v>5</v>
      </c>
      <c r="R332">
        <v>3</v>
      </c>
      <c r="S332">
        <v>9</v>
      </c>
      <c r="T332">
        <v>6</v>
      </c>
      <c r="U332">
        <v>3</v>
      </c>
      <c r="V332">
        <v>7</v>
      </c>
      <c r="W332">
        <v>4</v>
      </c>
      <c r="X332">
        <v>3</v>
      </c>
      <c r="Y332">
        <v>6</v>
      </c>
      <c r="Z332">
        <v>5</v>
      </c>
      <c r="AA332">
        <v>1</v>
      </c>
      <c r="AB332">
        <v>5</v>
      </c>
      <c r="AC332">
        <v>3</v>
      </c>
      <c r="AD332">
        <v>2</v>
      </c>
      <c r="AE332">
        <v>4</v>
      </c>
      <c r="AF332">
        <v>4</v>
      </c>
      <c r="AG332">
        <v>0</v>
      </c>
      <c r="AH332">
        <v>5</v>
      </c>
      <c r="AI332">
        <v>5</v>
      </c>
      <c r="AJ332">
        <v>0</v>
      </c>
      <c r="AK332" t="s">
        <v>3151</v>
      </c>
      <c r="AL332" t="s">
        <v>3152</v>
      </c>
      <c r="AM332" t="s">
        <v>3153</v>
      </c>
      <c r="AN332" t="s">
        <v>223</v>
      </c>
      <c r="AO332" t="s">
        <v>3154</v>
      </c>
      <c r="AP332" t="s">
        <v>3155</v>
      </c>
      <c r="AQ332" t="s">
        <v>3156</v>
      </c>
      <c r="AR332" t="s">
        <v>3157</v>
      </c>
      <c r="AS332" t="s">
        <v>3158</v>
      </c>
    </row>
    <row r="333" spans="1:45" x14ac:dyDescent="0.45">
      <c r="A333">
        <v>332</v>
      </c>
      <c r="B333">
        <v>373</v>
      </c>
      <c r="C333" t="s">
        <v>72</v>
      </c>
      <c r="D333" t="s">
        <v>188</v>
      </c>
      <c r="E333" t="s">
        <v>74</v>
      </c>
      <c r="F333" t="s">
        <v>77</v>
      </c>
      <c r="G333" t="s">
        <v>76</v>
      </c>
      <c r="H333">
        <v>21.764025115016388</v>
      </c>
      <c r="I333">
        <v>0</v>
      </c>
      <c r="J333">
        <v>5</v>
      </c>
      <c r="K333">
        <v>7</v>
      </c>
      <c r="L333">
        <v>-2</v>
      </c>
      <c r="M333">
        <v>6</v>
      </c>
      <c r="N333">
        <v>7</v>
      </c>
      <c r="O333">
        <v>-1</v>
      </c>
      <c r="P333">
        <v>8</v>
      </c>
      <c r="Q333">
        <v>9</v>
      </c>
      <c r="R333">
        <v>-1</v>
      </c>
      <c r="S333">
        <v>7</v>
      </c>
      <c r="T333">
        <v>9</v>
      </c>
      <c r="U333">
        <v>-2</v>
      </c>
      <c r="V333">
        <v>6</v>
      </c>
      <c r="W333">
        <v>8</v>
      </c>
      <c r="X333">
        <v>-2</v>
      </c>
      <c r="Y333">
        <v>7</v>
      </c>
      <c r="Z333">
        <v>9</v>
      </c>
      <c r="AA333">
        <v>-2</v>
      </c>
      <c r="AB333">
        <v>6</v>
      </c>
      <c r="AC333">
        <v>7</v>
      </c>
      <c r="AD333">
        <v>-1</v>
      </c>
      <c r="AE333">
        <v>5</v>
      </c>
      <c r="AF333">
        <v>9</v>
      </c>
      <c r="AG333">
        <v>-4</v>
      </c>
      <c r="AH333">
        <v>7</v>
      </c>
      <c r="AI333">
        <v>9</v>
      </c>
      <c r="AJ333">
        <v>-2</v>
      </c>
      <c r="AK333" t="s">
        <v>3159</v>
      </c>
      <c r="AL333" t="s">
        <v>3160</v>
      </c>
      <c r="AM333" t="s">
        <v>3161</v>
      </c>
      <c r="AN333" t="s">
        <v>3162</v>
      </c>
      <c r="AO333" t="s">
        <v>3163</v>
      </c>
      <c r="AP333" t="s">
        <v>3164</v>
      </c>
      <c r="AQ333" t="s">
        <v>3165</v>
      </c>
      <c r="AR333" t="s">
        <v>3166</v>
      </c>
      <c r="AS333" t="s">
        <v>3167</v>
      </c>
    </row>
    <row r="334" spans="1:45" x14ac:dyDescent="0.45">
      <c r="A334">
        <v>333</v>
      </c>
      <c r="B334">
        <v>374</v>
      </c>
      <c r="C334" t="s">
        <v>78</v>
      </c>
      <c r="D334" t="s">
        <v>79</v>
      </c>
      <c r="E334" t="s">
        <v>74</v>
      </c>
      <c r="F334" t="s">
        <v>75</v>
      </c>
      <c r="G334" t="s">
        <v>76</v>
      </c>
      <c r="H334">
        <v>73.740661857513786</v>
      </c>
      <c r="I334">
        <v>1</v>
      </c>
      <c r="J334">
        <v>7</v>
      </c>
      <c r="K334">
        <v>6</v>
      </c>
      <c r="L334">
        <v>1</v>
      </c>
      <c r="M334">
        <v>8</v>
      </c>
      <c r="N334">
        <v>6</v>
      </c>
      <c r="O334">
        <v>2</v>
      </c>
      <c r="P334">
        <v>6</v>
      </c>
      <c r="Q334">
        <v>8</v>
      </c>
      <c r="R334">
        <v>-2</v>
      </c>
      <c r="S334">
        <v>5</v>
      </c>
      <c r="T334">
        <v>8</v>
      </c>
      <c r="U334">
        <v>-3</v>
      </c>
      <c r="V334">
        <v>7</v>
      </c>
      <c r="W334">
        <v>6</v>
      </c>
      <c r="X334">
        <v>1</v>
      </c>
      <c r="Y334">
        <v>6</v>
      </c>
      <c r="Z334">
        <v>7</v>
      </c>
      <c r="AA334">
        <v>-1</v>
      </c>
      <c r="AB334">
        <v>7</v>
      </c>
      <c r="AC334">
        <v>6</v>
      </c>
      <c r="AD334">
        <v>1</v>
      </c>
      <c r="AE334">
        <v>5</v>
      </c>
      <c r="AF334">
        <v>7</v>
      </c>
      <c r="AG334">
        <v>-2</v>
      </c>
      <c r="AH334">
        <v>6</v>
      </c>
      <c r="AI334">
        <v>7</v>
      </c>
      <c r="AJ334">
        <v>-1</v>
      </c>
      <c r="AK334" t="s">
        <v>3168</v>
      </c>
      <c r="AL334" t="s">
        <v>3169</v>
      </c>
      <c r="AM334" t="s">
        <v>3170</v>
      </c>
      <c r="AN334" t="s">
        <v>3171</v>
      </c>
      <c r="AO334" t="s">
        <v>3172</v>
      </c>
      <c r="AP334" t="s">
        <v>3173</v>
      </c>
      <c r="AQ334" t="s">
        <v>3174</v>
      </c>
      <c r="AR334" t="s">
        <v>3175</v>
      </c>
      <c r="AS334" t="s">
        <v>3176</v>
      </c>
    </row>
    <row r="335" spans="1:45" x14ac:dyDescent="0.45">
      <c r="A335">
        <v>334</v>
      </c>
      <c r="B335">
        <v>375</v>
      </c>
      <c r="C335" t="s">
        <v>72</v>
      </c>
      <c r="D335" t="s">
        <v>190</v>
      </c>
      <c r="E335" t="s">
        <v>74</v>
      </c>
      <c r="F335" t="s">
        <v>75</v>
      </c>
      <c r="G335" t="s">
        <v>161</v>
      </c>
      <c r="H335">
        <v>239.64430305968799</v>
      </c>
      <c r="I335">
        <v>3</v>
      </c>
      <c r="J335">
        <v>7</v>
      </c>
      <c r="K335">
        <v>2</v>
      </c>
      <c r="L335">
        <v>5</v>
      </c>
      <c r="M335">
        <v>8</v>
      </c>
      <c r="N335">
        <v>2</v>
      </c>
      <c r="O335">
        <v>6</v>
      </c>
      <c r="P335">
        <v>9</v>
      </c>
      <c r="Q335">
        <v>3</v>
      </c>
      <c r="R335">
        <v>6</v>
      </c>
      <c r="S335">
        <v>8</v>
      </c>
      <c r="T335">
        <v>5</v>
      </c>
      <c r="U335">
        <v>3</v>
      </c>
      <c r="V335">
        <v>7</v>
      </c>
      <c r="W335">
        <v>1</v>
      </c>
      <c r="X335">
        <v>6</v>
      </c>
      <c r="Y335">
        <v>6</v>
      </c>
      <c r="Z335">
        <v>1</v>
      </c>
      <c r="AA335">
        <v>5</v>
      </c>
      <c r="AB335">
        <v>7</v>
      </c>
      <c r="AC335">
        <v>1</v>
      </c>
      <c r="AD335">
        <v>6</v>
      </c>
      <c r="AE335">
        <v>5</v>
      </c>
      <c r="AF335">
        <v>3</v>
      </c>
      <c r="AG335">
        <v>2</v>
      </c>
      <c r="AH335">
        <v>6</v>
      </c>
      <c r="AI335">
        <v>1</v>
      </c>
      <c r="AJ335">
        <v>5</v>
      </c>
      <c r="AK335" t="s">
        <v>3177</v>
      </c>
      <c r="AL335" t="s">
        <v>3178</v>
      </c>
      <c r="AM335" t="s">
        <v>3179</v>
      </c>
      <c r="AN335" t="s">
        <v>3180</v>
      </c>
      <c r="AO335" t="s">
        <v>3181</v>
      </c>
      <c r="AP335" t="s">
        <v>3182</v>
      </c>
      <c r="AQ335" t="s">
        <v>3183</v>
      </c>
      <c r="AR335" t="s">
        <v>3184</v>
      </c>
      <c r="AS335" t="s">
        <v>3185</v>
      </c>
    </row>
    <row r="336" spans="1:45" x14ac:dyDescent="0.45">
      <c r="A336">
        <v>335</v>
      </c>
      <c r="B336">
        <v>376</v>
      </c>
      <c r="C336" t="s">
        <v>78</v>
      </c>
      <c r="D336" t="s">
        <v>188</v>
      </c>
      <c r="E336" t="s">
        <v>74</v>
      </c>
      <c r="F336" t="s">
        <v>77</v>
      </c>
      <c r="G336" t="s">
        <v>76</v>
      </c>
      <c r="H336">
        <v>14.368343483384535</v>
      </c>
      <c r="I336">
        <v>0</v>
      </c>
      <c r="J336">
        <v>7</v>
      </c>
      <c r="K336">
        <v>7</v>
      </c>
      <c r="L336">
        <v>0</v>
      </c>
      <c r="M336">
        <v>6</v>
      </c>
      <c r="N336">
        <v>7</v>
      </c>
      <c r="O336">
        <v>-1</v>
      </c>
      <c r="P336">
        <v>8</v>
      </c>
      <c r="Q336">
        <v>8</v>
      </c>
      <c r="R336">
        <v>0</v>
      </c>
      <c r="S336">
        <v>7</v>
      </c>
      <c r="T336">
        <v>10</v>
      </c>
      <c r="U336">
        <v>-3</v>
      </c>
      <c r="V336">
        <v>9</v>
      </c>
      <c r="W336">
        <v>9</v>
      </c>
      <c r="X336">
        <v>0</v>
      </c>
      <c r="Y336">
        <v>8</v>
      </c>
      <c r="Z336">
        <v>10</v>
      </c>
      <c r="AA336">
        <v>-2</v>
      </c>
      <c r="AB336">
        <v>9</v>
      </c>
      <c r="AC336">
        <v>8</v>
      </c>
      <c r="AD336">
        <v>1</v>
      </c>
      <c r="AE336">
        <v>8</v>
      </c>
      <c r="AF336">
        <v>8</v>
      </c>
      <c r="AG336">
        <v>0</v>
      </c>
      <c r="AH336">
        <v>9</v>
      </c>
      <c r="AI336">
        <v>10</v>
      </c>
      <c r="AJ336">
        <v>-1</v>
      </c>
      <c r="AK336" t="s">
        <v>3186</v>
      </c>
      <c r="AL336" t="s">
        <v>3187</v>
      </c>
      <c r="AM336" t="s">
        <v>3188</v>
      </c>
      <c r="AN336" t="s">
        <v>3189</v>
      </c>
      <c r="AO336" t="s">
        <v>3190</v>
      </c>
      <c r="AP336" t="s">
        <v>3191</v>
      </c>
      <c r="AQ336" t="s">
        <v>3192</v>
      </c>
      <c r="AR336" t="s">
        <v>3193</v>
      </c>
      <c r="AS336" t="s">
        <v>3194</v>
      </c>
    </row>
    <row r="337" spans="1:45" x14ac:dyDescent="0.45">
      <c r="A337">
        <v>336</v>
      </c>
      <c r="B337">
        <v>377</v>
      </c>
      <c r="C337" t="s">
        <v>72</v>
      </c>
      <c r="D337" t="s">
        <v>81</v>
      </c>
      <c r="E337" t="s">
        <v>74</v>
      </c>
      <c r="F337" t="s">
        <v>77</v>
      </c>
      <c r="G337" t="s">
        <v>76</v>
      </c>
      <c r="H337">
        <v>19.26206977367745</v>
      </c>
      <c r="I337">
        <v>0</v>
      </c>
      <c r="J337">
        <v>7</v>
      </c>
      <c r="K337">
        <v>4</v>
      </c>
      <c r="L337">
        <v>3</v>
      </c>
      <c r="M337">
        <v>8</v>
      </c>
      <c r="N337">
        <v>5</v>
      </c>
      <c r="O337">
        <v>3</v>
      </c>
      <c r="P337">
        <v>6</v>
      </c>
      <c r="Q337">
        <v>5</v>
      </c>
      <c r="R337">
        <v>1</v>
      </c>
      <c r="S337">
        <v>7</v>
      </c>
      <c r="T337">
        <v>6</v>
      </c>
      <c r="U337">
        <v>1</v>
      </c>
      <c r="V337">
        <v>6</v>
      </c>
      <c r="W337">
        <v>5</v>
      </c>
      <c r="X337">
        <v>1</v>
      </c>
      <c r="Y337">
        <v>5</v>
      </c>
      <c r="Z337">
        <v>6</v>
      </c>
      <c r="AA337">
        <v>-1</v>
      </c>
      <c r="AB337">
        <v>6</v>
      </c>
      <c r="AC337">
        <v>5</v>
      </c>
      <c r="AD337">
        <v>1</v>
      </c>
      <c r="AE337">
        <v>6</v>
      </c>
      <c r="AF337">
        <v>5</v>
      </c>
      <c r="AG337">
        <v>1</v>
      </c>
      <c r="AH337">
        <v>7</v>
      </c>
      <c r="AI337">
        <v>6</v>
      </c>
      <c r="AJ337">
        <v>1</v>
      </c>
      <c r="AK337" t="s">
        <v>3195</v>
      </c>
      <c r="AL337" t="s">
        <v>3196</v>
      </c>
      <c r="AM337" t="s">
        <v>3197</v>
      </c>
      <c r="AN337" t="s">
        <v>3198</v>
      </c>
      <c r="AO337" t="s">
        <v>3199</v>
      </c>
      <c r="AP337" t="s">
        <v>3200</v>
      </c>
      <c r="AQ337" t="s">
        <v>3201</v>
      </c>
      <c r="AR337" t="s">
        <v>3202</v>
      </c>
      <c r="AS337" t="s">
        <v>3203</v>
      </c>
    </row>
    <row r="338" spans="1:45" x14ac:dyDescent="0.45">
      <c r="A338">
        <v>337</v>
      </c>
      <c r="B338">
        <v>378</v>
      </c>
      <c r="C338" t="s">
        <v>78</v>
      </c>
      <c r="D338" t="s">
        <v>73</v>
      </c>
      <c r="E338" t="s">
        <v>74</v>
      </c>
      <c r="F338" t="s">
        <v>77</v>
      </c>
      <c r="G338" t="s">
        <v>76</v>
      </c>
      <c r="H338">
        <v>27.51500797766489</v>
      </c>
      <c r="I338">
        <v>0</v>
      </c>
      <c r="J338">
        <v>8</v>
      </c>
      <c r="K338">
        <v>7</v>
      </c>
      <c r="L338">
        <v>1</v>
      </c>
      <c r="M338">
        <v>9</v>
      </c>
      <c r="N338">
        <v>8</v>
      </c>
      <c r="O338">
        <v>1</v>
      </c>
      <c r="P338">
        <v>7</v>
      </c>
      <c r="Q338">
        <v>7</v>
      </c>
      <c r="R338">
        <v>0</v>
      </c>
      <c r="S338">
        <v>8</v>
      </c>
      <c r="T338">
        <v>7</v>
      </c>
      <c r="U338">
        <v>1</v>
      </c>
      <c r="V338">
        <v>7</v>
      </c>
      <c r="W338">
        <v>6</v>
      </c>
      <c r="X338">
        <v>1</v>
      </c>
      <c r="Y338">
        <v>8</v>
      </c>
      <c r="Z338">
        <v>8</v>
      </c>
      <c r="AA338">
        <v>0</v>
      </c>
      <c r="AB338">
        <v>7</v>
      </c>
      <c r="AC338">
        <v>6</v>
      </c>
      <c r="AD338">
        <v>1</v>
      </c>
      <c r="AE338">
        <v>6</v>
      </c>
      <c r="AF338">
        <v>8</v>
      </c>
      <c r="AG338">
        <v>-2</v>
      </c>
      <c r="AH338">
        <v>7</v>
      </c>
      <c r="AI338">
        <v>8</v>
      </c>
      <c r="AJ338">
        <v>-1</v>
      </c>
      <c r="AK338" t="s">
        <v>3204</v>
      </c>
      <c r="AL338" t="s">
        <v>3205</v>
      </c>
      <c r="AM338" t="s">
        <v>3206</v>
      </c>
      <c r="AN338" t="s">
        <v>3207</v>
      </c>
      <c r="AO338" t="s">
        <v>3208</v>
      </c>
      <c r="AP338" t="s">
        <v>3209</v>
      </c>
      <c r="AQ338" t="s">
        <v>3210</v>
      </c>
      <c r="AR338" t="s">
        <v>3211</v>
      </c>
      <c r="AS338" t="s">
        <v>3212</v>
      </c>
    </row>
    <row r="339" spans="1:45" x14ac:dyDescent="0.45">
      <c r="A339">
        <v>338</v>
      </c>
      <c r="B339">
        <v>379</v>
      </c>
      <c r="C339" t="s">
        <v>78</v>
      </c>
      <c r="D339" t="s">
        <v>188</v>
      </c>
      <c r="E339" t="s">
        <v>74</v>
      </c>
      <c r="F339" t="s">
        <v>77</v>
      </c>
      <c r="G339" t="s">
        <v>76</v>
      </c>
      <c r="H339">
        <v>15.090531433336762</v>
      </c>
      <c r="I339">
        <v>0</v>
      </c>
      <c r="J339">
        <v>7</v>
      </c>
      <c r="K339">
        <v>8</v>
      </c>
      <c r="L339">
        <v>-1</v>
      </c>
      <c r="M339">
        <v>8</v>
      </c>
      <c r="N339">
        <v>8</v>
      </c>
      <c r="O339">
        <v>0</v>
      </c>
      <c r="P339">
        <v>8</v>
      </c>
      <c r="Q339">
        <v>9</v>
      </c>
      <c r="R339">
        <v>-1</v>
      </c>
      <c r="S339">
        <v>9</v>
      </c>
      <c r="T339">
        <v>9</v>
      </c>
      <c r="U339">
        <v>0</v>
      </c>
      <c r="V339">
        <v>7</v>
      </c>
      <c r="W339">
        <v>8</v>
      </c>
      <c r="X339">
        <v>-1</v>
      </c>
      <c r="Y339">
        <v>8</v>
      </c>
      <c r="Z339">
        <v>9</v>
      </c>
      <c r="AA339">
        <v>-1</v>
      </c>
      <c r="AB339">
        <v>7</v>
      </c>
      <c r="AC339">
        <v>10</v>
      </c>
      <c r="AD339">
        <v>-3</v>
      </c>
      <c r="AE339">
        <v>7</v>
      </c>
      <c r="AF339">
        <v>9</v>
      </c>
      <c r="AG339">
        <v>-2</v>
      </c>
      <c r="AH339">
        <v>8</v>
      </c>
      <c r="AI339">
        <v>10</v>
      </c>
      <c r="AJ339">
        <v>-2</v>
      </c>
      <c r="AK339" t="s">
        <v>3213</v>
      </c>
      <c r="AL339" t="s">
        <v>3214</v>
      </c>
      <c r="AM339" t="s">
        <v>3215</v>
      </c>
      <c r="AN339" t="s">
        <v>3216</v>
      </c>
      <c r="AO339" t="s">
        <v>3217</v>
      </c>
      <c r="AP339" t="s">
        <v>3218</v>
      </c>
      <c r="AQ339" t="s">
        <v>3219</v>
      </c>
      <c r="AR339" t="s">
        <v>3220</v>
      </c>
      <c r="AS339" t="s">
        <v>3221</v>
      </c>
    </row>
    <row r="340" spans="1:45" x14ac:dyDescent="0.45">
      <c r="A340">
        <v>339</v>
      </c>
      <c r="B340">
        <v>380</v>
      </c>
      <c r="C340" t="s">
        <v>72</v>
      </c>
      <c r="D340" t="s">
        <v>188</v>
      </c>
      <c r="E340" t="s">
        <v>74</v>
      </c>
      <c r="F340" t="s">
        <v>77</v>
      </c>
      <c r="G340" t="s">
        <v>76</v>
      </c>
      <c r="H340">
        <v>13.087566374982526</v>
      </c>
      <c r="I340">
        <v>0</v>
      </c>
      <c r="J340">
        <v>7</v>
      </c>
      <c r="K340">
        <v>7</v>
      </c>
      <c r="L340">
        <v>0</v>
      </c>
      <c r="M340">
        <v>8</v>
      </c>
      <c r="N340">
        <v>7</v>
      </c>
      <c r="O340">
        <v>1</v>
      </c>
      <c r="P340">
        <v>9</v>
      </c>
      <c r="Q340">
        <v>8</v>
      </c>
      <c r="R340">
        <v>1</v>
      </c>
      <c r="S340">
        <v>8</v>
      </c>
      <c r="T340">
        <v>8</v>
      </c>
      <c r="U340">
        <v>0</v>
      </c>
      <c r="V340">
        <v>7</v>
      </c>
      <c r="W340">
        <v>6</v>
      </c>
      <c r="X340">
        <v>1</v>
      </c>
      <c r="Y340">
        <v>8</v>
      </c>
      <c r="Z340">
        <v>7</v>
      </c>
      <c r="AA340">
        <v>1</v>
      </c>
      <c r="AB340">
        <v>6</v>
      </c>
      <c r="AC340">
        <v>6</v>
      </c>
      <c r="AD340">
        <v>0</v>
      </c>
      <c r="AE340">
        <v>5</v>
      </c>
      <c r="AF340">
        <v>6</v>
      </c>
      <c r="AG340">
        <v>-1</v>
      </c>
      <c r="AH340">
        <v>6</v>
      </c>
      <c r="AI340">
        <v>7</v>
      </c>
      <c r="AJ340">
        <v>-1</v>
      </c>
      <c r="AK340" t="s">
        <v>3222</v>
      </c>
      <c r="AL340" t="s">
        <v>3223</v>
      </c>
      <c r="AM340" t="s">
        <v>3224</v>
      </c>
      <c r="AN340" t="s">
        <v>217</v>
      </c>
      <c r="AO340" t="s">
        <v>3225</v>
      </c>
      <c r="AP340" t="s">
        <v>3226</v>
      </c>
      <c r="AQ340" t="s">
        <v>3227</v>
      </c>
      <c r="AR340" t="s">
        <v>3228</v>
      </c>
      <c r="AS340" t="s">
        <v>3229</v>
      </c>
    </row>
    <row r="341" spans="1:45" x14ac:dyDescent="0.45">
      <c r="A341">
        <v>340</v>
      </c>
      <c r="B341">
        <v>381</v>
      </c>
      <c r="C341" t="s">
        <v>78</v>
      </c>
      <c r="D341" t="s">
        <v>81</v>
      </c>
      <c r="E341" t="s">
        <v>74</v>
      </c>
      <c r="F341" t="s">
        <v>77</v>
      </c>
      <c r="G341" t="s">
        <v>76</v>
      </c>
      <c r="H341">
        <v>16.038094068857898</v>
      </c>
      <c r="I341">
        <v>0</v>
      </c>
      <c r="J341">
        <v>8</v>
      </c>
      <c r="K341">
        <v>7</v>
      </c>
      <c r="L341">
        <v>1</v>
      </c>
      <c r="M341">
        <v>9</v>
      </c>
      <c r="N341">
        <v>8</v>
      </c>
      <c r="O341">
        <v>1</v>
      </c>
      <c r="P341">
        <v>8</v>
      </c>
      <c r="Q341">
        <v>8</v>
      </c>
      <c r="R341">
        <v>0</v>
      </c>
      <c r="S341">
        <v>7</v>
      </c>
      <c r="T341">
        <v>8</v>
      </c>
      <c r="U341">
        <v>-1</v>
      </c>
      <c r="V341">
        <v>6</v>
      </c>
      <c r="W341">
        <v>5</v>
      </c>
      <c r="X341">
        <v>1</v>
      </c>
      <c r="Y341">
        <v>7</v>
      </c>
      <c r="Z341">
        <v>8</v>
      </c>
      <c r="AA341">
        <v>-1</v>
      </c>
      <c r="AB341">
        <v>6</v>
      </c>
      <c r="AC341">
        <v>5</v>
      </c>
      <c r="AD341">
        <v>1</v>
      </c>
      <c r="AE341">
        <v>5</v>
      </c>
      <c r="AF341">
        <v>8</v>
      </c>
      <c r="AG341">
        <v>-3</v>
      </c>
      <c r="AH341">
        <v>6</v>
      </c>
      <c r="AI341">
        <v>8</v>
      </c>
      <c r="AJ341">
        <v>-2</v>
      </c>
      <c r="AK341" t="s">
        <v>3230</v>
      </c>
      <c r="AL341" t="s">
        <v>3231</v>
      </c>
      <c r="AM341" t="s">
        <v>3232</v>
      </c>
      <c r="AN341" t="s">
        <v>3233</v>
      </c>
      <c r="AO341" t="s">
        <v>3234</v>
      </c>
      <c r="AP341" t="s">
        <v>3235</v>
      </c>
      <c r="AQ341" t="s">
        <v>3236</v>
      </c>
      <c r="AR341" t="s">
        <v>3237</v>
      </c>
      <c r="AS341" t="s">
        <v>3238</v>
      </c>
    </row>
    <row r="342" spans="1:45" x14ac:dyDescent="0.45">
      <c r="A342">
        <v>341</v>
      </c>
      <c r="B342">
        <v>382</v>
      </c>
      <c r="C342" t="s">
        <v>72</v>
      </c>
      <c r="D342" t="s">
        <v>188</v>
      </c>
      <c r="E342" t="s">
        <v>74</v>
      </c>
      <c r="F342" t="s">
        <v>77</v>
      </c>
      <c r="G342" t="s">
        <v>76</v>
      </c>
      <c r="H342">
        <v>12</v>
      </c>
      <c r="I342">
        <v>0</v>
      </c>
      <c r="J342">
        <v>7</v>
      </c>
      <c r="K342">
        <v>8</v>
      </c>
      <c r="L342">
        <v>-1</v>
      </c>
      <c r="M342">
        <v>8</v>
      </c>
      <c r="N342">
        <v>8</v>
      </c>
      <c r="O342">
        <v>0</v>
      </c>
      <c r="P342">
        <v>6</v>
      </c>
      <c r="Q342">
        <v>8</v>
      </c>
      <c r="R342">
        <v>-2</v>
      </c>
      <c r="S342">
        <v>9</v>
      </c>
      <c r="T342">
        <v>9</v>
      </c>
      <c r="U342">
        <v>0</v>
      </c>
      <c r="V342">
        <v>7</v>
      </c>
      <c r="W342">
        <v>8</v>
      </c>
      <c r="X342">
        <v>-1</v>
      </c>
      <c r="Y342">
        <v>8</v>
      </c>
      <c r="Z342">
        <v>8</v>
      </c>
      <c r="AA342">
        <v>0</v>
      </c>
      <c r="AB342">
        <v>7</v>
      </c>
      <c r="AC342">
        <v>7</v>
      </c>
      <c r="AD342">
        <v>0</v>
      </c>
      <c r="AE342">
        <v>6</v>
      </c>
      <c r="AF342">
        <v>7</v>
      </c>
      <c r="AG342">
        <v>-1</v>
      </c>
      <c r="AH342">
        <v>7</v>
      </c>
      <c r="AI342">
        <v>8</v>
      </c>
      <c r="AJ342">
        <v>-1</v>
      </c>
      <c r="AK342" t="s">
        <v>3239</v>
      </c>
      <c r="AL342" t="s">
        <v>3240</v>
      </c>
      <c r="AM342" t="s">
        <v>3241</v>
      </c>
      <c r="AN342" t="s">
        <v>3242</v>
      </c>
      <c r="AO342" t="s">
        <v>3243</v>
      </c>
      <c r="AP342" t="s">
        <v>3244</v>
      </c>
      <c r="AQ342" t="s">
        <v>3245</v>
      </c>
      <c r="AR342" t="s">
        <v>3246</v>
      </c>
      <c r="AS342" t="s">
        <v>3247</v>
      </c>
    </row>
    <row r="343" spans="1:45" x14ac:dyDescent="0.45">
      <c r="A343">
        <v>342</v>
      </c>
      <c r="B343">
        <v>383</v>
      </c>
      <c r="C343" t="s">
        <v>78</v>
      </c>
      <c r="D343" t="s">
        <v>188</v>
      </c>
      <c r="E343" t="s">
        <v>74</v>
      </c>
      <c r="F343" t="s">
        <v>77</v>
      </c>
      <c r="G343" t="s">
        <v>76</v>
      </c>
      <c r="H343">
        <v>12</v>
      </c>
      <c r="I343">
        <v>0</v>
      </c>
      <c r="J343">
        <v>7</v>
      </c>
      <c r="K343">
        <v>5</v>
      </c>
      <c r="L343">
        <v>2</v>
      </c>
      <c r="M343">
        <v>7</v>
      </c>
      <c r="N343">
        <v>5</v>
      </c>
      <c r="O343">
        <v>2</v>
      </c>
      <c r="P343">
        <v>6</v>
      </c>
      <c r="Q343">
        <v>6</v>
      </c>
      <c r="R343">
        <v>0</v>
      </c>
      <c r="S343">
        <v>6</v>
      </c>
      <c r="T343">
        <v>7</v>
      </c>
      <c r="U343">
        <v>-1</v>
      </c>
      <c r="V343">
        <v>7</v>
      </c>
      <c r="W343">
        <v>5</v>
      </c>
      <c r="X343">
        <v>2</v>
      </c>
      <c r="Y343">
        <v>7</v>
      </c>
      <c r="Z343">
        <v>8</v>
      </c>
      <c r="AA343">
        <v>-1</v>
      </c>
      <c r="AB343">
        <v>7</v>
      </c>
      <c r="AC343">
        <v>6</v>
      </c>
      <c r="AD343">
        <v>1</v>
      </c>
      <c r="AE343">
        <v>7</v>
      </c>
      <c r="AF343">
        <v>6</v>
      </c>
      <c r="AG343">
        <v>1</v>
      </c>
      <c r="AH343">
        <v>8</v>
      </c>
      <c r="AI343">
        <v>7</v>
      </c>
      <c r="AJ343">
        <v>1</v>
      </c>
      <c r="AK343" t="s">
        <v>3248</v>
      </c>
      <c r="AL343" t="s">
        <v>3249</v>
      </c>
      <c r="AM343" t="s">
        <v>3250</v>
      </c>
      <c r="AN343" t="s">
        <v>3251</v>
      </c>
      <c r="AO343" t="s">
        <v>3252</v>
      </c>
      <c r="AP343" t="s">
        <v>3253</v>
      </c>
      <c r="AQ343" t="s">
        <v>3254</v>
      </c>
      <c r="AR343" t="s">
        <v>3255</v>
      </c>
      <c r="AS343" t="s">
        <v>3256</v>
      </c>
    </row>
    <row r="344" spans="1:45" x14ac:dyDescent="0.45">
      <c r="A344">
        <v>343</v>
      </c>
      <c r="B344">
        <v>384</v>
      </c>
      <c r="C344" t="s">
        <v>78</v>
      </c>
      <c r="D344" t="s">
        <v>81</v>
      </c>
      <c r="E344" t="s">
        <v>74</v>
      </c>
      <c r="F344" t="s">
        <v>77</v>
      </c>
      <c r="G344" t="s">
        <v>76</v>
      </c>
      <c r="H344">
        <v>14.24882607949775</v>
      </c>
      <c r="I344">
        <v>0</v>
      </c>
      <c r="J344">
        <v>4</v>
      </c>
      <c r="K344">
        <v>7</v>
      </c>
      <c r="L344">
        <v>-3</v>
      </c>
      <c r="M344">
        <v>5</v>
      </c>
      <c r="N344">
        <v>7</v>
      </c>
      <c r="O344">
        <v>-2</v>
      </c>
      <c r="P344">
        <v>7</v>
      </c>
      <c r="Q344">
        <v>8</v>
      </c>
      <c r="R344">
        <v>-1</v>
      </c>
      <c r="S344">
        <v>8</v>
      </c>
      <c r="T344">
        <v>7</v>
      </c>
      <c r="U344">
        <v>1</v>
      </c>
      <c r="V344">
        <v>3</v>
      </c>
      <c r="W344">
        <v>8</v>
      </c>
      <c r="X344">
        <v>-5</v>
      </c>
      <c r="Y344">
        <v>6</v>
      </c>
      <c r="Z344">
        <v>8</v>
      </c>
      <c r="AA344">
        <v>-2</v>
      </c>
      <c r="AB344">
        <v>4</v>
      </c>
      <c r="AC344">
        <v>8</v>
      </c>
      <c r="AD344">
        <v>-4</v>
      </c>
      <c r="AE344">
        <v>2</v>
      </c>
      <c r="AF344">
        <v>7</v>
      </c>
      <c r="AG344">
        <v>-5</v>
      </c>
      <c r="AH344">
        <v>5</v>
      </c>
      <c r="AI344">
        <v>8</v>
      </c>
      <c r="AJ344">
        <v>-3</v>
      </c>
      <c r="AK344" t="s">
        <v>3257</v>
      </c>
      <c r="AL344" t="s">
        <v>3258</v>
      </c>
      <c r="AM344" t="s">
        <v>3259</v>
      </c>
      <c r="AN344" t="s">
        <v>3260</v>
      </c>
      <c r="AO344" t="s">
        <v>3261</v>
      </c>
      <c r="AP344" t="s">
        <v>3262</v>
      </c>
      <c r="AQ344" t="s">
        <v>3263</v>
      </c>
      <c r="AR344" t="s">
        <v>3264</v>
      </c>
      <c r="AS344" t="s">
        <v>3265</v>
      </c>
    </row>
    <row r="345" spans="1:45" x14ac:dyDescent="0.45">
      <c r="A345">
        <v>344</v>
      </c>
      <c r="B345">
        <v>385</v>
      </c>
      <c r="C345" t="s">
        <v>78</v>
      </c>
      <c r="D345" t="s">
        <v>73</v>
      </c>
      <c r="E345" t="s">
        <v>74</v>
      </c>
      <c r="F345" t="s">
        <v>75</v>
      </c>
      <c r="G345" t="s">
        <v>76</v>
      </c>
      <c r="H345">
        <v>54.787368606908842</v>
      </c>
      <c r="I345">
        <v>2</v>
      </c>
      <c r="J345">
        <v>7</v>
      </c>
      <c r="K345">
        <v>7</v>
      </c>
      <c r="L345">
        <v>0</v>
      </c>
      <c r="M345">
        <v>6</v>
      </c>
      <c r="N345">
        <v>7</v>
      </c>
      <c r="O345">
        <v>-1</v>
      </c>
      <c r="P345">
        <v>5</v>
      </c>
      <c r="Q345">
        <v>5</v>
      </c>
      <c r="R345">
        <v>0</v>
      </c>
      <c r="S345">
        <v>8</v>
      </c>
      <c r="T345">
        <v>8</v>
      </c>
      <c r="U345">
        <v>0</v>
      </c>
      <c r="V345">
        <v>4</v>
      </c>
      <c r="W345">
        <v>6</v>
      </c>
      <c r="X345">
        <v>-2</v>
      </c>
      <c r="Y345">
        <v>7</v>
      </c>
      <c r="Z345">
        <v>5</v>
      </c>
      <c r="AA345">
        <v>2</v>
      </c>
      <c r="AB345">
        <v>6</v>
      </c>
      <c r="AC345">
        <v>5</v>
      </c>
      <c r="AD345">
        <v>1</v>
      </c>
      <c r="AE345">
        <v>5</v>
      </c>
      <c r="AF345">
        <v>6</v>
      </c>
      <c r="AG345">
        <v>-1</v>
      </c>
      <c r="AH345">
        <v>4</v>
      </c>
      <c r="AI345">
        <v>5</v>
      </c>
      <c r="AJ345">
        <v>-1</v>
      </c>
      <c r="AK345" t="s">
        <v>3266</v>
      </c>
      <c r="AL345" t="s">
        <v>3267</v>
      </c>
      <c r="AM345" t="s">
        <v>3268</v>
      </c>
      <c r="AN345" t="s">
        <v>3269</v>
      </c>
      <c r="AO345" t="s">
        <v>3270</v>
      </c>
      <c r="AP345" t="s">
        <v>3271</v>
      </c>
      <c r="AQ345" t="s">
        <v>3272</v>
      </c>
      <c r="AR345" t="s">
        <v>3273</v>
      </c>
      <c r="AS345" t="s">
        <v>3274</v>
      </c>
    </row>
    <row r="346" spans="1:45" x14ac:dyDescent="0.45">
      <c r="A346">
        <v>345</v>
      </c>
      <c r="B346">
        <v>386</v>
      </c>
      <c r="C346" t="s">
        <v>72</v>
      </c>
      <c r="D346" t="s">
        <v>81</v>
      </c>
      <c r="E346" t="s">
        <v>74</v>
      </c>
      <c r="F346" t="s">
        <v>77</v>
      </c>
      <c r="G346" t="s">
        <v>76</v>
      </c>
      <c r="H346">
        <v>13.162833585797273</v>
      </c>
      <c r="I346">
        <v>0</v>
      </c>
      <c r="J346">
        <v>7</v>
      </c>
      <c r="K346">
        <v>7</v>
      </c>
      <c r="L346">
        <v>0</v>
      </c>
      <c r="M346">
        <v>8</v>
      </c>
      <c r="N346">
        <v>7</v>
      </c>
      <c r="O346">
        <v>1</v>
      </c>
      <c r="P346">
        <v>9</v>
      </c>
      <c r="Q346">
        <v>5</v>
      </c>
      <c r="R346">
        <v>4</v>
      </c>
      <c r="S346">
        <v>8</v>
      </c>
      <c r="T346">
        <v>8</v>
      </c>
      <c r="U346">
        <v>0</v>
      </c>
      <c r="V346">
        <v>7</v>
      </c>
      <c r="W346">
        <v>7</v>
      </c>
      <c r="X346">
        <v>0</v>
      </c>
      <c r="Y346">
        <v>6</v>
      </c>
      <c r="Z346">
        <v>7</v>
      </c>
      <c r="AA346">
        <v>-1</v>
      </c>
      <c r="AB346">
        <v>7</v>
      </c>
      <c r="AC346">
        <v>6</v>
      </c>
      <c r="AD346">
        <v>1</v>
      </c>
      <c r="AE346">
        <v>5</v>
      </c>
      <c r="AF346">
        <v>7</v>
      </c>
      <c r="AG346">
        <v>-2</v>
      </c>
      <c r="AH346">
        <v>7</v>
      </c>
      <c r="AI346">
        <v>7</v>
      </c>
      <c r="AJ346">
        <v>0</v>
      </c>
      <c r="AK346" t="s">
        <v>3275</v>
      </c>
      <c r="AL346" t="s">
        <v>3276</v>
      </c>
      <c r="AM346" t="s">
        <v>3277</v>
      </c>
      <c r="AN346" t="s">
        <v>3278</v>
      </c>
      <c r="AO346" t="s">
        <v>3279</v>
      </c>
      <c r="AP346" t="s">
        <v>3280</v>
      </c>
      <c r="AQ346" t="s">
        <v>3281</v>
      </c>
      <c r="AR346" t="s">
        <v>3282</v>
      </c>
      <c r="AS346" t="s">
        <v>3283</v>
      </c>
    </row>
    <row r="347" spans="1:45" x14ac:dyDescent="0.45">
      <c r="A347">
        <v>346</v>
      </c>
      <c r="B347">
        <v>387</v>
      </c>
      <c r="C347" t="s">
        <v>72</v>
      </c>
      <c r="D347" t="s">
        <v>73</v>
      </c>
      <c r="E347" t="s">
        <v>74</v>
      </c>
      <c r="F347" t="s">
        <v>77</v>
      </c>
      <c r="G347" t="s">
        <v>76</v>
      </c>
      <c r="H347">
        <v>25.840895338660197</v>
      </c>
      <c r="I347">
        <v>1</v>
      </c>
      <c r="J347">
        <v>7</v>
      </c>
      <c r="K347">
        <v>9</v>
      </c>
      <c r="L347">
        <v>-2</v>
      </c>
      <c r="M347">
        <v>6</v>
      </c>
      <c r="N347">
        <v>8</v>
      </c>
      <c r="O347">
        <v>-2</v>
      </c>
      <c r="P347">
        <v>8</v>
      </c>
      <c r="Q347">
        <v>8</v>
      </c>
      <c r="R347">
        <v>0</v>
      </c>
      <c r="S347">
        <v>6</v>
      </c>
      <c r="T347">
        <v>9</v>
      </c>
      <c r="U347">
        <v>-3</v>
      </c>
      <c r="V347">
        <v>7</v>
      </c>
      <c r="W347">
        <v>7</v>
      </c>
      <c r="X347">
        <v>0</v>
      </c>
      <c r="Y347">
        <v>5</v>
      </c>
      <c r="Z347">
        <v>8</v>
      </c>
      <c r="AA347">
        <v>-3</v>
      </c>
      <c r="AB347">
        <v>6</v>
      </c>
      <c r="AC347">
        <v>7</v>
      </c>
      <c r="AD347">
        <v>-1</v>
      </c>
      <c r="AE347">
        <v>5</v>
      </c>
      <c r="AF347">
        <v>7</v>
      </c>
      <c r="AG347">
        <v>-2</v>
      </c>
      <c r="AH347">
        <v>7</v>
      </c>
      <c r="AI347">
        <v>8</v>
      </c>
      <c r="AJ347">
        <v>-1</v>
      </c>
      <c r="AK347" t="s">
        <v>3284</v>
      </c>
      <c r="AL347" t="s">
        <v>3285</v>
      </c>
      <c r="AM347" t="s">
        <v>3286</v>
      </c>
      <c r="AN347" t="s">
        <v>3287</v>
      </c>
      <c r="AO347" t="s">
        <v>3288</v>
      </c>
      <c r="AP347" t="s">
        <v>3289</v>
      </c>
      <c r="AQ347" t="s">
        <v>3290</v>
      </c>
      <c r="AR347" t="s">
        <v>3291</v>
      </c>
      <c r="AS347" t="s">
        <v>3292</v>
      </c>
    </row>
    <row r="348" spans="1:45" x14ac:dyDescent="0.45">
      <c r="A348">
        <v>347</v>
      </c>
      <c r="B348">
        <v>388</v>
      </c>
      <c r="C348" t="s">
        <v>72</v>
      </c>
      <c r="D348" t="s">
        <v>81</v>
      </c>
      <c r="E348" t="s">
        <v>74</v>
      </c>
      <c r="F348" t="s">
        <v>77</v>
      </c>
      <c r="G348" t="s">
        <v>76</v>
      </c>
      <c r="H348">
        <v>18.769285021812873</v>
      </c>
      <c r="I348">
        <v>0</v>
      </c>
      <c r="J348">
        <v>5</v>
      </c>
      <c r="K348">
        <v>8</v>
      </c>
      <c r="L348">
        <v>-3</v>
      </c>
      <c r="M348">
        <v>6</v>
      </c>
      <c r="N348">
        <v>8</v>
      </c>
      <c r="O348">
        <v>-2</v>
      </c>
      <c r="P348">
        <v>7</v>
      </c>
      <c r="Q348">
        <v>7</v>
      </c>
      <c r="R348">
        <v>0</v>
      </c>
      <c r="S348">
        <v>8</v>
      </c>
      <c r="T348">
        <v>8</v>
      </c>
      <c r="U348">
        <v>0</v>
      </c>
      <c r="V348">
        <v>6</v>
      </c>
      <c r="W348">
        <v>6</v>
      </c>
      <c r="X348">
        <v>0</v>
      </c>
      <c r="Y348">
        <v>7</v>
      </c>
      <c r="Z348">
        <v>8</v>
      </c>
      <c r="AA348">
        <v>-1</v>
      </c>
      <c r="AB348">
        <v>5</v>
      </c>
      <c r="AC348">
        <v>6</v>
      </c>
      <c r="AD348">
        <v>-1</v>
      </c>
      <c r="AE348">
        <v>6</v>
      </c>
      <c r="AF348">
        <v>6</v>
      </c>
      <c r="AG348">
        <v>0</v>
      </c>
      <c r="AH348">
        <v>5</v>
      </c>
      <c r="AI348">
        <v>8</v>
      </c>
      <c r="AJ348">
        <v>-3</v>
      </c>
      <c r="AK348" t="s">
        <v>3293</v>
      </c>
      <c r="AL348" t="s">
        <v>3294</v>
      </c>
      <c r="AM348" t="s">
        <v>3295</v>
      </c>
      <c r="AN348" t="s">
        <v>3296</v>
      </c>
      <c r="AO348" t="s">
        <v>3297</v>
      </c>
      <c r="AP348" t="s">
        <v>3298</v>
      </c>
      <c r="AQ348" t="s">
        <v>3299</v>
      </c>
      <c r="AR348" t="s">
        <v>3300</v>
      </c>
      <c r="AS348" t="s">
        <v>3301</v>
      </c>
    </row>
    <row r="349" spans="1:45" x14ac:dyDescent="0.45">
      <c r="A349">
        <v>348</v>
      </c>
      <c r="B349">
        <v>389</v>
      </c>
      <c r="C349" t="s">
        <v>72</v>
      </c>
      <c r="D349" t="s">
        <v>81</v>
      </c>
      <c r="E349" t="s">
        <v>74</v>
      </c>
      <c r="F349" t="s">
        <v>77</v>
      </c>
      <c r="G349" t="s">
        <v>76</v>
      </c>
      <c r="H349">
        <v>18.038767281149184</v>
      </c>
      <c r="I349">
        <v>0</v>
      </c>
      <c r="J349">
        <v>7</v>
      </c>
      <c r="K349">
        <v>8</v>
      </c>
      <c r="L349">
        <v>-1</v>
      </c>
      <c r="M349">
        <v>8</v>
      </c>
      <c r="N349">
        <v>8</v>
      </c>
      <c r="O349">
        <v>0</v>
      </c>
      <c r="P349">
        <v>6</v>
      </c>
      <c r="Q349">
        <v>7</v>
      </c>
      <c r="R349">
        <v>-1</v>
      </c>
      <c r="S349">
        <v>8</v>
      </c>
      <c r="T349">
        <v>7</v>
      </c>
      <c r="U349">
        <v>1</v>
      </c>
      <c r="V349">
        <v>8</v>
      </c>
      <c r="W349">
        <v>6</v>
      </c>
      <c r="X349">
        <v>2</v>
      </c>
      <c r="Y349">
        <v>7</v>
      </c>
      <c r="Z349">
        <v>7</v>
      </c>
      <c r="AA349">
        <v>0</v>
      </c>
      <c r="AB349">
        <v>7</v>
      </c>
      <c r="AC349">
        <v>6</v>
      </c>
      <c r="AD349">
        <v>1</v>
      </c>
      <c r="AE349">
        <v>6</v>
      </c>
      <c r="AF349">
        <v>6</v>
      </c>
      <c r="AG349">
        <v>0</v>
      </c>
      <c r="AH349">
        <v>7</v>
      </c>
      <c r="AI349">
        <v>7</v>
      </c>
      <c r="AJ349">
        <v>0</v>
      </c>
      <c r="AK349" t="s">
        <v>3302</v>
      </c>
      <c r="AL349" t="s">
        <v>3303</v>
      </c>
      <c r="AM349" t="s">
        <v>3304</v>
      </c>
      <c r="AN349" t="s">
        <v>3305</v>
      </c>
      <c r="AO349" t="s">
        <v>3306</v>
      </c>
      <c r="AP349" t="s">
        <v>3307</v>
      </c>
      <c r="AQ349" t="s">
        <v>3308</v>
      </c>
      <c r="AR349" t="s">
        <v>3309</v>
      </c>
      <c r="AS349" t="s">
        <v>3310</v>
      </c>
    </row>
    <row r="350" spans="1:45" x14ac:dyDescent="0.45">
      <c r="A350">
        <v>349</v>
      </c>
      <c r="B350">
        <v>390</v>
      </c>
      <c r="C350" t="s">
        <v>72</v>
      </c>
      <c r="D350" t="s">
        <v>81</v>
      </c>
      <c r="E350" t="s">
        <v>74</v>
      </c>
      <c r="F350" t="s">
        <v>77</v>
      </c>
      <c r="G350" t="s">
        <v>76</v>
      </c>
      <c r="H350">
        <v>20.537827732639055</v>
      </c>
      <c r="I350">
        <v>0</v>
      </c>
      <c r="J350">
        <v>7</v>
      </c>
      <c r="K350">
        <v>4</v>
      </c>
      <c r="L350">
        <v>3</v>
      </c>
      <c r="M350">
        <v>8</v>
      </c>
      <c r="N350">
        <v>4</v>
      </c>
      <c r="O350">
        <v>4</v>
      </c>
      <c r="P350">
        <v>6</v>
      </c>
      <c r="Q350">
        <v>5</v>
      </c>
      <c r="R350">
        <v>1</v>
      </c>
      <c r="S350">
        <v>8</v>
      </c>
      <c r="T350">
        <v>7</v>
      </c>
      <c r="U350">
        <v>1</v>
      </c>
      <c r="V350">
        <v>7</v>
      </c>
      <c r="W350">
        <v>5</v>
      </c>
      <c r="X350">
        <v>2</v>
      </c>
      <c r="Y350">
        <v>7</v>
      </c>
      <c r="Z350">
        <v>6</v>
      </c>
      <c r="AA350">
        <v>1</v>
      </c>
      <c r="AB350">
        <v>7</v>
      </c>
      <c r="AC350">
        <v>6</v>
      </c>
      <c r="AD350">
        <v>1</v>
      </c>
      <c r="AE350">
        <v>7</v>
      </c>
      <c r="AF350">
        <v>6</v>
      </c>
      <c r="AG350">
        <v>1</v>
      </c>
      <c r="AH350">
        <v>7</v>
      </c>
      <c r="AI350">
        <v>6</v>
      </c>
      <c r="AJ350">
        <v>1</v>
      </c>
      <c r="AK350" t="s">
        <v>3311</v>
      </c>
      <c r="AL350" t="s">
        <v>3312</v>
      </c>
      <c r="AM350" t="s">
        <v>3313</v>
      </c>
      <c r="AN350" t="s">
        <v>3314</v>
      </c>
      <c r="AO350" t="s">
        <v>3315</v>
      </c>
      <c r="AP350" t="s">
        <v>3316</v>
      </c>
      <c r="AQ350" t="s">
        <v>3317</v>
      </c>
      <c r="AR350" t="s">
        <v>3318</v>
      </c>
      <c r="AS350" t="s">
        <v>3319</v>
      </c>
    </row>
    <row r="351" spans="1:45" x14ac:dyDescent="0.45">
      <c r="A351">
        <v>350</v>
      </c>
      <c r="B351">
        <v>391</v>
      </c>
      <c r="C351" t="s">
        <v>72</v>
      </c>
      <c r="D351" t="s">
        <v>81</v>
      </c>
      <c r="E351" t="s">
        <v>74</v>
      </c>
      <c r="F351" t="s">
        <v>77</v>
      </c>
      <c r="G351" t="s">
        <v>76</v>
      </c>
      <c r="H351">
        <v>23.039391434143408</v>
      </c>
      <c r="I351">
        <v>0</v>
      </c>
      <c r="J351">
        <v>8</v>
      </c>
      <c r="K351">
        <v>7</v>
      </c>
      <c r="L351">
        <v>1</v>
      </c>
      <c r="M351">
        <v>7</v>
      </c>
      <c r="N351">
        <v>7</v>
      </c>
      <c r="O351">
        <v>0</v>
      </c>
      <c r="P351">
        <v>9</v>
      </c>
      <c r="Q351">
        <v>8</v>
      </c>
      <c r="R351">
        <v>1</v>
      </c>
      <c r="S351">
        <v>8</v>
      </c>
      <c r="T351">
        <v>8</v>
      </c>
      <c r="U351">
        <v>0</v>
      </c>
      <c r="V351">
        <v>7</v>
      </c>
      <c r="W351">
        <v>7</v>
      </c>
      <c r="X351">
        <v>0</v>
      </c>
      <c r="Y351">
        <v>6</v>
      </c>
      <c r="Z351">
        <v>7</v>
      </c>
      <c r="AA351">
        <v>-1</v>
      </c>
      <c r="AB351">
        <v>5</v>
      </c>
      <c r="AC351">
        <v>8</v>
      </c>
      <c r="AD351">
        <v>-3</v>
      </c>
      <c r="AE351">
        <v>7</v>
      </c>
      <c r="AF351">
        <v>7</v>
      </c>
      <c r="AG351">
        <v>0</v>
      </c>
      <c r="AH351">
        <v>6</v>
      </c>
      <c r="AI351">
        <v>8</v>
      </c>
      <c r="AJ351">
        <v>-2</v>
      </c>
      <c r="AK351" t="s">
        <v>3320</v>
      </c>
      <c r="AL351" t="s">
        <v>3321</v>
      </c>
      <c r="AM351" t="s">
        <v>3322</v>
      </c>
      <c r="AN351" t="s">
        <v>3323</v>
      </c>
      <c r="AO351" t="s">
        <v>3324</v>
      </c>
      <c r="AP351" t="s">
        <v>3325</v>
      </c>
      <c r="AQ351" t="s">
        <v>3326</v>
      </c>
      <c r="AR351" t="s">
        <v>3327</v>
      </c>
      <c r="AS351" t="s">
        <v>3328</v>
      </c>
    </row>
    <row r="352" spans="1:45" x14ac:dyDescent="0.45">
      <c r="A352">
        <v>351</v>
      </c>
      <c r="B352">
        <v>392</v>
      </c>
      <c r="C352" t="s">
        <v>72</v>
      </c>
      <c r="D352" t="s">
        <v>73</v>
      </c>
      <c r="E352" t="s">
        <v>74</v>
      </c>
      <c r="F352" t="s">
        <v>77</v>
      </c>
      <c r="G352" t="s">
        <v>76</v>
      </c>
      <c r="H352">
        <v>35.774265818948386</v>
      </c>
      <c r="I352">
        <v>2</v>
      </c>
      <c r="J352">
        <v>8</v>
      </c>
      <c r="K352">
        <v>8</v>
      </c>
      <c r="L352">
        <v>0</v>
      </c>
      <c r="M352">
        <v>7</v>
      </c>
      <c r="N352">
        <v>8</v>
      </c>
      <c r="O352">
        <v>-1</v>
      </c>
      <c r="P352">
        <v>9</v>
      </c>
      <c r="Q352">
        <v>6</v>
      </c>
      <c r="R352">
        <v>3</v>
      </c>
      <c r="S352">
        <v>8</v>
      </c>
      <c r="T352">
        <v>7</v>
      </c>
      <c r="U352">
        <v>1</v>
      </c>
      <c r="V352">
        <v>7</v>
      </c>
      <c r="W352">
        <v>6</v>
      </c>
      <c r="X352">
        <v>1</v>
      </c>
      <c r="Y352">
        <v>8</v>
      </c>
      <c r="Z352">
        <v>7</v>
      </c>
      <c r="AA352">
        <v>1</v>
      </c>
      <c r="AB352">
        <v>7</v>
      </c>
      <c r="AC352">
        <v>5</v>
      </c>
      <c r="AD352">
        <v>2</v>
      </c>
      <c r="AE352">
        <v>6</v>
      </c>
      <c r="AF352">
        <v>7</v>
      </c>
      <c r="AG352">
        <v>-1</v>
      </c>
      <c r="AH352">
        <v>7</v>
      </c>
      <c r="AI352">
        <v>7</v>
      </c>
      <c r="AJ352">
        <v>0</v>
      </c>
      <c r="AK352" t="s">
        <v>3329</v>
      </c>
      <c r="AL352" t="s">
        <v>3330</v>
      </c>
      <c r="AM352" t="s">
        <v>3331</v>
      </c>
      <c r="AN352" t="s">
        <v>3332</v>
      </c>
      <c r="AO352" t="s">
        <v>3333</v>
      </c>
      <c r="AP352" t="s">
        <v>3334</v>
      </c>
      <c r="AQ352" t="s">
        <v>3335</v>
      </c>
      <c r="AR352" t="s">
        <v>3336</v>
      </c>
      <c r="AS352" t="s">
        <v>3337</v>
      </c>
    </row>
    <row r="353" spans="1:45" x14ac:dyDescent="0.45">
      <c r="A353">
        <v>352</v>
      </c>
      <c r="B353">
        <v>393</v>
      </c>
      <c r="C353" t="s">
        <v>72</v>
      </c>
      <c r="D353" t="s">
        <v>73</v>
      </c>
      <c r="E353" t="s">
        <v>74</v>
      </c>
      <c r="F353" t="s">
        <v>77</v>
      </c>
      <c r="G353" t="s">
        <v>76</v>
      </c>
      <c r="H353">
        <v>26.043387963779836</v>
      </c>
      <c r="I353">
        <v>1</v>
      </c>
      <c r="J353">
        <v>7</v>
      </c>
      <c r="K353">
        <v>6</v>
      </c>
      <c r="L353">
        <v>1</v>
      </c>
      <c r="M353">
        <v>6</v>
      </c>
      <c r="N353">
        <v>6</v>
      </c>
      <c r="O353">
        <v>0</v>
      </c>
      <c r="P353">
        <v>8</v>
      </c>
      <c r="Q353">
        <v>8</v>
      </c>
      <c r="R353">
        <v>0</v>
      </c>
      <c r="S353">
        <v>9</v>
      </c>
      <c r="T353">
        <v>7</v>
      </c>
      <c r="U353">
        <v>2</v>
      </c>
      <c r="V353">
        <v>7</v>
      </c>
      <c r="W353">
        <v>7</v>
      </c>
      <c r="X353">
        <v>0</v>
      </c>
      <c r="Y353">
        <v>8</v>
      </c>
      <c r="Z353">
        <v>7</v>
      </c>
      <c r="AA353">
        <v>1</v>
      </c>
      <c r="AB353">
        <v>6</v>
      </c>
      <c r="AC353">
        <v>5</v>
      </c>
      <c r="AD353">
        <v>1</v>
      </c>
      <c r="AE353">
        <v>7</v>
      </c>
      <c r="AF353">
        <v>6</v>
      </c>
      <c r="AG353">
        <v>1</v>
      </c>
      <c r="AH353">
        <v>8</v>
      </c>
      <c r="AI353">
        <v>7</v>
      </c>
      <c r="AJ353">
        <v>1</v>
      </c>
      <c r="AK353" t="s">
        <v>3338</v>
      </c>
      <c r="AL353" t="s">
        <v>3339</v>
      </c>
      <c r="AM353" t="s">
        <v>3340</v>
      </c>
      <c r="AN353" t="s">
        <v>3341</v>
      </c>
      <c r="AO353" t="s">
        <v>3342</v>
      </c>
      <c r="AP353" t="s">
        <v>3343</v>
      </c>
      <c r="AQ353" t="s">
        <v>3344</v>
      </c>
      <c r="AR353" t="s">
        <v>3345</v>
      </c>
      <c r="AS353" t="s">
        <v>3346</v>
      </c>
    </row>
    <row r="354" spans="1:45" x14ac:dyDescent="0.45">
      <c r="A354">
        <v>353</v>
      </c>
      <c r="B354">
        <v>394</v>
      </c>
      <c r="C354" t="s">
        <v>78</v>
      </c>
      <c r="D354" t="s">
        <v>79</v>
      </c>
      <c r="E354" t="s">
        <v>74</v>
      </c>
      <c r="F354" t="s">
        <v>77</v>
      </c>
      <c r="G354" t="s">
        <v>76</v>
      </c>
      <c r="H354">
        <v>94.635457693921978</v>
      </c>
      <c r="I354">
        <v>4</v>
      </c>
      <c r="J354">
        <v>7</v>
      </c>
      <c r="K354">
        <v>7</v>
      </c>
      <c r="L354">
        <v>0</v>
      </c>
      <c r="M354">
        <v>8</v>
      </c>
      <c r="N354">
        <v>7</v>
      </c>
      <c r="O354">
        <v>1</v>
      </c>
      <c r="P354">
        <v>6</v>
      </c>
      <c r="Q354">
        <v>8</v>
      </c>
      <c r="R354">
        <v>-2</v>
      </c>
      <c r="S354">
        <v>8</v>
      </c>
      <c r="T354">
        <v>8</v>
      </c>
      <c r="U354">
        <v>0</v>
      </c>
      <c r="V354">
        <v>9</v>
      </c>
      <c r="W354">
        <v>6</v>
      </c>
      <c r="X354">
        <v>3</v>
      </c>
      <c r="Y354">
        <v>7</v>
      </c>
      <c r="Z354">
        <v>7</v>
      </c>
      <c r="AA354">
        <v>0</v>
      </c>
      <c r="AB354">
        <v>8</v>
      </c>
      <c r="AC354">
        <v>5</v>
      </c>
      <c r="AD354">
        <v>3</v>
      </c>
      <c r="AE354">
        <v>7</v>
      </c>
      <c r="AF354">
        <v>7</v>
      </c>
      <c r="AG354">
        <v>0</v>
      </c>
      <c r="AH354">
        <v>9</v>
      </c>
      <c r="AI354">
        <v>7</v>
      </c>
      <c r="AJ354">
        <v>2</v>
      </c>
      <c r="AK354" t="s">
        <v>3347</v>
      </c>
      <c r="AL354" t="s">
        <v>3348</v>
      </c>
      <c r="AM354" t="s">
        <v>3349</v>
      </c>
      <c r="AN354" t="s">
        <v>3350</v>
      </c>
      <c r="AO354" t="s">
        <v>3351</v>
      </c>
      <c r="AP354" t="s">
        <v>3352</v>
      </c>
      <c r="AQ354" t="s">
        <v>3353</v>
      </c>
      <c r="AR354" t="s">
        <v>3354</v>
      </c>
      <c r="AS354" t="s">
        <v>3355</v>
      </c>
    </row>
    <row r="355" spans="1:45" x14ac:dyDescent="0.45">
      <c r="A355">
        <v>354</v>
      </c>
      <c r="B355">
        <v>395</v>
      </c>
      <c r="C355" t="s">
        <v>72</v>
      </c>
      <c r="D355" t="s">
        <v>188</v>
      </c>
      <c r="E355" t="s">
        <v>74</v>
      </c>
      <c r="F355" t="s">
        <v>77</v>
      </c>
      <c r="G355" t="s">
        <v>76</v>
      </c>
      <c r="H355">
        <v>12.362720969661895</v>
      </c>
      <c r="I355">
        <v>0</v>
      </c>
      <c r="J355">
        <v>8</v>
      </c>
      <c r="K355">
        <v>9</v>
      </c>
      <c r="L355">
        <v>-1</v>
      </c>
      <c r="M355">
        <v>9</v>
      </c>
      <c r="N355">
        <v>9</v>
      </c>
      <c r="O355">
        <v>0</v>
      </c>
      <c r="P355">
        <v>7</v>
      </c>
      <c r="Q355">
        <v>10</v>
      </c>
      <c r="R355">
        <v>-3</v>
      </c>
      <c r="S355">
        <v>8</v>
      </c>
      <c r="T355">
        <v>10</v>
      </c>
      <c r="U355">
        <v>-2</v>
      </c>
      <c r="V355">
        <v>7</v>
      </c>
      <c r="W355">
        <v>9</v>
      </c>
      <c r="X355">
        <v>-2</v>
      </c>
      <c r="Y355">
        <v>6</v>
      </c>
      <c r="Z355">
        <v>10</v>
      </c>
      <c r="AA355">
        <v>-4</v>
      </c>
      <c r="AB355">
        <v>7</v>
      </c>
      <c r="AC355">
        <v>8</v>
      </c>
      <c r="AD355">
        <v>-1</v>
      </c>
      <c r="AE355">
        <v>6</v>
      </c>
      <c r="AF355">
        <v>8</v>
      </c>
      <c r="AG355">
        <v>-2</v>
      </c>
      <c r="AH355">
        <v>5</v>
      </c>
      <c r="AI355">
        <v>9</v>
      </c>
      <c r="AJ355">
        <v>-4</v>
      </c>
      <c r="AK355" t="s">
        <v>3356</v>
      </c>
      <c r="AL355" t="s">
        <v>3357</v>
      </c>
      <c r="AM355" t="s">
        <v>3358</v>
      </c>
      <c r="AN355" t="s">
        <v>3359</v>
      </c>
      <c r="AO355" t="s">
        <v>3360</v>
      </c>
      <c r="AP355" t="s">
        <v>3361</v>
      </c>
      <c r="AQ355" t="s">
        <v>3362</v>
      </c>
      <c r="AR355" t="s">
        <v>3363</v>
      </c>
      <c r="AS355" t="s">
        <v>3364</v>
      </c>
    </row>
    <row r="356" spans="1:45" x14ac:dyDescent="0.45">
      <c r="A356">
        <v>355</v>
      </c>
      <c r="B356">
        <v>396</v>
      </c>
      <c r="C356" t="s">
        <v>78</v>
      </c>
      <c r="D356" t="s">
        <v>188</v>
      </c>
      <c r="E356" t="s">
        <v>74</v>
      </c>
      <c r="F356" t="s">
        <v>77</v>
      </c>
      <c r="G356" t="s">
        <v>76</v>
      </c>
      <c r="H356">
        <v>13.911629315740013</v>
      </c>
      <c r="I356">
        <v>0</v>
      </c>
      <c r="J356">
        <v>7</v>
      </c>
      <c r="K356">
        <v>7</v>
      </c>
      <c r="L356">
        <v>0</v>
      </c>
      <c r="M356">
        <v>6</v>
      </c>
      <c r="N356">
        <v>8</v>
      </c>
      <c r="O356">
        <v>-2</v>
      </c>
      <c r="P356">
        <v>8</v>
      </c>
      <c r="Q356">
        <v>8</v>
      </c>
      <c r="R356">
        <v>0</v>
      </c>
      <c r="S356">
        <v>7</v>
      </c>
      <c r="T356">
        <v>9</v>
      </c>
      <c r="U356">
        <v>-2</v>
      </c>
      <c r="V356">
        <v>8</v>
      </c>
      <c r="W356">
        <v>8</v>
      </c>
      <c r="X356">
        <v>0</v>
      </c>
      <c r="Y356">
        <v>6</v>
      </c>
      <c r="Z356">
        <v>10</v>
      </c>
      <c r="AA356">
        <v>-4</v>
      </c>
      <c r="AB356">
        <v>8</v>
      </c>
      <c r="AC356">
        <v>8</v>
      </c>
      <c r="AD356">
        <v>0</v>
      </c>
      <c r="AE356">
        <v>5</v>
      </c>
      <c r="AF356">
        <v>8</v>
      </c>
      <c r="AG356">
        <v>-3</v>
      </c>
      <c r="AH356">
        <v>7</v>
      </c>
      <c r="AI356">
        <v>9</v>
      </c>
      <c r="AJ356">
        <v>-2</v>
      </c>
      <c r="AK356" t="s">
        <v>3365</v>
      </c>
      <c r="AL356" t="s">
        <v>3366</v>
      </c>
      <c r="AM356" t="s">
        <v>3367</v>
      </c>
      <c r="AN356" t="s">
        <v>3368</v>
      </c>
      <c r="AO356" t="s">
        <v>3369</v>
      </c>
      <c r="AP356" t="s">
        <v>3370</v>
      </c>
      <c r="AQ356" t="s">
        <v>3369</v>
      </c>
      <c r="AR356" t="s">
        <v>3371</v>
      </c>
      <c r="AS356" t="s">
        <v>3372</v>
      </c>
    </row>
    <row r="357" spans="1:45" x14ac:dyDescent="0.45">
      <c r="A357">
        <v>356</v>
      </c>
      <c r="B357">
        <v>397</v>
      </c>
      <c r="C357" t="s">
        <v>78</v>
      </c>
      <c r="D357" t="s">
        <v>188</v>
      </c>
      <c r="E357" t="s">
        <v>74</v>
      </c>
      <c r="F357" t="s">
        <v>77</v>
      </c>
      <c r="G357" t="s">
        <v>76</v>
      </c>
      <c r="H357">
        <v>14.144076768211725</v>
      </c>
      <c r="I357">
        <v>0</v>
      </c>
      <c r="J357">
        <v>7</v>
      </c>
      <c r="K357">
        <v>7</v>
      </c>
      <c r="L357">
        <v>0</v>
      </c>
      <c r="M357">
        <v>6</v>
      </c>
      <c r="N357">
        <v>7</v>
      </c>
      <c r="O357">
        <v>-1</v>
      </c>
      <c r="P357">
        <v>8</v>
      </c>
      <c r="Q357">
        <v>8</v>
      </c>
      <c r="R357">
        <v>0</v>
      </c>
      <c r="S357">
        <v>7</v>
      </c>
      <c r="T357">
        <v>10</v>
      </c>
      <c r="U357">
        <v>-3</v>
      </c>
      <c r="V357">
        <v>8</v>
      </c>
      <c r="W357">
        <v>9</v>
      </c>
      <c r="X357">
        <v>-1</v>
      </c>
      <c r="Y357">
        <v>7</v>
      </c>
      <c r="Z357">
        <v>10</v>
      </c>
      <c r="AA357">
        <v>-3</v>
      </c>
      <c r="AB357">
        <v>7</v>
      </c>
      <c r="AC357">
        <v>8</v>
      </c>
      <c r="AD357">
        <v>-1</v>
      </c>
      <c r="AE357">
        <v>8</v>
      </c>
      <c r="AF357">
        <v>8</v>
      </c>
      <c r="AG357">
        <v>0</v>
      </c>
      <c r="AH357">
        <v>9</v>
      </c>
      <c r="AI357">
        <v>10</v>
      </c>
      <c r="AJ357">
        <v>-1</v>
      </c>
      <c r="AK357" t="s">
        <v>3373</v>
      </c>
      <c r="AL357" t="s">
        <v>3374</v>
      </c>
      <c r="AM357" t="s">
        <v>3375</v>
      </c>
      <c r="AN357" t="s">
        <v>3376</v>
      </c>
      <c r="AO357" t="s">
        <v>3377</v>
      </c>
      <c r="AP357" t="s">
        <v>3378</v>
      </c>
      <c r="AQ357" t="s">
        <v>3379</v>
      </c>
      <c r="AR357" t="s">
        <v>3380</v>
      </c>
      <c r="AS357" t="s">
        <v>3381</v>
      </c>
    </row>
    <row r="358" spans="1:45" x14ac:dyDescent="0.45">
      <c r="A358">
        <v>357</v>
      </c>
      <c r="B358">
        <v>398</v>
      </c>
      <c r="C358" t="s">
        <v>78</v>
      </c>
      <c r="D358" t="s">
        <v>81</v>
      </c>
      <c r="E358" t="s">
        <v>74</v>
      </c>
      <c r="F358" t="s">
        <v>77</v>
      </c>
      <c r="G358" t="s">
        <v>76</v>
      </c>
      <c r="H358">
        <v>29.446108309388251</v>
      </c>
      <c r="I358">
        <v>0</v>
      </c>
      <c r="J358">
        <v>7</v>
      </c>
      <c r="K358">
        <v>9</v>
      </c>
      <c r="L358">
        <v>-2</v>
      </c>
      <c r="M358">
        <v>8</v>
      </c>
      <c r="N358">
        <v>9</v>
      </c>
      <c r="O358">
        <v>-1</v>
      </c>
      <c r="P358">
        <v>9</v>
      </c>
      <c r="Q358">
        <v>8</v>
      </c>
      <c r="R358">
        <v>1</v>
      </c>
      <c r="S358">
        <v>7</v>
      </c>
      <c r="T358">
        <v>9</v>
      </c>
      <c r="U358">
        <v>-2</v>
      </c>
      <c r="V358">
        <v>8</v>
      </c>
      <c r="W358">
        <v>8</v>
      </c>
      <c r="X358">
        <v>0</v>
      </c>
      <c r="Y358">
        <v>6</v>
      </c>
      <c r="Z358">
        <v>8</v>
      </c>
      <c r="AA358">
        <v>-2</v>
      </c>
      <c r="AB358">
        <v>7</v>
      </c>
      <c r="AC358">
        <v>7</v>
      </c>
      <c r="AD358">
        <v>0</v>
      </c>
      <c r="AE358">
        <v>5</v>
      </c>
      <c r="AF358">
        <v>7</v>
      </c>
      <c r="AG358">
        <v>-2</v>
      </c>
      <c r="AH358">
        <v>6</v>
      </c>
      <c r="AI358">
        <v>8</v>
      </c>
      <c r="AJ358">
        <v>-2</v>
      </c>
      <c r="AK358" t="s">
        <v>3382</v>
      </c>
      <c r="AL358" t="s">
        <v>3383</v>
      </c>
      <c r="AM358" t="s">
        <v>3384</v>
      </c>
      <c r="AN358" t="s">
        <v>3385</v>
      </c>
      <c r="AO358" t="s">
        <v>3386</v>
      </c>
      <c r="AP358" t="s">
        <v>3387</v>
      </c>
      <c r="AQ358" t="s">
        <v>3388</v>
      </c>
      <c r="AR358" t="s">
        <v>3389</v>
      </c>
      <c r="AS358" t="s">
        <v>3390</v>
      </c>
    </row>
    <row r="359" spans="1:45" x14ac:dyDescent="0.45">
      <c r="A359">
        <v>358</v>
      </c>
      <c r="B359">
        <v>399</v>
      </c>
      <c r="C359" t="s">
        <v>72</v>
      </c>
      <c r="D359" t="s">
        <v>188</v>
      </c>
      <c r="E359" t="s">
        <v>74</v>
      </c>
      <c r="F359" t="s">
        <v>77</v>
      </c>
      <c r="G359" t="s">
        <v>76</v>
      </c>
      <c r="H359">
        <v>15.406555151987803</v>
      </c>
      <c r="I359">
        <v>0</v>
      </c>
      <c r="J359">
        <v>8</v>
      </c>
      <c r="K359">
        <v>7</v>
      </c>
      <c r="L359">
        <v>1</v>
      </c>
      <c r="M359">
        <v>9</v>
      </c>
      <c r="N359">
        <v>7</v>
      </c>
      <c r="O359">
        <v>2</v>
      </c>
      <c r="P359">
        <v>7</v>
      </c>
      <c r="Q359">
        <v>7</v>
      </c>
      <c r="R359">
        <v>0</v>
      </c>
      <c r="S359">
        <v>8</v>
      </c>
      <c r="T359">
        <v>8</v>
      </c>
      <c r="U359">
        <v>0</v>
      </c>
      <c r="V359">
        <v>7</v>
      </c>
      <c r="W359">
        <v>7</v>
      </c>
      <c r="X359">
        <v>0</v>
      </c>
      <c r="Y359">
        <v>8</v>
      </c>
      <c r="Z359">
        <v>9</v>
      </c>
      <c r="AA359">
        <v>-1</v>
      </c>
      <c r="AB359">
        <v>7</v>
      </c>
      <c r="AC359">
        <v>8</v>
      </c>
      <c r="AD359">
        <v>-1</v>
      </c>
      <c r="AE359">
        <v>6</v>
      </c>
      <c r="AF359">
        <v>8</v>
      </c>
      <c r="AG359">
        <v>-2</v>
      </c>
      <c r="AH359">
        <v>8</v>
      </c>
      <c r="AI359">
        <v>8</v>
      </c>
      <c r="AJ359">
        <v>0</v>
      </c>
      <c r="AK359" t="s">
        <v>3391</v>
      </c>
      <c r="AL359" t="s">
        <v>3392</v>
      </c>
      <c r="AM359" t="s">
        <v>3393</v>
      </c>
      <c r="AN359" t="s">
        <v>3394</v>
      </c>
      <c r="AO359" t="s">
        <v>3395</v>
      </c>
      <c r="AP359" t="s">
        <v>3396</v>
      </c>
      <c r="AQ359" t="s">
        <v>3397</v>
      </c>
      <c r="AR359" t="s">
        <v>3398</v>
      </c>
      <c r="AS359" t="s">
        <v>3399</v>
      </c>
    </row>
    <row r="360" spans="1:45" x14ac:dyDescent="0.45">
      <c r="A360">
        <v>359</v>
      </c>
      <c r="B360">
        <v>400</v>
      </c>
      <c r="C360" t="s">
        <v>72</v>
      </c>
      <c r="D360" t="s">
        <v>81</v>
      </c>
      <c r="E360" t="s">
        <v>74</v>
      </c>
      <c r="F360" t="s">
        <v>77</v>
      </c>
      <c r="G360" t="s">
        <v>76</v>
      </c>
      <c r="H360">
        <v>18.796395243882394</v>
      </c>
      <c r="I360">
        <v>1</v>
      </c>
      <c r="J360">
        <v>8</v>
      </c>
      <c r="K360">
        <v>4</v>
      </c>
      <c r="L360">
        <v>4</v>
      </c>
      <c r="M360">
        <v>7</v>
      </c>
      <c r="N360">
        <v>5</v>
      </c>
      <c r="O360">
        <v>2</v>
      </c>
      <c r="P360">
        <v>6</v>
      </c>
      <c r="Q360">
        <v>6</v>
      </c>
      <c r="R360">
        <v>0</v>
      </c>
      <c r="S360">
        <v>5</v>
      </c>
      <c r="T360">
        <v>7</v>
      </c>
      <c r="U360">
        <v>-2</v>
      </c>
      <c r="V360">
        <v>7</v>
      </c>
      <c r="W360">
        <v>7</v>
      </c>
      <c r="X360">
        <v>0</v>
      </c>
      <c r="Y360">
        <v>6</v>
      </c>
      <c r="Z360">
        <v>6</v>
      </c>
      <c r="AA360">
        <v>0</v>
      </c>
      <c r="AB360">
        <v>5</v>
      </c>
      <c r="AC360">
        <v>4</v>
      </c>
      <c r="AD360">
        <v>1</v>
      </c>
      <c r="AE360">
        <v>7</v>
      </c>
      <c r="AF360">
        <v>6</v>
      </c>
      <c r="AG360">
        <v>1</v>
      </c>
      <c r="AH360">
        <v>6</v>
      </c>
      <c r="AI360">
        <v>7</v>
      </c>
      <c r="AJ360">
        <v>-1</v>
      </c>
      <c r="AK360" t="s">
        <v>3400</v>
      </c>
      <c r="AL360" t="s">
        <v>3401</v>
      </c>
      <c r="AM360" t="s">
        <v>3402</v>
      </c>
      <c r="AN360" t="s">
        <v>3403</v>
      </c>
      <c r="AO360" t="s">
        <v>3404</v>
      </c>
      <c r="AP360" t="s">
        <v>3405</v>
      </c>
      <c r="AQ360" t="s">
        <v>3406</v>
      </c>
      <c r="AR360" t="s">
        <v>3407</v>
      </c>
      <c r="AS360" t="s">
        <v>3408</v>
      </c>
    </row>
    <row r="361" spans="1:45" x14ac:dyDescent="0.45">
      <c r="A361">
        <v>360</v>
      </c>
      <c r="B361">
        <v>401</v>
      </c>
      <c r="C361" t="s">
        <v>78</v>
      </c>
      <c r="D361" t="s">
        <v>81</v>
      </c>
      <c r="E361" t="s">
        <v>74</v>
      </c>
      <c r="F361" t="s">
        <v>77</v>
      </c>
      <c r="G361" t="s">
        <v>76</v>
      </c>
      <c r="H361">
        <v>20.773523601172268</v>
      </c>
      <c r="I361">
        <v>0</v>
      </c>
      <c r="J361">
        <v>7</v>
      </c>
      <c r="K361">
        <v>9</v>
      </c>
      <c r="L361">
        <v>-2</v>
      </c>
      <c r="M361">
        <v>8</v>
      </c>
      <c r="N361">
        <v>8</v>
      </c>
      <c r="O361">
        <v>0</v>
      </c>
      <c r="P361">
        <v>9</v>
      </c>
      <c r="Q361">
        <v>8</v>
      </c>
      <c r="R361">
        <v>1</v>
      </c>
      <c r="S361">
        <v>8</v>
      </c>
      <c r="T361">
        <v>8</v>
      </c>
      <c r="U361">
        <v>0</v>
      </c>
      <c r="V361">
        <v>7</v>
      </c>
      <c r="W361">
        <v>7</v>
      </c>
      <c r="X361">
        <v>0</v>
      </c>
      <c r="Y361">
        <v>8</v>
      </c>
      <c r="Z361">
        <v>7</v>
      </c>
      <c r="AA361">
        <v>1</v>
      </c>
      <c r="AB361">
        <v>7</v>
      </c>
      <c r="AC361">
        <v>6</v>
      </c>
      <c r="AD361">
        <v>1</v>
      </c>
      <c r="AE361">
        <v>6</v>
      </c>
      <c r="AF361">
        <v>7</v>
      </c>
      <c r="AG361">
        <v>-1</v>
      </c>
      <c r="AH361">
        <v>7</v>
      </c>
      <c r="AI361">
        <v>8</v>
      </c>
      <c r="AJ361">
        <v>-1</v>
      </c>
      <c r="AK361" t="s">
        <v>3409</v>
      </c>
      <c r="AL361" t="s">
        <v>3410</v>
      </c>
      <c r="AM361" t="s">
        <v>3411</v>
      </c>
      <c r="AN361" t="s">
        <v>3412</v>
      </c>
      <c r="AO361" t="s">
        <v>3413</v>
      </c>
      <c r="AP361" t="s">
        <v>3414</v>
      </c>
      <c r="AQ361" t="s">
        <v>3415</v>
      </c>
      <c r="AR361" t="s">
        <v>3416</v>
      </c>
      <c r="AS361" t="s">
        <v>3417</v>
      </c>
    </row>
    <row r="362" spans="1:45" x14ac:dyDescent="0.45">
      <c r="A362">
        <v>361</v>
      </c>
      <c r="B362">
        <v>402</v>
      </c>
      <c r="C362" t="s">
        <v>72</v>
      </c>
      <c r="D362" t="s">
        <v>188</v>
      </c>
      <c r="E362" t="s">
        <v>74</v>
      </c>
      <c r="F362" t="s">
        <v>77</v>
      </c>
      <c r="G362" t="s">
        <v>76</v>
      </c>
      <c r="H362">
        <v>12</v>
      </c>
      <c r="I362">
        <v>0</v>
      </c>
      <c r="J362">
        <v>5</v>
      </c>
      <c r="K362">
        <v>7</v>
      </c>
      <c r="L362">
        <v>-2</v>
      </c>
      <c r="M362">
        <v>6</v>
      </c>
      <c r="N362">
        <v>7</v>
      </c>
      <c r="O362">
        <v>-1</v>
      </c>
      <c r="P362">
        <v>8</v>
      </c>
      <c r="Q362">
        <v>8</v>
      </c>
      <c r="R362">
        <v>0</v>
      </c>
      <c r="S362">
        <v>7</v>
      </c>
      <c r="T362">
        <v>9</v>
      </c>
      <c r="U362">
        <v>-2</v>
      </c>
      <c r="V362">
        <v>8</v>
      </c>
      <c r="W362">
        <v>7</v>
      </c>
      <c r="X362">
        <v>1</v>
      </c>
      <c r="Y362">
        <v>6</v>
      </c>
      <c r="Z362">
        <v>10</v>
      </c>
      <c r="AA362">
        <v>-4</v>
      </c>
      <c r="AB362">
        <v>7</v>
      </c>
      <c r="AC362">
        <v>8</v>
      </c>
      <c r="AD362">
        <v>-1</v>
      </c>
      <c r="AE362">
        <v>5</v>
      </c>
      <c r="AF362">
        <v>8</v>
      </c>
      <c r="AG362">
        <v>-3</v>
      </c>
      <c r="AH362">
        <v>6</v>
      </c>
      <c r="AI362">
        <v>10</v>
      </c>
      <c r="AJ362">
        <v>-4</v>
      </c>
      <c r="AK362" t="s">
        <v>3418</v>
      </c>
      <c r="AL362" t="s">
        <v>3419</v>
      </c>
      <c r="AM362" t="s">
        <v>3420</v>
      </c>
      <c r="AN362" t="s">
        <v>3421</v>
      </c>
      <c r="AO362" t="s">
        <v>3422</v>
      </c>
      <c r="AP362" t="s">
        <v>3423</v>
      </c>
      <c r="AQ362" t="s">
        <v>3424</v>
      </c>
      <c r="AR362" t="s">
        <v>3425</v>
      </c>
      <c r="AS362" t="s">
        <v>3426</v>
      </c>
    </row>
    <row r="363" spans="1:45" x14ac:dyDescent="0.45">
      <c r="A363">
        <v>362</v>
      </c>
      <c r="B363">
        <v>403</v>
      </c>
      <c r="C363" t="s">
        <v>72</v>
      </c>
      <c r="D363" t="s">
        <v>188</v>
      </c>
      <c r="E363" t="s">
        <v>74</v>
      </c>
      <c r="F363" t="s">
        <v>77</v>
      </c>
      <c r="G363" t="s">
        <v>76</v>
      </c>
      <c r="H363">
        <v>12.888036390139872</v>
      </c>
      <c r="I363">
        <v>0</v>
      </c>
      <c r="J363">
        <v>4</v>
      </c>
      <c r="K363">
        <v>3</v>
      </c>
      <c r="L363">
        <v>1</v>
      </c>
      <c r="M363">
        <v>6</v>
      </c>
      <c r="N363">
        <v>3</v>
      </c>
      <c r="O363">
        <v>3</v>
      </c>
      <c r="P363">
        <v>7</v>
      </c>
      <c r="Q363">
        <v>5</v>
      </c>
      <c r="R363">
        <v>2</v>
      </c>
      <c r="S363">
        <v>5</v>
      </c>
      <c r="T363">
        <v>6</v>
      </c>
      <c r="U363">
        <v>-1</v>
      </c>
      <c r="V363">
        <v>3</v>
      </c>
      <c r="W363">
        <v>5</v>
      </c>
      <c r="X363">
        <v>-2</v>
      </c>
      <c r="Y363">
        <v>4</v>
      </c>
      <c r="Z363">
        <v>6</v>
      </c>
      <c r="AA363">
        <v>-2</v>
      </c>
      <c r="AB363">
        <v>3</v>
      </c>
      <c r="AC363">
        <v>4</v>
      </c>
      <c r="AD363">
        <v>-1</v>
      </c>
      <c r="AE363">
        <v>5</v>
      </c>
      <c r="AF363">
        <v>6</v>
      </c>
      <c r="AG363">
        <v>-1</v>
      </c>
      <c r="AH363">
        <v>6</v>
      </c>
      <c r="AI363">
        <v>6</v>
      </c>
      <c r="AJ363">
        <v>0</v>
      </c>
      <c r="AK363" t="s">
        <v>3427</v>
      </c>
      <c r="AL363" t="s">
        <v>3428</v>
      </c>
      <c r="AM363" t="s">
        <v>3429</v>
      </c>
      <c r="AN363" t="s">
        <v>3430</v>
      </c>
      <c r="AO363" t="s">
        <v>3431</v>
      </c>
      <c r="AP363" t="s">
        <v>3432</v>
      </c>
      <c r="AQ363" t="s">
        <v>3433</v>
      </c>
      <c r="AR363" t="s">
        <v>3434</v>
      </c>
      <c r="AS363" t="s">
        <v>3435</v>
      </c>
    </row>
    <row r="364" spans="1:45" x14ac:dyDescent="0.45">
      <c r="A364">
        <v>363</v>
      </c>
      <c r="B364">
        <v>404</v>
      </c>
      <c r="C364" t="s">
        <v>78</v>
      </c>
      <c r="D364" t="s">
        <v>81</v>
      </c>
      <c r="E364" t="s">
        <v>74</v>
      </c>
      <c r="F364" t="s">
        <v>77</v>
      </c>
      <c r="G364" t="s">
        <v>76</v>
      </c>
      <c r="H364">
        <v>25.423234987861576</v>
      </c>
      <c r="I364">
        <v>1</v>
      </c>
      <c r="J364">
        <v>8</v>
      </c>
      <c r="K364">
        <v>8</v>
      </c>
      <c r="L364">
        <v>0</v>
      </c>
      <c r="M364">
        <v>7</v>
      </c>
      <c r="N364">
        <v>8</v>
      </c>
      <c r="O364">
        <v>-1</v>
      </c>
      <c r="P364">
        <v>9</v>
      </c>
      <c r="Q364">
        <v>5</v>
      </c>
      <c r="R364">
        <v>4</v>
      </c>
      <c r="S364">
        <v>8</v>
      </c>
      <c r="T364">
        <v>7</v>
      </c>
      <c r="U364">
        <v>1</v>
      </c>
      <c r="V364">
        <v>7</v>
      </c>
      <c r="W364">
        <v>5</v>
      </c>
      <c r="X364">
        <v>2</v>
      </c>
      <c r="Y364">
        <v>6</v>
      </c>
      <c r="Z364">
        <v>8</v>
      </c>
      <c r="AA364">
        <v>-2</v>
      </c>
      <c r="AB364">
        <v>5</v>
      </c>
      <c r="AC364">
        <v>5</v>
      </c>
      <c r="AD364">
        <v>0</v>
      </c>
      <c r="AE364">
        <v>4</v>
      </c>
      <c r="AF364">
        <v>7</v>
      </c>
      <c r="AG364">
        <v>-3</v>
      </c>
      <c r="AH364">
        <v>3</v>
      </c>
      <c r="AI364">
        <v>8</v>
      </c>
      <c r="AJ364">
        <v>-5</v>
      </c>
      <c r="AK364" t="s">
        <v>3436</v>
      </c>
      <c r="AL364" t="s">
        <v>3437</v>
      </c>
      <c r="AM364" t="s">
        <v>3438</v>
      </c>
      <c r="AN364" t="s">
        <v>3439</v>
      </c>
      <c r="AO364" t="s">
        <v>3440</v>
      </c>
      <c r="AP364" t="s">
        <v>3441</v>
      </c>
      <c r="AQ364" t="s">
        <v>3442</v>
      </c>
      <c r="AR364" t="s">
        <v>3443</v>
      </c>
      <c r="AS364" t="s">
        <v>3444</v>
      </c>
    </row>
    <row r="365" spans="1:45" x14ac:dyDescent="0.45">
      <c r="A365">
        <v>364</v>
      </c>
      <c r="B365">
        <v>405</v>
      </c>
      <c r="C365" t="s">
        <v>78</v>
      </c>
      <c r="D365" t="s">
        <v>73</v>
      </c>
      <c r="E365" t="s">
        <v>74</v>
      </c>
      <c r="F365" t="s">
        <v>77</v>
      </c>
      <c r="G365" t="s">
        <v>76</v>
      </c>
      <c r="H365">
        <v>21.550587164563048</v>
      </c>
      <c r="I365">
        <v>1</v>
      </c>
      <c r="J365">
        <v>7</v>
      </c>
      <c r="K365">
        <v>4</v>
      </c>
      <c r="L365">
        <v>3</v>
      </c>
      <c r="M365">
        <v>7</v>
      </c>
      <c r="N365">
        <v>5</v>
      </c>
      <c r="O365">
        <v>2</v>
      </c>
      <c r="P365">
        <v>8</v>
      </c>
      <c r="Q365">
        <v>5</v>
      </c>
      <c r="R365">
        <v>3</v>
      </c>
      <c r="S365">
        <v>8</v>
      </c>
      <c r="T365">
        <v>7</v>
      </c>
      <c r="U365">
        <v>1</v>
      </c>
      <c r="V365">
        <v>9</v>
      </c>
      <c r="W365">
        <v>5</v>
      </c>
      <c r="X365">
        <v>4</v>
      </c>
      <c r="Y365">
        <v>8</v>
      </c>
      <c r="Z365">
        <v>7</v>
      </c>
      <c r="AA365">
        <v>1</v>
      </c>
      <c r="AB365">
        <v>9</v>
      </c>
      <c r="AC365">
        <v>5</v>
      </c>
      <c r="AD365">
        <v>4</v>
      </c>
      <c r="AE365">
        <v>7</v>
      </c>
      <c r="AF365">
        <v>6</v>
      </c>
      <c r="AG365">
        <v>1</v>
      </c>
      <c r="AH365">
        <v>8</v>
      </c>
      <c r="AI365">
        <v>7</v>
      </c>
      <c r="AJ365">
        <v>1</v>
      </c>
      <c r="AK365" t="s">
        <v>3445</v>
      </c>
      <c r="AL365" t="s">
        <v>3446</v>
      </c>
      <c r="AM365" t="s">
        <v>3447</v>
      </c>
      <c r="AN365" t="s">
        <v>3448</v>
      </c>
      <c r="AO365" t="s">
        <v>3449</v>
      </c>
      <c r="AP365" t="s">
        <v>3450</v>
      </c>
      <c r="AQ365" t="s">
        <v>3451</v>
      </c>
      <c r="AR365" t="s">
        <v>3452</v>
      </c>
      <c r="AS365" t="s">
        <v>3453</v>
      </c>
    </row>
    <row r="366" spans="1:45" x14ac:dyDescent="0.45">
      <c r="A366">
        <v>365</v>
      </c>
      <c r="B366">
        <v>406</v>
      </c>
      <c r="C366" t="s">
        <v>72</v>
      </c>
      <c r="D366" t="s">
        <v>81</v>
      </c>
      <c r="E366" t="s">
        <v>74</v>
      </c>
      <c r="F366" t="s">
        <v>77</v>
      </c>
      <c r="G366" t="s">
        <v>76</v>
      </c>
      <c r="H366">
        <v>33.102152187904508</v>
      </c>
      <c r="I366">
        <v>0</v>
      </c>
      <c r="J366">
        <v>7</v>
      </c>
      <c r="K366">
        <v>9</v>
      </c>
      <c r="L366">
        <v>-2</v>
      </c>
      <c r="M366">
        <v>6</v>
      </c>
      <c r="N366">
        <v>9</v>
      </c>
      <c r="O366">
        <v>-3</v>
      </c>
      <c r="P366">
        <v>8</v>
      </c>
      <c r="Q366">
        <v>8</v>
      </c>
      <c r="R366">
        <v>0</v>
      </c>
      <c r="S366">
        <v>9</v>
      </c>
      <c r="T366">
        <v>9</v>
      </c>
      <c r="U366">
        <v>0</v>
      </c>
      <c r="V366">
        <v>8</v>
      </c>
      <c r="W366">
        <v>9</v>
      </c>
      <c r="X366">
        <v>-1</v>
      </c>
      <c r="Y366">
        <v>7</v>
      </c>
      <c r="Z366">
        <v>7</v>
      </c>
      <c r="AA366">
        <v>0</v>
      </c>
      <c r="AB366">
        <v>8</v>
      </c>
      <c r="AC366">
        <v>7</v>
      </c>
      <c r="AD366">
        <v>1</v>
      </c>
      <c r="AE366">
        <v>6</v>
      </c>
      <c r="AF366">
        <v>7</v>
      </c>
      <c r="AG366">
        <v>-1</v>
      </c>
      <c r="AH366">
        <v>7</v>
      </c>
      <c r="AI366">
        <v>7</v>
      </c>
      <c r="AJ366">
        <v>0</v>
      </c>
      <c r="AK366" t="s">
        <v>3454</v>
      </c>
      <c r="AL366" t="s">
        <v>3455</v>
      </c>
      <c r="AM366" t="s">
        <v>3456</v>
      </c>
      <c r="AN366" t="s">
        <v>3457</v>
      </c>
      <c r="AO366" t="s">
        <v>3458</v>
      </c>
      <c r="AP366" t="s">
        <v>3459</v>
      </c>
      <c r="AQ366" t="s">
        <v>3460</v>
      </c>
      <c r="AR366" t="s">
        <v>3461</v>
      </c>
      <c r="AS366" t="s">
        <v>3462</v>
      </c>
    </row>
    <row r="367" spans="1:45" x14ac:dyDescent="0.45">
      <c r="A367">
        <v>366</v>
      </c>
      <c r="B367">
        <v>407</v>
      </c>
      <c r="C367" t="s">
        <v>78</v>
      </c>
      <c r="D367" t="s">
        <v>73</v>
      </c>
      <c r="E367" t="s">
        <v>74</v>
      </c>
      <c r="F367" t="s">
        <v>75</v>
      </c>
      <c r="G367" t="s">
        <v>76</v>
      </c>
      <c r="H367">
        <v>51.358438310867861</v>
      </c>
      <c r="I367">
        <v>1</v>
      </c>
      <c r="J367">
        <v>7</v>
      </c>
      <c r="K367">
        <v>7</v>
      </c>
      <c r="L367">
        <v>0</v>
      </c>
      <c r="M367">
        <v>6</v>
      </c>
      <c r="N367">
        <v>8</v>
      </c>
      <c r="O367">
        <v>-2</v>
      </c>
      <c r="P367">
        <v>8</v>
      </c>
      <c r="Q367">
        <v>8</v>
      </c>
      <c r="R367">
        <v>0</v>
      </c>
      <c r="S367">
        <v>7</v>
      </c>
      <c r="T367">
        <v>8</v>
      </c>
      <c r="U367">
        <v>-1</v>
      </c>
      <c r="V367">
        <v>6</v>
      </c>
      <c r="W367">
        <v>5</v>
      </c>
      <c r="X367">
        <v>1</v>
      </c>
      <c r="Y367">
        <v>7</v>
      </c>
      <c r="Z367">
        <v>6</v>
      </c>
      <c r="AA367">
        <v>1</v>
      </c>
      <c r="AB367">
        <v>8</v>
      </c>
      <c r="AC367">
        <v>5</v>
      </c>
      <c r="AD367">
        <v>3</v>
      </c>
      <c r="AE367">
        <v>6</v>
      </c>
      <c r="AF367">
        <v>6</v>
      </c>
      <c r="AG367">
        <v>0</v>
      </c>
      <c r="AH367">
        <v>7</v>
      </c>
      <c r="AI367">
        <v>6</v>
      </c>
      <c r="AJ367">
        <v>1</v>
      </c>
      <c r="AK367" t="s">
        <v>3463</v>
      </c>
      <c r="AL367" t="s">
        <v>3464</v>
      </c>
      <c r="AM367" t="s">
        <v>3465</v>
      </c>
      <c r="AN367" t="s">
        <v>3466</v>
      </c>
      <c r="AO367" t="s">
        <v>3467</v>
      </c>
      <c r="AP367" t="s">
        <v>3468</v>
      </c>
      <c r="AQ367" t="s">
        <v>3469</v>
      </c>
      <c r="AR367" t="s">
        <v>3470</v>
      </c>
      <c r="AS367" t="s">
        <v>3471</v>
      </c>
    </row>
    <row r="368" spans="1:45" x14ac:dyDescent="0.45">
      <c r="A368">
        <v>367</v>
      </c>
      <c r="B368">
        <v>408</v>
      </c>
      <c r="C368" t="s">
        <v>72</v>
      </c>
      <c r="D368" t="s">
        <v>188</v>
      </c>
      <c r="E368" t="s">
        <v>74</v>
      </c>
      <c r="F368" t="s">
        <v>77</v>
      </c>
      <c r="G368" t="s">
        <v>76</v>
      </c>
      <c r="H368">
        <v>14.995135327048178</v>
      </c>
      <c r="I368">
        <v>0</v>
      </c>
      <c r="J368">
        <v>7</v>
      </c>
      <c r="K368">
        <v>8</v>
      </c>
      <c r="L368">
        <v>-1</v>
      </c>
      <c r="M368">
        <v>6</v>
      </c>
      <c r="N368">
        <v>9</v>
      </c>
      <c r="O368">
        <v>-3</v>
      </c>
      <c r="P368">
        <v>8</v>
      </c>
      <c r="Q368">
        <v>8</v>
      </c>
      <c r="R368">
        <v>0</v>
      </c>
      <c r="S368">
        <v>9</v>
      </c>
      <c r="T368">
        <v>8</v>
      </c>
      <c r="U368">
        <v>1</v>
      </c>
      <c r="V368">
        <v>7</v>
      </c>
      <c r="W368">
        <v>9</v>
      </c>
      <c r="X368">
        <v>-2</v>
      </c>
      <c r="Y368">
        <v>8</v>
      </c>
      <c r="Z368">
        <v>10</v>
      </c>
      <c r="AA368">
        <v>-2</v>
      </c>
      <c r="AB368">
        <v>7</v>
      </c>
      <c r="AC368">
        <v>10</v>
      </c>
      <c r="AD368">
        <v>-3</v>
      </c>
      <c r="AE368">
        <v>6</v>
      </c>
      <c r="AF368">
        <v>9</v>
      </c>
      <c r="AG368">
        <v>-3</v>
      </c>
      <c r="AH368">
        <v>7</v>
      </c>
      <c r="AI368">
        <v>10</v>
      </c>
      <c r="AJ368">
        <v>-3</v>
      </c>
      <c r="AK368" t="s">
        <v>3472</v>
      </c>
      <c r="AL368" t="s">
        <v>3473</v>
      </c>
      <c r="AM368" t="s">
        <v>3474</v>
      </c>
      <c r="AN368" t="s">
        <v>3475</v>
      </c>
      <c r="AO368" t="s">
        <v>3476</v>
      </c>
      <c r="AP368" t="s">
        <v>3477</v>
      </c>
      <c r="AQ368" t="s">
        <v>3478</v>
      </c>
      <c r="AR368" t="s">
        <v>3479</v>
      </c>
      <c r="AS368" t="s">
        <v>3480</v>
      </c>
    </row>
    <row r="369" spans="1:45" x14ac:dyDescent="0.45">
      <c r="A369">
        <v>368</v>
      </c>
      <c r="B369">
        <v>409</v>
      </c>
      <c r="C369" t="s">
        <v>72</v>
      </c>
      <c r="D369" t="s">
        <v>81</v>
      </c>
      <c r="E369" t="s">
        <v>74</v>
      </c>
      <c r="F369" t="s">
        <v>75</v>
      </c>
      <c r="G369" t="s">
        <v>76</v>
      </c>
      <c r="H369">
        <v>25.482010398306635</v>
      </c>
      <c r="I369">
        <v>2</v>
      </c>
      <c r="J369">
        <v>7</v>
      </c>
      <c r="K369">
        <v>7</v>
      </c>
      <c r="L369">
        <v>0</v>
      </c>
      <c r="M369">
        <v>6</v>
      </c>
      <c r="N369">
        <v>7</v>
      </c>
      <c r="O369">
        <v>-1</v>
      </c>
      <c r="P369">
        <v>8</v>
      </c>
      <c r="Q369">
        <v>8</v>
      </c>
      <c r="R369">
        <v>0</v>
      </c>
      <c r="S369">
        <v>7</v>
      </c>
      <c r="T369">
        <v>8</v>
      </c>
      <c r="U369">
        <v>-1</v>
      </c>
      <c r="V369">
        <v>6</v>
      </c>
      <c r="W369">
        <v>6</v>
      </c>
      <c r="X369">
        <v>0</v>
      </c>
      <c r="Y369">
        <v>8</v>
      </c>
      <c r="Z369">
        <v>8</v>
      </c>
      <c r="AA369">
        <v>0</v>
      </c>
      <c r="AB369">
        <v>6</v>
      </c>
      <c r="AC369">
        <v>6</v>
      </c>
      <c r="AD369">
        <v>0</v>
      </c>
      <c r="AE369">
        <v>7</v>
      </c>
      <c r="AF369">
        <v>7</v>
      </c>
      <c r="AG369">
        <v>0</v>
      </c>
      <c r="AH369">
        <v>8</v>
      </c>
      <c r="AI369">
        <v>8</v>
      </c>
      <c r="AJ369">
        <v>0</v>
      </c>
      <c r="AK369" t="s">
        <v>3481</v>
      </c>
      <c r="AL369" t="s">
        <v>3482</v>
      </c>
      <c r="AM369" t="s">
        <v>3483</v>
      </c>
      <c r="AN369" t="s">
        <v>3484</v>
      </c>
      <c r="AO369" t="s">
        <v>3485</v>
      </c>
      <c r="AP369" t="s">
        <v>3486</v>
      </c>
      <c r="AQ369" t="s">
        <v>3487</v>
      </c>
      <c r="AR369" t="s">
        <v>3488</v>
      </c>
      <c r="AS369" t="s">
        <v>3489</v>
      </c>
    </row>
    <row r="370" spans="1:45" x14ac:dyDescent="0.45">
      <c r="A370">
        <v>369</v>
      </c>
      <c r="B370">
        <v>410</v>
      </c>
      <c r="C370" t="s">
        <v>78</v>
      </c>
      <c r="D370" t="s">
        <v>81</v>
      </c>
      <c r="E370" t="s">
        <v>74</v>
      </c>
      <c r="F370" t="s">
        <v>77</v>
      </c>
      <c r="G370" t="s">
        <v>76</v>
      </c>
      <c r="H370">
        <v>14.280418241120374</v>
      </c>
      <c r="I370">
        <v>0</v>
      </c>
      <c r="J370">
        <v>7</v>
      </c>
      <c r="K370">
        <v>6</v>
      </c>
      <c r="L370">
        <v>1</v>
      </c>
      <c r="M370">
        <v>8</v>
      </c>
      <c r="N370">
        <v>6</v>
      </c>
      <c r="O370">
        <v>2</v>
      </c>
      <c r="P370">
        <v>6</v>
      </c>
      <c r="Q370">
        <v>8</v>
      </c>
      <c r="R370">
        <v>-2</v>
      </c>
      <c r="S370">
        <v>9</v>
      </c>
      <c r="T370">
        <v>9</v>
      </c>
      <c r="U370">
        <v>0</v>
      </c>
      <c r="V370">
        <v>8</v>
      </c>
      <c r="W370">
        <v>8</v>
      </c>
      <c r="X370">
        <v>0</v>
      </c>
      <c r="Y370">
        <v>7</v>
      </c>
      <c r="Z370">
        <v>8</v>
      </c>
      <c r="AA370">
        <v>-1</v>
      </c>
      <c r="AB370">
        <v>6</v>
      </c>
      <c r="AC370">
        <v>5</v>
      </c>
      <c r="AD370">
        <v>1</v>
      </c>
      <c r="AE370">
        <v>7</v>
      </c>
      <c r="AF370">
        <v>7</v>
      </c>
      <c r="AG370">
        <v>0</v>
      </c>
      <c r="AH370">
        <v>8</v>
      </c>
      <c r="AI370">
        <v>8</v>
      </c>
      <c r="AJ370">
        <v>0</v>
      </c>
      <c r="AK370" t="s">
        <v>3490</v>
      </c>
      <c r="AL370" t="s">
        <v>3491</v>
      </c>
      <c r="AM370" t="s">
        <v>3492</v>
      </c>
      <c r="AN370" t="s">
        <v>3493</v>
      </c>
      <c r="AO370" t="s">
        <v>3494</v>
      </c>
      <c r="AP370" t="s">
        <v>3495</v>
      </c>
      <c r="AQ370" t="s">
        <v>3496</v>
      </c>
      <c r="AR370" t="s">
        <v>3497</v>
      </c>
      <c r="AS370" t="s">
        <v>3498</v>
      </c>
    </row>
    <row r="371" spans="1:45" x14ac:dyDescent="0.45">
      <c r="A371">
        <v>370</v>
      </c>
      <c r="B371">
        <v>411</v>
      </c>
      <c r="C371" t="s">
        <v>78</v>
      </c>
      <c r="D371" t="s">
        <v>188</v>
      </c>
      <c r="E371" t="s">
        <v>74</v>
      </c>
      <c r="F371" t="s">
        <v>77</v>
      </c>
      <c r="G371" t="s">
        <v>76</v>
      </c>
      <c r="H371">
        <v>18.468425517168413</v>
      </c>
      <c r="I371">
        <v>0</v>
      </c>
      <c r="J371">
        <v>7</v>
      </c>
      <c r="K371">
        <v>6</v>
      </c>
      <c r="L371">
        <v>1</v>
      </c>
      <c r="M371">
        <v>8</v>
      </c>
      <c r="N371">
        <v>7</v>
      </c>
      <c r="O371">
        <v>1</v>
      </c>
      <c r="P371">
        <v>9</v>
      </c>
      <c r="Q371">
        <v>7</v>
      </c>
      <c r="R371">
        <v>2</v>
      </c>
      <c r="S371">
        <v>8</v>
      </c>
      <c r="T371">
        <v>9</v>
      </c>
      <c r="U371">
        <v>-1</v>
      </c>
      <c r="V371">
        <v>7</v>
      </c>
      <c r="W371">
        <v>7</v>
      </c>
      <c r="X371">
        <v>0</v>
      </c>
      <c r="Y371">
        <v>6</v>
      </c>
      <c r="Z371">
        <v>9</v>
      </c>
      <c r="AA371">
        <v>-3</v>
      </c>
      <c r="AB371">
        <v>7</v>
      </c>
      <c r="AC371">
        <v>9</v>
      </c>
      <c r="AD371">
        <v>-2</v>
      </c>
      <c r="AE371">
        <v>6</v>
      </c>
      <c r="AF371">
        <v>9</v>
      </c>
      <c r="AG371">
        <v>-3</v>
      </c>
      <c r="AH371">
        <v>8</v>
      </c>
      <c r="AI371">
        <v>9</v>
      </c>
      <c r="AJ371">
        <v>-1</v>
      </c>
      <c r="AK371" t="s">
        <v>3499</v>
      </c>
      <c r="AL371" t="s">
        <v>3500</v>
      </c>
      <c r="AM371" t="s">
        <v>3501</v>
      </c>
      <c r="AN371" t="s">
        <v>3502</v>
      </c>
      <c r="AO371" t="s">
        <v>3503</v>
      </c>
      <c r="AP371" t="s">
        <v>3504</v>
      </c>
      <c r="AQ371" t="s">
        <v>3505</v>
      </c>
      <c r="AR371" t="s">
        <v>3506</v>
      </c>
      <c r="AS371" t="s">
        <v>3507</v>
      </c>
    </row>
    <row r="372" spans="1:45" x14ac:dyDescent="0.45">
      <c r="A372">
        <v>371</v>
      </c>
      <c r="B372">
        <v>412</v>
      </c>
      <c r="C372" t="s">
        <v>78</v>
      </c>
      <c r="D372" t="s">
        <v>79</v>
      </c>
      <c r="E372" t="s">
        <v>74</v>
      </c>
      <c r="F372" t="s">
        <v>75</v>
      </c>
      <c r="G372" t="s">
        <v>76</v>
      </c>
      <c r="H372">
        <v>62.73276603201117</v>
      </c>
      <c r="I372">
        <v>3</v>
      </c>
      <c r="J372">
        <v>7</v>
      </c>
      <c r="K372">
        <v>4</v>
      </c>
      <c r="L372">
        <v>3</v>
      </c>
      <c r="M372">
        <v>7</v>
      </c>
      <c r="N372">
        <v>4</v>
      </c>
      <c r="O372">
        <v>3</v>
      </c>
      <c r="P372">
        <v>8</v>
      </c>
      <c r="Q372">
        <v>5</v>
      </c>
      <c r="R372">
        <v>3</v>
      </c>
      <c r="S372">
        <v>8</v>
      </c>
      <c r="T372">
        <v>5</v>
      </c>
      <c r="U372">
        <v>3</v>
      </c>
      <c r="V372">
        <v>7</v>
      </c>
      <c r="W372">
        <v>5</v>
      </c>
      <c r="X372">
        <v>2</v>
      </c>
      <c r="Y372">
        <v>8</v>
      </c>
      <c r="Z372">
        <v>4</v>
      </c>
      <c r="AA372">
        <v>4</v>
      </c>
      <c r="AB372">
        <v>7</v>
      </c>
      <c r="AC372">
        <v>5</v>
      </c>
      <c r="AD372">
        <v>2</v>
      </c>
      <c r="AE372">
        <v>8</v>
      </c>
      <c r="AF372">
        <v>6</v>
      </c>
      <c r="AG372">
        <v>2</v>
      </c>
      <c r="AH372">
        <v>7</v>
      </c>
      <c r="AI372">
        <v>5</v>
      </c>
      <c r="AJ372">
        <v>2</v>
      </c>
      <c r="AK372" t="s">
        <v>3508</v>
      </c>
      <c r="AL372" t="s">
        <v>3509</v>
      </c>
      <c r="AM372" t="s">
        <v>3510</v>
      </c>
      <c r="AN372" t="s">
        <v>3511</v>
      </c>
      <c r="AO372" t="s">
        <v>3512</v>
      </c>
      <c r="AP372" t="s">
        <v>3513</v>
      </c>
      <c r="AQ372" t="s">
        <v>3514</v>
      </c>
      <c r="AR372" t="s">
        <v>3515</v>
      </c>
      <c r="AS372" t="s">
        <v>3516</v>
      </c>
    </row>
    <row r="373" spans="1:45" x14ac:dyDescent="0.45">
      <c r="A373">
        <v>372</v>
      </c>
      <c r="B373">
        <v>413</v>
      </c>
      <c r="C373" t="s">
        <v>72</v>
      </c>
      <c r="D373" t="s">
        <v>73</v>
      </c>
      <c r="E373" t="s">
        <v>74</v>
      </c>
      <c r="F373" t="s">
        <v>77</v>
      </c>
      <c r="G373" t="s">
        <v>76</v>
      </c>
      <c r="H373">
        <v>32.693307169523315</v>
      </c>
      <c r="I373">
        <v>2</v>
      </c>
      <c r="J373">
        <v>7</v>
      </c>
      <c r="K373">
        <v>6</v>
      </c>
      <c r="L373">
        <v>1</v>
      </c>
      <c r="M373">
        <v>6</v>
      </c>
      <c r="N373">
        <v>6</v>
      </c>
      <c r="O373">
        <v>0</v>
      </c>
      <c r="P373">
        <v>8</v>
      </c>
      <c r="Q373">
        <v>8</v>
      </c>
      <c r="R373">
        <v>0</v>
      </c>
      <c r="S373">
        <v>9</v>
      </c>
      <c r="T373">
        <v>8</v>
      </c>
      <c r="U373">
        <v>1</v>
      </c>
      <c r="V373">
        <v>7</v>
      </c>
      <c r="W373">
        <v>6</v>
      </c>
      <c r="X373">
        <v>1</v>
      </c>
      <c r="Y373">
        <v>6</v>
      </c>
      <c r="Z373">
        <v>7</v>
      </c>
      <c r="AA373">
        <v>-1</v>
      </c>
      <c r="AB373">
        <v>8</v>
      </c>
      <c r="AC373">
        <v>5</v>
      </c>
      <c r="AD373">
        <v>3</v>
      </c>
      <c r="AE373">
        <v>5</v>
      </c>
      <c r="AF373">
        <v>6</v>
      </c>
      <c r="AG373">
        <v>-1</v>
      </c>
      <c r="AH373">
        <v>8</v>
      </c>
      <c r="AI373">
        <v>6</v>
      </c>
      <c r="AJ373">
        <v>2</v>
      </c>
      <c r="AK373" t="s">
        <v>3517</v>
      </c>
      <c r="AL373" t="s">
        <v>3518</v>
      </c>
      <c r="AM373" t="s">
        <v>3519</v>
      </c>
      <c r="AN373" t="s">
        <v>3520</v>
      </c>
      <c r="AO373" t="s">
        <v>3521</v>
      </c>
      <c r="AP373" t="s">
        <v>3522</v>
      </c>
      <c r="AQ373" t="s">
        <v>3523</v>
      </c>
      <c r="AR373" t="s">
        <v>3524</v>
      </c>
      <c r="AS373" t="s">
        <v>3525</v>
      </c>
    </row>
    <row r="374" spans="1:45" x14ac:dyDescent="0.45">
      <c r="A374">
        <v>373</v>
      </c>
      <c r="B374">
        <v>414</v>
      </c>
      <c r="C374" t="s">
        <v>72</v>
      </c>
      <c r="D374" t="s">
        <v>73</v>
      </c>
      <c r="E374" t="s">
        <v>74</v>
      </c>
      <c r="F374" t="s">
        <v>77</v>
      </c>
      <c r="G374" t="s">
        <v>76</v>
      </c>
      <c r="H374">
        <v>83.789878156641961</v>
      </c>
      <c r="I374">
        <v>2</v>
      </c>
      <c r="J374">
        <v>7</v>
      </c>
      <c r="K374">
        <v>8</v>
      </c>
      <c r="L374">
        <v>-1</v>
      </c>
      <c r="M374">
        <v>8</v>
      </c>
      <c r="N374">
        <v>8</v>
      </c>
      <c r="O374">
        <v>0</v>
      </c>
      <c r="P374">
        <v>9</v>
      </c>
      <c r="Q374">
        <v>9</v>
      </c>
      <c r="R374">
        <v>0</v>
      </c>
      <c r="S374">
        <v>7</v>
      </c>
      <c r="T374">
        <v>9</v>
      </c>
      <c r="U374">
        <v>-2</v>
      </c>
      <c r="V374">
        <v>6</v>
      </c>
      <c r="W374">
        <v>5</v>
      </c>
      <c r="X374">
        <v>1</v>
      </c>
      <c r="Y374">
        <v>6</v>
      </c>
      <c r="Z374">
        <v>5</v>
      </c>
      <c r="AA374">
        <v>1</v>
      </c>
      <c r="AB374">
        <v>5</v>
      </c>
      <c r="AC374">
        <v>5</v>
      </c>
      <c r="AD374">
        <v>0</v>
      </c>
      <c r="AE374">
        <v>6</v>
      </c>
      <c r="AF374">
        <v>6</v>
      </c>
      <c r="AG374">
        <v>0</v>
      </c>
      <c r="AH374">
        <v>7</v>
      </c>
      <c r="AI374">
        <v>5</v>
      </c>
      <c r="AJ374">
        <v>2</v>
      </c>
      <c r="AK374" t="s">
        <v>3526</v>
      </c>
      <c r="AL374" t="s">
        <v>3527</v>
      </c>
      <c r="AM374" t="s">
        <v>3528</v>
      </c>
      <c r="AN374" t="s">
        <v>3529</v>
      </c>
      <c r="AO374" t="s">
        <v>3530</v>
      </c>
      <c r="AP374" t="s">
        <v>3531</v>
      </c>
      <c r="AQ374" t="s">
        <v>3532</v>
      </c>
      <c r="AR374" t="s">
        <v>3533</v>
      </c>
      <c r="AS374" t="s">
        <v>3534</v>
      </c>
    </row>
    <row r="375" spans="1:45" x14ac:dyDescent="0.45">
      <c r="A375">
        <v>374</v>
      </c>
      <c r="B375">
        <v>415</v>
      </c>
      <c r="C375" t="s">
        <v>72</v>
      </c>
      <c r="D375" t="s">
        <v>73</v>
      </c>
      <c r="E375" t="s">
        <v>74</v>
      </c>
      <c r="F375" t="s">
        <v>77</v>
      </c>
      <c r="G375" t="s">
        <v>76</v>
      </c>
      <c r="H375">
        <v>43.539982918266723</v>
      </c>
      <c r="I375">
        <v>1</v>
      </c>
      <c r="J375">
        <v>7</v>
      </c>
      <c r="K375">
        <v>6</v>
      </c>
      <c r="L375">
        <v>1</v>
      </c>
      <c r="M375">
        <v>6</v>
      </c>
      <c r="N375">
        <v>6</v>
      </c>
      <c r="O375">
        <v>0</v>
      </c>
      <c r="P375">
        <v>8</v>
      </c>
      <c r="Q375">
        <v>7</v>
      </c>
      <c r="R375">
        <v>1</v>
      </c>
      <c r="S375">
        <v>8</v>
      </c>
      <c r="T375">
        <v>7</v>
      </c>
      <c r="U375">
        <v>1</v>
      </c>
      <c r="V375">
        <v>7</v>
      </c>
      <c r="W375">
        <v>6</v>
      </c>
      <c r="X375">
        <v>1</v>
      </c>
      <c r="Y375">
        <v>7</v>
      </c>
      <c r="Z375">
        <v>6</v>
      </c>
      <c r="AA375">
        <v>1</v>
      </c>
      <c r="AB375">
        <v>6</v>
      </c>
      <c r="AC375">
        <v>6</v>
      </c>
      <c r="AD375">
        <v>0</v>
      </c>
      <c r="AE375">
        <v>7</v>
      </c>
      <c r="AF375">
        <v>6</v>
      </c>
      <c r="AG375">
        <v>1</v>
      </c>
      <c r="AH375">
        <v>7</v>
      </c>
      <c r="AI375">
        <v>6</v>
      </c>
      <c r="AJ375">
        <v>1</v>
      </c>
      <c r="AK375" t="s">
        <v>3535</v>
      </c>
      <c r="AL375" t="s">
        <v>3536</v>
      </c>
      <c r="AM375" t="s">
        <v>3537</v>
      </c>
      <c r="AN375" t="s">
        <v>3538</v>
      </c>
      <c r="AO375" t="s">
        <v>3539</v>
      </c>
      <c r="AP375" t="s">
        <v>3540</v>
      </c>
      <c r="AQ375" t="s">
        <v>3541</v>
      </c>
      <c r="AR375" t="s">
        <v>3542</v>
      </c>
      <c r="AS375" t="s">
        <v>3543</v>
      </c>
    </row>
    <row r="376" spans="1:45" x14ac:dyDescent="0.45">
      <c r="A376">
        <v>375</v>
      </c>
      <c r="B376">
        <v>416</v>
      </c>
      <c r="C376" t="s">
        <v>72</v>
      </c>
      <c r="D376" t="s">
        <v>73</v>
      </c>
      <c r="E376" t="s">
        <v>74</v>
      </c>
      <c r="F376" t="s">
        <v>77</v>
      </c>
      <c r="G376" t="s">
        <v>76</v>
      </c>
      <c r="H376">
        <v>48.047007240192301</v>
      </c>
      <c r="I376">
        <v>1</v>
      </c>
      <c r="J376">
        <v>6</v>
      </c>
      <c r="K376">
        <v>8</v>
      </c>
      <c r="L376">
        <v>-2</v>
      </c>
      <c r="M376">
        <v>7</v>
      </c>
      <c r="N376">
        <v>8</v>
      </c>
      <c r="O376">
        <v>-1</v>
      </c>
      <c r="P376">
        <v>8</v>
      </c>
      <c r="Q376">
        <v>8</v>
      </c>
      <c r="R376">
        <v>0</v>
      </c>
      <c r="S376">
        <v>9</v>
      </c>
      <c r="T376">
        <v>8</v>
      </c>
      <c r="U376">
        <v>1</v>
      </c>
      <c r="V376">
        <v>8</v>
      </c>
      <c r="W376">
        <v>7</v>
      </c>
      <c r="X376">
        <v>1</v>
      </c>
      <c r="Y376">
        <v>9</v>
      </c>
      <c r="Z376">
        <v>6</v>
      </c>
      <c r="AA376">
        <v>3</v>
      </c>
      <c r="AB376">
        <v>8</v>
      </c>
      <c r="AC376">
        <v>6</v>
      </c>
      <c r="AD376">
        <v>2</v>
      </c>
      <c r="AE376">
        <v>7</v>
      </c>
      <c r="AF376">
        <v>5</v>
      </c>
      <c r="AG376">
        <v>2</v>
      </c>
      <c r="AH376">
        <v>8</v>
      </c>
      <c r="AI376">
        <v>7</v>
      </c>
      <c r="AJ376">
        <v>1</v>
      </c>
      <c r="AK376" t="s">
        <v>3544</v>
      </c>
      <c r="AL376" t="s">
        <v>3545</v>
      </c>
      <c r="AM376" t="s">
        <v>3546</v>
      </c>
      <c r="AN376" t="s">
        <v>3547</v>
      </c>
      <c r="AO376" t="s">
        <v>3548</v>
      </c>
      <c r="AP376" t="s">
        <v>3549</v>
      </c>
      <c r="AQ376" t="s">
        <v>3550</v>
      </c>
      <c r="AR376" t="s">
        <v>3551</v>
      </c>
      <c r="AS376" t="s">
        <v>3552</v>
      </c>
    </row>
    <row r="377" spans="1:45" x14ac:dyDescent="0.45">
      <c r="A377">
        <v>376</v>
      </c>
      <c r="B377">
        <v>417</v>
      </c>
      <c r="C377" t="s">
        <v>72</v>
      </c>
      <c r="D377" t="s">
        <v>81</v>
      </c>
      <c r="E377" t="s">
        <v>74</v>
      </c>
      <c r="F377" t="s">
        <v>77</v>
      </c>
      <c r="G377" t="s">
        <v>76</v>
      </c>
      <c r="H377">
        <v>21.811235986808899</v>
      </c>
      <c r="I377">
        <v>0</v>
      </c>
      <c r="J377">
        <v>7</v>
      </c>
      <c r="K377">
        <v>6</v>
      </c>
      <c r="L377">
        <v>1</v>
      </c>
      <c r="M377">
        <v>7</v>
      </c>
      <c r="N377">
        <v>6</v>
      </c>
      <c r="O377">
        <v>1</v>
      </c>
      <c r="P377">
        <v>6</v>
      </c>
      <c r="Q377">
        <v>5</v>
      </c>
      <c r="R377">
        <v>1</v>
      </c>
      <c r="S377">
        <v>8</v>
      </c>
      <c r="T377">
        <v>7</v>
      </c>
      <c r="U377">
        <v>1</v>
      </c>
      <c r="V377">
        <v>7</v>
      </c>
      <c r="W377">
        <v>6</v>
      </c>
      <c r="X377">
        <v>1</v>
      </c>
      <c r="Y377">
        <v>6</v>
      </c>
      <c r="Z377">
        <v>7</v>
      </c>
      <c r="AA377">
        <v>-1</v>
      </c>
      <c r="AB377">
        <v>7</v>
      </c>
      <c r="AC377">
        <v>5</v>
      </c>
      <c r="AD377">
        <v>2</v>
      </c>
      <c r="AE377">
        <v>5</v>
      </c>
      <c r="AF377">
        <v>6</v>
      </c>
      <c r="AG377">
        <v>-1</v>
      </c>
      <c r="AH377">
        <v>6</v>
      </c>
      <c r="AI377">
        <v>7</v>
      </c>
      <c r="AJ377">
        <v>-1</v>
      </c>
      <c r="AK377" t="s">
        <v>3553</v>
      </c>
      <c r="AL377" t="s">
        <v>3554</v>
      </c>
      <c r="AM377" t="s">
        <v>3555</v>
      </c>
      <c r="AN377" t="s">
        <v>3556</v>
      </c>
      <c r="AO377" t="s">
        <v>3557</v>
      </c>
      <c r="AP377" t="s">
        <v>3558</v>
      </c>
      <c r="AQ377" t="s">
        <v>3559</v>
      </c>
      <c r="AR377" t="s">
        <v>3560</v>
      </c>
      <c r="AS377" t="s">
        <v>3561</v>
      </c>
    </row>
    <row r="378" spans="1:45" x14ac:dyDescent="0.45">
      <c r="A378">
        <v>377</v>
      </c>
      <c r="B378">
        <v>418</v>
      </c>
      <c r="C378" t="s">
        <v>78</v>
      </c>
      <c r="D378" t="s">
        <v>81</v>
      </c>
      <c r="E378" t="s">
        <v>74</v>
      </c>
      <c r="F378" t="s">
        <v>77</v>
      </c>
      <c r="G378" t="s">
        <v>76</v>
      </c>
      <c r="H378">
        <v>13.596135687467878</v>
      </c>
      <c r="I378">
        <v>0</v>
      </c>
      <c r="J378">
        <v>7</v>
      </c>
      <c r="K378">
        <v>7</v>
      </c>
      <c r="L378">
        <v>0</v>
      </c>
      <c r="M378">
        <v>8</v>
      </c>
      <c r="N378">
        <v>8</v>
      </c>
      <c r="O378">
        <v>0</v>
      </c>
      <c r="P378">
        <v>9</v>
      </c>
      <c r="Q378">
        <v>7</v>
      </c>
      <c r="R378">
        <v>2</v>
      </c>
      <c r="S378">
        <v>8</v>
      </c>
      <c r="T378">
        <v>7</v>
      </c>
      <c r="U378">
        <v>1</v>
      </c>
      <c r="V378">
        <v>9</v>
      </c>
      <c r="W378">
        <v>8</v>
      </c>
      <c r="X378">
        <v>1</v>
      </c>
      <c r="Y378">
        <v>8</v>
      </c>
      <c r="Z378">
        <v>9</v>
      </c>
      <c r="AA378">
        <v>-1</v>
      </c>
      <c r="AB378">
        <v>8</v>
      </c>
      <c r="AC378">
        <v>7</v>
      </c>
      <c r="AD378">
        <v>1</v>
      </c>
      <c r="AE378">
        <v>7</v>
      </c>
      <c r="AF378">
        <v>7</v>
      </c>
      <c r="AG378">
        <v>0</v>
      </c>
      <c r="AH378">
        <v>8</v>
      </c>
      <c r="AI378">
        <v>8</v>
      </c>
      <c r="AJ378">
        <v>0</v>
      </c>
      <c r="AK378" t="s">
        <v>3562</v>
      </c>
      <c r="AL378" t="s">
        <v>3563</v>
      </c>
      <c r="AM378" t="s">
        <v>3564</v>
      </c>
      <c r="AN378" t="s">
        <v>3565</v>
      </c>
      <c r="AO378" t="s">
        <v>3566</v>
      </c>
      <c r="AP378" t="s">
        <v>3567</v>
      </c>
      <c r="AQ378" t="s">
        <v>3568</v>
      </c>
      <c r="AR378" t="s">
        <v>3569</v>
      </c>
      <c r="AS378" t="s">
        <v>3570</v>
      </c>
    </row>
    <row r="379" spans="1:45" x14ac:dyDescent="0.45">
      <c r="A379">
        <v>378</v>
      </c>
      <c r="B379">
        <v>419</v>
      </c>
      <c r="C379" t="s">
        <v>72</v>
      </c>
      <c r="D379" t="s">
        <v>188</v>
      </c>
      <c r="E379" t="s">
        <v>74</v>
      </c>
      <c r="F379" t="s">
        <v>77</v>
      </c>
      <c r="G379" t="s">
        <v>76</v>
      </c>
      <c r="H379">
        <v>21.901157926557975</v>
      </c>
      <c r="I379">
        <v>0</v>
      </c>
      <c r="J379">
        <v>7</v>
      </c>
      <c r="K379">
        <v>6</v>
      </c>
      <c r="L379">
        <v>1</v>
      </c>
      <c r="M379">
        <v>8</v>
      </c>
      <c r="N379">
        <v>7</v>
      </c>
      <c r="O379">
        <v>1</v>
      </c>
      <c r="P379">
        <v>9</v>
      </c>
      <c r="Q379">
        <v>5</v>
      </c>
      <c r="R379">
        <v>4</v>
      </c>
      <c r="S379">
        <v>8</v>
      </c>
      <c r="T379">
        <v>8</v>
      </c>
      <c r="U379">
        <v>0</v>
      </c>
      <c r="V379">
        <v>9</v>
      </c>
      <c r="W379">
        <v>7</v>
      </c>
      <c r="X379">
        <v>2</v>
      </c>
      <c r="Y379">
        <v>7</v>
      </c>
      <c r="Z379">
        <v>7</v>
      </c>
      <c r="AA379">
        <v>0</v>
      </c>
      <c r="AB379">
        <v>8</v>
      </c>
      <c r="AC379">
        <v>7</v>
      </c>
      <c r="AD379">
        <v>1</v>
      </c>
      <c r="AE379">
        <v>6</v>
      </c>
      <c r="AF379">
        <v>7</v>
      </c>
      <c r="AG379">
        <v>-1</v>
      </c>
      <c r="AH379">
        <v>7</v>
      </c>
      <c r="AI379">
        <v>8</v>
      </c>
      <c r="AJ379">
        <v>-1</v>
      </c>
      <c r="AK379" t="s">
        <v>3571</v>
      </c>
      <c r="AL379" t="s">
        <v>3572</v>
      </c>
      <c r="AM379" t="s">
        <v>3573</v>
      </c>
      <c r="AN379" t="s">
        <v>3574</v>
      </c>
      <c r="AO379" t="s">
        <v>3575</v>
      </c>
      <c r="AP379" t="s">
        <v>3576</v>
      </c>
      <c r="AQ379" t="s">
        <v>3577</v>
      </c>
      <c r="AR379" t="s">
        <v>3578</v>
      </c>
      <c r="AS379" t="s">
        <v>3579</v>
      </c>
    </row>
    <row r="380" spans="1:45" x14ac:dyDescent="0.45">
      <c r="A380">
        <v>379</v>
      </c>
      <c r="B380">
        <v>420</v>
      </c>
      <c r="C380" t="s">
        <v>72</v>
      </c>
      <c r="D380" t="s">
        <v>188</v>
      </c>
      <c r="E380" t="s">
        <v>74</v>
      </c>
      <c r="F380" t="s">
        <v>77</v>
      </c>
      <c r="G380" t="s">
        <v>76</v>
      </c>
      <c r="H380">
        <v>15.887133792297604</v>
      </c>
      <c r="I380">
        <v>0</v>
      </c>
      <c r="J380">
        <v>8</v>
      </c>
      <c r="K380">
        <v>8</v>
      </c>
      <c r="L380">
        <v>0</v>
      </c>
      <c r="M380">
        <v>7</v>
      </c>
      <c r="N380">
        <v>8</v>
      </c>
      <c r="O380">
        <v>-1</v>
      </c>
      <c r="P380">
        <v>6</v>
      </c>
      <c r="Q380">
        <v>9</v>
      </c>
      <c r="R380">
        <v>-3</v>
      </c>
      <c r="S380">
        <v>5</v>
      </c>
      <c r="T380">
        <v>9</v>
      </c>
      <c r="U380">
        <v>-4</v>
      </c>
      <c r="V380">
        <v>6</v>
      </c>
      <c r="W380">
        <v>7</v>
      </c>
      <c r="X380">
        <v>-1</v>
      </c>
      <c r="Y380">
        <v>7</v>
      </c>
      <c r="Z380">
        <v>9</v>
      </c>
      <c r="AA380">
        <v>-2</v>
      </c>
      <c r="AB380">
        <v>5</v>
      </c>
      <c r="AC380">
        <v>7</v>
      </c>
      <c r="AD380">
        <v>-2</v>
      </c>
      <c r="AE380">
        <v>6</v>
      </c>
      <c r="AF380">
        <v>7</v>
      </c>
      <c r="AG380">
        <v>-1</v>
      </c>
      <c r="AH380">
        <v>7</v>
      </c>
      <c r="AI380">
        <v>9</v>
      </c>
      <c r="AJ380">
        <v>-2</v>
      </c>
      <c r="AK380" t="s">
        <v>3580</v>
      </c>
      <c r="AL380" t="s">
        <v>3581</v>
      </c>
      <c r="AM380" t="s">
        <v>3582</v>
      </c>
      <c r="AN380" t="s">
        <v>3583</v>
      </c>
      <c r="AO380" t="s">
        <v>3584</v>
      </c>
      <c r="AP380" t="s">
        <v>3585</v>
      </c>
      <c r="AQ380" t="s">
        <v>3586</v>
      </c>
      <c r="AR380" t="s">
        <v>3587</v>
      </c>
      <c r="AS380" t="s">
        <v>3588</v>
      </c>
    </row>
    <row r="381" spans="1:45" x14ac:dyDescent="0.45">
      <c r="A381">
        <v>380</v>
      </c>
      <c r="B381">
        <v>421</v>
      </c>
      <c r="C381" t="s">
        <v>78</v>
      </c>
      <c r="D381" t="s">
        <v>188</v>
      </c>
      <c r="E381" t="s">
        <v>74</v>
      </c>
      <c r="F381" t="s">
        <v>77</v>
      </c>
      <c r="G381" t="s">
        <v>76</v>
      </c>
      <c r="H381">
        <v>18.729036852850395</v>
      </c>
      <c r="I381">
        <v>0</v>
      </c>
      <c r="J381">
        <v>7</v>
      </c>
      <c r="K381">
        <v>8</v>
      </c>
      <c r="L381">
        <v>-1</v>
      </c>
      <c r="M381">
        <v>8</v>
      </c>
      <c r="N381">
        <v>8</v>
      </c>
      <c r="O381">
        <v>0</v>
      </c>
      <c r="P381">
        <v>6</v>
      </c>
      <c r="Q381">
        <v>5</v>
      </c>
      <c r="R381">
        <v>1</v>
      </c>
      <c r="S381">
        <v>8</v>
      </c>
      <c r="T381">
        <v>8</v>
      </c>
      <c r="U381">
        <v>0</v>
      </c>
      <c r="V381">
        <v>7</v>
      </c>
      <c r="W381">
        <v>6</v>
      </c>
      <c r="X381">
        <v>1</v>
      </c>
      <c r="Y381">
        <v>7</v>
      </c>
      <c r="Z381">
        <v>9</v>
      </c>
      <c r="AA381">
        <v>-2</v>
      </c>
      <c r="AB381">
        <v>6</v>
      </c>
      <c r="AC381">
        <v>5</v>
      </c>
      <c r="AD381">
        <v>1</v>
      </c>
      <c r="AE381">
        <v>5</v>
      </c>
      <c r="AF381">
        <v>7</v>
      </c>
      <c r="AG381">
        <v>-2</v>
      </c>
      <c r="AH381">
        <v>8</v>
      </c>
      <c r="AI381">
        <v>8</v>
      </c>
      <c r="AJ381">
        <v>0</v>
      </c>
      <c r="AK381" t="s">
        <v>3589</v>
      </c>
      <c r="AL381" t="s">
        <v>3590</v>
      </c>
      <c r="AM381" t="s">
        <v>3591</v>
      </c>
      <c r="AN381" t="s">
        <v>3592</v>
      </c>
      <c r="AO381" t="s">
        <v>3593</v>
      </c>
      <c r="AP381" t="s">
        <v>3594</v>
      </c>
      <c r="AQ381" t="s">
        <v>3595</v>
      </c>
      <c r="AR381" t="s">
        <v>3596</v>
      </c>
      <c r="AS381" t="s">
        <v>3597</v>
      </c>
    </row>
    <row r="382" spans="1:45" x14ac:dyDescent="0.45">
      <c r="A382">
        <v>381</v>
      </c>
      <c r="B382">
        <v>422</v>
      </c>
      <c r="C382" t="s">
        <v>78</v>
      </c>
      <c r="D382" t="s">
        <v>188</v>
      </c>
      <c r="E382" t="s">
        <v>74</v>
      </c>
      <c r="F382" t="s">
        <v>189</v>
      </c>
      <c r="G382" t="s">
        <v>76</v>
      </c>
      <c r="H382">
        <v>15.094321881951331</v>
      </c>
      <c r="I382">
        <v>0</v>
      </c>
      <c r="J382">
        <v>7</v>
      </c>
      <c r="K382">
        <v>9</v>
      </c>
      <c r="L382">
        <v>-2</v>
      </c>
      <c r="M382">
        <v>6</v>
      </c>
      <c r="N382">
        <v>9</v>
      </c>
      <c r="O382">
        <v>-3</v>
      </c>
      <c r="P382">
        <v>8</v>
      </c>
      <c r="Q382">
        <v>8</v>
      </c>
      <c r="R382">
        <v>0</v>
      </c>
      <c r="S382">
        <v>5</v>
      </c>
      <c r="T382">
        <v>9</v>
      </c>
      <c r="U382">
        <v>-4</v>
      </c>
      <c r="V382">
        <v>6</v>
      </c>
      <c r="W382">
        <v>8</v>
      </c>
      <c r="X382">
        <v>-2</v>
      </c>
      <c r="Y382">
        <v>7</v>
      </c>
      <c r="Z382">
        <v>10</v>
      </c>
      <c r="AA382">
        <v>-3</v>
      </c>
      <c r="AB382">
        <v>5</v>
      </c>
      <c r="AC382">
        <v>8</v>
      </c>
      <c r="AD382">
        <v>-3</v>
      </c>
      <c r="AE382">
        <v>4</v>
      </c>
      <c r="AF382">
        <v>8</v>
      </c>
      <c r="AG382">
        <v>-4</v>
      </c>
      <c r="AH382">
        <v>6</v>
      </c>
      <c r="AI382">
        <v>10</v>
      </c>
      <c r="AJ382">
        <v>-4</v>
      </c>
      <c r="AK382" t="s">
        <v>3598</v>
      </c>
      <c r="AL382" t="s">
        <v>3599</v>
      </c>
      <c r="AM382" t="s">
        <v>3600</v>
      </c>
      <c r="AN382" t="s">
        <v>3601</v>
      </c>
      <c r="AO382" t="s">
        <v>3602</v>
      </c>
      <c r="AP382" t="s">
        <v>3603</v>
      </c>
      <c r="AQ382" t="s">
        <v>3604</v>
      </c>
      <c r="AR382" t="s">
        <v>3605</v>
      </c>
      <c r="AS382" t="s">
        <v>3606</v>
      </c>
    </row>
    <row r="383" spans="1:45" x14ac:dyDescent="0.45">
      <c r="A383">
        <v>382</v>
      </c>
      <c r="B383">
        <v>423</v>
      </c>
      <c r="C383" t="s">
        <v>72</v>
      </c>
      <c r="D383" t="s">
        <v>188</v>
      </c>
      <c r="E383" t="s">
        <v>74</v>
      </c>
      <c r="F383" t="s">
        <v>77</v>
      </c>
      <c r="G383" t="s">
        <v>76</v>
      </c>
      <c r="H383">
        <v>20.396809167706547</v>
      </c>
      <c r="I383">
        <v>1</v>
      </c>
      <c r="J383">
        <v>8</v>
      </c>
      <c r="K383">
        <v>5</v>
      </c>
      <c r="L383">
        <v>3</v>
      </c>
      <c r="M383">
        <v>9</v>
      </c>
      <c r="N383">
        <v>5</v>
      </c>
      <c r="O383">
        <v>4</v>
      </c>
      <c r="P383">
        <v>7</v>
      </c>
      <c r="Q383">
        <v>4</v>
      </c>
      <c r="R383">
        <v>3</v>
      </c>
      <c r="S383">
        <v>6</v>
      </c>
      <c r="T383">
        <v>8</v>
      </c>
      <c r="U383">
        <v>-2</v>
      </c>
      <c r="V383">
        <v>7</v>
      </c>
      <c r="W383">
        <v>4</v>
      </c>
      <c r="X383">
        <v>3</v>
      </c>
      <c r="Y383">
        <v>7</v>
      </c>
      <c r="Z383">
        <v>8</v>
      </c>
      <c r="AA383">
        <v>-1</v>
      </c>
      <c r="AB383">
        <v>7</v>
      </c>
      <c r="AC383">
        <v>4</v>
      </c>
      <c r="AD383">
        <v>3</v>
      </c>
      <c r="AE383">
        <v>6</v>
      </c>
      <c r="AF383">
        <v>5</v>
      </c>
      <c r="AG383">
        <v>1</v>
      </c>
      <c r="AH383">
        <v>8</v>
      </c>
      <c r="AI383">
        <v>7</v>
      </c>
      <c r="AJ383">
        <v>1</v>
      </c>
      <c r="AK383" t="s">
        <v>3607</v>
      </c>
      <c r="AL383" t="s">
        <v>3608</v>
      </c>
      <c r="AM383" t="s">
        <v>3609</v>
      </c>
      <c r="AN383" t="s">
        <v>3610</v>
      </c>
      <c r="AO383" t="s">
        <v>3611</v>
      </c>
      <c r="AP383" t="s">
        <v>3612</v>
      </c>
      <c r="AQ383" t="s">
        <v>3613</v>
      </c>
      <c r="AR383" t="s">
        <v>3614</v>
      </c>
      <c r="AS383" t="s">
        <v>3615</v>
      </c>
    </row>
    <row r="384" spans="1:45" x14ac:dyDescent="0.45">
      <c r="A384">
        <v>383</v>
      </c>
      <c r="B384">
        <v>424</v>
      </c>
      <c r="C384" t="s">
        <v>78</v>
      </c>
      <c r="D384" t="s">
        <v>190</v>
      </c>
      <c r="E384" t="s">
        <v>74</v>
      </c>
      <c r="F384" t="s">
        <v>75</v>
      </c>
      <c r="G384" t="s">
        <v>76</v>
      </c>
      <c r="H384">
        <v>93.077552380010047</v>
      </c>
      <c r="I384">
        <v>2</v>
      </c>
      <c r="J384">
        <v>8</v>
      </c>
      <c r="K384">
        <v>1</v>
      </c>
      <c r="L384">
        <v>7</v>
      </c>
      <c r="M384">
        <v>7</v>
      </c>
      <c r="N384">
        <v>1</v>
      </c>
      <c r="O384">
        <v>6</v>
      </c>
      <c r="P384">
        <v>6</v>
      </c>
      <c r="Q384">
        <v>4</v>
      </c>
      <c r="R384">
        <v>2</v>
      </c>
      <c r="S384">
        <v>5</v>
      </c>
      <c r="T384">
        <v>5</v>
      </c>
      <c r="U384">
        <v>0</v>
      </c>
      <c r="V384">
        <v>4</v>
      </c>
      <c r="W384">
        <v>5</v>
      </c>
      <c r="X384">
        <v>-1</v>
      </c>
      <c r="Y384">
        <v>3</v>
      </c>
      <c r="Z384">
        <v>4</v>
      </c>
      <c r="AA384">
        <v>-1</v>
      </c>
      <c r="AB384">
        <v>4</v>
      </c>
      <c r="AC384">
        <v>4</v>
      </c>
      <c r="AD384">
        <v>0</v>
      </c>
      <c r="AE384">
        <v>3</v>
      </c>
      <c r="AF384">
        <v>5</v>
      </c>
      <c r="AG384">
        <v>-2</v>
      </c>
      <c r="AH384">
        <v>5</v>
      </c>
      <c r="AI384">
        <v>3</v>
      </c>
      <c r="AJ384">
        <v>2</v>
      </c>
      <c r="AK384" t="s">
        <v>3616</v>
      </c>
      <c r="AL384" t="s">
        <v>3617</v>
      </c>
      <c r="AM384" t="s">
        <v>3618</v>
      </c>
      <c r="AN384" t="s">
        <v>3619</v>
      </c>
      <c r="AO384" t="s">
        <v>3620</v>
      </c>
      <c r="AP384" t="s">
        <v>3621</v>
      </c>
      <c r="AQ384" t="s">
        <v>3622</v>
      </c>
      <c r="AR384" t="s">
        <v>3623</v>
      </c>
      <c r="AS384" t="s">
        <v>3624</v>
      </c>
    </row>
    <row r="385" spans="1:45" x14ac:dyDescent="0.45">
      <c r="A385">
        <v>384</v>
      </c>
      <c r="B385">
        <v>425</v>
      </c>
      <c r="C385" t="s">
        <v>78</v>
      </c>
      <c r="D385" t="s">
        <v>188</v>
      </c>
      <c r="E385" t="s">
        <v>74</v>
      </c>
      <c r="F385" t="s">
        <v>77</v>
      </c>
      <c r="G385" t="s">
        <v>76</v>
      </c>
      <c r="H385">
        <v>12</v>
      </c>
      <c r="I385">
        <v>0</v>
      </c>
      <c r="J385">
        <v>8</v>
      </c>
      <c r="K385">
        <v>7</v>
      </c>
      <c r="L385">
        <v>1</v>
      </c>
      <c r="M385">
        <v>7</v>
      </c>
      <c r="N385">
        <v>7</v>
      </c>
      <c r="O385">
        <v>0</v>
      </c>
      <c r="P385">
        <v>6</v>
      </c>
      <c r="Q385">
        <v>7</v>
      </c>
      <c r="R385">
        <v>-1</v>
      </c>
      <c r="S385">
        <v>9</v>
      </c>
      <c r="T385">
        <v>9</v>
      </c>
      <c r="U385">
        <v>0</v>
      </c>
      <c r="V385">
        <v>7</v>
      </c>
      <c r="W385">
        <v>8</v>
      </c>
      <c r="X385">
        <v>-1</v>
      </c>
      <c r="Y385">
        <v>8</v>
      </c>
      <c r="Z385">
        <v>10</v>
      </c>
      <c r="AA385">
        <v>-2</v>
      </c>
      <c r="AB385">
        <v>7</v>
      </c>
      <c r="AC385">
        <v>8</v>
      </c>
      <c r="AD385">
        <v>-1</v>
      </c>
      <c r="AE385">
        <v>6</v>
      </c>
      <c r="AF385">
        <v>7</v>
      </c>
      <c r="AG385">
        <v>-1</v>
      </c>
      <c r="AH385">
        <v>8</v>
      </c>
      <c r="AI385">
        <v>10</v>
      </c>
      <c r="AJ385">
        <v>-2</v>
      </c>
      <c r="AK385" t="s">
        <v>216</v>
      </c>
      <c r="AL385" t="s">
        <v>216</v>
      </c>
      <c r="AM385" t="s">
        <v>216</v>
      </c>
      <c r="AN385" t="s">
        <v>216</v>
      </c>
      <c r="AO385" t="s">
        <v>216</v>
      </c>
      <c r="AP385" t="s">
        <v>216</v>
      </c>
      <c r="AQ385" t="s">
        <v>216</v>
      </c>
      <c r="AR385" t="s">
        <v>216</v>
      </c>
      <c r="AS385" t="s">
        <v>216</v>
      </c>
    </row>
    <row r="386" spans="1:45" x14ac:dyDescent="0.45">
      <c r="A386">
        <v>385</v>
      </c>
      <c r="B386">
        <v>426</v>
      </c>
      <c r="C386" t="s">
        <v>78</v>
      </c>
      <c r="D386" t="s">
        <v>79</v>
      </c>
      <c r="E386" t="s">
        <v>74</v>
      </c>
      <c r="F386" t="s">
        <v>77</v>
      </c>
      <c r="G386" t="s">
        <v>76</v>
      </c>
      <c r="H386">
        <v>40.113415495298327</v>
      </c>
      <c r="I386">
        <v>2</v>
      </c>
      <c r="J386">
        <v>6</v>
      </c>
      <c r="K386">
        <v>3</v>
      </c>
      <c r="L386">
        <v>3</v>
      </c>
      <c r="M386">
        <v>7</v>
      </c>
      <c r="N386">
        <v>3</v>
      </c>
      <c r="O386">
        <v>4</v>
      </c>
      <c r="P386">
        <v>8</v>
      </c>
      <c r="Q386">
        <v>4</v>
      </c>
      <c r="R386">
        <v>4</v>
      </c>
      <c r="S386">
        <v>6</v>
      </c>
      <c r="T386">
        <v>6</v>
      </c>
      <c r="U386">
        <v>0</v>
      </c>
      <c r="V386">
        <v>7</v>
      </c>
      <c r="W386">
        <v>4</v>
      </c>
      <c r="X386">
        <v>3</v>
      </c>
      <c r="Y386">
        <v>8</v>
      </c>
      <c r="Z386">
        <v>5</v>
      </c>
      <c r="AA386">
        <v>3</v>
      </c>
      <c r="AB386">
        <v>6</v>
      </c>
      <c r="AC386">
        <v>4</v>
      </c>
      <c r="AD386">
        <v>2</v>
      </c>
      <c r="AE386">
        <v>7</v>
      </c>
      <c r="AF386">
        <v>5</v>
      </c>
      <c r="AG386">
        <v>2</v>
      </c>
      <c r="AH386">
        <v>6</v>
      </c>
      <c r="AI386">
        <v>5</v>
      </c>
      <c r="AJ386">
        <v>1</v>
      </c>
      <c r="AK386" t="s">
        <v>3625</v>
      </c>
      <c r="AL386" t="s">
        <v>3626</v>
      </c>
      <c r="AM386" t="s">
        <v>3627</v>
      </c>
      <c r="AN386" t="s">
        <v>3628</v>
      </c>
      <c r="AO386" t="s">
        <v>3629</v>
      </c>
      <c r="AP386" t="s">
        <v>3630</v>
      </c>
      <c r="AQ386" t="s">
        <v>3631</v>
      </c>
      <c r="AR386" t="s">
        <v>3632</v>
      </c>
      <c r="AS386" t="s">
        <v>3633</v>
      </c>
    </row>
    <row r="387" spans="1:45" x14ac:dyDescent="0.45">
      <c r="A387">
        <v>386</v>
      </c>
      <c r="B387">
        <v>427</v>
      </c>
      <c r="C387" t="s">
        <v>72</v>
      </c>
      <c r="D387" t="s">
        <v>81</v>
      </c>
      <c r="E387" t="s">
        <v>74</v>
      </c>
      <c r="F387" t="s">
        <v>75</v>
      </c>
      <c r="G387" t="s">
        <v>76</v>
      </c>
      <c r="H387">
        <v>27.369543347500112</v>
      </c>
      <c r="I387">
        <v>0</v>
      </c>
      <c r="J387">
        <v>7</v>
      </c>
      <c r="K387">
        <v>8</v>
      </c>
      <c r="L387">
        <v>-1</v>
      </c>
      <c r="M387">
        <v>6</v>
      </c>
      <c r="N387">
        <v>8</v>
      </c>
      <c r="O387">
        <v>-2</v>
      </c>
      <c r="P387">
        <v>8</v>
      </c>
      <c r="Q387">
        <v>9</v>
      </c>
      <c r="R387">
        <v>-1</v>
      </c>
      <c r="S387">
        <v>9</v>
      </c>
      <c r="T387">
        <v>8</v>
      </c>
      <c r="U387">
        <v>1</v>
      </c>
      <c r="V387">
        <v>7</v>
      </c>
      <c r="W387">
        <v>7</v>
      </c>
      <c r="X387">
        <v>0</v>
      </c>
      <c r="Y387">
        <v>6</v>
      </c>
      <c r="Z387">
        <v>8</v>
      </c>
      <c r="AA387">
        <v>-2</v>
      </c>
      <c r="AB387">
        <v>7</v>
      </c>
      <c r="AC387">
        <v>7</v>
      </c>
      <c r="AD387">
        <v>0</v>
      </c>
      <c r="AE387">
        <v>5</v>
      </c>
      <c r="AF387">
        <v>7</v>
      </c>
      <c r="AG387">
        <v>-2</v>
      </c>
      <c r="AH387">
        <v>7</v>
      </c>
      <c r="AI387">
        <v>8</v>
      </c>
      <c r="AJ387">
        <v>-1</v>
      </c>
      <c r="AK387" t="s">
        <v>3634</v>
      </c>
      <c r="AL387" t="s">
        <v>3635</v>
      </c>
      <c r="AM387" t="s">
        <v>3636</v>
      </c>
      <c r="AN387" t="s">
        <v>3637</v>
      </c>
      <c r="AO387" t="s">
        <v>3638</v>
      </c>
      <c r="AP387" t="s">
        <v>3639</v>
      </c>
      <c r="AQ387" t="s">
        <v>3640</v>
      </c>
      <c r="AR387" t="s">
        <v>3641</v>
      </c>
      <c r="AS387" t="s">
        <v>3642</v>
      </c>
    </row>
    <row r="388" spans="1:45" x14ac:dyDescent="0.45">
      <c r="A388">
        <v>387</v>
      </c>
      <c r="B388">
        <v>428</v>
      </c>
      <c r="C388" t="s">
        <v>78</v>
      </c>
      <c r="D388" t="s">
        <v>73</v>
      </c>
      <c r="E388" t="s">
        <v>74</v>
      </c>
      <c r="F388" t="s">
        <v>77</v>
      </c>
      <c r="G388" t="s">
        <v>76</v>
      </c>
      <c r="H388">
        <v>61.403048137403488</v>
      </c>
      <c r="I388">
        <v>2</v>
      </c>
      <c r="J388">
        <v>8</v>
      </c>
      <c r="K388">
        <v>5</v>
      </c>
      <c r="L388">
        <v>3</v>
      </c>
      <c r="M388">
        <v>7</v>
      </c>
      <c r="N388">
        <v>5</v>
      </c>
      <c r="O388">
        <v>2</v>
      </c>
      <c r="P388">
        <v>9</v>
      </c>
      <c r="Q388">
        <v>5</v>
      </c>
      <c r="R388">
        <v>4</v>
      </c>
      <c r="S388">
        <v>8</v>
      </c>
      <c r="T388">
        <v>5</v>
      </c>
      <c r="U388">
        <v>3</v>
      </c>
      <c r="V388">
        <v>7</v>
      </c>
      <c r="W388">
        <v>5</v>
      </c>
      <c r="X388">
        <v>2</v>
      </c>
      <c r="Y388">
        <v>6</v>
      </c>
      <c r="Z388">
        <v>5</v>
      </c>
      <c r="AA388">
        <v>1</v>
      </c>
      <c r="AB388">
        <v>5</v>
      </c>
      <c r="AC388">
        <v>5</v>
      </c>
      <c r="AD388">
        <v>0</v>
      </c>
      <c r="AE388">
        <v>6</v>
      </c>
      <c r="AF388">
        <v>5</v>
      </c>
      <c r="AG388">
        <v>1</v>
      </c>
      <c r="AH388">
        <v>7</v>
      </c>
      <c r="AI388">
        <v>5</v>
      </c>
      <c r="AJ388">
        <v>2</v>
      </c>
      <c r="AK388" t="s">
        <v>3643</v>
      </c>
      <c r="AL388" t="s">
        <v>3644</v>
      </c>
      <c r="AM388" t="s">
        <v>3645</v>
      </c>
      <c r="AN388" t="s">
        <v>3646</v>
      </c>
      <c r="AO388" t="s">
        <v>3647</v>
      </c>
      <c r="AP388" t="s">
        <v>3648</v>
      </c>
      <c r="AQ388" t="s">
        <v>3649</v>
      </c>
      <c r="AR388" t="s">
        <v>3650</v>
      </c>
      <c r="AS388" t="s">
        <v>3651</v>
      </c>
    </row>
    <row r="389" spans="1:45" x14ac:dyDescent="0.45">
      <c r="A389">
        <v>388</v>
      </c>
      <c r="B389">
        <v>429</v>
      </c>
      <c r="C389" t="s">
        <v>78</v>
      </c>
      <c r="D389" t="s">
        <v>188</v>
      </c>
      <c r="E389" t="s">
        <v>74</v>
      </c>
      <c r="F389" t="s">
        <v>77</v>
      </c>
      <c r="G389" t="s">
        <v>76</v>
      </c>
      <c r="H389">
        <v>14.760226330825407</v>
      </c>
      <c r="I389">
        <v>0</v>
      </c>
      <c r="J389">
        <v>7</v>
      </c>
      <c r="K389">
        <v>7</v>
      </c>
      <c r="L389">
        <v>0</v>
      </c>
      <c r="M389">
        <v>6</v>
      </c>
      <c r="N389">
        <v>7</v>
      </c>
      <c r="O389">
        <v>-1</v>
      </c>
      <c r="P389">
        <v>8</v>
      </c>
      <c r="Q389">
        <v>5</v>
      </c>
      <c r="R389">
        <v>3</v>
      </c>
      <c r="S389">
        <v>9</v>
      </c>
      <c r="T389">
        <v>8</v>
      </c>
      <c r="U389">
        <v>1</v>
      </c>
      <c r="V389">
        <v>6</v>
      </c>
      <c r="W389">
        <v>6</v>
      </c>
      <c r="X389">
        <v>0</v>
      </c>
      <c r="Y389">
        <v>7</v>
      </c>
      <c r="Z389">
        <v>8</v>
      </c>
      <c r="AA389">
        <v>-1</v>
      </c>
      <c r="AB389">
        <v>5</v>
      </c>
      <c r="AC389">
        <v>5</v>
      </c>
      <c r="AD389">
        <v>0</v>
      </c>
      <c r="AE389">
        <v>6</v>
      </c>
      <c r="AF389">
        <v>5</v>
      </c>
      <c r="AG389">
        <v>1</v>
      </c>
      <c r="AH389">
        <v>7</v>
      </c>
      <c r="AI389">
        <v>8</v>
      </c>
      <c r="AJ389">
        <v>-1</v>
      </c>
      <c r="AK389" t="s">
        <v>3652</v>
      </c>
      <c r="AL389" t="s">
        <v>3653</v>
      </c>
      <c r="AM389" t="s">
        <v>3654</v>
      </c>
      <c r="AN389" t="s">
        <v>3655</v>
      </c>
      <c r="AO389" t="s">
        <v>3656</v>
      </c>
      <c r="AP389" t="s">
        <v>3657</v>
      </c>
      <c r="AQ389" t="s">
        <v>3658</v>
      </c>
      <c r="AR389" t="s">
        <v>3659</v>
      </c>
      <c r="AS389" t="s">
        <v>3660</v>
      </c>
    </row>
    <row r="390" spans="1:45" x14ac:dyDescent="0.45">
      <c r="A390">
        <v>389</v>
      </c>
      <c r="B390">
        <v>430</v>
      </c>
      <c r="C390" t="s">
        <v>78</v>
      </c>
      <c r="D390" t="s">
        <v>81</v>
      </c>
      <c r="E390" t="s">
        <v>74</v>
      </c>
      <c r="F390" t="s">
        <v>77</v>
      </c>
      <c r="G390" t="s">
        <v>76</v>
      </c>
      <c r="H390">
        <v>20.992539202905668</v>
      </c>
      <c r="I390">
        <v>0</v>
      </c>
      <c r="J390">
        <v>7</v>
      </c>
      <c r="K390">
        <v>6</v>
      </c>
      <c r="L390">
        <v>1</v>
      </c>
      <c r="M390">
        <v>8</v>
      </c>
      <c r="N390">
        <v>8</v>
      </c>
      <c r="O390">
        <v>0</v>
      </c>
      <c r="P390">
        <v>9</v>
      </c>
      <c r="Q390">
        <v>7</v>
      </c>
      <c r="R390">
        <v>2</v>
      </c>
      <c r="S390">
        <v>8</v>
      </c>
      <c r="T390">
        <v>8</v>
      </c>
      <c r="U390">
        <v>0</v>
      </c>
      <c r="V390">
        <v>9</v>
      </c>
      <c r="W390">
        <v>6</v>
      </c>
      <c r="X390">
        <v>3</v>
      </c>
      <c r="Y390">
        <v>6</v>
      </c>
      <c r="Z390">
        <v>8</v>
      </c>
      <c r="AA390">
        <v>-2</v>
      </c>
      <c r="AB390">
        <v>8</v>
      </c>
      <c r="AC390">
        <v>5</v>
      </c>
      <c r="AD390">
        <v>3</v>
      </c>
      <c r="AE390">
        <v>7</v>
      </c>
      <c r="AF390">
        <v>5</v>
      </c>
      <c r="AG390">
        <v>2</v>
      </c>
      <c r="AH390">
        <v>9</v>
      </c>
      <c r="AI390">
        <v>8</v>
      </c>
      <c r="AJ390">
        <v>1</v>
      </c>
      <c r="AK390" t="s">
        <v>3661</v>
      </c>
      <c r="AL390" t="s">
        <v>3662</v>
      </c>
      <c r="AM390" t="s">
        <v>3663</v>
      </c>
      <c r="AN390" t="s">
        <v>3664</v>
      </c>
      <c r="AO390" t="s">
        <v>3665</v>
      </c>
      <c r="AP390" t="s">
        <v>3666</v>
      </c>
      <c r="AQ390" t="s">
        <v>3667</v>
      </c>
      <c r="AR390" t="s">
        <v>3668</v>
      </c>
      <c r="AS390" t="s">
        <v>3669</v>
      </c>
    </row>
    <row r="391" spans="1:45" x14ac:dyDescent="0.45">
      <c r="A391">
        <v>390</v>
      </c>
      <c r="B391">
        <v>431</v>
      </c>
      <c r="C391" t="s">
        <v>72</v>
      </c>
      <c r="D391" t="s">
        <v>79</v>
      </c>
      <c r="E391" t="s">
        <v>74</v>
      </c>
      <c r="F391" t="s">
        <v>75</v>
      </c>
      <c r="G391" t="s">
        <v>76</v>
      </c>
      <c r="H391">
        <v>32.867762142236323</v>
      </c>
      <c r="I391">
        <v>3</v>
      </c>
      <c r="J391">
        <v>7</v>
      </c>
      <c r="K391">
        <v>10</v>
      </c>
      <c r="L391">
        <v>-3</v>
      </c>
      <c r="M391">
        <v>7</v>
      </c>
      <c r="N391">
        <v>10</v>
      </c>
      <c r="O391">
        <v>-3</v>
      </c>
      <c r="P391">
        <v>8</v>
      </c>
      <c r="Q391">
        <v>5</v>
      </c>
      <c r="R391">
        <v>3</v>
      </c>
      <c r="S391">
        <v>9</v>
      </c>
      <c r="T391">
        <v>9</v>
      </c>
      <c r="U391">
        <v>0</v>
      </c>
      <c r="V391">
        <v>6</v>
      </c>
      <c r="W391">
        <v>7</v>
      </c>
      <c r="X391">
        <v>-1</v>
      </c>
      <c r="Y391">
        <v>7</v>
      </c>
      <c r="Z391">
        <v>8</v>
      </c>
      <c r="AA391">
        <v>-1</v>
      </c>
      <c r="AB391">
        <v>6</v>
      </c>
      <c r="AC391">
        <v>5</v>
      </c>
      <c r="AD391">
        <v>1</v>
      </c>
      <c r="AE391">
        <v>7</v>
      </c>
      <c r="AF391">
        <v>5</v>
      </c>
      <c r="AG391">
        <v>2</v>
      </c>
      <c r="AH391">
        <v>7</v>
      </c>
      <c r="AI391">
        <v>8</v>
      </c>
      <c r="AJ391">
        <v>-1</v>
      </c>
      <c r="AK391" t="s">
        <v>3670</v>
      </c>
      <c r="AL391" t="s">
        <v>3671</v>
      </c>
      <c r="AM391" t="s">
        <v>3672</v>
      </c>
      <c r="AN391" t="s">
        <v>3673</v>
      </c>
      <c r="AO391" t="s">
        <v>3674</v>
      </c>
      <c r="AP391" t="s">
        <v>3675</v>
      </c>
      <c r="AQ391" t="s">
        <v>3676</v>
      </c>
      <c r="AR391" t="s">
        <v>3677</v>
      </c>
      <c r="AS391" t="s">
        <v>3678</v>
      </c>
    </row>
    <row r="392" spans="1:45" x14ac:dyDescent="0.45">
      <c r="A392">
        <v>391</v>
      </c>
      <c r="B392">
        <v>432</v>
      </c>
      <c r="C392" t="s">
        <v>78</v>
      </c>
      <c r="D392" t="s">
        <v>81</v>
      </c>
      <c r="E392" t="s">
        <v>74</v>
      </c>
      <c r="F392" t="s">
        <v>77</v>
      </c>
      <c r="G392" t="s">
        <v>76</v>
      </c>
      <c r="H392">
        <v>15.291564528778185</v>
      </c>
      <c r="I392">
        <v>0</v>
      </c>
      <c r="J392">
        <v>7</v>
      </c>
      <c r="K392">
        <v>4</v>
      </c>
      <c r="L392">
        <v>3</v>
      </c>
      <c r="M392">
        <v>8</v>
      </c>
      <c r="N392">
        <v>5</v>
      </c>
      <c r="O392">
        <v>3</v>
      </c>
      <c r="P392">
        <v>6</v>
      </c>
      <c r="Q392">
        <v>7</v>
      </c>
      <c r="R392">
        <v>-1</v>
      </c>
      <c r="S392">
        <v>6</v>
      </c>
      <c r="T392">
        <v>7</v>
      </c>
      <c r="U392">
        <v>-1</v>
      </c>
      <c r="V392">
        <v>7</v>
      </c>
      <c r="W392">
        <v>5</v>
      </c>
      <c r="X392">
        <v>2</v>
      </c>
      <c r="Y392">
        <v>8</v>
      </c>
      <c r="Z392">
        <v>7</v>
      </c>
      <c r="AA392">
        <v>1</v>
      </c>
      <c r="AB392">
        <v>6</v>
      </c>
      <c r="AC392">
        <v>5</v>
      </c>
      <c r="AD392">
        <v>1</v>
      </c>
      <c r="AE392">
        <v>7</v>
      </c>
      <c r="AF392">
        <v>5</v>
      </c>
      <c r="AG392">
        <v>2</v>
      </c>
      <c r="AH392">
        <v>7</v>
      </c>
      <c r="AI392">
        <v>7</v>
      </c>
      <c r="AJ392">
        <v>0</v>
      </c>
      <c r="AK392" t="s">
        <v>3679</v>
      </c>
      <c r="AL392" t="s">
        <v>3680</v>
      </c>
      <c r="AM392" t="s">
        <v>3681</v>
      </c>
      <c r="AN392" t="s">
        <v>3682</v>
      </c>
      <c r="AO392" t="s">
        <v>3683</v>
      </c>
      <c r="AP392" t="s">
        <v>3684</v>
      </c>
      <c r="AQ392" t="s">
        <v>3685</v>
      </c>
      <c r="AR392" t="s">
        <v>3686</v>
      </c>
      <c r="AS392" t="s">
        <v>3687</v>
      </c>
    </row>
    <row r="393" spans="1:45" x14ac:dyDescent="0.45">
      <c r="A393">
        <v>392</v>
      </c>
      <c r="B393">
        <v>433</v>
      </c>
      <c r="C393" t="s">
        <v>72</v>
      </c>
      <c r="D393" t="s">
        <v>192</v>
      </c>
      <c r="E393" t="s">
        <v>74</v>
      </c>
      <c r="F393" t="s">
        <v>75</v>
      </c>
      <c r="G393" t="s">
        <v>76</v>
      </c>
      <c r="H393">
        <v>156.72483850738081</v>
      </c>
      <c r="I393">
        <v>4</v>
      </c>
      <c r="J393">
        <v>6</v>
      </c>
      <c r="K393">
        <v>2</v>
      </c>
      <c r="L393">
        <v>4</v>
      </c>
      <c r="M393">
        <v>7</v>
      </c>
      <c r="N393">
        <v>3</v>
      </c>
      <c r="O393">
        <v>4</v>
      </c>
      <c r="P393">
        <v>5</v>
      </c>
      <c r="Q393">
        <v>3</v>
      </c>
      <c r="R393">
        <v>2</v>
      </c>
      <c r="S393">
        <v>8</v>
      </c>
      <c r="T393">
        <v>6</v>
      </c>
      <c r="U393">
        <v>2</v>
      </c>
      <c r="V393">
        <v>9</v>
      </c>
      <c r="W393">
        <v>5</v>
      </c>
      <c r="X393">
        <v>4</v>
      </c>
      <c r="Y393">
        <v>7</v>
      </c>
      <c r="Z393">
        <v>5</v>
      </c>
      <c r="AA393">
        <v>2</v>
      </c>
      <c r="AB393">
        <v>6</v>
      </c>
      <c r="AC393">
        <v>5</v>
      </c>
      <c r="AD393">
        <v>1</v>
      </c>
      <c r="AE393">
        <v>7</v>
      </c>
      <c r="AF393">
        <v>5</v>
      </c>
      <c r="AG393">
        <v>2</v>
      </c>
      <c r="AH393">
        <v>8</v>
      </c>
      <c r="AI393">
        <v>5</v>
      </c>
      <c r="AJ393">
        <v>3</v>
      </c>
      <c r="AK393" t="s">
        <v>3688</v>
      </c>
      <c r="AL393" t="s">
        <v>3689</v>
      </c>
      <c r="AM393" t="s">
        <v>3690</v>
      </c>
      <c r="AN393" t="s">
        <v>3691</v>
      </c>
      <c r="AO393" t="s">
        <v>3692</v>
      </c>
      <c r="AP393" t="s">
        <v>3693</v>
      </c>
      <c r="AQ393" t="s">
        <v>3694</v>
      </c>
      <c r="AR393" t="s">
        <v>3695</v>
      </c>
      <c r="AS393" t="s">
        <v>3696</v>
      </c>
    </row>
    <row r="394" spans="1:45" x14ac:dyDescent="0.45">
      <c r="A394">
        <v>393</v>
      </c>
      <c r="B394">
        <v>434</v>
      </c>
      <c r="C394" t="s">
        <v>72</v>
      </c>
      <c r="D394" t="s">
        <v>73</v>
      </c>
      <c r="E394" t="s">
        <v>74</v>
      </c>
      <c r="F394" t="s">
        <v>77</v>
      </c>
      <c r="G394" t="s">
        <v>76</v>
      </c>
      <c r="H394">
        <v>24.860348144332676</v>
      </c>
      <c r="I394">
        <v>2</v>
      </c>
      <c r="J394">
        <v>7</v>
      </c>
      <c r="K394">
        <v>7</v>
      </c>
      <c r="L394">
        <v>0</v>
      </c>
      <c r="M394">
        <v>8</v>
      </c>
      <c r="N394">
        <v>7</v>
      </c>
      <c r="O394">
        <v>1</v>
      </c>
      <c r="P394">
        <v>6</v>
      </c>
      <c r="Q394">
        <v>5</v>
      </c>
      <c r="R394">
        <v>1</v>
      </c>
      <c r="S394">
        <v>9</v>
      </c>
      <c r="T394">
        <v>8</v>
      </c>
      <c r="U394">
        <v>1</v>
      </c>
      <c r="V394">
        <v>8</v>
      </c>
      <c r="W394">
        <v>7</v>
      </c>
      <c r="X394">
        <v>1</v>
      </c>
      <c r="Y394">
        <v>7</v>
      </c>
      <c r="Z394">
        <v>7</v>
      </c>
      <c r="AA394">
        <v>0</v>
      </c>
      <c r="AB394">
        <v>6</v>
      </c>
      <c r="AC394">
        <v>5</v>
      </c>
      <c r="AD394">
        <v>1</v>
      </c>
      <c r="AE394">
        <v>5</v>
      </c>
      <c r="AF394">
        <v>6</v>
      </c>
      <c r="AG394">
        <v>-1</v>
      </c>
      <c r="AH394">
        <v>7</v>
      </c>
      <c r="AI394">
        <v>7</v>
      </c>
      <c r="AJ394">
        <v>0</v>
      </c>
      <c r="AK394" t="s">
        <v>3697</v>
      </c>
      <c r="AL394" t="s">
        <v>3698</v>
      </c>
      <c r="AM394" t="s">
        <v>3699</v>
      </c>
      <c r="AN394" t="s">
        <v>3700</v>
      </c>
      <c r="AO394" t="s">
        <v>3701</v>
      </c>
      <c r="AP394" t="s">
        <v>3702</v>
      </c>
      <c r="AQ394" t="s">
        <v>3703</v>
      </c>
      <c r="AR394" t="s">
        <v>3704</v>
      </c>
      <c r="AS394" t="s">
        <v>3705</v>
      </c>
    </row>
    <row r="395" spans="1:45" x14ac:dyDescent="0.45">
      <c r="A395">
        <v>394</v>
      </c>
      <c r="B395">
        <v>435</v>
      </c>
      <c r="C395" t="s">
        <v>78</v>
      </c>
      <c r="D395" t="s">
        <v>81</v>
      </c>
      <c r="E395" t="s">
        <v>74</v>
      </c>
      <c r="F395" t="s">
        <v>77</v>
      </c>
      <c r="G395" t="s">
        <v>76</v>
      </c>
      <c r="H395">
        <v>12</v>
      </c>
      <c r="I395">
        <v>1</v>
      </c>
      <c r="J395">
        <v>7</v>
      </c>
      <c r="K395">
        <v>9</v>
      </c>
      <c r="L395">
        <v>-2</v>
      </c>
      <c r="M395">
        <v>8</v>
      </c>
      <c r="N395">
        <v>9</v>
      </c>
      <c r="O395">
        <v>-1</v>
      </c>
      <c r="P395">
        <v>6</v>
      </c>
      <c r="Q395">
        <v>9</v>
      </c>
      <c r="R395">
        <v>-3</v>
      </c>
      <c r="S395">
        <v>7</v>
      </c>
      <c r="T395">
        <v>7</v>
      </c>
      <c r="U395">
        <v>0</v>
      </c>
      <c r="V395">
        <v>7</v>
      </c>
      <c r="W395">
        <v>8</v>
      </c>
      <c r="X395">
        <v>-1</v>
      </c>
      <c r="Y395">
        <v>8</v>
      </c>
      <c r="Z395">
        <v>6</v>
      </c>
      <c r="AA395">
        <v>2</v>
      </c>
      <c r="AB395">
        <v>7</v>
      </c>
      <c r="AC395">
        <v>8</v>
      </c>
      <c r="AD395">
        <v>-1</v>
      </c>
      <c r="AE395">
        <v>6</v>
      </c>
      <c r="AF395">
        <v>10</v>
      </c>
      <c r="AG395">
        <v>-4</v>
      </c>
      <c r="AH395">
        <v>7</v>
      </c>
      <c r="AI395">
        <v>10</v>
      </c>
      <c r="AJ395">
        <v>-3</v>
      </c>
      <c r="AK395" t="s">
        <v>3706</v>
      </c>
      <c r="AL395" t="s">
        <v>3707</v>
      </c>
      <c r="AM395" t="s">
        <v>3708</v>
      </c>
      <c r="AN395" t="s">
        <v>3709</v>
      </c>
      <c r="AO395" t="s">
        <v>3710</v>
      </c>
      <c r="AP395" t="s">
        <v>3711</v>
      </c>
      <c r="AQ395" t="s">
        <v>3712</v>
      </c>
      <c r="AR395" t="s">
        <v>3713</v>
      </c>
      <c r="AS395" t="s">
        <v>3714</v>
      </c>
    </row>
    <row r="396" spans="1:45" x14ac:dyDescent="0.45">
      <c r="A396">
        <v>395</v>
      </c>
      <c r="B396">
        <v>436</v>
      </c>
      <c r="C396" t="s">
        <v>78</v>
      </c>
      <c r="D396" t="s">
        <v>190</v>
      </c>
      <c r="E396" t="s">
        <v>74</v>
      </c>
      <c r="F396" t="s">
        <v>77</v>
      </c>
      <c r="G396" t="s">
        <v>76</v>
      </c>
      <c r="H396">
        <v>35.835122148082952</v>
      </c>
      <c r="I396">
        <v>1</v>
      </c>
      <c r="J396">
        <v>7</v>
      </c>
      <c r="K396">
        <v>7</v>
      </c>
      <c r="L396">
        <v>0</v>
      </c>
      <c r="M396">
        <v>6</v>
      </c>
      <c r="N396">
        <v>7</v>
      </c>
      <c r="O396">
        <v>-1</v>
      </c>
      <c r="P396">
        <v>8</v>
      </c>
      <c r="Q396">
        <v>5</v>
      </c>
      <c r="R396">
        <v>3</v>
      </c>
      <c r="S396">
        <v>7</v>
      </c>
      <c r="T396">
        <v>7</v>
      </c>
      <c r="U396">
        <v>0</v>
      </c>
      <c r="V396">
        <v>6</v>
      </c>
      <c r="W396">
        <v>5</v>
      </c>
      <c r="X396">
        <v>1</v>
      </c>
      <c r="Y396">
        <v>7</v>
      </c>
      <c r="Z396">
        <v>6</v>
      </c>
      <c r="AA396">
        <v>1</v>
      </c>
      <c r="AB396">
        <v>6</v>
      </c>
      <c r="AC396">
        <v>5</v>
      </c>
      <c r="AD396">
        <v>1</v>
      </c>
      <c r="AE396">
        <v>5</v>
      </c>
      <c r="AF396">
        <v>6</v>
      </c>
      <c r="AG396">
        <v>-1</v>
      </c>
      <c r="AH396">
        <v>8</v>
      </c>
      <c r="AI396">
        <v>6</v>
      </c>
      <c r="AJ396">
        <v>2</v>
      </c>
      <c r="AK396" t="s">
        <v>3715</v>
      </c>
      <c r="AL396" t="s">
        <v>3716</v>
      </c>
      <c r="AM396" t="s">
        <v>3717</v>
      </c>
      <c r="AN396" t="s">
        <v>3718</v>
      </c>
      <c r="AO396" t="s">
        <v>3719</v>
      </c>
      <c r="AP396" t="s">
        <v>3720</v>
      </c>
      <c r="AQ396" t="s">
        <v>3721</v>
      </c>
      <c r="AR396" t="s">
        <v>3722</v>
      </c>
      <c r="AS396" t="s">
        <v>3723</v>
      </c>
    </row>
    <row r="397" spans="1:45" x14ac:dyDescent="0.45">
      <c r="A397">
        <v>396</v>
      </c>
      <c r="B397">
        <v>437</v>
      </c>
      <c r="C397" t="s">
        <v>72</v>
      </c>
      <c r="D397" t="s">
        <v>73</v>
      </c>
      <c r="E397" t="s">
        <v>74</v>
      </c>
      <c r="F397" t="s">
        <v>189</v>
      </c>
      <c r="G397" t="s">
        <v>76</v>
      </c>
      <c r="H397">
        <v>24.981291853962343</v>
      </c>
      <c r="I397">
        <v>1</v>
      </c>
      <c r="J397">
        <v>7</v>
      </c>
      <c r="K397">
        <v>2</v>
      </c>
      <c r="L397">
        <v>5</v>
      </c>
      <c r="M397">
        <v>8</v>
      </c>
      <c r="N397">
        <v>2</v>
      </c>
      <c r="O397">
        <v>6</v>
      </c>
      <c r="P397">
        <v>6</v>
      </c>
      <c r="Q397">
        <v>4</v>
      </c>
      <c r="R397">
        <v>2</v>
      </c>
      <c r="S397">
        <v>9</v>
      </c>
      <c r="T397">
        <v>5</v>
      </c>
      <c r="U397">
        <v>4</v>
      </c>
      <c r="V397">
        <v>8</v>
      </c>
      <c r="W397">
        <v>5</v>
      </c>
      <c r="X397">
        <v>3</v>
      </c>
      <c r="Y397">
        <v>9</v>
      </c>
      <c r="Z397">
        <v>3</v>
      </c>
      <c r="AA397">
        <v>6</v>
      </c>
      <c r="AB397">
        <v>7</v>
      </c>
      <c r="AC397">
        <v>5</v>
      </c>
      <c r="AD397">
        <v>2</v>
      </c>
      <c r="AE397">
        <v>8</v>
      </c>
      <c r="AF397">
        <v>5</v>
      </c>
      <c r="AG397">
        <v>3</v>
      </c>
      <c r="AH397">
        <v>9</v>
      </c>
      <c r="AI397">
        <v>5</v>
      </c>
      <c r="AJ397">
        <v>4</v>
      </c>
      <c r="AK397" t="s">
        <v>3724</v>
      </c>
      <c r="AL397" t="s">
        <v>3725</v>
      </c>
      <c r="AM397" t="s">
        <v>3726</v>
      </c>
      <c r="AN397" t="s">
        <v>3727</v>
      </c>
      <c r="AO397" t="s">
        <v>3728</v>
      </c>
      <c r="AP397" t="s">
        <v>3729</v>
      </c>
      <c r="AQ397" t="s">
        <v>3730</v>
      </c>
      <c r="AR397" t="s">
        <v>3731</v>
      </c>
      <c r="AS397" t="s">
        <v>3732</v>
      </c>
    </row>
    <row r="398" spans="1:45" x14ac:dyDescent="0.45">
      <c r="A398">
        <v>397</v>
      </c>
      <c r="B398">
        <v>438</v>
      </c>
      <c r="C398" t="s">
        <v>72</v>
      </c>
      <c r="D398" t="s">
        <v>81</v>
      </c>
      <c r="E398" t="s">
        <v>74</v>
      </c>
      <c r="F398" t="s">
        <v>77</v>
      </c>
      <c r="G398" t="s">
        <v>76</v>
      </c>
      <c r="H398">
        <v>29.872467016661641</v>
      </c>
      <c r="I398">
        <v>0</v>
      </c>
      <c r="J398">
        <v>7</v>
      </c>
      <c r="K398">
        <v>8</v>
      </c>
      <c r="L398">
        <v>-1</v>
      </c>
      <c r="M398">
        <v>8</v>
      </c>
      <c r="N398">
        <v>8</v>
      </c>
      <c r="O398">
        <v>0</v>
      </c>
      <c r="P398">
        <v>9</v>
      </c>
      <c r="Q398">
        <v>7</v>
      </c>
      <c r="R398">
        <v>2</v>
      </c>
      <c r="S398">
        <v>8</v>
      </c>
      <c r="T398">
        <v>7</v>
      </c>
      <c r="U398">
        <v>1</v>
      </c>
      <c r="V398">
        <v>7</v>
      </c>
      <c r="W398">
        <v>7</v>
      </c>
      <c r="X398">
        <v>0</v>
      </c>
      <c r="Y398">
        <v>9</v>
      </c>
      <c r="Z398">
        <v>8</v>
      </c>
      <c r="AA398">
        <v>1</v>
      </c>
      <c r="AB398">
        <v>7</v>
      </c>
      <c r="AC398">
        <v>7</v>
      </c>
      <c r="AD398">
        <v>0</v>
      </c>
      <c r="AE398">
        <v>6</v>
      </c>
      <c r="AF398">
        <v>8</v>
      </c>
      <c r="AG398">
        <v>-2</v>
      </c>
      <c r="AH398">
        <v>8</v>
      </c>
      <c r="AI398">
        <v>8</v>
      </c>
      <c r="AJ398">
        <v>0</v>
      </c>
      <c r="AK398" t="s">
        <v>3733</v>
      </c>
      <c r="AL398" t="s">
        <v>3734</v>
      </c>
      <c r="AM398" t="s">
        <v>3735</v>
      </c>
      <c r="AN398" t="s">
        <v>3736</v>
      </c>
      <c r="AO398" t="s">
        <v>3737</v>
      </c>
      <c r="AP398" t="s">
        <v>3738</v>
      </c>
      <c r="AQ398" t="s">
        <v>3739</v>
      </c>
      <c r="AR398" t="s">
        <v>3740</v>
      </c>
      <c r="AS398" t="s">
        <v>3741</v>
      </c>
    </row>
    <row r="399" spans="1:45" x14ac:dyDescent="0.45">
      <c r="A399">
        <v>398</v>
      </c>
      <c r="B399">
        <v>439</v>
      </c>
      <c r="C399" t="s">
        <v>72</v>
      </c>
      <c r="D399" t="s">
        <v>188</v>
      </c>
      <c r="E399" t="s">
        <v>74</v>
      </c>
      <c r="F399" t="s">
        <v>77</v>
      </c>
      <c r="G399" t="s">
        <v>76</v>
      </c>
      <c r="H399">
        <v>12</v>
      </c>
      <c r="I399">
        <v>0</v>
      </c>
      <c r="J399">
        <v>5</v>
      </c>
      <c r="K399">
        <v>9</v>
      </c>
      <c r="L399">
        <v>-4</v>
      </c>
      <c r="M399">
        <v>6</v>
      </c>
      <c r="N399">
        <v>9</v>
      </c>
      <c r="O399">
        <v>-3</v>
      </c>
      <c r="P399">
        <v>4</v>
      </c>
      <c r="Q399">
        <v>8</v>
      </c>
      <c r="R399">
        <v>-4</v>
      </c>
      <c r="S399">
        <v>7</v>
      </c>
      <c r="T399">
        <v>9</v>
      </c>
      <c r="U399">
        <v>-2</v>
      </c>
      <c r="V399">
        <v>5</v>
      </c>
      <c r="W399">
        <v>7</v>
      </c>
      <c r="X399">
        <v>-2</v>
      </c>
      <c r="Y399">
        <v>6</v>
      </c>
      <c r="Z399">
        <v>9</v>
      </c>
      <c r="AA399">
        <v>-3</v>
      </c>
      <c r="AB399">
        <v>4</v>
      </c>
      <c r="AC399">
        <v>8</v>
      </c>
      <c r="AD399">
        <v>-4</v>
      </c>
      <c r="AE399">
        <v>5</v>
      </c>
      <c r="AF399">
        <v>8</v>
      </c>
      <c r="AG399">
        <v>-3</v>
      </c>
      <c r="AH399">
        <v>4</v>
      </c>
      <c r="AI399">
        <v>8</v>
      </c>
      <c r="AJ399">
        <v>-4</v>
      </c>
      <c r="AK399" t="s">
        <v>3742</v>
      </c>
      <c r="AL399" t="s">
        <v>3743</v>
      </c>
      <c r="AM399" t="s">
        <v>3744</v>
      </c>
      <c r="AN399" t="s">
        <v>3745</v>
      </c>
      <c r="AO399" t="s">
        <v>3746</v>
      </c>
      <c r="AP399" t="s">
        <v>3747</v>
      </c>
      <c r="AQ399" t="s">
        <v>3748</v>
      </c>
      <c r="AR399" t="s">
        <v>3749</v>
      </c>
      <c r="AS399" t="s">
        <v>3750</v>
      </c>
    </row>
    <row r="400" spans="1:45" x14ac:dyDescent="0.45">
      <c r="A400">
        <v>399</v>
      </c>
      <c r="B400">
        <v>440</v>
      </c>
      <c r="C400" t="s">
        <v>72</v>
      </c>
      <c r="D400" t="s">
        <v>81</v>
      </c>
      <c r="E400" t="s">
        <v>74</v>
      </c>
      <c r="F400" t="s">
        <v>75</v>
      </c>
      <c r="G400" t="s">
        <v>76</v>
      </c>
      <c r="H400">
        <v>30.809148097654692</v>
      </c>
      <c r="I400">
        <v>0</v>
      </c>
      <c r="J400">
        <v>5</v>
      </c>
      <c r="K400">
        <v>7</v>
      </c>
      <c r="L400">
        <v>-2</v>
      </c>
      <c r="M400">
        <v>6</v>
      </c>
      <c r="N400">
        <v>7</v>
      </c>
      <c r="O400">
        <v>-1</v>
      </c>
      <c r="P400">
        <v>8</v>
      </c>
      <c r="Q400">
        <v>5</v>
      </c>
      <c r="R400">
        <v>3</v>
      </c>
      <c r="S400">
        <v>7</v>
      </c>
      <c r="T400">
        <v>8</v>
      </c>
      <c r="U400">
        <v>-1</v>
      </c>
      <c r="V400">
        <v>6</v>
      </c>
      <c r="W400">
        <v>7</v>
      </c>
      <c r="X400">
        <v>-1</v>
      </c>
      <c r="Y400">
        <v>5</v>
      </c>
      <c r="Z400">
        <v>8</v>
      </c>
      <c r="AA400">
        <v>-3</v>
      </c>
      <c r="AB400">
        <v>4</v>
      </c>
      <c r="AC400">
        <v>6</v>
      </c>
      <c r="AD400">
        <v>-2</v>
      </c>
      <c r="AE400">
        <v>5</v>
      </c>
      <c r="AF400">
        <v>6</v>
      </c>
      <c r="AG400">
        <v>-1</v>
      </c>
      <c r="AH400">
        <v>6</v>
      </c>
      <c r="AI400">
        <v>8</v>
      </c>
      <c r="AJ400">
        <v>-2</v>
      </c>
      <c r="AK400" t="s">
        <v>3751</v>
      </c>
      <c r="AL400" t="s">
        <v>3752</v>
      </c>
      <c r="AM400" t="s">
        <v>3753</v>
      </c>
      <c r="AN400" t="s">
        <v>3754</v>
      </c>
      <c r="AO400" t="s">
        <v>3755</v>
      </c>
      <c r="AP400" t="s">
        <v>3756</v>
      </c>
      <c r="AQ400" t="s">
        <v>3757</v>
      </c>
      <c r="AR400" t="s">
        <v>3758</v>
      </c>
      <c r="AS400" t="s">
        <v>3759</v>
      </c>
    </row>
    <row r="401" spans="1:45" x14ac:dyDescent="0.45">
      <c r="A401">
        <v>400</v>
      </c>
      <c r="B401">
        <v>441</v>
      </c>
      <c r="C401" t="s">
        <v>72</v>
      </c>
      <c r="D401" t="s">
        <v>79</v>
      </c>
      <c r="E401" t="s">
        <v>74</v>
      </c>
      <c r="F401" t="s">
        <v>77</v>
      </c>
      <c r="G401" t="s">
        <v>76</v>
      </c>
      <c r="H401">
        <v>35.075957873107996</v>
      </c>
      <c r="I401">
        <v>3</v>
      </c>
      <c r="J401">
        <v>3</v>
      </c>
      <c r="K401">
        <v>8</v>
      </c>
      <c r="L401">
        <v>-5</v>
      </c>
      <c r="M401">
        <v>4</v>
      </c>
      <c r="N401">
        <v>9</v>
      </c>
      <c r="O401">
        <v>-5</v>
      </c>
      <c r="P401">
        <v>6</v>
      </c>
      <c r="Q401">
        <v>8</v>
      </c>
      <c r="R401">
        <v>-2</v>
      </c>
      <c r="S401">
        <v>8</v>
      </c>
      <c r="T401">
        <v>8</v>
      </c>
      <c r="U401">
        <v>0</v>
      </c>
      <c r="V401">
        <v>7</v>
      </c>
      <c r="W401">
        <v>7</v>
      </c>
      <c r="X401">
        <v>0</v>
      </c>
      <c r="Y401">
        <v>6</v>
      </c>
      <c r="Z401">
        <v>7</v>
      </c>
      <c r="AA401">
        <v>-1</v>
      </c>
      <c r="AB401">
        <v>5</v>
      </c>
      <c r="AC401">
        <v>7</v>
      </c>
      <c r="AD401">
        <v>-2</v>
      </c>
      <c r="AE401">
        <v>4</v>
      </c>
      <c r="AF401">
        <v>7</v>
      </c>
      <c r="AG401">
        <v>-3</v>
      </c>
      <c r="AH401">
        <v>5</v>
      </c>
      <c r="AI401">
        <v>8</v>
      </c>
      <c r="AJ401">
        <v>-3</v>
      </c>
      <c r="AK401" t="s">
        <v>3760</v>
      </c>
      <c r="AL401" t="s">
        <v>3761</v>
      </c>
      <c r="AM401" t="s">
        <v>3762</v>
      </c>
      <c r="AN401" t="s">
        <v>3763</v>
      </c>
      <c r="AO401" t="s">
        <v>3764</v>
      </c>
      <c r="AP401" t="s">
        <v>3765</v>
      </c>
      <c r="AQ401" t="s">
        <v>3766</v>
      </c>
      <c r="AR401" t="s">
        <v>3767</v>
      </c>
      <c r="AS401" t="s">
        <v>3768</v>
      </c>
    </row>
    <row r="402" spans="1:45" x14ac:dyDescent="0.45">
      <c r="A402">
        <v>401</v>
      </c>
      <c r="B402">
        <v>442</v>
      </c>
      <c r="C402" t="s">
        <v>72</v>
      </c>
      <c r="D402" t="s">
        <v>81</v>
      </c>
      <c r="E402" t="s">
        <v>80</v>
      </c>
      <c r="F402" t="s">
        <v>77</v>
      </c>
      <c r="G402" t="s">
        <v>76</v>
      </c>
      <c r="H402">
        <v>14.145044158147947</v>
      </c>
      <c r="I402">
        <v>0</v>
      </c>
      <c r="J402">
        <v>8</v>
      </c>
      <c r="K402">
        <v>4</v>
      </c>
      <c r="L402">
        <v>4</v>
      </c>
      <c r="M402">
        <v>7</v>
      </c>
      <c r="N402">
        <v>4</v>
      </c>
      <c r="O402">
        <v>3</v>
      </c>
      <c r="P402">
        <v>6</v>
      </c>
      <c r="Q402">
        <v>3</v>
      </c>
      <c r="R402">
        <v>3</v>
      </c>
      <c r="S402">
        <v>8</v>
      </c>
      <c r="T402">
        <v>5</v>
      </c>
      <c r="U402">
        <v>3</v>
      </c>
      <c r="V402">
        <v>6</v>
      </c>
      <c r="W402">
        <v>5</v>
      </c>
      <c r="X402">
        <v>1</v>
      </c>
      <c r="Y402">
        <v>7</v>
      </c>
      <c r="Z402">
        <v>2</v>
      </c>
      <c r="AA402">
        <v>5</v>
      </c>
      <c r="AB402">
        <v>6</v>
      </c>
      <c r="AC402">
        <v>2</v>
      </c>
      <c r="AD402">
        <v>4</v>
      </c>
      <c r="AE402">
        <v>5</v>
      </c>
      <c r="AF402">
        <v>5</v>
      </c>
      <c r="AG402">
        <v>0</v>
      </c>
      <c r="AH402">
        <v>5</v>
      </c>
      <c r="AI402">
        <v>2</v>
      </c>
      <c r="AJ402">
        <v>3</v>
      </c>
      <c r="AK402" t="s">
        <v>3769</v>
      </c>
      <c r="AL402" t="s">
        <v>3770</v>
      </c>
      <c r="AM402" t="s">
        <v>3771</v>
      </c>
      <c r="AN402" t="s">
        <v>3772</v>
      </c>
      <c r="AO402" t="s">
        <v>3773</v>
      </c>
      <c r="AP402" t="s">
        <v>3774</v>
      </c>
      <c r="AQ402" t="s">
        <v>3775</v>
      </c>
      <c r="AR402" t="s">
        <v>3776</v>
      </c>
      <c r="AS402" t="s">
        <v>3777</v>
      </c>
    </row>
    <row r="403" spans="1:45" x14ac:dyDescent="0.45">
      <c r="A403">
        <v>402</v>
      </c>
      <c r="B403">
        <v>443</v>
      </c>
      <c r="C403" t="s">
        <v>78</v>
      </c>
      <c r="D403" t="s">
        <v>192</v>
      </c>
      <c r="E403" t="s">
        <v>74</v>
      </c>
      <c r="F403" t="s">
        <v>75</v>
      </c>
      <c r="G403" t="s">
        <v>76</v>
      </c>
      <c r="H403">
        <v>111.66942255330783</v>
      </c>
      <c r="I403">
        <v>4</v>
      </c>
      <c r="J403">
        <v>7</v>
      </c>
      <c r="K403">
        <v>7</v>
      </c>
      <c r="L403">
        <v>0</v>
      </c>
      <c r="M403">
        <v>6</v>
      </c>
      <c r="N403">
        <v>7</v>
      </c>
      <c r="O403">
        <v>-1</v>
      </c>
      <c r="P403">
        <v>8</v>
      </c>
      <c r="Q403">
        <v>4</v>
      </c>
      <c r="R403">
        <v>4</v>
      </c>
      <c r="S403">
        <v>7</v>
      </c>
      <c r="T403">
        <v>6</v>
      </c>
      <c r="U403">
        <v>1</v>
      </c>
      <c r="V403">
        <v>8</v>
      </c>
      <c r="W403">
        <v>5</v>
      </c>
      <c r="X403">
        <v>3</v>
      </c>
      <c r="Y403">
        <v>7</v>
      </c>
      <c r="Z403">
        <v>4</v>
      </c>
      <c r="AA403">
        <v>3</v>
      </c>
      <c r="AB403">
        <v>8</v>
      </c>
      <c r="AC403">
        <v>5</v>
      </c>
      <c r="AD403">
        <v>3</v>
      </c>
      <c r="AE403">
        <v>6</v>
      </c>
      <c r="AF403">
        <v>5</v>
      </c>
      <c r="AG403">
        <v>1</v>
      </c>
      <c r="AH403">
        <v>8</v>
      </c>
      <c r="AI403">
        <v>5</v>
      </c>
      <c r="AJ403">
        <v>3</v>
      </c>
      <c r="AK403" t="s">
        <v>3778</v>
      </c>
      <c r="AL403" t="s">
        <v>3779</v>
      </c>
      <c r="AM403" t="s">
        <v>3780</v>
      </c>
      <c r="AN403" t="s">
        <v>3781</v>
      </c>
      <c r="AO403" t="s">
        <v>3782</v>
      </c>
      <c r="AP403" t="s">
        <v>3783</v>
      </c>
      <c r="AQ403" t="s">
        <v>3784</v>
      </c>
      <c r="AR403" t="s">
        <v>3785</v>
      </c>
      <c r="AS403" t="s">
        <v>3786</v>
      </c>
    </row>
    <row r="404" spans="1:45" x14ac:dyDescent="0.45">
      <c r="A404">
        <v>403</v>
      </c>
      <c r="B404">
        <v>444</v>
      </c>
      <c r="C404" t="s">
        <v>72</v>
      </c>
      <c r="D404" t="s">
        <v>81</v>
      </c>
      <c r="E404" t="s">
        <v>74</v>
      </c>
      <c r="F404" t="s">
        <v>77</v>
      </c>
      <c r="G404" t="s">
        <v>76</v>
      </c>
      <c r="H404">
        <v>29.594032750815028</v>
      </c>
      <c r="I404">
        <v>0</v>
      </c>
      <c r="J404">
        <v>7</v>
      </c>
      <c r="K404">
        <v>7</v>
      </c>
      <c r="L404">
        <v>0</v>
      </c>
      <c r="M404">
        <v>6</v>
      </c>
      <c r="N404">
        <v>7</v>
      </c>
      <c r="O404">
        <v>-1</v>
      </c>
      <c r="P404">
        <v>5</v>
      </c>
      <c r="Q404">
        <v>7</v>
      </c>
      <c r="R404">
        <v>-2</v>
      </c>
      <c r="S404">
        <v>8</v>
      </c>
      <c r="T404">
        <v>7</v>
      </c>
      <c r="U404">
        <v>1</v>
      </c>
      <c r="V404">
        <v>7</v>
      </c>
      <c r="W404">
        <v>7</v>
      </c>
      <c r="X404">
        <v>0</v>
      </c>
      <c r="Y404">
        <v>6</v>
      </c>
      <c r="Z404">
        <v>7</v>
      </c>
      <c r="AA404">
        <v>-1</v>
      </c>
      <c r="AB404">
        <v>7</v>
      </c>
      <c r="AC404">
        <v>7</v>
      </c>
      <c r="AD404">
        <v>0</v>
      </c>
      <c r="AE404">
        <v>6</v>
      </c>
      <c r="AF404">
        <v>7</v>
      </c>
      <c r="AG404">
        <v>-1</v>
      </c>
      <c r="AH404">
        <v>7</v>
      </c>
      <c r="AI404">
        <v>7</v>
      </c>
      <c r="AJ404">
        <v>0</v>
      </c>
      <c r="AK404" t="s">
        <v>3787</v>
      </c>
      <c r="AL404" t="s">
        <v>3788</v>
      </c>
      <c r="AM404" t="s">
        <v>3789</v>
      </c>
      <c r="AN404" t="s">
        <v>3790</v>
      </c>
      <c r="AO404" t="s">
        <v>3791</v>
      </c>
      <c r="AP404" t="s">
        <v>3792</v>
      </c>
      <c r="AQ404" t="s">
        <v>3793</v>
      </c>
      <c r="AR404" t="s">
        <v>3794</v>
      </c>
      <c r="AS404" t="s">
        <v>3795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O1" workbookViewId="0">
      <selection activeCell="Q1" sqref="Q1"/>
    </sheetView>
  </sheetViews>
  <sheetFormatPr defaultRowHeight="14.25" x14ac:dyDescent="0.45"/>
  <cols>
    <col min="1" max="1" width="15.265625" bestFit="1" customWidth="1"/>
    <col min="2" max="2" width="17.3984375" bestFit="1" customWidth="1"/>
    <col min="3" max="3" width="16.3984375" bestFit="1" customWidth="1"/>
    <col min="4" max="4" width="26.59765625" bestFit="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82</v>
      </c>
      <c r="B1" t="s">
        <v>83</v>
      </c>
      <c r="C1" t="s">
        <v>84</v>
      </c>
      <c r="D1" t="s">
        <v>85</v>
      </c>
      <c r="E1" t="s">
        <v>86</v>
      </c>
      <c r="F1" t="s">
        <v>87</v>
      </c>
      <c r="G1" t="s">
        <v>88</v>
      </c>
      <c r="H1" t="s">
        <v>89</v>
      </c>
      <c r="I1" t="s">
        <v>90</v>
      </c>
      <c r="J1" t="s">
        <v>91</v>
      </c>
      <c r="K1" t="s">
        <v>92</v>
      </c>
      <c r="L1" t="s">
        <v>93</v>
      </c>
      <c r="M1" t="s">
        <v>94</v>
      </c>
      <c r="N1" t="s">
        <v>95</v>
      </c>
      <c r="O1" t="s">
        <v>96</v>
      </c>
      <c r="P1" t="s">
        <v>97</v>
      </c>
      <c r="Q1" t="s">
        <v>98</v>
      </c>
    </row>
    <row r="2" spans="1:17" x14ac:dyDescent="0.45">
      <c r="A2" s="19">
        <v>46016.586805555555</v>
      </c>
      <c r="B2" t="s">
        <v>72</v>
      </c>
      <c r="C2" t="s">
        <v>81</v>
      </c>
      <c r="D2" t="s">
        <v>74</v>
      </c>
      <c r="E2" t="s">
        <v>77</v>
      </c>
      <c r="F2" t="s">
        <v>99</v>
      </c>
      <c r="G2" t="s">
        <v>103</v>
      </c>
      <c r="H2" t="s">
        <v>101</v>
      </c>
      <c r="I2">
        <v>10</v>
      </c>
      <c r="J2">
        <v>8</v>
      </c>
      <c r="K2">
        <v>5</v>
      </c>
      <c r="L2">
        <v>5</v>
      </c>
      <c r="M2">
        <v>10</v>
      </c>
      <c r="N2">
        <v>10</v>
      </c>
      <c r="O2">
        <v>10</v>
      </c>
      <c r="P2">
        <v>10</v>
      </c>
      <c r="Q2">
        <v>10</v>
      </c>
    </row>
    <row r="3" spans="1:17" x14ac:dyDescent="0.45">
      <c r="A3" s="19">
        <v>46016.586805555555</v>
      </c>
      <c r="B3" t="s">
        <v>72</v>
      </c>
      <c r="C3" t="s">
        <v>81</v>
      </c>
      <c r="D3" t="s">
        <v>74</v>
      </c>
      <c r="E3" t="s">
        <v>77</v>
      </c>
      <c r="F3" t="s">
        <v>99</v>
      </c>
      <c r="G3" t="s">
        <v>103</v>
      </c>
      <c r="H3" t="s">
        <v>109</v>
      </c>
      <c r="I3">
        <v>8</v>
      </c>
      <c r="J3">
        <v>8</v>
      </c>
      <c r="K3">
        <v>6</v>
      </c>
      <c r="L3">
        <v>9</v>
      </c>
      <c r="M3">
        <v>10</v>
      </c>
      <c r="N3">
        <v>9</v>
      </c>
      <c r="O3">
        <v>8</v>
      </c>
      <c r="P3">
        <v>9</v>
      </c>
      <c r="Q3">
        <v>10</v>
      </c>
    </row>
    <row r="4" spans="1:17" x14ac:dyDescent="0.45">
      <c r="A4" s="19">
        <v>46016.588194444441</v>
      </c>
      <c r="B4" t="s">
        <v>78</v>
      </c>
      <c r="C4" t="s">
        <v>79</v>
      </c>
      <c r="D4" t="s">
        <v>74</v>
      </c>
      <c r="E4" t="s">
        <v>75</v>
      </c>
      <c r="F4" t="s">
        <v>99</v>
      </c>
      <c r="G4" t="s">
        <v>110</v>
      </c>
      <c r="H4" t="s">
        <v>105</v>
      </c>
      <c r="I4">
        <v>6</v>
      </c>
      <c r="J4">
        <v>5</v>
      </c>
      <c r="K4">
        <v>4</v>
      </c>
      <c r="L4">
        <v>5</v>
      </c>
      <c r="M4">
        <v>4</v>
      </c>
      <c r="N4">
        <v>4</v>
      </c>
      <c r="O4">
        <v>4</v>
      </c>
      <c r="P4">
        <v>10</v>
      </c>
      <c r="Q4">
        <v>4</v>
      </c>
    </row>
    <row r="5" spans="1:17" x14ac:dyDescent="0.45">
      <c r="A5" s="19">
        <v>46016.588194444441</v>
      </c>
      <c r="B5" t="s">
        <v>72</v>
      </c>
      <c r="C5" t="s">
        <v>188</v>
      </c>
      <c r="D5" t="s">
        <v>74</v>
      </c>
      <c r="E5" t="s">
        <v>77</v>
      </c>
      <c r="F5" t="s">
        <v>99</v>
      </c>
      <c r="G5" t="s">
        <v>193</v>
      </c>
      <c r="H5" t="s">
        <v>109</v>
      </c>
      <c r="I5">
        <v>10</v>
      </c>
      <c r="J5">
        <v>10</v>
      </c>
      <c r="K5">
        <v>8</v>
      </c>
      <c r="L5">
        <v>9</v>
      </c>
      <c r="M5">
        <v>9</v>
      </c>
      <c r="N5">
        <v>7</v>
      </c>
      <c r="O5">
        <v>10</v>
      </c>
      <c r="P5">
        <v>7</v>
      </c>
      <c r="Q5">
        <v>10</v>
      </c>
    </row>
    <row r="6" spans="1:17" x14ac:dyDescent="0.45">
      <c r="A6" s="19">
        <v>46016.588888888888</v>
      </c>
      <c r="B6" t="s">
        <v>72</v>
      </c>
      <c r="C6" t="s">
        <v>81</v>
      </c>
      <c r="D6" t="s">
        <v>74</v>
      </c>
      <c r="E6" t="s">
        <v>77</v>
      </c>
      <c r="F6" t="s">
        <v>99</v>
      </c>
      <c r="G6" t="s">
        <v>193</v>
      </c>
      <c r="H6" t="s">
        <v>109</v>
      </c>
      <c r="I6">
        <v>9</v>
      </c>
      <c r="J6">
        <v>9</v>
      </c>
      <c r="K6">
        <v>10</v>
      </c>
      <c r="L6">
        <v>9</v>
      </c>
      <c r="M6">
        <v>9</v>
      </c>
      <c r="N6">
        <v>9</v>
      </c>
      <c r="O6">
        <v>9</v>
      </c>
      <c r="P6">
        <v>9</v>
      </c>
      <c r="Q6">
        <v>9</v>
      </c>
    </row>
    <row r="7" spans="1:17" x14ac:dyDescent="0.45">
      <c r="A7" s="19">
        <v>46016.595138888886</v>
      </c>
      <c r="B7" t="s">
        <v>72</v>
      </c>
      <c r="C7" t="s">
        <v>73</v>
      </c>
      <c r="D7" t="s">
        <v>74</v>
      </c>
      <c r="E7" t="s">
        <v>75</v>
      </c>
      <c r="F7" t="s">
        <v>99</v>
      </c>
      <c r="G7" t="s">
        <v>106</v>
      </c>
      <c r="H7" t="s">
        <v>194</v>
      </c>
      <c r="I7">
        <v>8</v>
      </c>
      <c r="J7">
        <v>8</v>
      </c>
      <c r="K7">
        <v>5</v>
      </c>
      <c r="L7">
        <v>8</v>
      </c>
      <c r="M7">
        <v>6</v>
      </c>
      <c r="N7">
        <v>6</v>
      </c>
      <c r="O7">
        <v>4</v>
      </c>
      <c r="P7">
        <v>5</v>
      </c>
      <c r="Q7">
        <v>6</v>
      </c>
    </row>
    <row r="8" spans="1:17" x14ac:dyDescent="0.45">
      <c r="A8" s="19">
        <v>46016.59652777778</v>
      </c>
      <c r="B8" t="s">
        <v>72</v>
      </c>
      <c r="C8" t="s">
        <v>73</v>
      </c>
      <c r="D8" t="s">
        <v>74</v>
      </c>
      <c r="E8" t="s">
        <v>77</v>
      </c>
      <c r="F8" t="s">
        <v>99</v>
      </c>
      <c r="G8" t="s">
        <v>195</v>
      </c>
      <c r="H8" t="s">
        <v>104</v>
      </c>
      <c r="I8">
        <v>5</v>
      </c>
      <c r="J8">
        <v>4</v>
      </c>
      <c r="K8">
        <v>4</v>
      </c>
      <c r="L8">
        <v>6</v>
      </c>
      <c r="M8">
        <v>6</v>
      </c>
      <c r="N8">
        <v>7</v>
      </c>
      <c r="O8">
        <v>2</v>
      </c>
      <c r="P8">
        <v>4</v>
      </c>
      <c r="Q8">
        <v>4</v>
      </c>
    </row>
    <row r="9" spans="1:17" x14ac:dyDescent="0.45">
      <c r="A9" s="19">
        <v>46016.602777777778</v>
      </c>
      <c r="B9" t="s">
        <v>78</v>
      </c>
      <c r="C9" t="s">
        <v>79</v>
      </c>
      <c r="D9" t="s">
        <v>74</v>
      </c>
      <c r="E9" t="s">
        <v>75</v>
      </c>
      <c r="F9" t="s">
        <v>99</v>
      </c>
      <c r="G9" t="s">
        <v>193</v>
      </c>
      <c r="H9" t="s">
        <v>104</v>
      </c>
      <c r="I9">
        <v>1</v>
      </c>
      <c r="J9">
        <v>1</v>
      </c>
      <c r="K9">
        <v>2</v>
      </c>
      <c r="L9">
        <v>3</v>
      </c>
      <c r="M9">
        <v>6</v>
      </c>
      <c r="N9">
        <v>2</v>
      </c>
      <c r="O9">
        <v>7</v>
      </c>
      <c r="P9">
        <v>3</v>
      </c>
      <c r="Q9">
        <v>3</v>
      </c>
    </row>
    <row r="10" spans="1:17" x14ac:dyDescent="0.45">
      <c r="A10" s="19">
        <v>46016.649305555555</v>
      </c>
      <c r="B10" t="s">
        <v>72</v>
      </c>
      <c r="C10" t="s">
        <v>81</v>
      </c>
      <c r="D10" t="s">
        <v>80</v>
      </c>
      <c r="E10" t="s">
        <v>77</v>
      </c>
      <c r="F10" t="s">
        <v>102</v>
      </c>
      <c r="G10" t="s">
        <v>103</v>
      </c>
      <c r="H10" t="s">
        <v>101</v>
      </c>
      <c r="I10">
        <v>10</v>
      </c>
      <c r="J10">
        <v>10</v>
      </c>
      <c r="K10">
        <v>8</v>
      </c>
      <c r="L10">
        <v>7</v>
      </c>
      <c r="M10">
        <v>7</v>
      </c>
      <c r="N10">
        <v>5</v>
      </c>
      <c r="O10">
        <v>5</v>
      </c>
      <c r="P10">
        <v>9</v>
      </c>
      <c r="Q10">
        <v>8</v>
      </c>
    </row>
    <row r="11" spans="1:17" x14ac:dyDescent="0.45">
      <c r="A11" s="19">
        <v>46016.660416666666</v>
      </c>
      <c r="B11" t="s">
        <v>72</v>
      </c>
      <c r="C11" t="s">
        <v>81</v>
      </c>
      <c r="D11" t="s">
        <v>74</v>
      </c>
      <c r="E11" t="s">
        <v>77</v>
      </c>
      <c r="F11" t="s">
        <v>99</v>
      </c>
      <c r="G11" t="s">
        <v>195</v>
      </c>
      <c r="H11" t="s">
        <v>109</v>
      </c>
      <c r="I11">
        <v>7</v>
      </c>
      <c r="J11">
        <v>10</v>
      </c>
      <c r="K11">
        <v>1</v>
      </c>
      <c r="L11">
        <v>5</v>
      </c>
      <c r="M11">
        <v>8</v>
      </c>
      <c r="N11">
        <v>5</v>
      </c>
      <c r="O11">
        <v>5</v>
      </c>
      <c r="P11">
        <v>5</v>
      </c>
      <c r="Q11">
        <v>10</v>
      </c>
    </row>
    <row r="12" spans="1:17" x14ac:dyDescent="0.45">
      <c r="A12" s="19">
        <v>46016.661111111112</v>
      </c>
      <c r="B12" t="s">
        <v>78</v>
      </c>
      <c r="C12" t="s">
        <v>73</v>
      </c>
      <c r="D12" t="s">
        <v>74</v>
      </c>
      <c r="E12" t="s">
        <v>75</v>
      </c>
      <c r="F12" t="s">
        <v>102</v>
      </c>
      <c r="G12" t="s">
        <v>108</v>
      </c>
      <c r="H12" t="s">
        <v>194</v>
      </c>
      <c r="I12">
        <v>10</v>
      </c>
      <c r="J12">
        <v>3</v>
      </c>
      <c r="K12">
        <v>1</v>
      </c>
      <c r="L12">
        <v>7</v>
      </c>
      <c r="M12">
        <v>1</v>
      </c>
      <c r="N12">
        <v>5</v>
      </c>
      <c r="O12">
        <v>1</v>
      </c>
      <c r="P12">
        <v>8</v>
      </c>
      <c r="Q12">
        <v>6</v>
      </c>
    </row>
    <row r="13" spans="1:17" x14ac:dyDescent="0.45">
      <c r="A13" s="19">
        <v>46016.709027777775</v>
      </c>
      <c r="B13" t="s">
        <v>72</v>
      </c>
      <c r="C13" t="s">
        <v>188</v>
      </c>
      <c r="D13" t="s">
        <v>74</v>
      </c>
      <c r="E13" t="s">
        <v>77</v>
      </c>
      <c r="F13" t="s">
        <v>99</v>
      </c>
      <c r="G13" t="s">
        <v>193</v>
      </c>
      <c r="H13" t="s">
        <v>109</v>
      </c>
      <c r="I13">
        <v>5</v>
      </c>
      <c r="J13">
        <v>8</v>
      </c>
      <c r="K13">
        <v>5</v>
      </c>
      <c r="L13">
        <v>5</v>
      </c>
      <c r="M13">
        <v>6</v>
      </c>
      <c r="N13">
        <v>5</v>
      </c>
      <c r="O13">
        <v>5</v>
      </c>
      <c r="P13">
        <v>5</v>
      </c>
      <c r="Q13">
        <v>5</v>
      </c>
    </row>
    <row r="14" spans="1:17" x14ac:dyDescent="0.45">
      <c r="A14" s="19">
        <v>46016.745833333334</v>
      </c>
      <c r="B14" t="s">
        <v>72</v>
      </c>
      <c r="C14" t="s">
        <v>188</v>
      </c>
      <c r="D14" t="s">
        <v>74</v>
      </c>
      <c r="E14" t="s">
        <v>77</v>
      </c>
      <c r="F14" t="s">
        <v>99</v>
      </c>
      <c r="G14" t="s">
        <v>193</v>
      </c>
      <c r="H14" t="s">
        <v>109</v>
      </c>
      <c r="I14">
        <v>8</v>
      </c>
      <c r="J14">
        <v>7</v>
      </c>
      <c r="K14">
        <v>7</v>
      </c>
      <c r="L14">
        <v>7</v>
      </c>
      <c r="M14">
        <v>7</v>
      </c>
      <c r="N14">
        <v>8</v>
      </c>
      <c r="O14">
        <v>7</v>
      </c>
      <c r="P14">
        <v>7</v>
      </c>
      <c r="Q14">
        <v>7</v>
      </c>
    </row>
    <row r="15" spans="1:17" x14ac:dyDescent="0.45">
      <c r="A15" s="19">
        <v>46016.844444444447</v>
      </c>
      <c r="B15" t="s">
        <v>72</v>
      </c>
      <c r="C15" t="s">
        <v>73</v>
      </c>
      <c r="D15" t="s">
        <v>74</v>
      </c>
      <c r="E15" t="s">
        <v>75</v>
      </c>
      <c r="F15" t="s">
        <v>99</v>
      </c>
      <c r="G15" t="s">
        <v>195</v>
      </c>
      <c r="H15" t="s">
        <v>109</v>
      </c>
      <c r="I15">
        <v>10</v>
      </c>
      <c r="J15">
        <v>10</v>
      </c>
      <c r="K15">
        <v>8</v>
      </c>
      <c r="L15">
        <v>8</v>
      </c>
      <c r="M15">
        <v>8</v>
      </c>
      <c r="N15">
        <v>6</v>
      </c>
      <c r="O15">
        <v>6</v>
      </c>
      <c r="P15">
        <v>5</v>
      </c>
      <c r="Q15">
        <v>5</v>
      </c>
    </row>
    <row r="16" spans="1:17" x14ac:dyDescent="0.45">
      <c r="A16" s="19">
        <v>46016.84652777778</v>
      </c>
      <c r="B16" t="s">
        <v>78</v>
      </c>
      <c r="C16" t="s">
        <v>73</v>
      </c>
      <c r="D16" t="s">
        <v>74</v>
      </c>
      <c r="E16" t="s">
        <v>75</v>
      </c>
      <c r="F16" t="s">
        <v>99</v>
      </c>
      <c r="G16" t="s">
        <v>108</v>
      </c>
      <c r="H16" t="s">
        <v>104</v>
      </c>
      <c r="I16">
        <v>7</v>
      </c>
      <c r="J16">
        <v>9</v>
      </c>
      <c r="K16">
        <v>3</v>
      </c>
      <c r="L16">
        <v>6</v>
      </c>
      <c r="M16">
        <v>1</v>
      </c>
      <c r="N16">
        <v>1</v>
      </c>
      <c r="O16">
        <v>1</v>
      </c>
      <c r="P16">
        <v>1</v>
      </c>
      <c r="Q16">
        <v>1</v>
      </c>
    </row>
    <row r="17" spans="1:17" x14ac:dyDescent="0.45">
      <c r="A17" s="19">
        <v>46016.881249999999</v>
      </c>
      <c r="B17" t="s">
        <v>78</v>
      </c>
      <c r="C17" t="s">
        <v>79</v>
      </c>
      <c r="D17" t="s">
        <v>74</v>
      </c>
      <c r="E17" t="s">
        <v>75</v>
      </c>
      <c r="F17" t="s">
        <v>99</v>
      </c>
      <c r="G17" t="s">
        <v>106</v>
      </c>
      <c r="H17" t="s">
        <v>194</v>
      </c>
      <c r="I17">
        <v>8</v>
      </c>
      <c r="J17">
        <v>8</v>
      </c>
      <c r="K17">
        <v>8</v>
      </c>
      <c r="L17">
        <v>9</v>
      </c>
      <c r="M17">
        <v>7</v>
      </c>
      <c r="N17">
        <v>7</v>
      </c>
      <c r="O17">
        <v>9</v>
      </c>
      <c r="P17">
        <v>8</v>
      </c>
      <c r="Q17">
        <v>7</v>
      </c>
    </row>
    <row r="18" spans="1:17" x14ac:dyDescent="0.45">
      <c r="A18" s="19">
        <v>46016.885416666664</v>
      </c>
      <c r="B18" t="s">
        <v>72</v>
      </c>
      <c r="C18" t="s">
        <v>81</v>
      </c>
      <c r="D18" t="s">
        <v>74</v>
      </c>
      <c r="E18" t="s">
        <v>77</v>
      </c>
      <c r="F18" t="s">
        <v>99</v>
      </c>
      <c r="G18" t="s">
        <v>195</v>
      </c>
      <c r="H18" t="s">
        <v>104</v>
      </c>
      <c r="I18">
        <v>6</v>
      </c>
      <c r="J18">
        <v>7</v>
      </c>
      <c r="K18">
        <v>5</v>
      </c>
      <c r="L18">
        <v>5</v>
      </c>
      <c r="M18">
        <v>6</v>
      </c>
      <c r="N18">
        <v>7</v>
      </c>
      <c r="O18">
        <v>3</v>
      </c>
      <c r="P18">
        <v>4</v>
      </c>
      <c r="Q18">
        <v>5</v>
      </c>
    </row>
    <row r="19" spans="1:17" x14ac:dyDescent="0.45">
      <c r="A19" s="19">
        <v>46016.907638888886</v>
      </c>
      <c r="B19" t="s">
        <v>78</v>
      </c>
      <c r="C19" t="s">
        <v>79</v>
      </c>
      <c r="D19" t="s">
        <v>74</v>
      </c>
      <c r="E19" t="s">
        <v>77</v>
      </c>
      <c r="F19" t="s">
        <v>102</v>
      </c>
      <c r="G19" t="s">
        <v>103</v>
      </c>
      <c r="H19" t="s">
        <v>109</v>
      </c>
      <c r="I19">
        <v>6</v>
      </c>
      <c r="J19">
        <v>8</v>
      </c>
      <c r="K19">
        <v>7</v>
      </c>
      <c r="L19">
        <v>8</v>
      </c>
      <c r="M19">
        <v>8</v>
      </c>
      <c r="N19">
        <v>7</v>
      </c>
      <c r="O19">
        <v>7</v>
      </c>
      <c r="P19">
        <v>6</v>
      </c>
      <c r="Q19">
        <v>8</v>
      </c>
    </row>
    <row r="20" spans="1:17" x14ac:dyDescent="0.45">
      <c r="A20" s="19">
        <v>46016.910416666666</v>
      </c>
      <c r="B20" t="s">
        <v>78</v>
      </c>
      <c r="C20" t="s">
        <v>79</v>
      </c>
      <c r="D20" t="s">
        <v>74</v>
      </c>
      <c r="E20" t="s">
        <v>77</v>
      </c>
      <c r="F20" t="s">
        <v>99</v>
      </c>
      <c r="G20" t="s">
        <v>107</v>
      </c>
      <c r="H20" t="s">
        <v>194</v>
      </c>
      <c r="I20">
        <v>10</v>
      </c>
      <c r="J20">
        <v>10</v>
      </c>
      <c r="K20">
        <v>5</v>
      </c>
      <c r="L20">
        <v>5</v>
      </c>
      <c r="M20">
        <v>5</v>
      </c>
      <c r="N20">
        <v>3</v>
      </c>
      <c r="O20">
        <v>2</v>
      </c>
      <c r="P20">
        <v>5</v>
      </c>
      <c r="Q20">
        <v>8</v>
      </c>
    </row>
    <row r="21" spans="1:17" x14ac:dyDescent="0.45">
      <c r="A21" s="19">
        <v>46017.081250000003</v>
      </c>
      <c r="B21" t="s">
        <v>78</v>
      </c>
      <c r="C21" t="s">
        <v>73</v>
      </c>
      <c r="D21" t="s">
        <v>74</v>
      </c>
      <c r="E21" t="s">
        <v>75</v>
      </c>
      <c r="F21" t="s">
        <v>99</v>
      </c>
      <c r="G21" t="s">
        <v>110</v>
      </c>
      <c r="H21" t="s">
        <v>104</v>
      </c>
      <c r="I21">
        <v>9</v>
      </c>
      <c r="J21">
        <v>9</v>
      </c>
      <c r="K21">
        <v>7</v>
      </c>
      <c r="L21">
        <v>9</v>
      </c>
      <c r="M21">
        <v>7</v>
      </c>
      <c r="N21">
        <v>8</v>
      </c>
      <c r="O21">
        <v>5</v>
      </c>
      <c r="P21">
        <v>5</v>
      </c>
      <c r="Q21">
        <v>6</v>
      </c>
    </row>
    <row r="22" spans="1:17" x14ac:dyDescent="0.45">
      <c r="A22" s="19">
        <v>46017.3125</v>
      </c>
      <c r="B22" t="s">
        <v>72</v>
      </c>
      <c r="C22" t="s">
        <v>79</v>
      </c>
      <c r="D22" t="s">
        <v>74</v>
      </c>
      <c r="E22" t="s">
        <v>77</v>
      </c>
      <c r="F22" t="s">
        <v>99</v>
      </c>
      <c r="G22" t="s">
        <v>107</v>
      </c>
      <c r="H22" t="s">
        <v>105</v>
      </c>
      <c r="I22">
        <v>10</v>
      </c>
      <c r="J22">
        <v>10</v>
      </c>
      <c r="K22">
        <v>8</v>
      </c>
      <c r="L22">
        <v>7</v>
      </c>
      <c r="M22">
        <v>7</v>
      </c>
      <c r="N22">
        <v>7</v>
      </c>
      <c r="O22">
        <v>2</v>
      </c>
      <c r="P22">
        <v>3</v>
      </c>
      <c r="Q22">
        <v>3</v>
      </c>
    </row>
    <row r="23" spans="1:17" x14ac:dyDescent="0.45">
      <c r="A23" s="19">
        <v>46017.362500000003</v>
      </c>
      <c r="B23" t="s">
        <v>72</v>
      </c>
      <c r="C23" t="s">
        <v>188</v>
      </c>
      <c r="D23" t="s">
        <v>74</v>
      </c>
      <c r="E23" t="s">
        <v>77</v>
      </c>
      <c r="F23" t="s">
        <v>99</v>
      </c>
      <c r="G23" t="s">
        <v>103</v>
      </c>
      <c r="H23" t="s">
        <v>109</v>
      </c>
      <c r="I23">
        <v>8</v>
      </c>
      <c r="J23">
        <v>8</v>
      </c>
      <c r="K23">
        <v>5</v>
      </c>
      <c r="L23">
        <v>8</v>
      </c>
      <c r="M23">
        <v>8</v>
      </c>
      <c r="N23">
        <v>8</v>
      </c>
      <c r="O23">
        <v>8</v>
      </c>
      <c r="P23">
        <v>8</v>
      </c>
      <c r="Q23">
        <v>8</v>
      </c>
    </row>
    <row r="24" spans="1:17" x14ac:dyDescent="0.45">
      <c r="A24" s="19">
        <v>46017.4</v>
      </c>
      <c r="B24" t="s">
        <v>72</v>
      </c>
      <c r="C24" t="s">
        <v>79</v>
      </c>
      <c r="D24" t="s">
        <v>74</v>
      </c>
      <c r="E24" t="s">
        <v>75</v>
      </c>
      <c r="F24" t="s">
        <v>99</v>
      </c>
      <c r="G24" t="s">
        <v>106</v>
      </c>
      <c r="H24" t="s">
        <v>105</v>
      </c>
      <c r="I24">
        <v>5</v>
      </c>
      <c r="J24">
        <v>5</v>
      </c>
      <c r="K24">
        <v>5</v>
      </c>
      <c r="L24">
        <v>5</v>
      </c>
      <c r="M24">
        <v>5</v>
      </c>
      <c r="N24">
        <v>5</v>
      </c>
      <c r="O24">
        <v>5</v>
      </c>
      <c r="P24">
        <v>5</v>
      </c>
      <c r="Q24">
        <v>5</v>
      </c>
    </row>
    <row r="25" spans="1:17" x14ac:dyDescent="0.45">
      <c r="A25" s="19">
        <v>46017.484027777777</v>
      </c>
      <c r="B25" t="s">
        <v>72</v>
      </c>
      <c r="C25" t="s">
        <v>73</v>
      </c>
      <c r="D25" t="s">
        <v>80</v>
      </c>
      <c r="E25" t="s">
        <v>77</v>
      </c>
      <c r="F25" t="s">
        <v>99</v>
      </c>
      <c r="G25" t="s">
        <v>100</v>
      </c>
      <c r="H25" t="s">
        <v>104</v>
      </c>
      <c r="I25">
        <v>9</v>
      </c>
      <c r="J25">
        <v>8</v>
      </c>
      <c r="K25">
        <v>6</v>
      </c>
      <c r="L25">
        <v>9</v>
      </c>
      <c r="M25">
        <v>8</v>
      </c>
      <c r="N25">
        <v>10</v>
      </c>
      <c r="O25">
        <v>6</v>
      </c>
      <c r="P25">
        <v>6</v>
      </c>
      <c r="Q25">
        <v>8</v>
      </c>
    </row>
    <row r="26" spans="1:17" x14ac:dyDescent="0.45">
      <c r="A26" s="19">
        <v>46017.486111111109</v>
      </c>
      <c r="B26" t="s">
        <v>78</v>
      </c>
      <c r="C26" t="s">
        <v>73</v>
      </c>
      <c r="D26" t="s">
        <v>74</v>
      </c>
      <c r="E26" t="s">
        <v>75</v>
      </c>
      <c r="F26" t="s">
        <v>99</v>
      </c>
      <c r="G26" t="s">
        <v>108</v>
      </c>
      <c r="H26" t="s">
        <v>101</v>
      </c>
      <c r="I26">
        <v>6</v>
      </c>
      <c r="J26">
        <v>7</v>
      </c>
      <c r="K26">
        <v>5</v>
      </c>
      <c r="L26">
        <v>6</v>
      </c>
      <c r="M26">
        <v>7</v>
      </c>
      <c r="N26">
        <v>7</v>
      </c>
      <c r="O26">
        <v>3</v>
      </c>
      <c r="P26">
        <v>3</v>
      </c>
      <c r="Q26">
        <v>5</v>
      </c>
    </row>
    <row r="27" spans="1:17" x14ac:dyDescent="0.45">
      <c r="A27" s="19">
        <v>46017.489583333336</v>
      </c>
      <c r="B27" t="s">
        <v>78</v>
      </c>
      <c r="C27" t="s">
        <v>73</v>
      </c>
      <c r="D27" t="s">
        <v>74</v>
      </c>
      <c r="E27" t="s">
        <v>75</v>
      </c>
      <c r="F27" t="s">
        <v>99</v>
      </c>
      <c r="G27" t="s">
        <v>193</v>
      </c>
      <c r="H27" t="s">
        <v>194</v>
      </c>
      <c r="I27">
        <v>10</v>
      </c>
      <c r="J27">
        <v>10</v>
      </c>
      <c r="K27">
        <v>10</v>
      </c>
      <c r="L27">
        <v>6</v>
      </c>
      <c r="M27">
        <v>6</v>
      </c>
      <c r="N27">
        <v>10</v>
      </c>
      <c r="O27">
        <v>1</v>
      </c>
      <c r="P27">
        <v>4</v>
      </c>
      <c r="Q27">
        <v>10</v>
      </c>
    </row>
    <row r="28" spans="1:17" x14ac:dyDescent="0.45">
      <c r="A28" s="19">
        <v>46017.504166666666</v>
      </c>
      <c r="B28" t="s">
        <v>78</v>
      </c>
      <c r="C28" t="s">
        <v>188</v>
      </c>
      <c r="D28" t="s">
        <v>74</v>
      </c>
      <c r="E28" t="s">
        <v>77</v>
      </c>
      <c r="F28" t="s">
        <v>99</v>
      </c>
      <c r="G28" t="s">
        <v>193</v>
      </c>
      <c r="H28" t="s">
        <v>109</v>
      </c>
      <c r="I28">
        <v>1</v>
      </c>
      <c r="J28">
        <v>1</v>
      </c>
      <c r="K28">
        <v>1</v>
      </c>
      <c r="L28">
        <v>1</v>
      </c>
      <c r="M28">
        <v>1</v>
      </c>
      <c r="N28">
        <v>1</v>
      </c>
      <c r="O28">
        <v>1</v>
      </c>
      <c r="P28">
        <v>1</v>
      </c>
      <c r="Q28">
        <v>1</v>
      </c>
    </row>
    <row r="29" spans="1:17" x14ac:dyDescent="0.45">
      <c r="A29" s="19">
        <v>46017.504166666666</v>
      </c>
      <c r="B29" t="s">
        <v>78</v>
      </c>
      <c r="C29" t="s">
        <v>81</v>
      </c>
      <c r="D29" t="s">
        <v>74</v>
      </c>
      <c r="E29" t="s">
        <v>77</v>
      </c>
      <c r="F29" t="s">
        <v>99</v>
      </c>
      <c r="G29" t="s">
        <v>103</v>
      </c>
      <c r="H29" t="s">
        <v>109</v>
      </c>
      <c r="I29">
        <v>1</v>
      </c>
      <c r="J29">
        <v>1</v>
      </c>
      <c r="K29">
        <v>1</v>
      </c>
      <c r="L29">
        <v>1</v>
      </c>
      <c r="M29">
        <v>1</v>
      </c>
      <c r="N29">
        <v>1</v>
      </c>
      <c r="O29">
        <v>1</v>
      </c>
      <c r="P29">
        <v>1</v>
      </c>
      <c r="Q29">
        <v>1</v>
      </c>
    </row>
    <row r="30" spans="1:17" x14ac:dyDescent="0.45">
      <c r="A30" s="19">
        <v>46017.504861111112</v>
      </c>
      <c r="B30" t="s">
        <v>72</v>
      </c>
      <c r="C30" t="s">
        <v>188</v>
      </c>
      <c r="D30" t="s">
        <v>74</v>
      </c>
      <c r="E30" t="s">
        <v>77</v>
      </c>
      <c r="F30" t="s">
        <v>99</v>
      </c>
      <c r="G30" t="s">
        <v>103</v>
      </c>
      <c r="H30" t="s">
        <v>109</v>
      </c>
      <c r="I30">
        <v>10</v>
      </c>
      <c r="J30">
        <v>10</v>
      </c>
      <c r="K30">
        <v>9</v>
      </c>
      <c r="L30">
        <v>10</v>
      </c>
      <c r="M30">
        <v>10</v>
      </c>
      <c r="N30">
        <v>9</v>
      </c>
      <c r="O30">
        <v>10</v>
      </c>
      <c r="P30">
        <v>10</v>
      </c>
      <c r="Q30">
        <v>10</v>
      </c>
    </row>
    <row r="31" spans="1:17" x14ac:dyDescent="0.45">
      <c r="A31" s="19">
        <v>46017.504861111112</v>
      </c>
      <c r="B31" t="s">
        <v>72</v>
      </c>
      <c r="C31" t="s">
        <v>188</v>
      </c>
      <c r="D31" t="s">
        <v>74</v>
      </c>
      <c r="E31" t="s">
        <v>77</v>
      </c>
      <c r="F31" t="s">
        <v>99</v>
      </c>
      <c r="G31" t="s">
        <v>103</v>
      </c>
      <c r="H31" t="s">
        <v>109</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99</v>
      </c>
      <c r="G32" t="s">
        <v>100</v>
      </c>
      <c r="H32" t="s">
        <v>109</v>
      </c>
      <c r="I32">
        <v>10</v>
      </c>
      <c r="J32">
        <v>7</v>
      </c>
      <c r="K32">
        <v>10</v>
      </c>
      <c r="L32">
        <v>7</v>
      </c>
      <c r="M32">
        <v>10</v>
      </c>
      <c r="N32">
        <v>10</v>
      </c>
      <c r="O32">
        <v>3</v>
      </c>
      <c r="P32">
        <v>5</v>
      </c>
      <c r="Q32">
        <v>8</v>
      </c>
    </row>
    <row r="33" spans="1:17" x14ac:dyDescent="0.45">
      <c r="A33" s="19">
        <v>46017.505555555559</v>
      </c>
      <c r="B33" t="s">
        <v>72</v>
      </c>
      <c r="C33" t="s">
        <v>188</v>
      </c>
      <c r="D33" t="s">
        <v>74</v>
      </c>
      <c r="E33" t="s">
        <v>77</v>
      </c>
      <c r="F33" t="s">
        <v>99</v>
      </c>
      <c r="G33" t="s">
        <v>100</v>
      </c>
      <c r="H33" t="s">
        <v>109</v>
      </c>
      <c r="I33">
        <v>5</v>
      </c>
      <c r="J33">
        <v>5</v>
      </c>
      <c r="K33">
        <v>5</v>
      </c>
      <c r="L33">
        <v>5</v>
      </c>
      <c r="M33">
        <v>5</v>
      </c>
      <c r="N33">
        <v>5</v>
      </c>
      <c r="O33">
        <v>5</v>
      </c>
      <c r="P33">
        <v>5</v>
      </c>
      <c r="Q33">
        <v>5</v>
      </c>
    </row>
    <row r="34" spans="1:17" x14ac:dyDescent="0.45">
      <c r="A34" s="19">
        <v>46017.505555555559</v>
      </c>
      <c r="B34" t="s">
        <v>72</v>
      </c>
      <c r="C34" t="s">
        <v>81</v>
      </c>
      <c r="D34" t="s">
        <v>74</v>
      </c>
      <c r="E34" t="s">
        <v>77</v>
      </c>
      <c r="F34" t="s">
        <v>99</v>
      </c>
      <c r="G34" t="s">
        <v>100</v>
      </c>
      <c r="H34" t="s">
        <v>109</v>
      </c>
      <c r="I34">
        <v>8</v>
      </c>
      <c r="J34">
        <v>9</v>
      </c>
      <c r="K34">
        <v>7</v>
      </c>
      <c r="L34">
        <v>8</v>
      </c>
      <c r="M34">
        <v>8</v>
      </c>
      <c r="N34">
        <v>8</v>
      </c>
      <c r="O34">
        <v>3</v>
      </c>
      <c r="P34">
        <v>6</v>
      </c>
      <c r="Q34">
        <v>7</v>
      </c>
    </row>
    <row r="35" spans="1:17" x14ac:dyDescent="0.45">
      <c r="A35" s="19">
        <v>46017.505555555559</v>
      </c>
      <c r="B35" t="s">
        <v>78</v>
      </c>
      <c r="C35" t="s">
        <v>81</v>
      </c>
      <c r="D35" t="s">
        <v>74</v>
      </c>
      <c r="E35" t="s">
        <v>77</v>
      </c>
      <c r="F35" t="s">
        <v>99</v>
      </c>
      <c r="G35" t="s">
        <v>103</v>
      </c>
      <c r="H35" t="s">
        <v>101</v>
      </c>
      <c r="I35">
        <v>10</v>
      </c>
      <c r="J35">
        <v>10</v>
      </c>
      <c r="K35">
        <v>10</v>
      </c>
      <c r="L35">
        <v>10</v>
      </c>
      <c r="M35">
        <v>10</v>
      </c>
      <c r="N35">
        <v>10</v>
      </c>
      <c r="O35">
        <v>10</v>
      </c>
      <c r="P35">
        <v>10</v>
      </c>
      <c r="Q35">
        <v>10</v>
      </c>
    </row>
    <row r="36" spans="1:17" x14ac:dyDescent="0.45">
      <c r="A36" s="19">
        <v>46017.509722222225</v>
      </c>
      <c r="B36" t="s">
        <v>72</v>
      </c>
      <c r="C36" t="s">
        <v>73</v>
      </c>
      <c r="D36" t="s">
        <v>74</v>
      </c>
      <c r="E36" t="s">
        <v>189</v>
      </c>
      <c r="F36" t="s">
        <v>99</v>
      </c>
      <c r="G36" t="s">
        <v>103</v>
      </c>
      <c r="H36" t="s">
        <v>105</v>
      </c>
      <c r="I36">
        <v>10</v>
      </c>
      <c r="J36">
        <v>10</v>
      </c>
      <c r="K36">
        <v>10</v>
      </c>
      <c r="L36">
        <v>10</v>
      </c>
      <c r="M36">
        <v>10</v>
      </c>
      <c r="N36">
        <v>10</v>
      </c>
      <c r="O36">
        <v>10</v>
      </c>
      <c r="P36">
        <v>10</v>
      </c>
      <c r="Q36">
        <v>10</v>
      </c>
    </row>
    <row r="37" spans="1:17" x14ac:dyDescent="0.45">
      <c r="A37" s="19">
        <v>46017.510416666664</v>
      </c>
      <c r="B37" t="s">
        <v>72</v>
      </c>
      <c r="C37" t="s">
        <v>188</v>
      </c>
      <c r="D37" t="s">
        <v>74</v>
      </c>
      <c r="E37" t="s">
        <v>77</v>
      </c>
      <c r="F37" t="s">
        <v>99</v>
      </c>
      <c r="G37" t="s">
        <v>103</v>
      </c>
      <c r="H37" t="s">
        <v>109</v>
      </c>
      <c r="I37">
        <v>10</v>
      </c>
      <c r="J37">
        <v>9</v>
      </c>
      <c r="K37">
        <v>10</v>
      </c>
      <c r="L37">
        <v>8</v>
      </c>
      <c r="M37">
        <v>10</v>
      </c>
      <c r="N37">
        <v>9</v>
      </c>
      <c r="O37">
        <v>10</v>
      </c>
      <c r="P37">
        <v>10</v>
      </c>
      <c r="Q37">
        <v>10</v>
      </c>
    </row>
    <row r="38" spans="1:17" x14ac:dyDescent="0.45">
      <c r="A38" s="19">
        <v>46017.511111111111</v>
      </c>
      <c r="B38" t="s">
        <v>78</v>
      </c>
      <c r="C38" t="s">
        <v>188</v>
      </c>
      <c r="D38" t="s">
        <v>74</v>
      </c>
      <c r="E38" t="s">
        <v>77</v>
      </c>
      <c r="F38" t="s">
        <v>99</v>
      </c>
      <c r="G38" t="s">
        <v>103</v>
      </c>
      <c r="H38" t="s">
        <v>109</v>
      </c>
      <c r="I38">
        <v>10</v>
      </c>
      <c r="J38">
        <v>10</v>
      </c>
      <c r="K38">
        <v>10</v>
      </c>
      <c r="L38">
        <v>10</v>
      </c>
      <c r="M38">
        <v>9</v>
      </c>
      <c r="N38">
        <v>9</v>
      </c>
      <c r="O38">
        <v>9</v>
      </c>
      <c r="P38">
        <v>9</v>
      </c>
      <c r="Q38">
        <v>8</v>
      </c>
    </row>
    <row r="39" spans="1:17" x14ac:dyDescent="0.45">
      <c r="A39" s="19">
        <v>46017.511111111111</v>
      </c>
      <c r="B39" t="s">
        <v>72</v>
      </c>
      <c r="C39" t="s">
        <v>73</v>
      </c>
      <c r="D39" t="s">
        <v>74</v>
      </c>
      <c r="E39" t="s">
        <v>77</v>
      </c>
      <c r="F39" t="s">
        <v>99</v>
      </c>
      <c r="G39" t="s">
        <v>108</v>
      </c>
      <c r="H39" t="s">
        <v>101</v>
      </c>
      <c r="I39">
        <v>8</v>
      </c>
      <c r="J39">
        <v>8</v>
      </c>
      <c r="K39">
        <v>8</v>
      </c>
      <c r="L39">
        <v>8</v>
      </c>
      <c r="M39">
        <v>8</v>
      </c>
      <c r="N39">
        <v>8</v>
      </c>
      <c r="O39">
        <v>8</v>
      </c>
      <c r="P39">
        <v>8</v>
      </c>
      <c r="Q39">
        <v>8</v>
      </c>
    </row>
    <row r="40" spans="1:17" x14ac:dyDescent="0.45">
      <c r="A40" s="19">
        <v>46017.511111111111</v>
      </c>
      <c r="B40" t="s">
        <v>78</v>
      </c>
      <c r="C40" t="s">
        <v>81</v>
      </c>
      <c r="D40" t="s">
        <v>74</v>
      </c>
      <c r="E40" t="s">
        <v>77</v>
      </c>
      <c r="F40" t="s">
        <v>99</v>
      </c>
      <c r="G40" t="s">
        <v>103</v>
      </c>
      <c r="H40" t="s">
        <v>109</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99</v>
      </c>
      <c r="G41" t="s">
        <v>107</v>
      </c>
      <c r="H41" t="s">
        <v>101</v>
      </c>
      <c r="I41">
        <v>8</v>
      </c>
      <c r="J41">
        <v>8</v>
      </c>
      <c r="K41">
        <v>6</v>
      </c>
      <c r="L41">
        <v>8</v>
      </c>
      <c r="M41">
        <v>7</v>
      </c>
      <c r="N41">
        <v>8</v>
      </c>
      <c r="O41">
        <v>5</v>
      </c>
      <c r="P41">
        <v>6</v>
      </c>
      <c r="Q41">
        <v>7</v>
      </c>
    </row>
    <row r="42" spans="1:17" x14ac:dyDescent="0.45">
      <c r="A42" s="19">
        <v>46017.511805555558</v>
      </c>
      <c r="B42" t="s">
        <v>78</v>
      </c>
      <c r="C42" t="s">
        <v>73</v>
      </c>
      <c r="D42" t="s">
        <v>74</v>
      </c>
      <c r="E42" t="s">
        <v>77</v>
      </c>
      <c r="F42" t="s">
        <v>99</v>
      </c>
      <c r="G42" t="s">
        <v>106</v>
      </c>
      <c r="H42" t="s">
        <v>104</v>
      </c>
      <c r="I42">
        <v>9</v>
      </c>
      <c r="J42">
        <v>8</v>
      </c>
      <c r="K42">
        <v>7</v>
      </c>
      <c r="L42">
        <v>8</v>
      </c>
      <c r="M42">
        <v>7</v>
      </c>
      <c r="N42">
        <v>4</v>
      </c>
      <c r="O42">
        <v>2</v>
      </c>
      <c r="P42">
        <v>8</v>
      </c>
      <c r="Q42">
        <v>8</v>
      </c>
    </row>
    <row r="43" spans="1:17" x14ac:dyDescent="0.45">
      <c r="A43" s="19">
        <v>46017.513194444444</v>
      </c>
      <c r="B43" t="s">
        <v>72</v>
      </c>
      <c r="C43" t="s">
        <v>73</v>
      </c>
      <c r="D43" t="s">
        <v>74</v>
      </c>
      <c r="E43" t="s">
        <v>77</v>
      </c>
      <c r="F43" t="s">
        <v>99</v>
      </c>
      <c r="G43" t="s">
        <v>108</v>
      </c>
      <c r="H43" t="s">
        <v>105</v>
      </c>
      <c r="I43">
        <v>10</v>
      </c>
      <c r="J43">
        <v>10</v>
      </c>
      <c r="K43">
        <v>9</v>
      </c>
      <c r="L43">
        <v>8</v>
      </c>
      <c r="M43">
        <v>7</v>
      </c>
      <c r="N43">
        <v>9</v>
      </c>
      <c r="O43">
        <v>9</v>
      </c>
      <c r="P43">
        <v>8</v>
      </c>
      <c r="Q43">
        <v>8</v>
      </c>
    </row>
    <row r="44" spans="1:17" x14ac:dyDescent="0.45">
      <c r="A44" s="19">
        <v>46017.515277777777</v>
      </c>
      <c r="B44" t="s">
        <v>72</v>
      </c>
      <c r="C44" t="s">
        <v>73</v>
      </c>
      <c r="D44" t="s">
        <v>74</v>
      </c>
      <c r="E44" t="s">
        <v>77</v>
      </c>
      <c r="F44" t="s">
        <v>99</v>
      </c>
      <c r="G44" t="s">
        <v>107</v>
      </c>
      <c r="H44" t="s">
        <v>104</v>
      </c>
      <c r="I44">
        <v>6</v>
      </c>
      <c r="J44">
        <v>6</v>
      </c>
      <c r="K44">
        <v>8</v>
      </c>
      <c r="L44">
        <v>10</v>
      </c>
      <c r="M44">
        <v>9</v>
      </c>
      <c r="N44">
        <v>1</v>
      </c>
      <c r="O44">
        <v>7</v>
      </c>
      <c r="P44">
        <v>7</v>
      </c>
      <c r="Q44">
        <v>8</v>
      </c>
    </row>
    <row r="45" spans="1:17" x14ac:dyDescent="0.45">
      <c r="A45" s="19">
        <v>46017.515972222223</v>
      </c>
      <c r="B45" t="s">
        <v>78</v>
      </c>
      <c r="C45" t="s">
        <v>73</v>
      </c>
      <c r="D45" t="s">
        <v>74</v>
      </c>
      <c r="E45" t="s">
        <v>77</v>
      </c>
      <c r="F45" t="s">
        <v>99</v>
      </c>
      <c r="G45" t="s">
        <v>100</v>
      </c>
      <c r="H45" t="s">
        <v>101</v>
      </c>
      <c r="I45">
        <v>8</v>
      </c>
      <c r="J45">
        <v>8</v>
      </c>
      <c r="K45">
        <v>8</v>
      </c>
      <c r="L45">
        <v>8</v>
      </c>
      <c r="M45">
        <v>8</v>
      </c>
      <c r="N45">
        <v>8</v>
      </c>
      <c r="O45">
        <v>9</v>
      </c>
      <c r="P45">
        <v>5</v>
      </c>
      <c r="Q45">
        <v>9</v>
      </c>
    </row>
    <row r="46" spans="1:17" x14ac:dyDescent="0.45">
      <c r="A46" s="19">
        <v>46017.518750000003</v>
      </c>
      <c r="B46" t="s">
        <v>72</v>
      </c>
      <c r="C46" t="s">
        <v>79</v>
      </c>
      <c r="D46" t="s">
        <v>74</v>
      </c>
      <c r="E46" t="s">
        <v>77</v>
      </c>
      <c r="F46" t="s">
        <v>99</v>
      </c>
      <c r="G46" t="s">
        <v>100</v>
      </c>
      <c r="H46" t="s">
        <v>104</v>
      </c>
      <c r="I46">
        <v>10</v>
      </c>
      <c r="J46">
        <v>10</v>
      </c>
      <c r="K46">
        <v>10</v>
      </c>
      <c r="L46">
        <v>9</v>
      </c>
      <c r="M46">
        <v>10</v>
      </c>
      <c r="N46">
        <v>10</v>
      </c>
      <c r="O46">
        <v>10</v>
      </c>
      <c r="P46">
        <v>10</v>
      </c>
      <c r="Q46">
        <v>10</v>
      </c>
    </row>
    <row r="47" spans="1:17" x14ac:dyDescent="0.45">
      <c r="A47" s="19">
        <v>46017.519444444442</v>
      </c>
      <c r="B47" t="s">
        <v>72</v>
      </c>
      <c r="C47" t="s">
        <v>190</v>
      </c>
      <c r="D47" t="s">
        <v>80</v>
      </c>
      <c r="E47" t="s">
        <v>77</v>
      </c>
      <c r="F47" t="s">
        <v>99</v>
      </c>
      <c r="G47" t="s">
        <v>193</v>
      </c>
      <c r="H47" t="s">
        <v>104</v>
      </c>
      <c r="I47">
        <v>1</v>
      </c>
      <c r="J47">
        <v>1</v>
      </c>
      <c r="K47">
        <v>2</v>
      </c>
      <c r="L47">
        <v>1</v>
      </c>
      <c r="M47">
        <v>1</v>
      </c>
      <c r="N47">
        <v>1</v>
      </c>
      <c r="O47">
        <v>1</v>
      </c>
      <c r="P47">
        <v>1</v>
      </c>
      <c r="Q47">
        <v>1</v>
      </c>
    </row>
    <row r="48" spans="1:17" x14ac:dyDescent="0.45">
      <c r="A48" s="19">
        <v>46017.519444444442</v>
      </c>
      <c r="B48" t="s">
        <v>78</v>
      </c>
      <c r="C48" t="s">
        <v>73</v>
      </c>
      <c r="D48" t="s">
        <v>74</v>
      </c>
      <c r="E48" t="s">
        <v>77</v>
      </c>
      <c r="F48" t="s">
        <v>99</v>
      </c>
      <c r="G48" t="s">
        <v>193</v>
      </c>
      <c r="H48" t="s">
        <v>109</v>
      </c>
      <c r="I48">
        <v>8</v>
      </c>
      <c r="J48">
        <v>8</v>
      </c>
      <c r="K48">
        <v>8</v>
      </c>
      <c r="L48">
        <v>7</v>
      </c>
      <c r="M48">
        <v>6</v>
      </c>
      <c r="N48">
        <v>8</v>
      </c>
      <c r="O48">
        <v>8</v>
      </c>
      <c r="P48">
        <v>9</v>
      </c>
      <c r="Q48">
        <v>8</v>
      </c>
    </row>
    <row r="49" spans="1:17" x14ac:dyDescent="0.45">
      <c r="A49" s="19">
        <v>46017.520138888889</v>
      </c>
      <c r="B49" t="s">
        <v>72</v>
      </c>
      <c r="C49" t="s">
        <v>73</v>
      </c>
      <c r="D49" t="s">
        <v>74</v>
      </c>
      <c r="E49" t="s">
        <v>77</v>
      </c>
      <c r="F49" t="s">
        <v>99</v>
      </c>
      <c r="G49" t="s">
        <v>108</v>
      </c>
      <c r="H49" t="s">
        <v>105</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99</v>
      </c>
      <c r="G50" t="s">
        <v>107</v>
      </c>
      <c r="H50" t="s">
        <v>104</v>
      </c>
      <c r="I50">
        <v>8</v>
      </c>
      <c r="J50">
        <v>8</v>
      </c>
      <c r="K50">
        <v>7</v>
      </c>
      <c r="L50">
        <v>8</v>
      </c>
      <c r="M50">
        <v>6</v>
      </c>
      <c r="N50">
        <v>8</v>
      </c>
      <c r="O50">
        <v>6</v>
      </c>
      <c r="P50">
        <v>5</v>
      </c>
      <c r="Q50">
        <v>8</v>
      </c>
    </row>
    <row r="51" spans="1:17" x14ac:dyDescent="0.45">
      <c r="A51" s="19">
        <v>46017.521527777775</v>
      </c>
      <c r="B51" t="s">
        <v>72</v>
      </c>
      <c r="C51" t="s">
        <v>73</v>
      </c>
      <c r="D51" t="s">
        <v>74</v>
      </c>
      <c r="E51" t="s">
        <v>77</v>
      </c>
      <c r="F51" t="s">
        <v>99</v>
      </c>
      <c r="G51" t="s">
        <v>195</v>
      </c>
      <c r="H51" t="s">
        <v>105</v>
      </c>
      <c r="I51">
        <v>10</v>
      </c>
      <c r="J51">
        <v>10</v>
      </c>
      <c r="K51">
        <v>10</v>
      </c>
      <c r="L51">
        <v>8</v>
      </c>
      <c r="M51">
        <v>8</v>
      </c>
      <c r="N51">
        <v>8</v>
      </c>
      <c r="O51">
        <v>8</v>
      </c>
      <c r="P51">
        <v>8</v>
      </c>
      <c r="Q51">
        <v>8</v>
      </c>
    </row>
    <row r="52" spans="1:17" x14ac:dyDescent="0.45">
      <c r="A52" s="19">
        <v>46017.526388888888</v>
      </c>
      <c r="B52" t="s">
        <v>78</v>
      </c>
      <c r="C52" t="s">
        <v>81</v>
      </c>
      <c r="D52" t="s">
        <v>74</v>
      </c>
      <c r="E52" t="s">
        <v>77</v>
      </c>
      <c r="F52" t="s">
        <v>99</v>
      </c>
      <c r="G52" t="s">
        <v>103</v>
      </c>
      <c r="H52" t="s">
        <v>109</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99</v>
      </c>
      <c r="G53" t="s">
        <v>195</v>
      </c>
      <c r="H53" t="s">
        <v>101</v>
      </c>
      <c r="I53">
        <v>10</v>
      </c>
      <c r="J53">
        <v>10</v>
      </c>
      <c r="K53">
        <v>10</v>
      </c>
      <c r="L53">
        <v>10</v>
      </c>
      <c r="M53">
        <v>10</v>
      </c>
      <c r="N53">
        <v>10</v>
      </c>
      <c r="O53">
        <v>10</v>
      </c>
      <c r="P53">
        <v>10</v>
      </c>
      <c r="Q53">
        <v>8</v>
      </c>
    </row>
    <row r="54" spans="1:17" x14ac:dyDescent="0.45">
      <c r="A54" s="19">
        <v>46017.53125</v>
      </c>
      <c r="B54" t="s">
        <v>78</v>
      </c>
      <c r="C54" t="s">
        <v>81</v>
      </c>
      <c r="D54" t="s">
        <v>74</v>
      </c>
      <c r="E54" t="s">
        <v>75</v>
      </c>
      <c r="F54" t="s">
        <v>99</v>
      </c>
      <c r="G54" t="s">
        <v>103</v>
      </c>
      <c r="H54" t="s">
        <v>104</v>
      </c>
      <c r="I54">
        <v>10</v>
      </c>
      <c r="J54">
        <v>10</v>
      </c>
      <c r="K54">
        <v>10</v>
      </c>
      <c r="L54">
        <v>10</v>
      </c>
      <c r="M54">
        <v>10</v>
      </c>
      <c r="N54">
        <v>10</v>
      </c>
      <c r="O54">
        <v>10</v>
      </c>
      <c r="P54">
        <v>10</v>
      </c>
      <c r="Q54">
        <v>10</v>
      </c>
    </row>
    <row r="55" spans="1:17" x14ac:dyDescent="0.45">
      <c r="A55" s="19">
        <v>46017.53125</v>
      </c>
      <c r="B55" t="s">
        <v>72</v>
      </c>
      <c r="C55" t="s">
        <v>79</v>
      </c>
      <c r="D55" t="s">
        <v>74</v>
      </c>
      <c r="E55" t="s">
        <v>77</v>
      </c>
      <c r="F55" t="s">
        <v>99</v>
      </c>
      <c r="G55" t="s">
        <v>108</v>
      </c>
      <c r="H55" t="s">
        <v>104</v>
      </c>
      <c r="I55">
        <v>8</v>
      </c>
      <c r="J55">
        <v>7</v>
      </c>
      <c r="K55">
        <v>7</v>
      </c>
      <c r="L55">
        <v>8</v>
      </c>
      <c r="M55">
        <v>7</v>
      </c>
      <c r="N55">
        <v>8</v>
      </c>
      <c r="O55">
        <v>7</v>
      </c>
      <c r="P55">
        <v>7</v>
      </c>
      <c r="Q55">
        <v>8</v>
      </c>
    </row>
    <row r="56" spans="1:17" x14ac:dyDescent="0.45">
      <c r="A56" s="19">
        <v>46017.533333333333</v>
      </c>
      <c r="B56" t="s">
        <v>72</v>
      </c>
      <c r="C56" t="s">
        <v>73</v>
      </c>
      <c r="D56" t="s">
        <v>74</v>
      </c>
      <c r="E56" t="s">
        <v>77</v>
      </c>
      <c r="F56" t="s">
        <v>99</v>
      </c>
      <c r="G56" t="s">
        <v>108</v>
      </c>
      <c r="H56" t="s">
        <v>101</v>
      </c>
      <c r="I56">
        <v>10</v>
      </c>
      <c r="J56">
        <v>9</v>
      </c>
      <c r="K56">
        <v>3</v>
      </c>
      <c r="L56">
        <v>4</v>
      </c>
      <c r="M56">
        <v>3</v>
      </c>
      <c r="N56">
        <v>3</v>
      </c>
      <c r="O56">
        <v>1</v>
      </c>
      <c r="P56">
        <v>1</v>
      </c>
      <c r="Q56">
        <v>3</v>
      </c>
    </row>
    <row r="57" spans="1:17" x14ac:dyDescent="0.45">
      <c r="A57" s="19">
        <v>46017.537499999999</v>
      </c>
      <c r="B57" t="s">
        <v>78</v>
      </c>
      <c r="C57" t="s">
        <v>81</v>
      </c>
      <c r="D57" t="s">
        <v>74</v>
      </c>
      <c r="E57" t="s">
        <v>77</v>
      </c>
      <c r="F57" t="s">
        <v>99</v>
      </c>
      <c r="G57" t="s">
        <v>193</v>
      </c>
      <c r="H57" t="s">
        <v>109</v>
      </c>
      <c r="I57">
        <v>10</v>
      </c>
      <c r="J57">
        <v>10</v>
      </c>
      <c r="K57">
        <v>9</v>
      </c>
      <c r="L57">
        <v>10</v>
      </c>
      <c r="M57">
        <v>9</v>
      </c>
      <c r="N57">
        <v>10</v>
      </c>
      <c r="O57">
        <v>9</v>
      </c>
      <c r="P57">
        <v>10</v>
      </c>
      <c r="Q57">
        <v>9</v>
      </c>
    </row>
    <row r="58" spans="1:17" x14ac:dyDescent="0.45">
      <c r="A58" s="19">
        <v>46017.55972222222</v>
      </c>
      <c r="B58" t="s">
        <v>72</v>
      </c>
      <c r="C58" t="s">
        <v>73</v>
      </c>
      <c r="D58" t="s">
        <v>74</v>
      </c>
      <c r="E58" t="s">
        <v>77</v>
      </c>
      <c r="F58" t="s">
        <v>99</v>
      </c>
      <c r="G58" t="s">
        <v>103</v>
      </c>
      <c r="H58" t="s">
        <v>104</v>
      </c>
      <c r="I58">
        <v>10</v>
      </c>
      <c r="J58">
        <v>10</v>
      </c>
      <c r="K58">
        <v>1</v>
      </c>
      <c r="L58">
        <v>5</v>
      </c>
      <c r="M58">
        <v>7</v>
      </c>
      <c r="N58">
        <v>10</v>
      </c>
      <c r="O58">
        <v>9</v>
      </c>
      <c r="P58">
        <v>9</v>
      </c>
      <c r="Q58">
        <v>10</v>
      </c>
    </row>
    <row r="59" spans="1:17" x14ac:dyDescent="0.45">
      <c r="A59" s="19">
        <v>46017.580555555556</v>
      </c>
      <c r="B59" t="s">
        <v>72</v>
      </c>
      <c r="C59" t="s">
        <v>79</v>
      </c>
      <c r="D59" t="s">
        <v>74</v>
      </c>
      <c r="E59" t="s">
        <v>75</v>
      </c>
      <c r="F59" t="s">
        <v>99</v>
      </c>
      <c r="G59" t="s">
        <v>100</v>
      </c>
      <c r="H59" t="s">
        <v>101</v>
      </c>
      <c r="I59">
        <v>5</v>
      </c>
      <c r="J59">
        <v>5</v>
      </c>
      <c r="K59">
        <v>4</v>
      </c>
      <c r="L59">
        <v>8</v>
      </c>
      <c r="M59">
        <v>5</v>
      </c>
      <c r="N59">
        <v>7</v>
      </c>
      <c r="O59">
        <v>7</v>
      </c>
      <c r="P59">
        <v>7</v>
      </c>
      <c r="Q59">
        <v>7</v>
      </c>
    </row>
    <row r="60" spans="1:17" x14ac:dyDescent="0.45">
      <c r="A60" s="19">
        <v>46017.626388888886</v>
      </c>
      <c r="B60" t="s">
        <v>72</v>
      </c>
      <c r="C60" t="s">
        <v>188</v>
      </c>
      <c r="D60" t="s">
        <v>74</v>
      </c>
      <c r="E60" t="s">
        <v>77</v>
      </c>
      <c r="F60" t="s">
        <v>102</v>
      </c>
      <c r="G60" t="s">
        <v>193</v>
      </c>
      <c r="H60" t="s">
        <v>109</v>
      </c>
      <c r="I60">
        <v>9</v>
      </c>
      <c r="J60">
        <v>9</v>
      </c>
      <c r="K60">
        <v>9</v>
      </c>
      <c r="L60">
        <v>7</v>
      </c>
      <c r="M60">
        <v>7</v>
      </c>
      <c r="N60">
        <v>8</v>
      </c>
      <c r="O60">
        <v>8</v>
      </c>
      <c r="P60">
        <v>6</v>
      </c>
      <c r="Q60">
        <v>5</v>
      </c>
    </row>
    <row r="61" spans="1:17" x14ac:dyDescent="0.45">
      <c r="A61" s="19">
        <v>46017.688194444447</v>
      </c>
      <c r="B61" t="s">
        <v>78</v>
      </c>
      <c r="C61" t="s">
        <v>81</v>
      </c>
      <c r="D61" t="s">
        <v>74</v>
      </c>
      <c r="E61" t="s">
        <v>77</v>
      </c>
      <c r="F61" t="s">
        <v>99</v>
      </c>
      <c r="G61" t="s">
        <v>103</v>
      </c>
      <c r="H61" t="s">
        <v>109</v>
      </c>
      <c r="I61">
        <v>5</v>
      </c>
      <c r="J61">
        <v>5</v>
      </c>
      <c r="K61">
        <v>5</v>
      </c>
      <c r="L61">
        <v>5</v>
      </c>
      <c r="M61">
        <v>5</v>
      </c>
      <c r="N61">
        <v>8</v>
      </c>
      <c r="O61">
        <v>4</v>
      </c>
      <c r="P61">
        <v>5</v>
      </c>
      <c r="Q61">
        <v>5</v>
      </c>
    </row>
    <row r="62" spans="1:17" x14ac:dyDescent="0.45">
      <c r="A62" s="19">
        <v>46017.698611111111</v>
      </c>
      <c r="B62" t="s">
        <v>72</v>
      </c>
      <c r="C62" t="s">
        <v>73</v>
      </c>
      <c r="D62" t="s">
        <v>74</v>
      </c>
      <c r="E62" t="s">
        <v>75</v>
      </c>
      <c r="F62" t="s">
        <v>99</v>
      </c>
      <c r="G62" t="s">
        <v>195</v>
      </c>
      <c r="H62" t="s">
        <v>101</v>
      </c>
      <c r="I62">
        <v>8</v>
      </c>
      <c r="J62">
        <v>9</v>
      </c>
      <c r="K62">
        <v>9</v>
      </c>
      <c r="L62">
        <v>9</v>
      </c>
      <c r="M62">
        <v>9</v>
      </c>
      <c r="N62">
        <v>8</v>
      </c>
      <c r="O62">
        <v>8</v>
      </c>
      <c r="P62">
        <v>8</v>
      </c>
      <c r="Q62">
        <v>9</v>
      </c>
    </row>
    <row r="63" spans="1:17" x14ac:dyDescent="0.45">
      <c r="A63" s="19">
        <v>46017.711111111108</v>
      </c>
      <c r="B63" t="s">
        <v>72</v>
      </c>
      <c r="C63" t="s">
        <v>81</v>
      </c>
      <c r="D63" t="s">
        <v>74</v>
      </c>
      <c r="E63" t="s">
        <v>75</v>
      </c>
      <c r="F63" t="s">
        <v>99</v>
      </c>
      <c r="G63" t="s">
        <v>100</v>
      </c>
      <c r="H63" t="s">
        <v>109</v>
      </c>
      <c r="I63">
        <v>9</v>
      </c>
      <c r="J63">
        <v>9</v>
      </c>
      <c r="K63">
        <v>7</v>
      </c>
      <c r="L63">
        <v>6</v>
      </c>
      <c r="M63">
        <v>7</v>
      </c>
      <c r="N63">
        <v>5</v>
      </c>
      <c r="O63">
        <v>6</v>
      </c>
      <c r="P63">
        <v>8</v>
      </c>
      <c r="Q63">
        <v>5</v>
      </c>
    </row>
    <row r="64" spans="1:17" x14ac:dyDescent="0.45">
      <c r="A64" s="19">
        <v>46017.80972222222</v>
      </c>
      <c r="B64" t="s">
        <v>72</v>
      </c>
      <c r="C64" t="s">
        <v>190</v>
      </c>
      <c r="D64" t="s">
        <v>80</v>
      </c>
      <c r="E64" t="s">
        <v>77</v>
      </c>
      <c r="F64" t="s">
        <v>99</v>
      </c>
      <c r="G64" t="s">
        <v>195</v>
      </c>
      <c r="H64" t="s">
        <v>101</v>
      </c>
      <c r="I64">
        <v>9</v>
      </c>
      <c r="J64">
        <v>9</v>
      </c>
      <c r="K64">
        <v>9</v>
      </c>
      <c r="L64">
        <v>9</v>
      </c>
      <c r="M64">
        <v>8</v>
      </c>
      <c r="N64">
        <v>9</v>
      </c>
      <c r="O64">
        <v>9</v>
      </c>
      <c r="P64">
        <v>8</v>
      </c>
      <c r="Q64">
        <v>7</v>
      </c>
    </row>
    <row r="65" spans="1:17" x14ac:dyDescent="0.45">
      <c r="A65" s="19">
        <v>46018.36041666667</v>
      </c>
      <c r="B65" t="s">
        <v>72</v>
      </c>
      <c r="C65" t="s">
        <v>73</v>
      </c>
      <c r="D65" t="s">
        <v>74</v>
      </c>
      <c r="E65" t="s">
        <v>77</v>
      </c>
      <c r="F65" t="s">
        <v>102</v>
      </c>
      <c r="G65" t="s">
        <v>107</v>
      </c>
      <c r="H65" t="s">
        <v>104</v>
      </c>
      <c r="I65">
        <v>9</v>
      </c>
      <c r="J65">
        <v>10</v>
      </c>
      <c r="K65">
        <v>9</v>
      </c>
      <c r="L65">
        <v>10</v>
      </c>
      <c r="M65">
        <v>10</v>
      </c>
      <c r="N65">
        <v>5</v>
      </c>
      <c r="O65">
        <v>10</v>
      </c>
      <c r="P65">
        <v>7</v>
      </c>
      <c r="Q65">
        <v>9</v>
      </c>
    </row>
    <row r="66" spans="1:17" x14ac:dyDescent="0.45">
      <c r="A66" s="19">
        <v>46019.6</v>
      </c>
      <c r="B66" t="s">
        <v>72</v>
      </c>
      <c r="C66" t="s">
        <v>79</v>
      </c>
      <c r="D66" t="s">
        <v>80</v>
      </c>
      <c r="E66" t="s">
        <v>77</v>
      </c>
      <c r="F66" t="s">
        <v>99</v>
      </c>
      <c r="G66" t="s">
        <v>193</v>
      </c>
      <c r="H66" t="s">
        <v>104</v>
      </c>
      <c r="I66">
        <v>10</v>
      </c>
      <c r="J66">
        <v>10</v>
      </c>
      <c r="K66">
        <v>10</v>
      </c>
      <c r="L66">
        <v>10</v>
      </c>
      <c r="M66">
        <v>10</v>
      </c>
      <c r="N66">
        <v>10</v>
      </c>
      <c r="O66">
        <v>10</v>
      </c>
      <c r="P66">
        <v>10</v>
      </c>
      <c r="Q66">
        <v>10</v>
      </c>
    </row>
    <row r="67" spans="1:17" x14ac:dyDescent="0.45">
      <c r="A67" s="19">
        <v>46019.604166666664</v>
      </c>
      <c r="B67" t="s">
        <v>72</v>
      </c>
      <c r="C67" t="s">
        <v>81</v>
      </c>
      <c r="D67" t="s">
        <v>74</v>
      </c>
      <c r="E67" t="s">
        <v>189</v>
      </c>
      <c r="F67" t="s">
        <v>99</v>
      </c>
      <c r="G67" t="s">
        <v>103</v>
      </c>
      <c r="H67" t="s">
        <v>109</v>
      </c>
      <c r="I67">
        <v>7</v>
      </c>
      <c r="J67">
        <v>5</v>
      </c>
      <c r="K67">
        <v>3</v>
      </c>
      <c r="L67">
        <v>5</v>
      </c>
      <c r="M67">
        <v>4</v>
      </c>
      <c r="N67">
        <v>3</v>
      </c>
      <c r="O67">
        <v>5</v>
      </c>
      <c r="P67">
        <v>6</v>
      </c>
      <c r="Q67">
        <v>6</v>
      </c>
    </row>
    <row r="68" spans="1:17" x14ac:dyDescent="0.45">
      <c r="A68" s="19">
        <v>46019.626388888886</v>
      </c>
      <c r="B68" t="s">
        <v>78</v>
      </c>
      <c r="C68" t="s">
        <v>79</v>
      </c>
      <c r="D68" t="s">
        <v>74</v>
      </c>
      <c r="E68" t="s">
        <v>75</v>
      </c>
      <c r="F68" t="s">
        <v>99</v>
      </c>
      <c r="G68" t="s">
        <v>106</v>
      </c>
      <c r="H68" t="s">
        <v>104</v>
      </c>
      <c r="I68">
        <v>5</v>
      </c>
      <c r="J68">
        <v>5</v>
      </c>
      <c r="K68">
        <v>4</v>
      </c>
      <c r="L68">
        <v>4</v>
      </c>
      <c r="M68">
        <v>2</v>
      </c>
      <c r="N68">
        <v>3</v>
      </c>
      <c r="O68">
        <v>2</v>
      </c>
      <c r="P68">
        <v>3</v>
      </c>
      <c r="Q68">
        <v>3</v>
      </c>
    </row>
    <row r="69" spans="1:17" x14ac:dyDescent="0.45">
      <c r="A69" s="19">
        <v>46019.645833333336</v>
      </c>
      <c r="B69" t="s">
        <v>72</v>
      </c>
      <c r="C69" t="s">
        <v>79</v>
      </c>
      <c r="D69" t="s">
        <v>74</v>
      </c>
      <c r="E69" t="s">
        <v>77</v>
      </c>
      <c r="F69" t="s">
        <v>99</v>
      </c>
      <c r="G69" t="s">
        <v>110</v>
      </c>
      <c r="H69" t="s">
        <v>104</v>
      </c>
      <c r="I69">
        <v>4</v>
      </c>
      <c r="J69">
        <v>3</v>
      </c>
      <c r="K69">
        <v>1</v>
      </c>
      <c r="L69">
        <v>5</v>
      </c>
      <c r="M69">
        <v>4</v>
      </c>
      <c r="N69">
        <v>3</v>
      </c>
      <c r="O69">
        <v>1</v>
      </c>
      <c r="P69">
        <v>3</v>
      </c>
      <c r="Q69">
        <v>5</v>
      </c>
    </row>
    <row r="70" spans="1:17" x14ac:dyDescent="0.45">
      <c r="A70" s="19">
        <v>46019.647916666669</v>
      </c>
      <c r="B70" t="s">
        <v>78</v>
      </c>
      <c r="C70" t="s">
        <v>81</v>
      </c>
      <c r="D70" t="s">
        <v>74</v>
      </c>
      <c r="E70" t="s">
        <v>77</v>
      </c>
      <c r="F70" t="s">
        <v>99</v>
      </c>
      <c r="G70" t="s">
        <v>195</v>
      </c>
      <c r="H70" t="s">
        <v>109</v>
      </c>
      <c r="I70">
        <v>7</v>
      </c>
      <c r="J70">
        <v>7</v>
      </c>
      <c r="K70">
        <v>8</v>
      </c>
      <c r="L70">
        <v>9</v>
      </c>
      <c r="M70">
        <v>8</v>
      </c>
      <c r="N70">
        <v>10</v>
      </c>
      <c r="O70">
        <v>9</v>
      </c>
      <c r="P70">
        <v>9</v>
      </c>
      <c r="Q70">
        <v>9</v>
      </c>
    </row>
    <row r="71" spans="1:17" x14ac:dyDescent="0.45">
      <c r="A71" s="19">
        <v>46019.648611111108</v>
      </c>
      <c r="B71" t="s">
        <v>78</v>
      </c>
      <c r="C71" t="s">
        <v>79</v>
      </c>
      <c r="D71" t="s">
        <v>74</v>
      </c>
      <c r="E71" t="s">
        <v>75</v>
      </c>
      <c r="F71" t="s">
        <v>102</v>
      </c>
      <c r="G71" t="s">
        <v>107</v>
      </c>
      <c r="H71" t="s">
        <v>101</v>
      </c>
      <c r="I71">
        <v>6</v>
      </c>
      <c r="J71">
        <v>6</v>
      </c>
      <c r="K71">
        <v>5</v>
      </c>
      <c r="L71">
        <v>5</v>
      </c>
      <c r="M71">
        <v>5</v>
      </c>
      <c r="N71">
        <v>1</v>
      </c>
      <c r="O71">
        <v>5</v>
      </c>
      <c r="P71">
        <v>5</v>
      </c>
      <c r="Q71">
        <v>5</v>
      </c>
    </row>
    <row r="72" spans="1:17" x14ac:dyDescent="0.45">
      <c r="A72" s="19">
        <v>46019.650694444441</v>
      </c>
      <c r="B72" t="s">
        <v>72</v>
      </c>
      <c r="C72" t="s">
        <v>73</v>
      </c>
      <c r="D72" t="s">
        <v>74</v>
      </c>
      <c r="E72" t="s">
        <v>75</v>
      </c>
      <c r="F72" t="s">
        <v>99</v>
      </c>
      <c r="G72" t="s">
        <v>100</v>
      </c>
      <c r="H72" t="s">
        <v>104</v>
      </c>
      <c r="I72">
        <v>3</v>
      </c>
      <c r="J72">
        <v>3</v>
      </c>
      <c r="K72">
        <v>3</v>
      </c>
      <c r="L72">
        <v>5</v>
      </c>
      <c r="M72">
        <v>3</v>
      </c>
      <c r="N72">
        <v>3</v>
      </c>
      <c r="O72">
        <v>3</v>
      </c>
      <c r="P72">
        <v>3</v>
      </c>
      <c r="Q72">
        <v>4</v>
      </c>
    </row>
    <row r="73" spans="1:17" x14ac:dyDescent="0.45">
      <c r="A73" s="19">
        <v>46019.652083333334</v>
      </c>
      <c r="B73" t="s">
        <v>78</v>
      </c>
      <c r="C73" t="s">
        <v>73</v>
      </c>
      <c r="D73" t="s">
        <v>74</v>
      </c>
      <c r="E73" t="s">
        <v>77</v>
      </c>
      <c r="F73" t="s">
        <v>102</v>
      </c>
      <c r="G73" t="s">
        <v>195</v>
      </c>
      <c r="H73" t="s">
        <v>105</v>
      </c>
      <c r="I73">
        <v>8</v>
      </c>
      <c r="J73">
        <v>8</v>
      </c>
      <c r="K73">
        <v>4</v>
      </c>
      <c r="L73">
        <v>2</v>
      </c>
      <c r="M73">
        <v>6</v>
      </c>
      <c r="N73">
        <v>3</v>
      </c>
      <c r="O73">
        <v>8</v>
      </c>
      <c r="P73">
        <v>4</v>
      </c>
      <c r="Q73">
        <v>8</v>
      </c>
    </row>
    <row r="74" spans="1:17" x14ac:dyDescent="0.45">
      <c r="A74" s="19">
        <v>46019.658333333333</v>
      </c>
      <c r="B74" t="s">
        <v>78</v>
      </c>
      <c r="C74" t="s">
        <v>188</v>
      </c>
      <c r="D74" t="s">
        <v>74</v>
      </c>
      <c r="E74" t="s">
        <v>191</v>
      </c>
      <c r="F74" t="s">
        <v>99</v>
      </c>
      <c r="G74" t="s">
        <v>103</v>
      </c>
      <c r="H74" t="s">
        <v>109</v>
      </c>
      <c r="I74">
        <v>5</v>
      </c>
      <c r="J74">
        <v>5</v>
      </c>
      <c r="K74">
        <v>5</v>
      </c>
      <c r="L74">
        <v>5</v>
      </c>
      <c r="M74">
        <v>5</v>
      </c>
      <c r="N74">
        <v>10</v>
      </c>
      <c r="O74">
        <v>5</v>
      </c>
      <c r="P74">
        <v>5</v>
      </c>
      <c r="Q74">
        <v>10</v>
      </c>
    </row>
    <row r="75" spans="1:17" x14ac:dyDescent="0.45">
      <c r="A75" s="19">
        <v>46019.685416666667</v>
      </c>
      <c r="B75" t="s">
        <v>72</v>
      </c>
      <c r="C75" t="s">
        <v>73</v>
      </c>
      <c r="D75" t="s">
        <v>74</v>
      </c>
      <c r="E75" t="s">
        <v>77</v>
      </c>
      <c r="F75" t="s">
        <v>102</v>
      </c>
      <c r="G75" t="s">
        <v>195</v>
      </c>
      <c r="H75" t="s">
        <v>101</v>
      </c>
      <c r="I75">
        <v>5</v>
      </c>
      <c r="J75">
        <v>10</v>
      </c>
      <c r="K75">
        <v>2</v>
      </c>
      <c r="L75">
        <v>8</v>
      </c>
      <c r="M75">
        <v>5</v>
      </c>
      <c r="N75">
        <v>5</v>
      </c>
      <c r="O75">
        <v>1</v>
      </c>
      <c r="P75">
        <v>4</v>
      </c>
      <c r="Q75">
        <v>5</v>
      </c>
    </row>
    <row r="76" spans="1:17" x14ac:dyDescent="0.45">
      <c r="A76" s="19">
        <v>46019.6875</v>
      </c>
      <c r="B76" t="s">
        <v>78</v>
      </c>
      <c r="C76" t="s">
        <v>79</v>
      </c>
      <c r="D76" t="s">
        <v>74</v>
      </c>
      <c r="E76" t="s">
        <v>75</v>
      </c>
      <c r="F76" t="s">
        <v>99</v>
      </c>
      <c r="G76" t="s">
        <v>110</v>
      </c>
      <c r="H76" t="s">
        <v>104</v>
      </c>
      <c r="I76">
        <v>8</v>
      </c>
      <c r="J76">
        <v>9</v>
      </c>
      <c r="K76">
        <v>9</v>
      </c>
      <c r="L76">
        <v>9</v>
      </c>
      <c r="M76">
        <v>3</v>
      </c>
      <c r="N76">
        <v>3</v>
      </c>
      <c r="O76">
        <v>2</v>
      </c>
      <c r="P76">
        <v>2</v>
      </c>
      <c r="Q76">
        <v>6</v>
      </c>
    </row>
    <row r="77" spans="1:17" x14ac:dyDescent="0.45">
      <c r="A77" s="19">
        <v>46019.693749999999</v>
      </c>
      <c r="B77" t="s">
        <v>78</v>
      </c>
      <c r="C77" t="s">
        <v>79</v>
      </c>
      <c r="D77" t="s">
        <v>80</v>
      </c>
      <c r="E77" t="s">
        <v>191</v>
      </c>
      <c r="F77" t="s">
        <v>102</v>
      </c>
      <c r="G77" t="s">
        <v>103</v>
      </c>
      <c r="H77" t="s">
        <v>105</v>
      </c>
      <c r="I77">
        <v>5</v>
      </c>
      <c r="J77">
        <v>5</v>
      </c>
      <c r="K77">
        <v>5</v>
      </c>
      <c r="L77">
        <v>5</v>
      </c>
      <c r="M77">
        <v>5</v>
      </c>
      <c r="N77">
        <v>5</v>
      </c>
      <c r="O77">
        <v>5</v>
      </c>
      <c r="P77">
        <v>5</v>
      </c>
      <c r="Q77">
        <v>5</v>
      </c>
    </row>
    <row r="78" spans="1:17" x14ac:dyDescent="0.45">
      <c r="A78" s="19">
        <v>46019.697222222225</v>
      </c>
      <c r="B78" t="s">
        <v>72</v>
      </c>
      <c r="C78" t="s">
        <v>190</v>
      </c>
      <c r="D78" t="s">
        <v>74</v>
      </c>
      <c r="E78" t="s">
        <v>77</v>
      </c>
      <c r="F78" t="s">
        <v>99</v>
      </c>
      <c r="G78" t="s">
        <v>103</v>
      </c>
      <c r="H78" t="s">
        <v>104</v>
      </c>
      <c r="I78">
        <v>8</v>
      </c>
      <c r="J78">
        <v>8</v>
      </c>
      <c r="K78">
        <v>8</v>
      </c>
      <c r="L78">
        <v>8</v>
      </c>
      <c r="M78">
        <v>9</v>
      </c>
      <c r="N78">
        <v>7</v>
      </c>
      <c r="O78">
        <v>9</v>
      </c>
      <c r="P78">
        <v>10</v>
      </c>
      <c r="Q78">
        <v>8</v>
      </c>
    </row>
    <row r="79" spans="1:17" x14ac:dyDescent="0.45">
      <c r="A79" s="19">
        <v>46019.699305555558</v>
      </c>
      <c r="B79" t="s">
        <v>72</v>
      </c>
      <c r="C79" t="s">
        <v>73</v>
      </c>
      <c r="D79" t="s">
        <v>74</v>
      </c>
      <c r="E79" t="s">
        <v>75</v>
      </c>
      <c r="F79" t="s">
        <v>99</v>
      </c>
      <c r="G79" t="s">
        <v>108</v>
      </c>
      <c r="H79" t="s">
        <v>104</v>
      </c>
      <c r="I79">
        <v>8</v>
      </c>
      <c r="J79">
        <v>7</v>
      </c>
      <c r="K79">
        <v>9</v>
      </c>
      <c r="L79">
        <v>8</v>
      </c>
      <c r="M79">
        <v>8</v>
      </c>
      <c r="N79">
        <v>8</v>
      </c>
      <c r="O79">
        <v>6</v>
      </c>
      <c r="P79">
        <v>6</v>
      </c>
      <c r="Q79">
        <v>7</v>
      </c>
    </row>
    <row r="80" spans="1:17" x14ac:dyDescent="0.45">
      <c r="A80" s="19">
        <v>46019.737500000003</v>
      </c>
      <c r="B80" t="s">
        <v>72</v>
      </c>
      <c r="C80" t="s">
        <v>192</v>
      </c>
      <c r="D80" t="s">
        <v>74</v>
      </c>
      <c r="E80" t="s">
        <v>191</v>
      </c>
      <c r="F80" t="s">
        <v>196</v>
      </c>
      <c r="G80" t="s">
        <v>103</v>
      </c>
      <c r="H80" t="s">
        <v>109</v>
      </c>
      <c r="I80">
        <v>6</v>
      </c>
      <c r="J80">
        <v>2</v>
      </c>
      <c r="K80">
        <v>3</v>
      </c>
      <c r="L80">
        <v>2</v>
      </c>
      <c r="M80">
        <v>3</v>
      </c>
      <c r="N80">
        <v>7</v>
      </c>
      <c r="O80">
        <v>5</v>
      </c>
      <c r="P80">
        <v>5</v>
      </c>
      <c r="Q80">
        <v>7</v>
      </c>
    </row>
    <row r="81" spans="1:17" x14ac:dyDescent="0.45">
      <c r="A81" s="19">
        <v>46019.746527777781</v>
      </c>
      <c r="B81" t="s">
        <v>78</v>
      </c>
      <c r="C81" t="s">
        <v>81</v>
      </c>
      <c r="D81" t="s">
        <v>74</v>
      </c>
      <c r="E81" t="s">
        <v>77</v>
      </c>
      <c r="F81" t="s">
        <v>99</v>
      </c>
      <c r="G81" t="s">
        <v>103</v>
      </c>
      <c r="H81" t="s">
        <v>109</v>
      </c>
      <c r="I81">
        <v>8</v>
      </c>
      <c r="J81">
        <v>8</v>
      </c>
      <c r="K81">
        <v>8</v>
      </c>
      <c r="L81">
        <v>8</v>
      </c>
      <c r="M81">
        <v>8</v>
      </c>
      <c r="N81">
        <v>8</v>
      </c>
      <c r="O81">
        <v>8</v>
      </c>
      <c r="P81">
        <v>8</v>
      </c>
      <c r="Q81">
        <v>8</v>
      </c>
    </row>
    <row r="82" spans="1:17" x14ac:dyDescent="0.45">
      <c r="A82" s="19">
        <v>46019.775694444441</v>
      </c>
      <c r="B82" t="s">
        <v>78</v>
      </c>
      <c r="C82" t="s">
        <v>192</v>
      </c>
      <c r="D82" t="s">
        <v>74</v>
      </c>
      <c r="E82" t="s">
        <v>75</v>
      </c>
      <c r="F82" t="s">
        <v>196</v>
      </c>
      <c r="G82" t="s">
        <v>193</v>
      </c>
      <c r="H82" t="s">
        <v>109</v>
      </c>
      <c r="I82">
        <v>7</v>
      </c>
      <c r="J82">
        <v>7</v>
      </c>
      <c r="K82">
        <v>5</v>
      </c>
      <c r="L82">
        <v>5</v>
      </c>
      <c r="M82">
        <v>6</v>
      </c>
      <c r="N82">
        <v>5</v>
      </c>
      <c r="O82">
        <v>8</v>
      </c>
      <c r="P82">
        <v>6</v>
      </c>
      <c r="Q82">
        <v>8</v>
      </c>
    </row>
    <row r="83" spans="1:17" x14ac:dyDescent="0.45">
      <c r="A83" s="19">
        <v>46019.807638888888</v>
      </c>
      <c r="B83" t="s">
        <v>72</v>
      </c>
      <c r="C83" t="s">
        <v>192</v>
      </c>
      <c r="D83" t="s">
        <v>74</v>
      </c>
      <c r="E83" t="s">
        <v>77</v>
      </c>
      <c r="F83" t="s">
        <v>196</v>
      </c>
      <c r="G83" t="s">
        <v>103</v>
      </c>
      <c r="H83" t="s">
        <v>101</v>
      </c>
      <c r="I83">
        <v>8</v>
      </c>
      <c r="J83">
        <v>9</v>
      </c>
      <c r="K83">
        <v>5</v>
      </c>
      <c r="L83">
        <v>5</v>
      </c>
      <c r="M83">
        <v>5</v>
      </c>
      <c r="N83">
        <v>5</v>
      </c>
      <c r="O83">
        <v>1</v>
      </c>
      <c r="P83">
        <v>5</v>
      </c>
      <c r="Q83">
        <v>5</v>
      </c>
    </row>
    <row r="84" spans="1:17" x14ac:dyDescent="0.45">
      <c r="A84" s="19">
        <v>46019.814583333333</v>
      </c>
      <c r="B84" t="s">
        <v>72</v>
      </c>
      <c r="C84" t="s">
        <v>79</v>
      </c>
      <c r="D84" t="s">
        <v>74</v>
      </c>
      <c r="E84" t="s">
        <v>75</v>
      </c>
      <c r="F84" t="s">
        <v>99</v>
      </c>
      <c r="G84" t="s">
        <v>103</v>
      </c>
      <c r="H84" t="s">
        <v>104</v>
      </c>
      <c r="I84">
        <v>10</v>
      </c>
      <c r="J84">
        <v>8</v>
      </c>
      <c r="K84">
        <v>8</v>
      </c>
      <c r="L84">
        <v>7</v>
      </c>
      <c r="M84">
        <v>7</v>
      </c>
      <c r="N84">
        <v>6</v>
      </c>
      <c r="O84">
        <v>7</v>
      </c>
      <c r="P84">
        <v>6</v>
      </c>
      <c r="Q84">
        <v>8</v>
      </c>
    </row>
    <row r="85" spans="1:17" x14ac:dyDescent="0.45">
      <c r="A85" s="19">
        <v>46019.818055555559</v>
      </c>
      <c r="B85" t="s">
        <v>72</v>
      </c>
      <c r="C85" t="s">
        <v>73</v>
      </c>
      <c r="D85" t="s">
        <v>74</v>
      </c>
      <c r="E85" t="s">
        <v>189</v>
      </c>
      <c r="F85" t="s">
        <v>99</v>
      </c>
      <c r="G85" t="s">
        <v>103</v>
      </c>
      <c r="H85" t="s">
        <v>101</v>
      </c>
      <c r="I85">
        <v>6</v>
      </c>
      <c r="J85">
        <v>7</v>
      </c>
      <c r="K85">
        <v>5</v>
      </c>
      <c r="L85">
        <v>5</v>
      </c>
      <c r="M85">
        <v>5</v>
      </c>
      <c r="N85">
        <v>5</v>
      </c>
      <c r="O85">
        <v>5</v>
      </c>
      <c r="P85">
        <v>5</v>
      </c>
      <c r="Q85">
        <v>5</v>
      </c>
    </row>
    <row r="86" spans="1:17" x14ac:dyDescent="0.45">
      <c r="A86" s="19">
        <v>46019.819444444445</v>
      </c>
      <c r="B86" t="s">
        <v>72</v>
      </c>
      <c r="C86" t="s">
        <v>79</v>
      </c>
      <c r="D86" t="s">
        <v>74</v>
      </c>
      <c r="E86" t="s">
        <v>77</v>
      </c>
      <c r="F86" t="s">
        <v>99</v>
      </c>
      <c r="G86" t="s">
        <v>103</v>
      </c>
      <c r="H86" t="s">
        <v>104</v>
      </c>
      <c r="I86">
        <v>9</v>
      </c>
      <c r="J86">
        <v>9</v>
      </c>
      <c r="K86">
        <v>8</v>
      </c>
      <c r="L86">
        <v>9</v>
      </c>
      <c r="M86">
        <v>9</v>
      </c>
      <c r="N86">
        <v>9</v>
      </c>
      <c r="O86">
        <v>7</v>
      </c>
      <c r="P86">
        <v>8</v>
      </c>
      <c r="Q86">
        <v>8</v>
      </c>
    </row>
    <row r="87" spans="1:17" x14ac:dyDescent="0.45">
      <c r="A87" s="19">
        <v>46019.820138888892</v>
      </c>
      <c r="B87" t="s">
        <v>78</v>
      </c>
      <c r="C87" t="s">
        <v>73</v>
      </c>
      <c r="D87" t="s">
        <v>80</v>
      </c>
      <c r="E87" t="s">
        <v>77</v>
      </c>
      <c r="F87" t="s">
        <v>99</v>
      </c>
      <c r="G87" t="s">
        <v>103</v>
      </c>
      <c r="H87" t="s">
        <v>109</v>
      </c>
      <c r="I87">
        <v>5</v>
      </c>
      <c r="J87">
        <v>5</v>
      </c>
      <c r="K87">
        <v>10</v>
      </c>
      <c r="L87">
        <v>4</v>
      </c>
      <c r="M87">
        <v>4</v>
      </c>
      <c r="N87">
        <v>5</v>
      </c>
      <c r="O87">
        <v>5</v>
      </c>
      <c r="P87">
        <v>8</v>
      </c>
      <c r="Q87">
        <v>8</v>
      </c>
    </row>
    <row r="88" spans="1:17" x14ac:dyDescent="0.45">
      <c r="A88" s="19">
        <v>46019.824999999997</v>
      </c>
      <c r="B88" t="s">
        <v>78</v>
      </c>
      <c r="C88" t="s">
        <v>79</v>
      </c>
      <c r="D88" t="s">
        <v>74</v>
      </c>
      <c r="E88" t="s">
        <v>77</v>
      </c>
      <c r="F88" t="s">
        <v>99</v>
      </c>
      <c r="G88" t="s">
        <v>103</v>
      </c>
      <c r="H88" t="s">
        <v>104</v>
      </c>
      <c r="I88">
        <v>10</v>
      </c>
      <c r="J88">
        <v>9</v>
      </c>
      <c r="K88">
        <v>9</v>
      </c>
      <c r="L88">
        <v>9</v>
      </c>
      <c r="M88">
        <v>9</v>
      </c>
      <c r="N88">
        <v>9</v>
      </c>
      <c r="O88">
        <v>10</v>
      </c>
      <c r="P88">
        <v>9</v>
      </c>
      <c r="Q88">
        <v>10</v>
      </c>
    </row>
    <row r="89" spans="1:17" x14ac:dyDescent="0.45">
      <c r="A89" s="19">
        <v>46019.836805555555</v>
      </c>
      <c r="B89" t="s">
        <v>72</v>
      </c>
      <c r="C89" t="s">
        <v>79</v>
      </c>
      <c r="D89" t="s">
        <v>74</v>
      </c>
      <c r="E89" t="s">
        <v>191</v>
      </c>
      <c r="F89" t="s">
        <v>99</v>
      </c>
      <c r="G89" t="s">
        <v>193</v>
      </c>
      <c r="H89" t="s">
        <v>104</v>
      </c>
      <c r="I89">
        <v>10</v>
      </c>
      <c r="J89">
        <v>10</v>
      </c>
      <c r="K89">
        <v>10</v>
      </c>
      <c r="L89">
        <v>10</v>
      </c>
      <c r="M89">
        <v>10</v>
      </c>
      <c r="N89">
        <v>10</v>
      </c>
      <c r="O89">
        <v>10</v>
      </c>
      <c r="P89">
        <v>10</v>
      </c>
      <c r="Q89">
        <v>10</v>
      </c>
    </row>
    <row r="90" spans="1:17" x14ac:dyDescent="0.45">
      <c r="A90" s="19">
        <v>46019.838888888888</v>
      </c>
      <c r="B90" t="s">
        <v>72</v>
      </c>
      <c r="C90" t="s">
        <v>73</v>
      </c>
      <c r="D90" t="s">
        <v>74</v>
      </c>
      <c r="E90" t="s">
        <v>189</v>
      </c>
      <c r="F90" t="s">
        <v>99</v>
      </c>
      <c r="G90" t="s">
        <v>193</v>
      </c>
      <c r="H90" t="s">
        <v>101</v>
      </c>
      <c r="I90">
        <v>10</v>
      </c>
      <c r="J90">
        <v>9</v>
      </c>
      <c r="K90">
        <v>9</v>
      </c>
      <c r="L90">
        <v>9</v>
      </c>
      <c r="M90">
        <v>10</v>
      </c>
      <c r="N90">
        <v>9</v>
      </c>
      <c r="O90">
        <v>9</v>
      </c>
      <c r="P90">
        <v>8</v>
      </c>
      <c r="Q90">
        <v>9</v>
      </c>
    </row>
    <row r="91" spans="1:17" x14ac:dyDescent="0.45">
      <c r="A91" s="19">
        <v>46019.84097222222</v>
      </c>
      <c r="B91" t="s">
        <v>72</v>
      </c>
      <c r="C91" t="s">
        <v>73</v>
      </c>
      <c r="D91" t="s">
        <v>80</v>
      </c>
      <c r="E91" t="s">
        <v>77</v>
      </c>
      <c r="F91" t="s">
        <v>99</v>
      </c>
      <c r="G91" t="s">
        <v>193</v>
      </c>
      <c r="H91" t="s">
        <v>194</v>
      </c>
      <c r="I91">
        <v>6</v>
      </c>
      <c r="J91">
        <v>10</v>
      </c>
      <c r="K91">
        <v>8</v>
      </c>
      <c r="L91">
        <v>9</v>
      </c>
      <c r="M91">
        <v>9</v>
      </c>
      <c r="N91">
        <v>9</v>
      </c>
      <c r="O91">
        <v>8</v>
      </c>
      <c r="P91">
        <v>8</v>
      </c>
      <c r="Q91">
        <v>9</v>
      </c>
    </row>
    <row r="92" spans="1:17" x14ac:dyDescent="0.45">
      <c r="A92" s="19">
        <v>46019.848611111112</v>
      </c>
      <c r="B92" t="s">
        <v>72</v>
      </c>
      <c r="C92" t="s">
        <v>73</v>
      </c>
      <c r="D92" t="s">
        <v>74</v>
      </c>
      <c r="E92" t="s">
        <v>77</v>
      </c>
      <c r="F92" t="s">
        <v>99</v>
      </c>
      <c r="G92" t="s">
        <v>193</v>
      </c>
      <c r="H92" t="s">
        <v>104</v>
      </c>
      <c r="I92">
        <v>10</v>
      </c>
      <c r="J92">
        <v>9</v>
      </c>
      <c r="K92">
        <v>9</v>
      </c>
      <c r="L92">
        <v>9</v>
      </c>
      <c r="M92">
        <v>10</v>
      </c>
      <c r="N92">
        <v>9</v>
      </c>
      <c r="O92">
        <v>8</v>
      </c>
      <c r="P92">
        <v>8</v>
      </c>
      <c r="Q92">
        <v>10</v>
      </c>
    </row>
    <row r="93" spans="1:17" x14ac:dyDescent="0.45">
      <c r="A93" s="19">
        <v>46019.859722222223</v>
      </c>
      <c r="B93" t="s">
        <v>78</v>
      </c>
      <c r="C93" t="s">
        <v>73</v>
      </c>
      <c r="D93" t="s">
        <v>74</v>
      </c>
      <c r="E93" t="s">
        <v>77</v>
      </c>
      <c r="F93" t="s">
        <v>99</v>
      </c>
      <c r="G93" t="s">
        <v>193</v>
      </c>
      <c r="H93" t="s">
        <v>104</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99</v>
      </c>
      <c r="G94" t="s">
        <v>108</v>
      </c>
      <c r="H94" t="s">
        <v>104</v>
      </c>
      <c r="I94">
        <v>5</v>
      </c>
      <c r="J94">
        <v>8</v>
      </c>
      <c r="K94">
        <v>4</v>
      </c>
      <c r="L94">
        <v>9</v>
      </c>
      <c r="M94">
        <v>7</v>
      </c>
      <c r="N94">
        <v>5</v>
      </c>
      <c r="O94">
        <v>7</v>
      </c>
      <c r="P94">
        <v>8</v>
      </c>
      <c r="Q94">
        <v>10</v>
      </c>
    </row>
    <row r="95" spans="1:17" x14ac:dyDescent="0.45">
      <c r="A95" s="19">
        <v>46019.88958333333</v>
      </c>
      <c r="B95" t="s">
        <v>72</v>
      </c>
      <c r="C95" t="s">
        <v>73</v>
      </c>
      <c r="D95" t="s">
        <v>74</v>
      </c>
      <c r="E95" t="s">
        <v>75</v>
      </c>
      <c r="F95" t="s">
        <v>99</v>
      </c>
      <c r="G95" t="s">
        <v>193</v>
      </c>
      <c r="H95" t="s">
        <v>109</v>
      </c>
      <c r="I95">
        <v>9</v>
      </c>
      <c r="J95">
        <v>7</v>
      </c>
      <c r="K95">
        <v>5</v>
      </c>
      <c r="L95">
        <v>7</v>
      </c>
      <c r="M95">
        <v>5</v>
      </c>
      <c r="N95">
        <v>8</v>
      </c>
      <c r="O95">
        <v>5</v>
      </c>
      <c r="P95">
        <v>5</v>
      </c>
      <c r="Q95">
        <v>7</v>
      </c>
    </row>
    <row r="96" spans="1:17" x14ac:dyDescent="0.45">
      <c r="A96" s="19">
        <v>46019.900694444441</v>
      </c>
      <c r="B96" t="s">
        <v>72</v>
      </c>
      <c r="C96" t="s">
        <v>79</v>
      </c>
      <c r="D96" t="s">
        <v>74</v>
      </c>
      <c r="E96" t="s">
        <v>77</v>
      </c>
      <c r="F96" t="s">
        <v>99</v>
      </c>
      <c r="G96" t="s">
        <v>108</v>
      </c>
      <c r="H96" t="s">
        <v>105</v>
      </c>
      <c r="I96">
        <v>4</v>
      </c>
      <c r="J96">
        <v>6</v>
      </c>
      <c r="K96">
        <v>5</v>
      </c>
      <c r="L96">
        <v>5</v>
      </c>
      <c r="M96">
        <v>4</v>
      </c>
      <c r="N96">
        <v>4</v>
      </c>
      <c r="O96">
        <v>3</v>
      </c>
      <c r="P96">
        <v>4</v>
      </c>
      <c r="Q96">
        <v>3</v>
      </c>
    </row>
    <row r="97" spans="1:17" x14ac:dyDescent="0.45">
      <c r="A97" s="19">
        <v>46019.902083333334</v>
      </c>
      <c r="B97" t="s">
        <v>78</v>
      </c>
      <c r="C97" t="s">
        <v>188</v>
      </c>
      <c r="D97" t="s">
        <v>74</v>
      </c>
      <c r="E97" t="s">
        <v>77</v>
      </c>
      <c r="F97" t="s">
        <v>99</v>
      </c>
      <c r="G97" t="s">
        <v>193</v>
      </c>
      <c r="H97" t="s">
        <v>109</v>
      </c>
      <c r="I97">
        <v>8</v>
      </c>
      <c r="J97">
        <v>7</v>
      </c>
      <c r="K97">
        <v>5</v>
      </c>
      <c r="L97">
        <v>7</v>
      </c>
      <c r="M97">
        <v>7</v>
      </c>
      <c r="N97">
        <v>5</v>
      </c>
      <c r="O97">
        <v>5</v>
      </c>
      <c r="P97">
        <v>7</v>
      </c>
      <c r="Q97">
        <v>7</v>
      </c>
    </row>
    <row r="98" spans="1:17" x14ac:dyDescent="0.45">
      <c r="A98" s="19">
        <v>46019.902777777781</v>
      </c>
      <c r="B98" t="s">
        <v>72</v>
      </c>
      <c r="C98" t="s">
        <v>192</v>
      </c>
      <c r="D98" t="s">
        <v>74</v>
      </c>
      <c r="E98" t="s">
        <v>77</v>
      </c>
      <c r="F98" t="s">
        <v>102</v>
      </c>
      <c r="G98" t="s">
        <v>107</v>
      </c>
      <c r="H98" t="s">
        <v>194</v>
      </c>
      <c r="I98">
        <v>6</v>
      </c>
      <c r="J98">
        <v>6</v>
      </c>
      <c r="K98">
        <v>5</v>
      </c>
      <c r="L98">
        <v>5</v>
      </c>
      <c r="M98">
        <v>5</v>
      </c>
      <c r="N98">
        <v>5</v>
      </c>
      <c r="O98">
        <v>5</v>
      </c>
      <c r="P98">
        <v>5</v>
      </c>
      <c r="Q98">
        <v>5</v>
      </c>
    </row>
    <row r="99" spans="1:17" x14ac:dyDescent="0.45">
      <c r="A99" s="19">
        <v>46019.90347222222</v>
      </c>
      <c r="B99" t="s">
        <v>72</v>
      </c>
      <c r="C99" t="s">
        <v>73</v>
      </c>
      <c r="D99" t="s">
        <v>80</v>
      </c>
      <c r="E99" t="s">
        <v>77</v>
      </c>
      <c r="F99" t="s">
        <v>99</v>
      </c>
      <c r="G99" t="s">
        <v>195</v>
      </c>
      <c r="H99" t="s">
        <v>109</v>
      </c>
      <c r="I99">
        <v>8</v>
      </c>
      <c r="J99">
        <v>8</v>
      </c>
      <c r="K99">
        <v>5</v>
      </c>
      <c r="L99">
        <v>8</v>
      </c>
      <c r="M99">
        <v>6</v>
      </c>
      <c r="N99">
        <v>9</v>
      </c>
      <c r="O99">
        <v>5</v>
      </c>
      <c r="P99">
        <v>7</v>
      </c>
      <c r="Q99">
        <v>8</v>
      </c>
    </row>
    <row r="100" spans="1:17" x14ac:dyDescent="0.45">
      <c r="A100" s="19">
        <v>46019.904861111114</v>
      </c>
      <c r="B100" t="s">
        <v>78</v>
      </c>
      <c r="C100" t="s">
        <v>81</v>
      </c>
      <c r="D100" t="s">
        <v>74</v>
      </c>
      <c r="E100" t="s">
        <v>77</v>
      </c>
      <c r="F100" t="s">
        <v>99</v>
      </c>
      <c r="G100" t="s">
        <v>100</v>
      </c>
      <c r="H100" t="s">
        <v>101</v>
      </c>
      <c r="I100">
        <v>6</v>
      </c>
      <c r="J100">
        <v>6</v>
      </c>
      <c r="K100">
        <v>3</v>
      </c>
      <c r="L100">
        <v>6</v>
      </c>
      <c r="M100">
        <v>5</v>
      </c>
      <c r="N100">
        <v>6</v>
      </c>
      <c r="O100">
        <v>5</v>
      </c>
      <c r="P100">
        <v>6</v>
      </c>
      <c r="Q100">
        <v>6</v>
      </c>
    </row>
    <row r="101" spans="1:17" x14ac:dyDescent="0.45">
      <c r="A101" s="19">
        <v>46020.206944444442</v>
      </c>
      <c r="B101" t="s">
        <v>72</v>
      </c>
      <c r="C101" t="s">
        <v>192</v>
      </c>
      <c r="D101" t="s">
        <v>74</v>
      </c>
      <c r="E101" t="s">
        <v>77</v>
      </c>
      <c r="F101" t="s">
        <v>99</v>
      </c>
      <c r="G101" t="s">
        <v>103</v>
      </c>
      <c r="H101" t="s">
        <v>101</v>
      </c>
      <c r="I101">
        <v>8</v>
      </c>
      <c r="J101">
        <v>8</v>
      </c>
      <c r="K101">
        <v>8</v>
      </c>
      <c r="L101">
        <v>10</v>
      </c>
      <c r="M101">
        <v>10</v>
      </c>
      <c r="N101">
        <v>10</v>
      </c>
      <c r="O101">
        <v>10</v>
      </c>
      <c r="P101">
        <v>10</v>
      </c>
      <c r="Q101">
        <v>10</v>
      </c>
    </row>
    <row r="102" spans="1:17" x14ac:dyDescent="0.45">
      <c r="A102" s="19">
        <v>46020.280555555553</v>
      </c>
      <c r="B102" t="s">
        <v>72</v>
      </c>
      <c r="C102" t="s">
        <v>190</v>
      </c>
      <c r="D102" t="s">
        <v>74</v>
      </c>
      <c r="E102" t="s">
        <v>75</v>
      </c>
      <c r="F102" t="s">
        <v>99</v>
      </c>
      <c r="G102" t="s">
        <v>106</v>
      </c>
      <c r="H102" t="s">
        <v>194</v>
      </c>
      <c r="I102">
        <v>8</v>
      </c>
      <c r="J102">
        <v>8</v>
      </c>
      <c r="K102">
        <v>7</v>
      </c>
      <c r="L102">
        <v>8</v>
      </c>
      <c r="M102">
        <v>8</v>
      </c>
      <c r="N102">
        <v>7</v>
      </c>
      <c r="O102">
        <v>7</v>
      </c>
      <c r="P102">
        <v>7</v>
      </c>
      <c r="Q102">
        <v>8</v>
      </c>
    </row>
    <row r="103" spans="1:17" x14ac:dyDescent="0.45">
      <c r="A103" s="19">
        <v>46020.28125</v>
      </c>
      <c r="B103" t="s">
        <v>78</v>
      </c>
      <c r="C103" t="s">
        <v>188</v>
      </c>
      <c r="D103" t="s">
        <v>74</v>
      </c>
      <c r="E103" t="s">
        <v>77</v>
      </c>
      <c r="F103" t="s">
        <v>99</v>
      </c>
      <c r="G103" t="s">
        <v>103</v>
      </c>
      <c r="H103" t="s">
        <v>109</v>
      </c>
      <c r="I103">
        <v>5</v>
      </c>
      <c r="J103">
        <v>5</v>
      </c>
      <c r="K103">
        <v>5</v>
      </c>
      <c r="L103">
        <v>5</v>
      </c>
      <c r="M103">
        <v>5</v>
      </c>
      <c r="N103">
        <v>5</v>
      </c>
      <c r="O103">
        <v>5</v>
      </c>
      <c r="P103">
        <v>5</v>
      </c>
      <c r="Q103">
        <v>5</v>
      </c>
    </row>
    <row r="104" spans="1:17" x14ac:dyDescent="0.45">
      <c r="A104" s="19">
        <v>46020.282638888886</v>
      </c>
      <c r="B104" t="s">
        <v>72</v>
      </c>
      <c r="C104" t="s">
        <v>192</v>
      </c>
      <c r="D104" t="s">
        <v>74</v>
      </c>
      <c r="E104" t="s">
        <v>77</v>
      </c>
      <c r="F104" t="s">
        <v>99</v>
      </c>
      <c r="G104" t="s">
        <v>108</v>
      </c>
      <c r="H104" t="s">
        <v>104</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99</v>
      </c>
      <c r="G105" t="s">
        <v>195</v>
      </c>
      <c r="H105" t="s">
        <v>109</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99</v>
      </c>
      <c r="G106" t="s">
        <v>103</v>
      </c>
      <c r="H106" t="s">
        <v>101</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99</v>
      </c>
      <c r="G107" t="s">
        <v>193</v>
      </c>
      <c r="H107" t="s">
        <v>109</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99</v>
      </c>
      <c r="G108" t="s">
        <v>100</v>
      </c>
      <c r="H108" t="s">
        <v>101</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99</v>
      </c>
      <c r="G109" t="s">
        <v>103</v>
      </c>
      <c r="H109" t="s">
        <v>101</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99</v>
      </c>
      <c r="G110" t="s">
        <v>103</v>
      </c>
      <c r="H110" t="s">
        <v>101</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99</v>
      </c>
      <c r="G111" t="s">
        <v>110</v>
      </c>
      <c r="H111" t="s">
        <v>104</v>
      </c>
      <c r="I111">
        <v>7</v>
      </c>
      <c r="J111">
        <v>6</v>
      </c>
      <c r="K111">
        <v>8</v>
      </c>
      <c r="L111">
        <v>8</v>
      </c>
      <c r="M111">
        <v>7</v>
      </c>
      <c r="N111">
        <v>6</v>
      </c>
      <c r="O111">
        <v>5</v>
      </c>
      <c r="P111">
        <v>5</v>
      </c>
      <c r="Q111">
        <v>8</v>
      </c>
    </row>
    <row r="112" spans="1:17" x14ac:dyDescent="0.45">
      <c r="A112" s="19">
        <v>46020.398611111108</v>
      </c>
      <c r="B112" t="s">
        <v>78</v>
      </c>
      <c r="C112" t="s">
        <v>190</v>
      </c>
      <c r="D112" t="s">
        <v>74</v>
      </c>
      <c r="E112" t="s">
        <v>77</v>
      </c>
      <c r="F112" t="s">
        <v>99</v>
      </c>
      <c r="G112" t="s">
        <v>100</v>
      </c>
      <c r="H112" t="s">
        <v>101</v>
      </c>
      <c r="I112">
        <v>8</v>
      </c>
      <c r="J112">
        <v>8</v>
      </c>
      <c r="K112">
        <v>6</v>
      </c>
      <c r="L112">
        <v>7</v>
      </c>
      <c r="M112">
        <v>6</v>
      </c>
      <c r="N112">
        <v>7</v>
      </c>
      <c r="O112">
        <v>5</v>
      </c>
      <c r="P112">
        <v>5</v>
      </c>
      <c r="Q112">
        <v>5</v>
      </c>
    </row>
    <row r="113" spans="1:17" x14ac:dyDescent="0.45">
      <c r="A113" s="19">
        <v>46020.4</v>
      </c>
      <c r="B113" t="s">
        <v>72</v>
      </c>
      <c r="C113" t="s">
        <v>79</v>
      </c>
      <c r="D113" t="s">
        <v>74</v>
      </c>
      <c r="E113" t="s">
        <v>77</v>
      </c>
      <c r="F113" t="s">
        <v>99</v>
      </c>
      <c r="G113" t="s">
        <v>195</v>
      </c>
      <c r="H113" t="s">
        <v>104</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99</v>
      </c>
      <c r="G114" t="s">
        <v>193</v>
      </c>
      <c r="H114" t="s">
        <v>105</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99</v>
      </c>
      <c r="G115" t="s">
        <v>195</v>
      </c>
      <c r="H115" t="s">
        <v>194</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99</v>
      </c>
      <c r="G116" t="s">
        <v>103</v>
      </c>
      <c r="H116" t="s">
        <v>194</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99</v>
      </c>
      <c r="G117" t="s">
        <v>103</v>
      </c>
      <c r="H117" t="s">
        <v>109</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99</v>
      </c>
      <c r="G118" t="s">
        <v>110</v>
      </c>
      <c r="H118" t="s">
        <v>109</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99</v>
      </c>
      <c r="G119" t="s">
        <v>108</v>
      </c>
      <c r="H119" t="s">
        <v>101</v>
      </c>
      <c r="I119">
        <v>4</v>
      </c>
      <c r="J119">
        <v>1</v>
      </c>
      <c r="K119">
        <v>1</v>
      </c>
      <c r="L119">
        <v>5</v>
      </c>
      <c r="M119">
        <v>1</v>
      </c>
      <c r="N119">
        <v>3</v>
      </c>
      <c r="O119">
        <v>1</v>
      </c>
      <c r="P119">
        <v>1</v>
      </c>
      <c r="Q119">
        <v>5</v>
      </c>
    </row>
    <row r="120" spans="1:17" x14ac:dyDescent="0.45">
      <c r="A120" s="19">
        <v>46020.543055555558</v>
      </c>
      <c r="B120" t="s">
        <v>72</v>
      </c>
      <c r="C120" t="s">
        <v>192</v>
      </c>
      <c r="D120" t="s">
        <v>74</v>
      </c>
      <c r="E120" t="s">
        <v>77</v>
      </c>
      <c r="F120" t="s">
        <v>99</v>
      </c>
      <c r="G120" t="s">
        <v>110</v>
      </c>
      <c r="H120" t="s">
        <v>194</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99</v>
      </c>
      <c r="G121" t="s">
        <v>100</v>
      </c>
      <c r="H121" t="s">
        <v>105</v>
      </c>
      <c r="I121">
        <v>6</v>
      </c>
      <c r="J121">
        <v>6</v>
      </c>
      <c r="K121">
        <v>6</v>
      </c>
      <c r="L121">
        <v>6</v>
      </c>
      <c r="M121">
        <v>6</v>
      </c>
      <c r="N121">
        <v>6</v>
      </c>
      <c r="O121">
        <v>6</v>
      </c>
      <c r="P121">
        <v>6</v>
      </c>
      <c r="Q121">
        <v>6</v>
      </c>
    </row>
    <row r="122" spans="1:17" x14ac:dyDescent="0.45">
      <c r="A122" s="19">
        <v>46020.544444444444</v>
      </c>
      <c r="B122" t="s">
        <v>78</v>
      </c>
      <c r="C122" t="s">
        <v>190</v>
      </c>
      <c r="D122" t="s">
        <v>74</v>
      </c>
      <c r="E122" t="s">
        <v>75</v>
      </c>
      <c r="F122" t="s">
        <v>102</v>
      </c>
      <c r="G122" t="s">
        <v>107</v>
      </c>
      <c r="H122" t="s">
        <v>194</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99</v>
      </c>
      <c r="G123" t="s">
        <v>107</v>
      </c>
      <c r="H123" t="s">
        <v>109</v>
      </c>
      <c r="I123">
        <v>4</v>
      </c>
      <c r="J123">
        <v>4</v>
      </c>
      <c r="K123">
        <v>2</v>
      </c>
      <c r="L123">
        <v>5</v>
      </c>
      <c r="M123">
        <v>1</v>
      </c>
      <c r="N123">
        <v>1</v>
      </c>
      <c r="O123">
        <v>1</v>
      </c>
      <c r="P123">
        <v>4</v>
      </c>
      <c r="Q123">
        <v>4</v>
      </c>
    </row>
    <row r="124" spans="1:17" x14ac:dyDescent="0.45">
      <c r="A124" s="19">
        <v>46020.54583333333</v>
      </c>
      <c r="B124" t="s">
        <v>72</v>
      </c>
      <c r="C124" t="s">
        <v>188</v>
      </c>
      <c r="D124" t="s">
        <v>74</v>
      </c>
      <c r="E124" t="s">
        <v>77</v>
      </c>
      <c r="F124" t="s">
        <v>99</v>
      </c>
      <c r="G124" t="s">
        <v>193</v>
      </c>
      <c r="H124" t="s">
        <v>109</v>
      </c>
      <c r="I124">
        <v>7</v>
      </c>
      <c r="J124">
        <v>7</v>
      </c>
      <c r="K124">
        <v>7</v>
      </c>
      <c r="L124">
        <v>7</v>
      </c>
      <c r="M124">
        <v>7</v>
      </c>
      <c r="N124">
        <v>7</v>
      </c>
      <c r="O124">
        <v>7</v>
      </c>
      <c r="P124">
        <v>7</v>
      </c>
      <c r="Q124">
        <v>8</v>
      </c>
    </row>
    <row r="125" spans="1:17" x14ac:dyDescent="0.45">
      <c r="A125" s="19">
        <v>46020.589583333334</v>
      </c>
      <c r="B125" t="s">
        <v>72</v>
      </c>
      <c r="C125" t="s">
        <v>190</v>
      </c>
      <c r="D125" t="s">
        <v>74</v>
      </c>
      <c r="E125" t="s">
        <v>75</v>
      </c>
      <c r="F125" t="s">
        <v>99</v>
      </c>
      <c r="G125" t="s">
        <v>108</v>
      </c>
      <c r="H125" t="s">
        <v>101</v>
      </c>
      <c r="I125">
        <v>10</v>
      </c>
      <c r="J125">
        <v>9</v>
      </c>
      <c r="K125">
        <v>10</v>
      </c>
      <c r="L125">
        <v>10</v>
      </c>
      <c r="M125">
        <v>10</v>
      </c>
      <c r="N125">
        <v>8</v>
      </c>
      <c r="O125">
        <v>9</v>
      </c>
      <c r="P125">
        <v>9</v>
      </c>
      <c r="Q125">
        <v>9</v>
      </c>
    </row>
    <row r="126" spans="1:17" x14ac:dyDescent="0.45">
      <c r="A126" s="19">
        <v>46020.590277777781</v>
      </c>
      <c r="B126" t="s">
        <v>72</v>
      </c>
      <c r="C126" t="s">
        <v>188</v>
      </c>
      <c r="D126" t="s">
        <v>74</v>
      </c>
      <c r="E126" t="s">
        <v>77</v>
      </c>
      <c r="F126" t="s">
        <v>99</v>
      </c>
      <c r="G126" t="s">
        <v>103</v>
      </c>
      <c r="H126" t="s">
        <v>104</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99</v>
      </c>
      <c r="G127" t="s">
        <v>100</v>
      </c>
      <c r="H127" t="s">
        <v>109</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99</v>
      </c>
      <c r="G128" t="s">
        <v>107</v>
      </c>
      <c r="H128" t="s">
        <v>194</v>
      </c>
      <c r="I128">
        <v>1</v>
      </c>
      <c r="J128">
        <v>1</v>
      </c>
      <c r="K128">
        <v>1</v>
      </c>
      <c r="L128">
        <v>5</v>
      </c>
      <c r="M128">
        <v>1</v>
      </c>
      <c r="N128">
        <v>1</v>
      </c>
      <c r="O128">
        <v>1</v>
      </c>
      <c r="P128">
        <v>5</v>
      </c>
      <c r="Q128">
        <v>5</v>
      </c>
    </row>
    <row r="129" spans="1:17" x14ac:dyDescent="0.45">
      <c r="A129" s="19">
        <v>46020.602777777778</v>
      </c>
      <c r="B129" t="s">
        <v>78</v>
      </c>
      <c r="C129" t="s">
        <v>190</v>
      </c>
      <c r="D129" t="s">
        <v>74</v>
      </c>
      <c r="E129" t="s">
        <v>77</v>
      </c>
      <c r="F129" t="s">
        <v>99</v>
      </c>
      <c r="G129" t="s">
        <v>107</v>
      </c>
      <c r="H129" t="s">
        <v>194</v>
      </c>
      <c r="I129">
        <v>6</v>
      </c>
      <c r="J129">
        <v>6</v>
      </c>
      <c r="K129">
        <v>6</v>
      </c>
      <c r="L129">
        <v>8</v>
      </c>
      <c r="M129">
        <v>6</v>
      </c>
      <c r="N129">
        <v>3</v>
      </c>
      <c r="O129">
        <v>5</v>
      </c>
      <c r="P129">
        <v>5</v>
      </c>
      <c r="Q129">
        <v>4</v>
      </c>
    </row>
    <row r="130" spans="1:17" x14ac:dyDescent="0.45">
      <c r="A130" s="19">
        <v>46020.603472222225</v>
      </c>
      <c r="B130" t="s">
        <v>78</v>
      </c>
      <c r="C130" t="s">
        <v>190</v>
      </c>
      <c r="D130" t="s">
        <v>74</v>
      </c>
      <c r="E130" t="s">
        <v>75</v>
      </c>
      <c r="F130" t="s">
        <v>99</v>
      </c>
      <c r="G130" t="s">
        <v>107</v>
      </c>
      <c r="H130" t="s">
        <v>105</v>
      </c>
      <c r="I130">
        <v>6</v>
      </c>
      <c r="J130">
        <v>6</v>
      </c>
      <c r="K130">
        <v>4</v>
      </c>
      <c r="L130">
        <v>5</v>
      </c>
      <c r="M130">
        <v>5</v>
      </c>
      <c r="N130">
        <v>1</v>
      </c>
      <c r="O130">
        <v>5</v>
      </c>
      <c r="P130">
        <v>4</v>
      </c>
      <c r="Q130">
        <v>5</v>
      </c>
    </row>
    <row r="131" spans="1:17" x14ac:dyDescent="0.45">
      <c r="A131" s="19">
        <v>46020.603472222225</v>
      </c>
      <c r="B131" t="s">
        <v>72</v>
      </c>
      <c r="C131" t="s">
        <v>192</v>
      </c>
      <c r="D131" t="s">
        <v>74</v>
      </c>
      <c r="E131" t="s">
        <v>75</v>
      </c>
      <c r="F131" t="s">
        <v>99</v>
      </c>
      <c r="G131" t="s">
        <v>106</v>
      </c>
      <c r="H131" t="s">
        <v>104</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99</v>
      </c>
      <c r="G132" t="s">
        <v>106</v>
      </c>
      <c r="H132" t="s">
        <v>101</v>
      </c>
      <c r="I132">
        <v>8</v>
      </c>
      <c r="J132">
        <v>9</v>
      </c>
      <c r="K132">
        <v>5</v>
      </c>
      <c r="L132">
        <v>5</v>
      </c>
      <c r="M132">
        <v>5</v>
      </c>
      <c r="N132">
        <v>4</v>
      </c>
      <c r="O132">
        <v>5</v>
      </c>
      <c r="P132">
        <v>5</v>
      </c>
      <c r="Q132">
        <v>5</v>
      </c>
    </row>
    <row r="133" spans="1:17" x14ac:dyDescent="0.45">
      <c r="A133" s="19">
        <v>46020.604861111111</v>
      </c>
      <c r="B133" t="s">
        <v>78</v>
      </c>
      <c r="C133" t="s">
        <v>188</v>
      </c>
      <c r="D133" t="s">
        <v>74</v>
      </c>
      <c r="E133" t="s">
        <v>77</v>
      </c>
      <c r="F133" t="s">
        <v>99</v>
      </c>
      <c r="G133" t="s">
        <v>103</v>
      </c>
      <c r="H133" t="s">
        <v>109</v>
      </c>
      <c r="I133">
        <v>9</v>
      </c>
      <c r="J133">
        <v>9</v>
      </c>
      <c r="K133">
        <v>9</v>
      </c>
      <c r="L133">
        <v>9</v>
      </c>
      <c r="M133">
        <v>7</v>
      </c>
      <c r="N133">
        <v>10</v>
      </c>
      <c r="O133">
        <v>5</v>
      </c>
      <c r="P133">
        <v>5</v>
      </c>
      <c r="Q133">
        <v>9</v>
      </c>
    </row>
    <row r="134" spans="1:17" x14ac:dyDescent="0.45">
      <c r="A134" s="19">
        <v>46020.605555555558</v>
      </c>
      <c r="B134" t="s">
        <v>78</v>
      </c>
      <c r="C134" t="s">
        <v>81</v>
      </c>
      <c r="D134" t="s">
        <v>74</v>
      </c>
      <c r="E134" t="s">
        <v>189</v>
      </c>
      <c r="F134" t="s">
        <v>99</v>
      </c>
      <c r="G134" t="s">
        <v>108</v>
      </c>
      <c r="H134" t="s">
        <v>109</v>
      </c>
      <c r="I134">
        <v>5</v>
      </c>
      <c r="J134">
        <v>5</v>
      </c>
      <c r="K134">
        <v>5</v>
      </c>
      <c r="L134">
        <v>5</v>
      </c>
      <c r="M134">
        <v>5</v>
      </c>
      <c r="N134">
        <v>5</v>
      </c>
      <c r="O134">
        <v>5</v>
      </c>
      <c r="P134">
        <v>5</v>
      </c>
      <c r="Q134">
        <v>5</v>
      </c>
    </row>
    <row r="135" spans="1:17" x14ac:dyDescent="0.45">
      <c r="A135" s="19">
        <v>46020.606249999997</v>
      </c>
      <c r="B135" t="s">
        <v>72</v>
      </c>
      <c r="C135" t="s">
        <v>188</v>
      </c>
      <c r="D135" t="s">
        <v>74</v>
      </c>
      <c r="E135" t="s">
        <v>77</v>
      </c>
      <c r="F135" t="s">
        <v>99</v>
      </c>
      <c r="G135" t="s">
        <v>195</v>
      </c>
      <c r="H135" t="s">
        <v>109</v>
      </c>
      <c r="I135">
        <v>9</v>
      </c>
      <c r="J135">
        <v>9</v>
      </c>
      <c r="K135">
        <v>5</v>
      </c>
      <c r="L135">
        <v>9</v>
      </c>
      <c r="M135">
        <v>8</v>
      </c>
      <c r="N135">
        <v>10</v>
      </c>
      <c r="O135">
        <v>5</v>
      </c>
      <c r="P135">
        <v>5</v>
      </c>
      <c r="Q135">
        <v>7</v>
      </c>
    </row>
    <row r="136" spans="1:17" x14ac:dyDescent="0.45">
      <c r="A136" s="19">
        <v>46020.609027777777</v>
      </c>
      <c r="B136" t="s">
        <v>78</v>
      </c>
      <c r="C136" t="s">
        <v>188</v>
      </c>
      <c r="D136" t="s">
        <v>74</v>
      </c>
      <c r="E136" t="s">
        <v>77</v>
      </c>
      <c r="F136" t="s">
        <v>99</v>
      </c>
      <c r="G136" t="s">
        <v>103</v>
      </c>
      <c r="H136" t="s">
        <v>109</v>
      </c>
      <c r="I136">
        <v>5</v>
      </c>
      <c r="J136">
        <v>5</v>
      </c>
      <c r="K136">
        <v>5</v>
      </c>
      <c r="L136">
        <v>6</v>
      </c>
      <c r="M136">
        <v>6</v>
      </c>
      <c r="N136">
        <v>6</v>
      </c>
      <c r="O136">
        <v>6</v>
      </c>
      <c r="P136">
        <v>6</v>
      </c>
      <c r="Q136">
        <v>6</v>
      </c>
    </row>
    <row r="137" spans="1:17" x14ac:dyDescent="0.45">
      <c r="A137" s="19">
        <v>46020.613194444442</v>
      </c>
      <c r="B137" t="s">
        <v>72</v>
      </c>
      <c r="C137" t="s">
        <v>192</v>
      </c>
      <c r="D137" t="s">
        <v>74</v>
      </c>
      <c r="E137" t="s">
        <v>77</v>
      </c>
      <c r="F137" t="s">
        <v>196</v>
      </c>
      <c r="G137" t="s">
        <v>193</v>
      </c>
      <c r="H137" t="s">
        <v>109</v>
      </c>
      <c r="I137">
        <v>8</v>
      </c>
      <c r="J137">
        <v>8</v>
      </c>
      <c r="K137">
        <v>8</v>
      </c>
      <c r="L137">
        <v>8</v>
      </c>
      <c r="M137">
        <v>10</v>
      </c>
      <c r="N137">
        <v>10</v>
      </c>
      <c r="O137">
        <v>10</v>
      </c>
      <c r="P137">
        <v>10</v>
      </c>
      <c r="Q137">
        <v>10</v>
      </c>
    </row>
    <row r="138" spans="1:17" x14ac:dyDescent="0.45">
      <c r="A138" s="19">
        <v>46020.637499999997</v>
      </c>
      <c r="B138" t="s">
        <v>78</v>
      </c>
      <c r="C138" t="s">
        <v>190</v>
      </c>
      <c r="D138" t="s">
        <v>74</v>
      </c>
      <c r="E138" t="s">
        <v>77</v>
      </c>
      <c r="F138" t="s">
        <v>99</v>
      </c>
      <c r="G138" t="s">
        <v>107</v>
      </c>
      <c r="H138" t="s">
        <v>194</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99</v>
      </c>
      <c r="G139" t="s">
        <v>103</v>
      </c>
      <c r="H139" t="s">
        <v>109</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99</v>
      </c>
      <c r="G140" t="s">
        <v>107</v>
      </c>
      <c r="H140" t="s">
        <v>104</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99</v>
      </c>
      <c r="G141" t="s">
        <v>100</v>
      </c>
      <c r="H141" t="s">
        <v>101</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99</v>
      </c>
      <c r="G142" t="s">
        <v>100</v>
      </c>
      <c r="H142" t="s">
        <v>101</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99</v>
      </c>
      <c r="G143" t="s">
        <v>193</v>
      </c>
      <c r="H143" t="s">
        <v>101</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99</v>
      </c>
      <c r="G144" t="s">
        <v>107</v>
      </c>
      <c r="H144" t="s">
        <v>109</v>
      </c>
      <c r="I144">
        <v>1</v>
      </c>
      <c r="J144">
        <v>1</v>
      </c>
      <c r="K144">
        <v>8</v>
      </c>
      <c r="L144">
        <v>8</v>
      </c>
      <c r="M144">
        <v>8</v>
      </c>
      <c r="N144">
        <v>8</v>
      </c>
      <c r="O144">
        <v>8</v>
      </c>
      <c r="P144">
        <v>8</v>
      </c>
      <c r="Q144">
        <v>8</v>
      </c>
    </row>
    <row r="145" spans="1:17" x14ac:dyDescent="0.45">
      <c r="A145" s="19">
        <v>46021.449305555558</v>
      </c>
      <c r="B145" t="s">
        <v>72</v>
      </c>
      <c r="C145" t="s">
        <v>190</v>
      </c>
      <c r="D145" t="s">
        <v>74</v>
      </c>
      <c r="E145" t="s">
        <v>77</v>
      </c>
      <c r="F145" t="s">
        <v>99</v>
      </c>
      <c r="G145" t="s">
        <v>110</v>
      </c>
      <c r="H145" t="s">
        <v>104</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99</v>
      </c>
      <c r="G146" t="s">
        <v>110</v>
      </c>
      <c r="H146" t="s">
        <v>104</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99</v>
      </c>
      <c r="G147" t="s">
        <v>106</v>
      </c>
      <c r="H147" t="s">
        <v>105</v>
      </c>
      <c r="I147">
        <v>8</v>
      </c>
      <c r="J147">
        <v>8</v>
      </c>
      <c r="K147">
        <v>5</v>
      </c>
      <c r="L147">
        <v>5</v>
      </c>
      <c r="M147">
        <v>5</v>
      </c>
      <c r="N147">
        <v>3</v>
      </c>
      <c r="O147">
        <v>5</v>
      </c>
      <c r="P147">
        <v>5</v>
      </c>
      <c r="Q147">
        <v>5</v>
      </c>
    </row>
    <row r="148" spans="1:17" x14ac:dyDescent="0.45">
      <c r="A148" s="19">
        <v>46021.457638888889</v>
      </c>
      <c r="B148" t="s">
        <v>72</v>
      </c>
      <c r="C148" t="s">
        <v>192</v>
      </c>
      <c r="D148" t="s">
        <v>74</v>
      </c>
      <c r="E148" t="s">
        <v>75</v>
      </c>
      <c r="F148" t="s">
        <v>99</v>
      </c>
      <c r="G148" t="s">
        <v>107</v>
      </c>
      <c r="H148" t="s">
        <v>109</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99</v>
      </c>
      <c r="G149" t="s">
        <v>195</v>
      </c>
      <c r="H149" t="s">
        <v>109</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99</v>
      </c>
      <c r="G150" t="s">
        <v>107</v>
      </c>
      <c r="H150" t="s">
        <v>105</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99</v>
      </c>
      <c r="G151" t="s">
        <v>110</v>
      </c>
      <c r="H151" t="s">
        <v>104</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99</v>
      </c>
      <c r="G152" t="s">
        <v>106</v>
      </c>
      <c r="H152" t="s">
        <v>104</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99</v>
      </c>
      <c r="G153" t="s">
        <v>106</v>
      </c>
      <c r="H153" t="s">
        <v>104</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99</v>
      </c>
      <c r="G154" t="s">
        <v>193</v>
      </c>
      <c r="H154" t="s">
        <v>101</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99</v>
      </c>
      <c r="G155" t="s">
        <v>193</v>
      </c>
      <c r="H155" t="s">
        <v>104</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99</v>
      </c>
      <c r="G156" t="s">
        <v>110</v>
      </c>
      <c r="H156" t="s">
        <v>101</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99</v>
      </c>
      <c r="G157" t="s">
        <v>100</v>
      </c>
      <c r="H157" t="s">
        <v>101</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99</v>
      </c>
      <c r="G158" t="s">
        <v>106</v>
      </c>
      <c r="H158" t="s">
        <v>194</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99</v>
      </c>
      <c r="G159" t="s">
        <v>106</v>
      </c>
      <c r="H159" t="s">
        <v>104</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99</v>
      </c>
      <c r="G160" t="s">
        <v>108</v>
      </c>
      <c r="H160" t="s">
        <v>109</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99</v>
      </c>
      <c r="G161" t="s">
        <v>108</v>
      </c>
      <c r="H161" t="s">
        <v>109</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99</v>
      </c>
      <c r="G162" t="s">
        <v>103</v>
      </c>
      <c r="H162" t="s">
        <v>109</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99</v>
      </c>
      <c r="G163" t="s">
        <v>193</v>
      </c>
      <c r="H163" t="s">
        <v>109</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99</v>
      </c>
      <c r="G164" t="s">
        <v>103</v>
      </c>
      <c r="H164" t="s">
        <v>109</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99</v>
      </c>
      <c r="G165" t="s">
        <v>108</v>
      </c>
      <c r="H165" t="s">
        <v>104</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99</v>
      </c>
      <c r="G166" t="s">
        <v>108</v>
      </c>
      <c r="H166" t="s">
        <v>109</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99</v>
      </c>
      <c r="G167" t="s">
        <v>108</v>
      </c>
      <c r="H167" t="s">
        <v>101</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99</v>
      </c>
      <c r="G168" t="s">
        <v>106</v>
      </c>
      <c r="H168" t="s">
        <v>109</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99</v>
      </c>
      <c r="G169" t="s">
        <v>195</v>
      </c>
      <c r="H169" t="s">
        <v>109</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99</v>
      </c>
      <c r="G170" t="s">
        <v>108</v>
      </c>
      <c r="H170" t="s">
        <v>109</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102</v>
      </c>
      <c r="G171" t="s">
        <v>103</v>
      </c>
      <c r="H171" t="s">
        <v>109</v>
      </c>
      <c r="I171">
        <v>5</v>
      </c>
      <c r="J171">
        <v>8</v>
      </c>
      <c r="K171">
        <v>7</v>
      </c>
      <c r="L171">
        <v>8</v>
      </c>
      <c r="M171">
        <v>1</v>
      </c>
      <c r="N171">
        <v>2</v>
      </c>
      <c r="O171">
        <v>3</v>
      </c>
      <c r="P171">
        <v>3</v>
      </c>
      <c r="Q171">
        <v>7</v>
      </c>
    </row>
    <row r="172" spans="1:17" x14ac:dyDescent="0.45">
      <c r="A172" s="19">
        <v>46026.576388888891</v>
      </c>
      <c r="B172" t="s">
        <v>78</v>
      </c>
      <c r="C172" t="s">
        <v>188</v>
      </c>
      <c r="D172" t="s">
        <v>74</v>
      </c>
      <c r="E172" t="s">
        <v>77</v>
      </c>
      <c r="F172" t="s">
        <v>99</v>
      </c>
      <c r="G172" t="s">
        <v>193</v>
      </c>
      <c r="H172" t="s">
        <v>109</v>
      </c>
      <c r="I172">
        <v>6</v>
      </c>
      <c r="J172">
        <v>7</v>
      </c>
      <c r="K172">
        <v>5</v>
      </c>
      <c r="L172">
        <v>7</v>
      </c>
      <c r="M172">
        <v>7</v>
      </c>
      <c r="N172">
        <v>7</v>
      </c>
      <c r="O172">
        <v>5</v>
      </c>
      <c r="P172">
        <v>7</v>
      </c>
      <c r="Q172">
        <v>7</v>
      </c>
    </row>
    <row r="173" spans="1:17" x14ac:dyDescent="0.45">
      <c r="A173" s="19">
        <v>46026.57708333333</v>
      </c>
      <c r="B173" t="s">
        <v>78</v>
      </c>
      <c r="C173" t="s">
        <v>190</v>
      </c>
      <c r="D173" t="s">
        <v>74</v>
      </c>
      <c r="E173" t="s">
        <v>75</v>
      </c>
      <c r="F173" t="s">
        <v>99</v>
      </c>
      <c r="G173" t="s">
        <v>107</v>
      </c>
      <c r="H173" t="s">
        <v>194</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99</v>
      </c>
      <c r="G174" t="s">
        <v>106</v>
      </c>
      <c r="H174" t="s">
        <v>105</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99</v>
      </c>
      <c r="G175" t="s">
        <v>108</v>
      </c>
      <c r="H175" t="s">
        <v>101</v>
      </c>
      <c r="I175">
        <v>6</v>
      </c>
      <c r="J175">
        <v>6</v>
      </c>
      <c r="K175">
        <v>6</v>
      </c>
      <c r="L175">
        <v>6</v>
      </c>
      <c r="M175">
        <v>7</v>
      </c>
      <c r="N175">
        <v>7</v>
      </c>
      <c r="O175">
        <v>5</v>
      </c>
      <c r="P175">
        <v>7</v>
      </c>
      <c r="Q175">
        <v>6</v>
      </c>
    </row>
    <row r="176" spans="1:17" x14ac:dyDescent="0.45">
      <c r="A176" s="19">
        <v>46026.57916666667</v>
      </c>
      <c r="B176" t="s">
        <v>72</v>
      </c>
      <c r="C176" t="s">
        <v>190</v>
      </c>
      <c r="D176" t="s">
        <v>74</v>
      </c>
      <c r="E176" t="s">
        <v>75</v>
      </c>
      <c r="F176" t="s">
        <v>99</v>
      </c>
      <c r="G176" t="s">
        <v>107</v>
      </c>
      <c r="H176" t="s">
        <v>105</v>
      </c>
      <c r="I176">
        <v>4</v>
      </c>
      <c r="J176">
        <v>5</v>
      </c>
      <c r="K176">
        <v>4</v>
      </c>
      <c r="L176">
        <v>6</v>
      </c>
      <c r="M176">
        <v>4</v>
      </c>
      <c r="N176">
        <v>4</v>
      </c>
      <c r="O176">
        <v>4</v>
      </c>
      <c r="P176">
        <v>5</v>
      </c>
      <c r="Q176">
        <v>4</v>
      </c>
    </row>
    <row r="177" spans="1:17" x14ac:dyDescent="0.45">
      <c r="A177" s="19">
        <v>46026.57916666667</v>
      </c>
      <c r="B177" t="s">
        <v>72</v>
      </c>
      <c r="C177" t="s">
        <v>192</v>
      </c>
      <c r="D177" t="s">
        <v>80</v>
      </c>
      <c r="E177" t="s">
        <v>75</v>
      </c>
      <c r="F177" t="s">
        <v>99</v>
      </c>
      <c r="G177" t="s">
        <v>107</v>
      </c>
      <c r="H177" t="s">
        <v>109</v>
      </c>
      <c r="I177">
        <v>2</v>
      </c>
      <c r="J177">
        <v>4</v>
      </c>
      <c r="K177">
        <v>3</v>
      </c>
      <c r="L177">
        <v>5</v>
      </c>
      <c r="M177">
        <v>4</v>
      </c>
      <c r="N177">
        <v>1</v>
      </c>
      <c r="O177">
        <v>1</v>
      </c>
      <c r="P177">
        <v>4</v>
      </c>
      <c r="Q177">
        <v>4</v>
      </c>
    </row>
    <row r="178" spans="1:17" x14ac:dyDescent="0.45">
      <c r="A178" s="19">
        <v>46026.580555555556</v>
      </c>
      <c r="B178" t="s">
        <v>72</v>
      </c>
      <c r="C178" t="s">
        <v>190</v>
      </c>
      <c r="D178" t="s">
        <v>74</v>
      </c>
      <c r="E178" t="s">
        <v>75</v>
      </c>
      <c r="F178" t="s">
        <v>99</v>
      </c>
      <c r="G178" t="s">
        <v>106</v>
      </c>
      <c r="H178" t="s">
        <v>104</v>
      </c>
      <c r="I178">
        <v>4</v>
      </c>
      <c r="J178">
        <v>4</v>
      </c>
      <c r="K178">
        <v>3</v>
      </c>
      <c r="L178">
        <v>5</v>
      </c>
      <c r="M178">
        <v>3</v>
      </c>
      <c r="N178">
        <v>2</v>
      </c>
      <c r="O178">
        <v>1</v>
      </c>
      <c r="P178">
        <v>1</v>
      </c>
      <c r="Q178">
        <v>1</v>
      </c>
    </row>
    <row r="179" spans="1:17" x14ac:dyDescent="0.45">
      <c r="A179" s="19">
        <v>46026.580555555556</v>
      </c>
      <c r="B179" t="s">
        <v>72</v>
      </c>
      <c r="C179" t="s">
        <v>192</v>
      </c>
      <c r="D179" t="s">
        <v>74</v>
      </c>
      <c r="E179" t="s">
        <v>77</v>
      </c>
      <c r="F179" t="s">
        <v>99</v>
      </c>
      <c r="G179" t="s">
        <v>108</v>
      </c>
      <c r="H179" t="s">
        <v>194</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99</v>
      </c>
      <c r="G180" t="s">
        <v>100</v>
      </c>
      <c r="H180" t="s">
        <v>101</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99</v>
      </c>
      <c r="G181" t="s">
        <v>110</v>
      </c>
      <c r="H181" t="s">
        <v>101</v>
      </c>
      <c r="I181">
        <v>5</v>
      </c>
      <c r="J181">
        <v>5</v>
      </c>
      <c r="K181">
        <v>5</v>
      </c>
      <c r="L181">
        <v>7</v>
      </c>
      <c r="M181">
        <v>5</v>
      </c>
      <c r="N181">
        <v>6</v>
      </c>
      <c r="O181">
        <v>5</v>
      </c>
      <c r="P181">
        <v>7</v>
      </c>
      <c r="Q181">
        <v>7</v>
      </c>
    </row>
    <row r="182" spans="1:17" x14ac:dyDescent="0.45">
      <c r="A182" s="19">
        <v>46026.7</v>
      </c>
      <c r="B182" t="s">
        <v>72</v>
      </c>
      <c r="C182" t="s">
        <v>73</v>
      </c>
      <c r="D182" t="s">
        <v>74</v>
      </c>
      <c r="E182" t="s">
        <v>75</v>
      </c>
      <c r="F182" t="s">
        <v>99</v>
      </c>
      <c r="G182" t="s">
        <v>110</v>
      </c>
      <c r="H182" t="s">
        <v>104</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99</v>
      </c>
      <c r="G183" t="s">
        <v>100</v>
      </c>
      <c r="H183" t="s">
        <v>109</v>
      </c>
      <c r="I183">
        <v>8</v>
      </c>
      <c r="J183">
        <v>8</v>
      </c>
      <c r="K183">
        <v>5</v>
      </c>
      <c r="L183">
        <v>8</v>
      </c>
      <c r="M183">
        <v>6</v>
      </c>
      <c r="N183">
        <v>8</v>
      </c>
      <c r="O183">
        <v>6</v>
      </c>
      <c r="P183">
        <v>7</v>
      </c>
      <c r="Q183">
        <v>7</v>
      </c>
    </row>
    <row r="184" spans="1:17" x14ac:dyDescent="0.45">
      <c r="A184" s="19">
        <v>46026.701388888891</v>
      </c>
      <c r="B184" t="s">
        <v>78</v>
      </c>
      <c r="C184" t="s">
        <v>192</v>
      </c>
      <c r="D184" t="s">
        <v>74</v>
      </c>
      <c r="E184" t="s">
        <v>75</v>
      </c>
      <c r="F184" t="s">
        <v>99</v>
      </c>
      <c r="G184" t="s">
        <v>107</v>
      </c>
      <c r="H184" t="s">
        <v>105</v>
      </c>
      <c r="I184">
        <v>2</v>
      </c>
      <c r="J184">
        <v>5</v>
      </c>
      <c r="K184">
        <v>3</v>
      </c>
      <c r="L184">
        <v>5</v>
      </c>
      <c r="M184">
        <v>3</v>
      </c>
      <c r="N184">
        <v>2</v>
      </c>
      <c r="O184">
        <v>1</v>
      </c>
      <c r="P184">
        <v>5</v>
      </c>
      <c r="Q184">
        <v>5</v>
      </c>
    </row>
    <row r="185" spans="1:17" x14ac:dyDescent="0.45">
      <c r="A185" s="19">
        <v>46026.70208333333</v>
      </c>
      <c r="B185" t="s">
        <v>78</v>
      </c>
      <c r="C185" t="s">
        <v>188</v>
      </c>
      <c r="D185" t="s">
        <v>74</v>
      </c>
      <c r="E185" t="s">
        <v>77</v>
      </c>
      <c r="F185" t="s">
        <v>99</v>
      </c>
      <c r="G185" t="s">
        <v>103</v>
      </c>
      <c r="H185" t="s">
        <v>109</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102</v>
      </c>
      <c r="G186" t="s">
        <v>108</v>
      </c>
      <c r="H186" t="s">
        <v>105</v>
      </c>
      <c r="I186">
        <v>7</v>
      </c>
      <c r="J186">
        <v>7</v>
      </c>
      <c r="K186">
        <v>6</v>
      </c>
      <c r="L186">
        <v>8</v>
      </c>
      <c r="M186">
        <v>5</v>
      </c>
      <c r="N186">
        <v>5</v>
      </c>
      <c r="O186">
        <v>5</v>
      </c>
      <c r="P186">
        <v>6</v>
      </c>
      <c r="Q186">
        <v>5</v>
      </c>
    </row>
    <row r="187" spans="1:17" x14ac:dyDescent="0.45">
      <c r="A187" s="19">
        <v>46026.70416666667</v>
      </c>
      <c r="B187" t="s">
        <v>72</v>
      </c>
      <c r="C187" t="s">
        <v>192</v>
      </c>
      <c r="D187" t="s">
        <v>74</v>
      </c>
      <c r="E187" t="s">
        <v>77</v>
      </c>
      <c r="F187" t="s">
        <v>196</v>
      </c>
      <c r="G187" t="s">
        <v>103</v>
      </c>
      <c r="H187" t="s">
        <v>109</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99</v>
      </c>
      <c r="G188" t="s">
        <v>108</v>
      </c>
      <c r="H188" t="s">
        <v>104</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99</v>
      </c>
      <c r="G189" t="s">
        <v>100</v>
      </c>
      <c r="H189" t="s">
        <v>101</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99</v>
      </c>
      <c r="G190" t="s">
        <v>110</v>
      </c>
      <c r="H190" t="s">
        <v>104</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99</v>
      </c>
      <c r="G191" t="s">
        <v>100</v>
      </c>
      <c r="H191" t="s">
        <v>109</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99</v>
      </c>
      <c r="G192" t="s">
        <v>110</v>
      </c>
      <c r="H192" t="s">
        <v>105</v>
      </c>
      <c r="I192">
        <v>7</v>
      </c>
      <c r="J192">
        <v>7</v>
      </c>
      <c r="K192">
        <v>6</v>
      </c>
      <c r="L192">
        <v>8</v>
      </c>
      <c r="M192">
        <v>7</v>
      </c>
      <c r="N192">
        <v>8</v>
      </c>
      <c r="O192">
        <v>7</v>
      </c>
      <c r="P192">
        <v>7</v>
      </c>
      <c r="Q192">
        <v>7</v>
      </c>
    </row>
    <row r="193" spans="1:17" x14ac:dyDescent="0.45">
      <c r="A193" s="19">
        <v>46029.685416666667</v>
      </c>
      <c r="B193" t="s">
        <v>72</v>
      </c>
      <c r="C193" t="s">
        <v>188</v>
      </c>
      <c r="D193" t="s">
        <v>74</v>
      </c>
      <c r="E193" t="s">
        <v>77</v>
      </c>
      <c r="F193" t="s">
        <v>99</v>
      </c>
      <c r="G193" t="s">
        <v>195</v>
      </c>
      <c r="H193" t="s">
        <v>109</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99</v>
      </c>
      <c r="G194" t="s">
        <v>100</v>
      </c>
      <c r="H194" t="s">
        <v>104</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99</v>
      </c>
      <c r="G195" t="s">
        <v>195</v>
      </c>
      <c r="H195" t="s">
        <v>101</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99</v>
      </c>
      <c r="G196" t="s">
        <v>103</v>
      </c>
      <c r="H196" t="s">
        <v>101</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99</v>
      </c>
      <c r="G197" t="s">
        <v>103</v>
      </c>
      <c r="H197" t="s">
        <v>104</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99</v>
      </c>
      <c r="G198" t="s">
        <v>103</v>
      </c>
      <c r="H198" t="s">
        <v>105</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99</v>
      </c>
      <c r="G199" t="s">
        <v>103</v>
      </c>
      <c r="H199" t="s">
        <v>104</v>
      </c>
      <c r="I199">
        <v>5</v>
      </c>
      <c r="J199">
        <v>5</v>
      </c>
      <c r="K199">
        <v>5</v>
      </c>
      <c r="L199">
        <v>5</v>
      </c>
      <c r="M199">
        <v>5</v>
      </c>
      <c r="N199">
        <v>5</v>
      </c>
      <c r="O199">
        <v>5</v>
      </c>
      <c r="P199">
        <v>4</v>
      </c>
      <c r="Q199">
        <v>5</v>
      </c>
    </row>
    <row r="200" spans="1:17" x14ac:dyDescent="0.45">
      <c r="A200" s="19">
        <v>46031.374305555553</v>
      </c>
      <c r="B200" t="s">
        <v>72</v>
      </c>
      <c r="C200" t="s">
        <v>192</v>
      </c>
      <c r="D200" t="s">
        <v>74</v>
      </c>
      <c r="E200" t="s">
        <v>75</v>
      </c>
      <c r="F200" t="s">
        <v>196</v>
      </c>
      <c r="G200" t="s">
        <v>193</v>
      </c>
      <c r="H200" t="s">
        <v>101</v>
      </c>
      <c r="I200">
        <v>9</v>
      </c>
      <c r="J200">
        <v>8</v>
      </c>
      <c r="K200">
        <v>9</v>
      </c>
      <c r="L200">
        <v>9</v>
      </c>
      <c r="M200">
        <v>8</v>
      </c>
      <c r="N200">
        <v>9</v>
      </c>
      <c r="O200">
        <v>10</v>
      </c>
      <c r="P200">
        <v>9</v>
      </c>
      <c r="Q200">
        <v>10</v>
      </c>
    </row>
    <row r="201" spans="1:17" x14ac:dyDescent="0.45">
      <c r="A201" s="19">
        <v>46031.390277777777</v>
      </c>
      <c r="B201" t="s">
        <v>78</v>
      </c>
      <c r="C201" t="s">
        <v>190</v>
      </c>
      <c r="D201" t="s">
        <v>74</v>
      </c>
      <c r="E201" t="s">
        <v>77</v>
      </c>
      <c r="F201" t="s">
        <v>99</v>
      </c>
      <c r="G201" t="s">
        <v>106</v>
      </c>
      <c r="H201" t="s">
        <v>105</v>
      </c>
      <c r="I201">
        <v>4</v>
      </c>
      <c r="J201">
        <v>4</v>
      </c>
      <c r="K201">
        <v>3</v>
      </c>
      <c r="L201">
        <v>5</v>
      </c>
      <c r="M201">
        <v>4</v>
      </c>
      <c r="N201">
        <v>5</v>
      </c>
      <c r="O201">
        <v>1</v>
      </c>
      <c r="P201">
        <v>5</v>
      </c>
      <c r="Q201">
        <v>5</v>
      </c>
    </row>
    <row r="202" spans="1:17" x14ac:dyDescent="0.45">
      <c r="A202" s="19">
        <v>46031.390972222223</v>
      </c>
      <c r="B202" t="s">
        <v>72</v>
      </c>
      <c r="C202" t="s">
        <v>192</v>
      </c>
      <c r="D202" t="s">
        <v>74</v>
      </c>
      <c r="E202" t="s">
        <v>75</v>
      </c>
      <c r="F202" t="s">
        <v>99</v>
      </c>
      <c r="G202" t="s">
        <v>110</v>
      </c>
      <c r="H202" t="s">
        <v>101</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99</v>
      </c>
      <c r="G203" t="s">
        <v>106</v>
      </c>
      <c r="H203" t="s">
        <v>194</v>
      </c>
      <c r="I203">
        <v>6</v>
      </c>
      <c r="J203">
        <v>8</v>
      </c>
      <c r="K203">
        <v>8</v>
      </c>
      <c r="L203">
        <v>9</v>
      </c>
      <c r="M203">
        <v>7</v>
      </c>
      <c r="N203">
        <v>7</v>
      </c>
      <c r="O203">
        <v>7</v>
      </c>
      <c r="P203">
        <v>8</v>
      </c>
      <c r="Q203">
        <v>8</v>
      </c>
    </row>
    <row r="204" spans="1:17" x14ac:dyDescent="0.45">
      <c r="A204" s="19">
        <v>46031.39166666667</v>
      </c>
      <c r="B204" t="s">
        <v>72</v>
      </c>
      <c r="C204" t="s">
        <v>190</v>
      </c>
      <c r="D204" t="s">
        <v>74</v>
      </c>
      <c r="E204" t="s">
        <v>75</v>
      </c>
      <c r="F204" t="s">
        <v>99</v>
      </c>
      <c r="G204" t="s">
        <v>107</v>
      </c>
      <c r="H204" t="s">
        <v>105</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99</v>
      </c>
      <c r="G205" t="s">
        <v>108</v>
      </c>
      <c r="H205" t="s">
        <v>101</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99</v>
      </c>
      <c r="G206" t="s">
        <v>100</v>
      </c>
      <c r="H206" t="s">
        <v>109</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99</v>
      </c>
      <c r="G207" t="s">
        <v>110</v>
      </c>
      <c r="H207" t="s">
        <v>101</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99</v>
      </c>
      <c r="G208" t="s">
        <v>110</v>
      </c>
      <c r="H208" t="s">
        <v>104</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99</v>
      </c>
      <c r="G209" t="s">
        <v>108</v>
      </c>
      <c r="H209" t="s">
        <v>101</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99</v>
      </c>
      <c r="G210" t="s">
        <v>108</v>
      </c>
      <c r="H210" t="s">
        <v>109</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99</v>
      </c>
      <c r="G211" t="s">
        <v>100</v>
      </c>
      <c r="H211" t="s">
        <v>109</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99</v>
      </c>
      <c r="G212" t="s">
        <v>110</v>
      </c>
      <c r="H212" t="s">
        <v>101</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99</v>
      </c>
      <c r="G213" t="s">
        <v>110</v>
      </c>
      <c r="H213" t="s">
        <v>109</v>
      </c>
      <c r="I213">
        <v>5</v>
      </c>
      <c r="J213">
        <v>5</v>
      </c>
      <c r="K213">
        <v>1</v>
      </c>
      <c r="L213">
        <v>5</v>
      </c>
      <c r="M213">
        <v>5</v>
      </c>
      <c r="N213">
        <v>5</v>
      </c>
      <c r="O213">
        <v>4</v>
      </c>
      <c r="P213">
        <v>5</v>
      </c>
      <c r="Q213">
        <v>5</v>
      </c>
    </row>
    <row r="214" spans="1:17" x14ac:dyDescent="0.45">
      <c r="A214" s="19">
        <v>46031.4</v>
      </c>
      <c r="B214" t="s">
        <v>72</v>
      </c>
      <c r="C214" t="s">
        <v>73</v>
      </c>
      <c r="D214" t="s">
        <v>74</v>
      </c>
      <c r="E214" t="s">
        <v>77</v>
      </c>
      <c r="F214" t="s">
        <v>99</v>
      </c>
      <c r="G214" t="s">
        <v>110</v>
      </c>
      <c r="H214" t="s">
        <v>194</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99</v>
      </c>
      <c r="G215" t="s">
        <v>110</v>
      </c>
      <c r="H215" t="s">
        <v>194</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99</v>
      </c>
      <c r="G216" t="s">
        <v>195</v>
      </c>
      <c r="H216" t="s">
        <v>104</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99</v>
      </c>
      <c r="G217" t="s">
        <v>108</v>
      </c>
      <c r="H217" t="s">
        <v>101</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99</v>
      </c>
      <c r="G218" t="s">
        <v>108</v>
      </c>
      <c r="H218" t="s">
        <v>109</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99</v>
      </c>
      <c r="G219" t="s">
        <v>110</v>
      </c>
      <c r="H219" t="s">
        <v>105</v>
      </c>
      <c r="I219">
        <v>6</v>
      </c>
      <c r="J219">
        <v>7</v>
      </c>
      <c r="K219">
        <v>7</v>
      </c>
      <c r="L219">
        <v>7</v>
      </c>
      <c r="M219">
        <v>7</v>
      </c>
      <c r="N219">
        <v>7</v>
      </c>
      <c r="O219">
        <v>7</v>
      </c>
      <c r="P219">
        <v>7</v>
      </c>
      <c r="Q219">
        <v>7</v>
      </c>
    </row>
    <row r="220" spans="1:17" x14ac:dyDescent="0.45">
      <c r="A220" s="19">
        <v>46031.402777777781</v>
      </c>
      <c r="B220" t="s">
        <v>78</v>
      </c>
      <c r="C220" t="s">
        <v>192</v>
      </c>
      <c r="D220" t="s">
        <v>74</v>
      </c>
      <c r="E220" t="s">
        <v>75</v>
      </c>
      <c r="F220" t="s">
        <v>99</v>
      </c>
      <c r="G220" t="s">
        <v>107</v>
      </c>
      <c r="H220" t="s">
        <v>104</v>
      </c>
      <c r="I220">
        <v>7</v>
      </c>
      <c r="J220">
        <v>8</v>
      </c>
      <c r="K220">
        <v>8</v>
      </c>
      <c r="L220">
        <v>8</v>
      </c>
      <c r="M220">
        <v>8</v>
      </c>
      <c r="N220">
        <v>5</v>
      </c>
      <c r="O220">
        <v>5</v>
      </c>
      <c r="P220">
        <v>7</v>
      </c>
      <c r="Q220">
        <v>6</v>
      </c>
    </row>
    <row r="221" spans="1:17" x14ac:dyDescent="0.45">
      <c r="A221" s="19">
        <v>46031.402777777781</v>
      </c>
      <c r="B221" t="s">
        <v>72</v>
      </c>
      <c r="C221" t="s">
        <v>190</v>
      </c>
      <c r="D221" t="s">
        <v>74</v>
      </c>
      <c r="E221" t="s">
        <v>75</v>
      </c>
      <c r="F221" t="s">
        <v>99</v>
      </c>
      <c r="G221" t="s">
        <v>107</v>
      </c>
      <c r="H221" t="s">
        <v>101</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99</v>
      </c>
      <c r="G222" t="s">
        <v>110</v>
      </c>
      <c r="H222" t="s">
        <v>101</v>
      </c>
      <c r="I222">
        <v>4</v>
      </c>
      <c r="J222">
        <v>4</v>
      </c>
      <c r="K222">
        <v>4</v>
      </c>
      <c r="L222">
        <v>6</v>
      </c>
      <c r="M222">
        <v>5</v>
      </c>
      <c r="N222">
        <v>6</v>
      </c>
      <c r="O222">
        <v>5</v>
      </c>
      <c r="P222">
        <v>6</v>
      </c>
      <c r="Q222">
        <v>5</v>
      </c>
    </row>
    <row r="223" spans="1:17" x14ac:dyDescent="0.45">
      <c r="A223" s="19">
        <v>46031.404861111114</v>
      </c>
      <c r="B223" t="s">
        <v>72</v>
      </c>
      <c r="C223" t="s">
        <v>190</v>
      </c>
      <c r="D223" t="s">
        <v>74</v>
      </c>
      <c r="E223" t="s">
        <v>77</v>
      </c>
      <c r="F223" t="s">
        <v>99</v>
      </c>
      <c r="G223" t="s">
        <v>110</v>
      </c>
      <c r="H223" t="s">
        <v>104</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99</v>
      </c>
      <c r="G224" t="s">
        <v>110</v>
      </c>
      <c r="H224" t="s">
        <v>104</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99</v>
      </c>
      <c r="G225" t="s">
        <v>110</v>
      </c>
      <c r="H225" t="s">
        <v>109</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99</v>
      </c>
      <c r="G226" t="s">
        <v>108</v>
      </c>
      <c r="H226" t="s">
        <v>101</v>
      </c>
      <c r="I226">
        <v>6</v>
      </c>
      <c r="J226">
        <v>6</v>
      </c>
      <c r="K226">
        <v>7</v>
      </c>
      <c r="L226">
        <v>7</v>
      </c>
      <c r="M226">
        <v>5</v>
      </c>
      <c r="N226">
        <v>6</v>
      </c>
      <c r="O226">
        <v>6</v>
      </c>
      <c r="P226">
        <v>6</v>
      </c>
      <c r="Q226">
        <v>7</v>
      </c>
    </row>
    <row r="227" spans="1:17" x14ac:dyDescent="0.45">
      <c r="A227" s="19">
        <v>46031.406944444447</v>
      </c>
      <c r="B227" t="s">
        <v>72</v>
      </c>
      <c r="C227" t="s">
        <v>192</v>
      </c>
      <c r="D227" t="s">
        <v>74</v>
      </c>
      <c r="E227" t="s">
        <v>75</v>
      </c>
      <c r="F227" t="s">
        <v>99</v>
      </c>
      <c r="G227" t="s">
        <v>106</v>
      </c>
      <c r="H227" t="s">
        <v>104</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99</v>
      </c>
      <c r="G228" t="s">
        <v>100</v>
      </c>
      <c r="H228" t="s">
        <v>109</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99</v>
      </c>
      <c r="G229" t="s">
        <v>195</v>
      </c>
      <c r="H229" t="s">
        <v>104</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99</v>
      </c>
      <c r="G230" t="s">
        <v>110</v>
      </c>
      <c r="H230" t="s">
        <v>104</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99</v>
      </c>
      <c r="G231" t="s">
        <v>106</v>
      </c>
      <c r="H231" t="s">
        <v>194</v>
      </c>
      <c r="I231">
        <v>4</v>
      </c>
      <c r="J231">
        <v>5</v>
      </c>
      <c r="K231">
        <v>1</v>
      </c>
      <c r="L231">
        <v>6</v>
      </c>
      <c r="M231">
        <v>4</v>
      </c>
      <c r="N231">
        <v>4</v>
      </c>
      <c r="O231">
        <v>5</v>
      </c>
      <c r="P231">
        <v>5</v>
      </c>
      <c r="Q231">
        <v>5</v>
      </c>
    </row>
    <row r="232" spans="1:17" x14ac:dyDescent="0.45">
      <c r="A232" s="19">
        <v>46031.40902777778</v>
      </c>
      <c r="B232" t="s">
        <v>78</v>
      </c>
      <c r="C232" t="s">
        <v>192</v>
      </c>
      <c r="D232" t="s">
        <v>74</v>
      </c>
      <c r="E232" t="s">
        <v>75</v>
      </c>
      <c r="F232" t="s">
        <v>99</v>
      </c>
      <c r="G232" t="s">
        <v>107</v>
      </c>
      <c r="H232" t="s">
        <v>194</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99</v>
      </c>
      <c r="G233" t="s">
        <v>110</v>
      </c>
      <c r="H233" t="s">
        <v>104</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99</v>
      </c>
      <c r="G234" t="s">
        <v>103</v>
      </c>
      <c r="H234" t="s">
        <v>101</v>
      </c>
      <c r="I234">
        <v>8</v>
      </c>
      <c r="J234">
        <v>8</v>
      </c>
      <c r="K234">
        <v>8</v>
      </c>
      <c r="L234">
        <v>8</v>
      </c>
      <c r="M234">
        <v>9</v>
      </c>
      <c r="N234">
        <v>8</v>
      </c>
      <c r="O234">
        <v>8</v>
      </c>
      <c r="P234">
        <v>8</v>
      </c>
      <c r="Q234">
        <v>10</v>
      </c>
    </row>
    <row r="235" spans="1:17" x14ac:dyDescent="0.45">
      <c r="A235" s="19">
        <v>46031.409722222219</v>
      </c>
      <c r="B235" t="s">
        <v>72</v>
      </c>
      <c r="C235" t="s">
        <v>190</v>
      </c>
      <c r="D235" t="s">
        <v>74</v>
      </c>
      <c r="E235" t="s">
        <v>75</v>
      </c>
      <c r="F235" t="s">
        <v>99</v>
      </c>
      <c r="G235" t="s">
        <v>106</v>
      </c>
      <c r="H235" t="s">
        <v>105</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99</v>
      </c>
      <c r="G236" t="s">
        <v>108</v>
      </c>
      <c r="H236" t="s">
        <v>109</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99</v>
      </c>
      <c r="G237" t="s">
        <v>110</v>
      </c>
      <c r="H237" t="s">
        <v>105</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102</v>
      </c>
      <c r="G238" t="s">
        <v>103</v>
      </c>
      <c r="H238" t="s">
        <v>105</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99</v>
      </c>
      <c r="G239" t="s">
        <v>100</v>
      </c>
      <c r="H239" t="s">
        <v>101</v>
      </c>
      <c r="I239">
        <v>8</v>
      </c>
      <c r="J239">
        <v>10</v>
      </c>
      <c r="K239">
        <v>8</v>
      </c>
      <c r="L239">
        <v>10</v>
      </c>
      <c r="M239">
        <v>9</v>
      </c>
      <c r="N239">
        <v>8</v>
      </c>
      <c r="O239">
        <v>7</v>
      </c>
      <c r="P239">
        <v>9</v>
      </c>
      <c r="Q239">
        <v>9</v>
      </c>
    </row>
    <row r="240" spans="1:17" x14ac:dyDescent="0.45">
      <c r="A240" s="19">
        <v>46031.440972222219</v>
      </c>
      <c r="B240" t="s">
        <v>78</v>
      </c>
      <c r="C240" t="s">
        <v>192</v>
      </c>
      <c r="D240" t="s">
        <v>74</v>
      </c>
      <c r="E240" t="s">
        <v>75</v>
      </c>
      <c r="F240" t="s">
        <v>99</v>
      </c>
      <c r="G240" t="s">
        <v>106</v>
      </c>
      <c r="H240" t="s">
        <v>194</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99</v>
      </c>
      <c r="G241" t="s">
        <v>110</v>
      </c>
      <c r="H241" t="s">
        <v>105</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99</v>
      </c>
      <c r="G242" t="s">
        <v>110</v>
      </c>
      <c r="H242" t="s">
        <v>101</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99</v>
      </c>
      <c r="G243" t="s">
        <v>110</v>
      </c>
      <c r="H243" t="s">
        <v>104</v>
      </c>
      <c r="I243">
        <v>6</v>
      </c>
      <c r="J243">
        <v>5</v>
      </c>
      <c r="K243">
        <v>5</v>
      </c>
      <c r="L243">
        <v>7</v>
      </c>
      <c r="M243">
        <v>7</v>
      </c>
      <c r="N243">
        <v>7</v>
      </c>
      <c r="O243">
        <v>7</v>
      </c>
      <c r="P243">
        <v>8</v>
      </c>
      <c r="Q243">
        <v>8</v>
      </c>
    </row>
    <row r="244" spans="1:17" x14ac:dyDescent="0.45">
      <c r="A244" s="19">
        <v>46031.442361111112</v>
      </c>
      <c r="B244" t="s">
        <v>78</v>
      </c>
      <c r="C244" t="s">
        <v>190</v>
      </c>
      <c r="D244" t="s">
        <v>74</v>
      </c>
      <c r="E244" t="s">
        <v>77</v>
      </c>
      <c r="F244" t="s">
        <v>99</v>
      </c>
      <c r="G244" t="s">
        <v>106</v>
      </c>
      <c r="H244" t="s">
        <v>104</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99</v>
      </c>
      <c r="G245" t="s">
        <v>110</v>
      </c>
      <c r="H245" t="s">
        <v>105</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99</v>
      </c>
      <c r="G246" t="s">
        <v>107</v>
      </c>
      <c r="H246" t="s">
        <v>109</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99</v>
      </c>
      <c r="G247" t="s">
        <v>100</v>
      </c>
      <c r="H247" t="s">
        <v>109</v>
      </c>
      <c r="I247">
        <v>6</v>
      </c>
      <c r="J247">
        <v>7</v>
      </c>
      <c r="K247">
        <v>7</v>
      </c>
      <c r="L247">
        <v>7</v>
      </c>
      <c r="M247">
        <v>7</v>
      </c>
      <c r="N247">
        <v>7</v>
      </c>
      <c r="O247">
        <v>7</v>
      </c>
      <c r="P247">
        <v>7</v>
      </c>
      <c r="Q247">
        <v>7</v>
      </c>
    </row>
    <row r="248" spans="1:17" x14ac:dyDescent="0.45">
      <c r="A248" s="19">
        <v>46031.444444444445</v>
      </c>
      <c r="B248" t="s">
        <v>72</v>
      </c>
      <c r="C248" t="s">
        <v>190</v>
      </c>
      <c r="D248" t="s">
        <v>74</v>
      </c>
      <c r="E248" t="s">
        <v>75</v>
      </c>
      <c r="F248" t="s">
        <v>99</v>
      </c>
      <c r="G248" t="s">
        <v>110</v>
      </c>
      <c r="H248" t="s">
        <v>194</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99</v>
      </c>
      <c r="G249" t="s">
        <v>108</v>
      </c>
      <c r="H249" t="s">
        <v>101</v>
      </c>
      <c r="I249">
        <v>7</v>
      </c>
      <c r="J249">
        <v>7</v>
      </c>
      <c r="K249">
        <v>7</v>
      </c>
      <c r="L249">
        <v>7</v>
      </c>
      <c r="M249">
        <v>7</v>
      </c>
      <c r="N249">
        <v>7</v>
      </c>
      <c r="O249">
        <v>7</v>
      </c>
      <c r="P249">
        <v>7</v>
      </c>
      <c r="Q249">
        <v>7</v>
      </c>
    </row>
    <row r="250" spans="1:17" x14ac:dyDescent="0.45">
      <c r="A250" s="19">
        <v>46031.464583333334</v>
      </c>
      <c r="B250" t="s">
        <v>78</v>
      </c>
      <c r="C250" t="s">
        <v>192</v>
      </c>
      <c r="D250" t="s">
        <v>74</v>
      </c>
      <c r="E250" t="s">
        <v>75</v>
      </c>
      <c r="F250" t="s">
        <v>99</v>
      </c>
      <c r="G250" t="s">
        <v>106</v>
      </c>
      <c r="H250" t="s">
        <v>105</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99</v>
      </c>
      <c r="G251" t="s">
        <v>110</v>
      </c>
      <c r="H251" t="s">
        <v>105</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99</v>
      </c>
      <c r="G252" t="s">
        <v>108</v>
      </c>
      <c r="H252" t="s">
        <v>194</v>
      </c>
      <c r="I252">
        <v>8</v>
      </c>
      <c r="J252">
        <v>8</v>
      </c>
      <c r="K252">
        <v>8</v>
      </c>
      <c r="L252">
        <v>9</v>
      </c>
      <c r="M252">
        <v>8</v>
      </c>
      <c r="N252">
        <v>10</v>
      </c>
      <c r="O252">
        <v>7</v>
      </c>
      <c r="P252">
        <v>7</v>
      </c>
      <c r="Q252">
        <v>10</v>
      </c>
    </row>
    <row r="253" spans="1:17" x14ac:dyDescent="0.45">
      <c r="A253" s="19">
        <v>46031.46597222222</v>
      </c>
      <c r="B253" t="s">
        <v>72</v>
      </c>
      <c r="C253" t="s">
        <v>190</v>
      </c>
      <c r="D253" t="s">
        <v>74</v>
      </c>
      <c r="E253" t="s">
        <v>77</v>
      </c>
      <c r="F253" t="s">
        <v>99</v>
      </c>
      <c r="G253" t="s">
        <v>110</v>
      </c>
      <c r="H253" t="s">
        <v>105</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99</v>
      </c>
      <c r="G254" t="s">
        <v>106</v>
      </c>
      <c r="H254" t="s">
        <v>194</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99</v>
      </c>
      <c r="G255" t="s">
        <v>106</v>
      </c>
      <c r="H255" t="s">
        <v>101</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99</v>
      </c>
      <c r="G256" t="s">
        <v>110</v>
      </c>
      <c r="H256" t="s">
        <v>101</v>
      </c>
      <c r="I256">
        <v>6</v>
      </c>
      <c r="J256">
        <v>6</v>
      </c>
      <c r="K256">
        <v>1</v>
      </c>
      <c r="L256">
        <v>7</v>
      </c>
      <c r="M256">
        <v>5</v>
      </c>
      <c r="N256">
        <v>6</v>
      </c>
      <c r="O256">
        <v>6</v>
      </c>
      <c r="P256">
        <v>6</v>
      </c>
      <c r="Q256">
        <v>6</v>
      </c>
    </row>
    <row r="257" spans="1:17" x14ac:dyDescent="0.45">
      <c r="A257" s="19">
        <v>46031.468055555553</v>
      </c>
      <c r="B257" t="s">
        <v>72</v>
      </c>
      <c r="C257" t="s">
        <v>190</v>
      </c>
      <c r="D257" t="s">
        <v>74</v>
      </c>
      <c r="E257" t="s">
        <v>77</v>
      </c>
      <c r="F257" t="s">
        <v>99</v>
      </c>
      <c r="G257" t="s">
        <v>107</v>
      </c>
      <c r="H257" t="s">
        <v>194</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99</v>
      </c>
      <c r="G258" t="s">
        <v>108</v>
      </c>
      <c r="H258" t="s">
        <v>101</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99</v>
      </c>
      <c r="G259" t="s">
        <v>110</v>
      </c>
      <c r="H259" t="s">
        <v>104</v>
      </c>
      <c r="I259">
        <v>6</v>
      </c>
      <c r="J259">
        <v>7</v>
      </c>
      <c r="K259">
        <v>2</v>
      </c>
      <c r="L259">
        <v>7</v>
      </c>
      <c r="M259">
        <v>5</v>
      </c>
      <c r="N259">
        <v>5</v>
      </c>
      <c r="O259">
        <v>5</v>
      </c>
      <c r="P259">
        <v>6</v>
      </c>
      <c r="Q259">
        <v>5</v>
      </c>
    </row>
    <row r="260" spans="1:17" x14ac:dyDescent="0.45">
      <c r="A260" s="19">
        <v>46031.469444444447</v>
      </c>
      <c r="B260" t="s">
        <v>78</v>
      </c>
      <c r="C260" t="s">
        <v>190</v>
      </c>
      <c r="D260" t="s">
        <v>74</v>
      </c>
      <c r="E260" t="s">
        <v>75</v>
      </c>
      <c r="F260" t="s">
        <v>99</v>
      </c>
      <c r="G260" t="s">
        <v>107</v>
      </c>
      <c r="H260" t="s">
        <v>194</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99</v>
      </c>
      <c r="G261" t="s">
        <v>108</v>
      </c>
      <c r="H261" t="s">
        <v>104</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99</v>
      </c>
      <c r="G262" t="s">
        <v>108</v>
      </c>
      <c r="H262" t="s">
        <v>101</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99</v>
      </c>
      <c r="G263" t="s">
        <v>110</v>
      </c>
      <c r="H263" t="s">
        <v>194</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99</v>
      </c>
      <c r="G264" t="s">
        <v>106</v>
      </c>
      <c r="H264" t="s">
        <v>105</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99</v>
      </c>
      <c r="G265" t="s">
        <v>107</v>
      </c>
      <c r="H265" t="s">
        <v>105</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99</v>
      </c>
      <c r="G266" t="s">
        <v>100</v>
      </c>
      <c r="H266" t="s">
        <v>109</v>
      </c>
      <c r="I266">
        <v>6</v>
      </c>
      <c r="J266">
        <v>5</v>
      </c>
      <c r="K266">
        <v>5</v>
      </c>
      <c r="L266">
        <v>7</v>
      </c>
      <c r="M266">
        <v>6</v>
      </c>
      <c r="N266">
        <v>7</v>
      </c>
      <c r="O266">
        <v>5</v>
      </c>
      <c r="P266">
        <v>6</v>
      </c>
      <c r="Q266">
        <v>6</v>
      </c>
    </row>
    <row r="267" spans="1:17" x14ac:dyDescent="0.45">
      <c r="A267" s="19">
        <v>46031.473611111112</v>
      </c>
      <c r="B267" t="s">
        <v>72</v>
      </c>
      <c r="C267" t="s">
        <v>190</v>
      </c>
      <c r="D267" t="s">
        <v>74</v>
      </c>
      <c r="E267" t="s">
        <v>77</v>
      </c>
      <c r="F267" t="s">
        <v>99</v>
      </c>
      <c r="G267" t="s">
        <v>110</v>
      </c>
      <c r="H267" t="s">
        <v>105</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99</v>
      </c>
      <c r="G268" t="s">
        <v>110</v>
      </c>
      <c r="H268" t="s">
        <v>104</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99</v>
      </c>
      <c r="G269" t="s">
        <v>100</v>
      </c>
      <c r="H269" t="s">
        <v>104</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99</v>
      </c>
      <c r="G270" t="s">
        <v>106</v>
      </c>
      <c r="H270" t="s">
        <v>194</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102</v>
      </c>
      <c r="G271" t="s">
        <v>110</v>
      </c>
      <c r="H271" t="s">
        <v>109</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99</v>
      </c>
      <c r="G272" t="s">
        <v>110</v>
      </c>
      <c r="H272" t="s">
        <v>104</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99</v>
      </c>
      <c r="G273" t="s">
        <v>108</v>
      </c>
      <c r="H273" t="s">
        <v>101</v>
      </c>
      <c r="I273">
        <v>7</v>
      </c>
      <c r="J273">
        <v>8</v>
      </c>
      <c r="K273">
        <v>2</v>
      </c>
      <c r="L273">
        <v>6</v>
      </c>
      <c r="M273">
        <v>6</v>
      </c>
      <c r="N273">
        <v>6</v>
      </c>
      <c r="O273">
        <v>5</v>
      </c>
      <c r="P273">
        <v>5</v>
      </c>
      <c r="Q273">
        <v>6</v>
      </c>
    </row>
    <row r="274" spans="1:17" x14ac:dyDescent="0.45">
      <c r="A274" s="19">
        <v>46031.60833333333</v>
      </c>
      <c r="B274" t="s">
        <v>72</v>
      </c>
      <c r="C274" t="s">
        <v>190</v>
      </c>
      <c r="D274" t="s">
        <v>74</v>
      </c>
      <c r="E274" t="s">
        <v>75</v>
      </c>
      <c r="F274" t="s">
        <v>99</v>
      </c>
      <c r="G274" t="s">
        <v>106</v>
      </c>
      <c r="H274" t="s">
        <v>194</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99</v>
      </c>
      <c r="G275" t="s">
        <v>110</v>
      </c>
      <c r="H275" t="s">
        <v>104</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99</v>
      </c>
      <c r="G276" t="s">
        <v>110</v>
      </c>
      <c r="H276" t="s">
        <v>104</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99</v>
      </c>
      <c r="G277" t="s">
        <v>108</v>
      </c>
      <c r="H277" t="s">
        <v>101</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99</v>
      </c>
      <c r="G278" t="s">
        <v>106</v>
      </c>
      <c r="H278" t="s">
        <v>194</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99</v>
      </c>
      <c r="G279" t="s">
        <v>110</v>
      </c>
      <c r="H279" t="s">
        <v>105</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102</v>
      </c>
      <c r="G280" t="s">
        <v>106</v>
      </c>
      <c r="H280" t="s">
        <v>109</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99</v>
      </c>
      <c r="G281" t="s">
        <v>106</v>
      </c>
      <c r="H281" t="s">
        <v>104</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99</v>
      </c>
      <c r="G282" t="s">
        <v>106</v>
      </c>
      <c r="H282" t="s">
        <v>105</v>
      </c>
      <c r="I282">
        <v>6</v>
      </c>
      <c r="J282">
        <v>7</v>
      </c>
      <c r="K282">
        <v>4</v>
      </c>
      <c r="L282">
        <v>8</v>
      </c>
      <c r="M282">
        <v>6</v>
      </c>
      <c r="N282">
        <v>6</v>
      </c>
      <c r="O282">
        <v>5</v>
      </c>
      <c r="P282">
        <v>7</v>
      </c>
      <c r="Q282">
        <v>6</v>
      </c>
    </row>
    <row r="283" spans="1:17" x14ac:dyDescent="0.45">
      <c r="A283" s="19">
        <v>46031.636111111111</v>
      </c>
      <c r="B283" t="s">
        <v>72</v>
      </c>
      <c r="C283" t="s">
        <v>192</v>
      </c>
      <c r="D283" t="s">
        <v>74</v>
      </c>
      <c r="E283" t="s">
        <v>75</v>
      </c>
      <c r="F283" t="s">
        <v>99</v>
      </c>
      <c r="G283" t="s">
        <v>107</v>
      </c>
      <c r="H283" t="s">
        <v>194</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99</v>
      </c>
      <c r="G284" t="s">
        <v>110</v>
      </c>
      <c r="H284" t="s">
        <v>104</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99</v>
      </c>
      <c r="G285" t="s">
        <v>110</v>
      </c>
      <c r="H285" t="s">
        <v>104</v>
      </c>
      <c r="I285">
        <v>7</v>
      </c>
      <c r="J285">
        <v>7</v>
      </c>
      <c r="K285">
        <v>5</v>
      </c>
      <c r="L285">
        <v>7</v>
      </c>
      <c r="M285">
        <v>5</v>
      </c>
      <c r="N285">
        <v>6</v>
      </c>
      <c r="O285">
        <v>5</v>
      </c>
      <c r="P285">
        <v>7</v>
      </c>
      <c r="Q285">
        <v>6</v>
      </c>
    </row>
    <row r="286" spans="1:17" x14ac:dyDescent="0.45">
      <c r="A286" s="19">
        <v>46031.640277777777</v>
      </c>
      <c r="B286" t="s">
        <v>78</v>
      </c>
      <c r="C286" t="s">
        <v>190</v>
      </c>
      <c r="D286" t="s">
        <v>74</v>
      </c>
      <c r="E286" t="s">
        <v>77</v>
      </c>
      <c r="F286" t="s">
        <v>99</v>
      </c>
      <c r="G286" t="s">
        <v>106</v>
      </c>
      <c r="H286" t="s">
        <v>105</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99</v>
      </c>
      <c r="G287" t="s">
        <v>108</v>
      </c>
      <c r="H287" t="s">
        <v>109</v>
      </c>
      <c r="I287">
        <v>4</v>
      </c>
      <c r="J287">
        <v>4</v>
      </c>
      <c r="K287">
        <v>2</v>
      </c>
      <c r="L287">
        <v>8</v>
      </c>
      <c r="M287">
        <v>5</v>
      </c>
      <c r="N287">
        <v>5</v>
      </c>
      <c r="O287">
        <v>4</v>
      </c>
      <c r="P287">
        <v>6</v>
      </c>
      <c r="Q287">
        <v>5</v>
      </c>
    </row>
    <row r="288" spans="1:17" x14ac:dyDescent="0.45">
      <c r="A288" s="19">
        <v>46031.64166666667</v>
      </c>
      <c r="B288" t="s">
        <v>72</v>
      </c>
      <c r="C288" t="s">
        <v>190</v>
      </c>
      <c r="D288" t="s">
        <v>74</v>
      </c>
      <c r="E288" t="s">
        <v>77</v>
      </c>
      <c r="F288" t="s">
        <v>99</v>
      </c>
      <c r="G288" t="s">
        <v>110</v>
      </c>
      <c r="H288" t="s">
        <v>194</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99</v>
      </c>
      <c r="G289" t="s">
        <v>100</v>
      </c>
      <c r="H289" t="s">
        <v>109</v>
      </c>
      <c r="I289">
        <v>8</v>
      </c>
      <c r="J289">
        <v>8</v>
      </c>
      <c r="K289">
        <v>5</v>
      </c>
      <c r="L289">
        <v>9</v>
      </c>
      <c r="M289">
        <v>10</v>
      </c>
      <c r="N289">
        <v>10</v>
      </c>
      <c r="O289">
        <v>9</v>
      </c>
      <c r="P289">
        <v>9</v>
      </c>
      <c r="Q289">
        <v>10</v>
      </c>
    </row>
    <row r="290" spans="1:17" x14ac:dyDescent="0.45">
      <c r="A290" s="19">
        <v>46031.642361111109</v>
      </c>
      <c r="B290" t="s">
        <v>72</v>
      </c>
      <c r="C290" t="s">
        <v>73</v>
      </c>
      <c r="D290" t="s">
        <v>74</v>
      </c>
      <c r="E290" t="s">
        <v>189</v>
      </c>
      <c r="F290" t="s">
        <v>99</v>
      </c>
      <c r="G290" t="s">
        <v>100</v>
      </c>
      <c r="H290" t="s">
        <v>101</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99</v>
      </c>
      <c r="G291" t="s">
        <v>108</v>
      </c>
      <c r="H291" t="s">
        <v>104</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99</v>
      </c>
      <c r="G292" t="s">
        <v>110</v>
      </c>
      <c r="H292" t="s">
        <v>104</v>
      </c>
      <c r="I292">
        <v>9</v>
      </c>
      <c r="J292">
        <v>9</v>
      </c>
      <c r="K292">
        <v>3</v>
      </c>
      <c r="L292">
        <v>10</v>
      </c>
      <c r="M292">
        <v>8</v>
      </c>
      <c r="N292">
        <v>8</v>
      </c>
      <c r="O292">
        <v>6</v>
      </c>
      <c r="P292">
        <v>8</v>
      </c>
      <c r="Q292">
        <v>8</v>
      </c>
    </row>
    <row r="293" spans="1:17" x14ac:dyDescent="0.45">
      <c r="A293" s="19">
        <v>46031.643750000003</v>
      </c>
      <c r="B293" t="s">
        <v>72</v>
      </c>
      <c r="C293" t="s">
        <v>192</v>
      </c>
      <c r="D293" t="s">
        <v>74</v>
      </c>
      <c r="E293" t="s">
        <v>75</v>
      </c>
      <c r="F293" t="s">
        <v>196</v>
      </c>
      <c r="G293" t="s">
        <v>110</v>
      </c>
      <c r="H293" t="s">
        <v>104</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99</v>
      </c>
      <c r="G294" t="s">
        <v>108</v>
      </c>
      <c r="H294" t="s">
        <v>101</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99</v>
      </c>
      <c r="G295" t="s">
        <v>110</v>
      </c>
      <c r="H295" t="s">
        <v>105</v>
      </c>
      <c r="I295">
        <v>6</v>
      </c>
      <c r="J295">
        <v>6</v>
      </c>
      <c r="K295">
        <v>3</v>
      </c>
      <c r="L295">
        <v>7</v>
      </c>
      <c r="M295">
        <v>5</v>
      </c>
      <c r="N295">
        <v>6</v>
      </c>
      <c r="O295">
        <v>5</v>
      </c>
      <c r="P295">
        <v>5</v>
      </c>
      <c r="Q295">
        <v>6</v>
      </c>
    </row>
    <row r="296" spans="1:17" x14ac:dyDescent="0.45">
      <c r="A296" s="19">
        <v>46031.647222222222</v>
      </c>
      <c r="B296" t="s">
        <v>78</v>
      </c>
      <c r="C296" t="s">
        <v>188</v>
      </c>
      <c r="D296" t="s">
        <v>74</v>
      </c>
      <c r="E296" t="s">
        <v>77</v>
      </c>
      <c r="F296" t="s">
        <v>99</v>
      </c>
      <c r="G296" t="s">
        <v>100</v>
      </c>
      <c r="H296" t="s">
        <v>109</v>
      </c>
      <c r="I296">
        <v>8</v>
      </c>
      <c r="J296">
        <v>9</v>
      </c>
      <c r="K296">
        <v>9</v>
      </c>
      <c r="L296">
        <v>10</v>
      </c>
      <c r="M296">
        <v>8</v>
      </c>
      <c r="N296">
        <v>8</v>
      </c>
      <c r="O296">
        <v>9</v>
      </c>
      <c r="P296">
        <v>10</v>
      </c>
      <c r="Q296">
        <v>10</v>
      </c>
    </row>
    <row r="297" spans="1:17" x14ac:dyDescent="0.45">
      <c r="A297" s="19">
        <v>46031.684027777781</v>
      </c>
      <c r="B297" t="s">
        <v>78</v>
      </c>
      <c r="C297" t="s">
        <v>192</v>
      </c>
      <c r="D297" t="s">
        <v>74</v>
      </c>
      <c r="E297" t="s">
        <v>77</v>
      </c>
      <c r="F297" t="s">
        <v>99</v>
      </c>
      <c r="G297" t="s">
        <v>193</v>
      </c>
      <c r="H297" t="s">
        <v>109</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99</v>
      </c>
      <c r="G298" t="s">
        <v>110</v>
      </c>
      <c r="H298" t="s">
        <v>104</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196</v>
      </c>
      <c r="G299" t="s">
        <v>193</v>
      </c>
      <c r="H299" t="s">
        <v>109</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99</v>
      </c>
      <c r="G300" t="s">
        <v>108</v>
      </c>
      <c r="H300" t="s">
        <v>109</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99</v>
      </c>
      <c r="G301" t="s">
        <v>100</v>
      </c>
      <c r="H301" t="s">
        <v>101</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99</v>
      </c>
      <c r="G302" t="s">
        <v>193</v>
      </c>
      <c r="H302" t="s">
        <v>109</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99</v>
      </c>
      <c r="G303" t="s">
        <v>100</v>
      </c>
      <c r="H303" t="s">
        <v>109</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99</v>
      </c>
      <c r="G304" t="s">
        <v>100</v>
      </c>
      <c r="H304" t="s">
        <v>104</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99</v>
      </c>
      <c r="G305" t="s">
        <v>193</v>
      </c>
      <c r="H305" t="s">
        <v>109</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99</v>
      </c>
      <c r="G306" t="s">
        <v>108</v>
      </c>
      <c r="H306" t="s">
        <v>109</v>
      </c>
      <c r="I306">
        <v>7</v>
      </c>
      <c r="J306">
        <v>9</v>
      </c>
      <c r="K306">
        <v>8</v>
      </c>
      <c r="L306">
        <v>6</v>
      </c>
      <c r="M306">
        <v>5</v>
      </c>
      <c r="N306">
        <v>3</v>
      </c>
      <c r="O306">
        <v>9</v>
      </c>
      <c r="P306">
        <v>3</v>
      </c>
      <c r="Q306">
        <v>4</v>
      </c>
    </row>
    <row r="307" spans="1:17" x14ac:dyDescent="0.45">
      <c r="A307" s="19">
        <v>46031.8</v>
      </c>
      <c r="B307" t="s">
        <v>72</v>
      </c>
      <c r="C307" t="s">
        <v>79</v>
      </c>
      <c r="D307" t="s">
        <v>74</v>
      </c>
      <c r="E307" t="s">
        <v>77</v>
      </c>
      <c r="F307" t="s">
        <v>99</v>
      </c>
      <c r="G307" t="s">
        <v>110</v>
      </c>
      <c r="H307" t="s">
        <v>105</v>
      </c>
      <c r="I307">
        <v>3</v>
      </c>
      <c r="J307">
        <v>8</v>
      </c>
      <c r="K307">
        <v>8</v>
      </c>
      <c r="L307">
        <v>4</v>
      </c>
      <c r="M307">
        <v>4</v>
      </c>
      <c r="N307">
        <v>3</v>
      </c>
      <c r="O307">
        <v>7</v>
      </c>
      <c r="P307">
        <v>5</v>
      </c>
      <c r="Q307">
        <v>5</v>
      </c>
    </row>
    <row r="308" spans="1:17" x14ac:dyDescent="0.45">
      <c r="A308" s="19">
        <v>46031.804861111108</v>
      </c>
      <c r="B308" t="s">
        <v>72</v>
      </c>
      <c r="C308" t="s">
        <v>192</v>
      </c>
      <c r="D308" t="s">
        <v>74</v>
      </c>
      <c r="E308" t="s">
        <v>75</v>
      </c>
      <c r="F308" t="s">
        <v>196</v>
      </c>
      <c r="G308" t="s">
        <v>103</v>
      </c>
      <c r="H308" t="s">
        <v>104</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99</v>
      </c>
      <c r="G309" t="s">
        <v>107</v>
      </c>
      <c r="H309" t="s">
        <v>104</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99</v>
      </c>
      <c r="G310" t="s">
        <v>110</v>
      </c>
      <c r="H310" t="s">
        <v>101</v>
      </c>
      <c r="I310">
        <v>10</v>
      </c>
      <c r="J310">
        <v>10</v>
      </c>
      <c r="K310">
        <v>10</v>
      </c>
      <c r="L310">
        <v>10</v>
      </c>
      <c r="M310">
        <v>10</v>
      </c>
      <c r="N310">
        <v>9</v>
      </c>
      <c r="O310">
        <v>9</v>
      </c>
      <c r="P310">
        <v>10</v>
      </c>
      <c r="Q310">
        <v>10</v>
      </c>
    </row>
    <row r="311" spans="1:17" x14ac:dyDescent="0.45">
      <c r="A311" s="19">
        <v>46032.577777777777</v>
      </c>
      <c r="B311" t="s">
        <v>72</v>
      </c>
      <c r="C311" t="s">
        <v>188</v>
      </c>
      <c r="D311" t="s">
        <v>74</v>
      </c>
      <c r="E311" t="s">
        <v>77</v>
      </c>
      <c r="F311" t="s">
        <v>99</v>
      </c>
      <c r="G311" t="s">
        <v>195</v>
      </c>
      <c r="H311" t="s">
        <v>109</v>
      </c>
      <c r="I311">
        <v>7</v>
      </c>
      <c r="J311">
        <v>7</v>
      </c>
      <c r="K311">
        <v>5</v>
      </c>
      <c r="L311">
        <v>8</v>
      </c>
      <c r="M311">
        <v>8</v>
      </c>
      <c r="N311">
        <v>9</v>
      </c>
      <c r="O311">
        <v>9</v>
      </c>
      <c r="P311">
        <v>9</v>
      </c>
      <c r="Q311">
        <v>10</v>
      </c>
    </row>
    <row r="312" spans="1:17" x14ac:dyDescent="0.45">
      <c r="A312" s="19">
        <v>46032.577777777777</v>
      </c>
      <c r="B312" t="s">
        <v>72</v>
      </c>
      <c r="C312" t="s">
        <v>188</v>
      </c>
      <c r="D312" t="s">
        <v>74</v>
      </c>
      <c r="E312" t="s">
        <v>77</v>
      </c>
      <c r="F312" t="s">
        <v>99</v>
      </c>
      <c r="G312" t="s">
        <v>103</v>
      </c>
      <c r="H312" t="s">
        <v>109</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99</v>
      </c>
      <c r="G313" t="s">
        <v>195</v>
      </c>
      <c r="H313" t="s">
        <v>109</v>
      </c>
      <c r="I313">
        <v>8</v>
      </c>
      <c r="J313">
        <v>9</v>
      </c>
      <c r="K313">
        <v>10</v>
      </c>
      <c r="L313">
        <v>10</v>
      </c>
      <c r="M313">
        <v>8</v>
      </c>
      <c r="N313">
        <v>9</v>
      </c>
      <c r="O313">
        <v>8</v>
      </c>
      <c r="P313">
        <v>8</v>
      </c>
      <c r="Q313">
        <v>10</v>
      </c>
    </row>
    <row r="314" spans="1:17" x14ac:dyDescent="0.45">
      <c r="A314" s="19">
        <v>46033.399305555555</v>
      </c>
      <c r="B314" t="s">
        <v>78</v>
      </c>
      <c r="C314" t="s">
        <v>188</v>
      </c>
      <c r="D314" t="s">
        <v>74</v>
      </c>
      <c r="E314" t="s">
        <v>77</v>
      </c>
      <c r="F314" t="s">
        <v>99</v>
      </c>
      <c r="G314" t="s">
        <v>103</v>
      </c>
      <c r="H314" t="s">
        <v>109</v>
      </c>
      <c r="I314">
        <v>6</v>
      </c>
      <c r="J314">
        <v>6</v>
      </c>
      <c r="K314">
        <v>7</v>
      </c>
      <c r="L314">
        <v>7</v>
      </c>
      <c r="M314">
        <v>7</v>
      </c>
      <c r="N314">
        <v>8</v>
      </c>
      <c r="O314">
        <v>5</v>
      </c>
      <c r="P314">
        <v>5</v>
      </c>
      <c r="Q314">
        <v>8</v>
      </c>
    </row>
    <row r="315" spans="1:17" x14ac:dyDescent="0.45">
      <c r="A315" s="19">
        <v>46033.431250000001</v>
      </c>
      <c r="B315" t="s">
        <v>72</v>
      </c>
      <c r="C315" t="s">
        <v>188</v>
      </c>
      <c r="D315" t="s">
        <v>74</v>
      </c>
      <c r="E315" t="s">
        <v>77</v>
      </c>
      <c r="F315" t="s">
        <v>99</v>
      </c>
      <c r="G315" t="s">
        <v>103</v>
      </c>
      <c r="H315" t="s">
        <v>109</v>
      </c>
      <c r="I315">
        <v>7</v>
      </c>
      <c r="J315">
        <v>8</v>
      </c>
      <c r="K315">
        <v>8</v>
      </c>
      <c r="L315">
        <v>8</v>
      </c>
      <c r="M315">
        <v>5</v>
      </c>
      <c r="N315">
        <v>8</v>
      </c>
      <c r="O315">
        <v>6</v>
      </c>
      <c r="P315">
        <v>6</v>
      </c>
      <c r="Q315">
        <v>8</v>
      </c>
    </row>
    <row r="316" spans="1:17" x14ac:dyDescent="0.45">
      <c r="A316" s="19">
        <v>46033.888194444444</v>
      </c>
      <c r="B316" t="s">
        <v>78</v>
      </c>
      <c r="C316" t="s">
        <v>188</v>
      </c>
      <c r="D316" t="s">
        <v>74</v>
      </c>
      <c r="E316" t="s">
        <v>77</v>
      </c>
      <c r="F316" t="s">
        <v>99</v>
      </c>
      <c r="G316" t="s">
        <v>195</v>
      </c>
      <c r="H316" t="s">
        <v>109</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99</v>
      </c>
      <c r="G317" t="s">
        <v>100</v>
      </c>
      <c r="H317" t="s">
        <v>109</v>
      </c>
      <c r="I317">
        <v>6</v>
      </c>
      <c r="J317">
        <v>8</v>
      </c>
      <c r="K317">
        <v>5</v>
      </c>
      <c r="L317">
        <v>6</v>
      </c>
      <c r="M317">
        <v>6</v>
      </c>
      <c r="N317">
        <v>7</v>
      </c>
      <c r="O317">
        <v>6</v>
      </c>
      <c r="P317">
        <v>7</v>
      </c>
      <c r="Q317">
        <v>7</v>
      </c>
    </row>
    <row r="318" spans="1:17" x14ac:dyDescent="0.45">
      <c r="A318" s="19">
        <v>46034.478472222225</v>
      </c>
      <c r="B318" t="s">
        <v>72</v>
      </c>
      <c r="C318" t="s">
        <v>188</v>
      </c>
      <c r="D318" t="s">
        <v>74</v>
      </c>
      <c r="E318" t="s">
        <v>77</v>
      </c>
      <c r="F318" t="s">
        <v>99</v>
      </c>
      <c r="G318" t="s">
        <v>103</v>
      </c>
      <c r="H318" t="s">
        <v>109</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99</v>
      </c>
      <c r="G319" t="s">
        <v>195</v>
      </c>
      <c r="H319" t="s">
        <v>109</v>
      </c>
      <c r="I319">
        <v>4</v>
      </c>
      <c r="J319">
        <v>4</v>
      </c>
      <c r="K319">
        <v>6</v>
      </c>
      <c r="L319">
        <v>7</v>
      </c>
      <c r="M319">
        <v>5</v>
      </c>
      <c r="N319">
        <v>8</v>
      </c>
      <c r="O319">
        <v>5</v>
      </c>
      <c r="P319">
        <v>5</v>
      </c>
      <c r="Q319">
        <v>8</v>
      </c>
    </row>
    <row r="320" spans="1:17" x14ac:dyDescent="0.45">
      <c r="A320" s="19">
        <v>46034.479861111111</v>
      </c>
      <c r="B320" t="s">
        <v>72</v>
      </c>
      <c r="C320" t="s">
        <v>188</v>
      </c>
      <c r="D320" t="s">
        <v>74</v>
      </c>
      <c r="E320" t="s">
        <v>77</v>
      </c>
      <c r="F320" t="s">
        <v>99</v>
      </c>
      <c r="G320" t="s">
        <v>103</v>
      </c>
      <c r="H320" t="s">
        <v>109</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99</v>
      </c>
      <c r="G321" t="s">
        <v>100</v>
      </c>
      <c r="H321" t="s">
        <v>109</v>
      </c>
      <c r="I321">
        <v>5</v>
      </c>
      <c r="J321">
        <v>7</v>
      </c>
      <c r="K321">
        <v>7</v>
      </c>
      <c r="L321">
        <v>9</v>
      </c>
      <c r="M321">
        <v>5</v>
      </c>
      <c r="N321">
        <v>6</v>
      </c>
      <c r="O321">
        <v>5</v>
      </c>
      <c r="P321">
        <v>7</v>
      </c>
      <c r="Q321">
        <v>7</v>
      </c>
    </row>
    <row r="322" spans="1:17" x14ac:dyDescent="0.45">
      <c r="A322" s="19">
        <v>46034.481249999997</v>
      </c>
      <c r="B322" t="s">
        <v>72</v>
      </c>
      <c r="C322" t="s">
        <v>188</v>
      </c>
      <c r="D322" t="s">
        <v>74</v>
      </c>
      <c r="E322" t="s">
        <v>77</v>
      </c>
      <c r="F322" t="s">
        <v>99</v>
      </c>
      <c r="G322" t="s">
        <v>103</v>
      </c>
      <c r="H322" t="s">
        <v>109</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99</v>
      </c>
      <c r="G323" t="s">
        <v>100</v>
      </c>
      <c r="H323" t="s">
        <v>109</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99</v>
      </c>
      <c r="G324" t="s">
        <v>100</v>
      </c>
      <c r="H324" t="s">
        <v>109</v>
      </c>
      <c r="I324">
        <v>7</v>
      </c>
      <c r="J324">
        <v>7</v>
      </c>
      <c r="K324">
        <v>8</v>
      </c>
      <c r="L324">
        <v>8</v>
      </c>
      <c r="M324">
        <v>6</v>
      </c>
      <c r="N324">
        <v>7</v>
      </c>
      <c r="O324">
        <v>6</v>
      </c>
      <c r="P324">
        <v>7</v>
      </c>
      <c r="Q324">
        <v>7</v>
      </c>
    </row>
    <row r="325" spans="1:17" x14ac:dyDescent="0.45">
      <c r="A325" s="19">
        <v>46034.484722222223</v>
      </c>
      <c r="B325" t="s">
        <v>72</v>
      </c>
      <c r="C325" t="s">
        <v>188</v>
      </c>
      <c r="D325" t="s">
        <v>74</v>
      </c>
      <c r="E325" t="s">
        <v>77</v>
      </c>
      <c r="F325" t="s">
        <v>99</v>
      </c>
      <c r="G325" t="s">
        <v>193</v>
      </c>
      <c r="H325" t="s">
        <v>109</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99</v>
      </c>
      <c r="G326" t="s">
        <v>108</v>
      </c>
      <c r="H326" t="s">
        <v>101</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99</v>
      </c>
      <c r="G327" t="s">
        <v>110</v>
      </c>
      <c r="H327" t="s">
        <v>104</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99</v>
      </c>
      <c r="G328" t="s">
        <v>195</v>
      </c>
      <c r="H328" t="s">
        <v>109</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99</v>
      </c>
      <c r="G329" t="s">
        <v>106</v>
      </c>
      <c r="H329" t="s">
        <v>105</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99</v>
      </c>
      <c r="G330" t="s">
        <v>103</v>
      </c>
      <c r="H330" t="s">
        <v>109</v>
      </c>
      <c r="I330">
        <v>7</v>
      </c>
      <c r="J330">
        <v>7</v>
      </c>
      <c r="K330">
        <v>9</v>
      </c>
      <c r="L330">
        <v>9</v>
      </c>
      <c r="M330">
        <v>9</v>
      </c>
      <c r="N330">
        <v>9</v>
      </c>
      <c r="O330">
        <v>5</v>
      </c>
      <c r="P330">
        <v>6</v>
      </c>
      <c r="Q330">
        <v>9</v>
      </c>
    </row>
    <row r="331" spans="1:17" x14ac:dyDescent="0.45">
      <c r="A331" s="19">
        <v>46034.490972222222</v>
      </c>
      <c r="B331" t="s">
        <v>78</v>
      </c>
      <c r="C331" t="s">
        <v>188</v>
      </c>
      <c r="D331" t="s">
        <v>74</v>
      </c>
      <c r="E331" t="s">
        <v>77</v>
      </c>
      <c r="F331" t="s">
        <v>99</v>
      </c>
      <c r="G331" t="s">
        <v>103</v>
      </c>
      <c r="H331" t="s">
        <v>109</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99</v>
      </c>
      <c r="G332" t="s">
        <v>100</v>
      </c>
      <c r="H332" t="s">
        <v>101</v>
      </c>
      <c r="I332">
        <v>4</v>
      </c>
      <c r="J332">
        <v>4</v>
      </c>
      <c r="K332">
        <v>5</v>
      </c>
      <c r="L332">
        <v>6</v>
      </c>
      <c r="M332">
        <v>4</v>
      </c>
      <c r="N332">
        <v>5</v>
      </c>
      <c r="O332">
        <v>3</v>
      </c>
      <c r="P332">
        <v>4</v>
      </c>
      <c r="Q332">
        <v>5</v>
      </c>
    </row>
    <row r="333" spans="1:17" x14ac:dyDescent="0.45">
      <c r="A333" s="19">
        <v>46034.508333333331</v>
      </c>
      <c r="B333" t="s">
        <v>72</v>
      </c>
      <c r="C333" t="s">
        <v>188</v>
      </c>
      <c r="D333" t="s">
        <v>74</v>
      </c>
      <c r="E333" t="s">
        <v>77</v>
      </c>
      <c r="F333" t="s">
        <v>99</v>
      </c>
      <c r="G333" t="s">
        <v>195</v>
      </c>
      <c r="H333" t="s">
        <v>109</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99</v>
      </c>
      <c r="G334" t="s">
        <v>106</v>
      </c>
      <c r="H334" t="s">
        <v>101</v>
      </c>
      <c r="I334">
        <v>6</v>
      </c>
      <c r="J334">
        <v>6</v>
      </c>
      <c r="K334">
        <v>8</v>
      </c>
      <c r="L334">
        <v>8</v>
      </c>
      <c r="M334">
        <v>6</v>
      </c>
      <c r="N334">
        <v>7</v>
      </c>
      <c r="O334">
        <v>6</v>
      </c>
      <c r="P334">
        <v>7</v>
      </c>
      <c r="Q334">
        <v>7</v>
      </c>
    </row>
    <row r="335" spans="1:17" x14ac:dyDescent="0.45">
      <c r="A335" s="19">
        <v>46034.509722222225</v>
      </c>
      <c r="B335" t="s">
        <v>72</v>
      </c>
      <c r="C335" t="s">
        <v>190</v>
      </c>
      <c r="D335" t="s">
        <v>74</v>
      </c>
      <c r="E335" t="s">
        <v>75</v>
      </c>
      <c r="F335" t="s">
        <v>102</v>
      </c>
      <c r="G335" t="s">
        <v>107</v>
      </c>
      <c r="H335" t="s">
        <v>105</v>
      </c>
      <c r="I335">
        <v>2</v>
      </c>
      <c r="J335">
        <v>2</v>
      </c>
      <c r="K335">
        <v>3</v>
      </c>
      <c r="L335">
        <v>5</v>
      </c>
      <c r="M335">
        <v>1</v>
      </c>
      <c r="N335">
        <v>1</v>
      </c>
      <c r="O335">
        <v>1</v>
      </c>
      <c r="P335">
        <v>3</v>
      </c>
      <c r="Q335">
        <v>1</v>
      </c>
    </row>
    <row r="336" spans="1:17" x14ac:dyDescent="0.45">
      <c r="A336" s="19">
        <v>46034.513888888891</v>
      </c>
      <c r="B336" t="s">
        <v>78</v>
      </c>
      <c r="C336" t="s">
        <v>188</v>
      </c>
      <c r="D336" t="s">
        <v>74</v>
      </c>
      <c r="E336" t="s">
        <v>77</v>
      </c>
      <c r="F336" t="s">
        <v>99</v>
      </c>
      <c r="G336" t="s">
        <v>103</v>
      </c>
      <c r="H336" t="s">
        <v>109</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99</v>
      </c>
      <c r="G337" t="s">
        <v>195</v>
      </c>
      <c r="H337" t="s">
        <v>109</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99</v>
      </c>
      <c r="G338" t="s">
        <v>100</v>
      </c>
      <c r="H338" t="s">
        <v>109</v>
      </c>
      <c r="I338">
        <v>7</v>
      </c>
      <c r="J338">
        <v>8</v>
      </c>
      <c r="K338">
        <v>7</v>
      </c>
      <c r="L338">
        <v>7</v>
      </c>
      <c r="M338">
        <v>6</v>
      </c>
      <c r="N338">
        <v>8</v>
      </c>
      <c r="O338">
        <v>6</v>
      </c>
      <c r="P338">
        <v>8</v>
      </c>
      <c r="Q338">
        <v>8</v>
      </c>
    </row>
    <row r="339" spans="1:17" x14ac:dyDescent="0.45">
      <c r="A339" s="19">
        <v>46034.515972222223</v>
      </c>
      <c r="B339" t="s">
        <v>78</v>
      </c>
      <c r="C339" t="s">
        <v>188</v>
      </c>
      <c r="D339" t="s">
        <v>74</v>
      </c>
      <c r="E339" t="s">
        <v>77</v>
      </c>
      <c r="F339" t="s">
        <v>99</v>
      </c>
      <c r="G339" t="s">
        <v>103</v>
      </c>
      <c r="H339" t="s">
        <v>109</v>
      </c>
      <c r="I339">
        <v>8</v>
      </c>
      <c r="J339">
        <v>8</v>
      </c>
      <c r="K339">
        <v>9</v>
      </c>
      <c r="L339">
        <v>9</v>
      </c>
      <c r="M339">
        <v>8</v>
      </c>
      <c r="N339">
        <v>9</v>
      </c>
      <c r="O339">
        <v>10</v>
      </c>
      <c r="P339">
        <v>9</v>
      </c>
      <c r="Q339">
        <v>10</v>
      </c>
    </row>
    <row r="340" spans="1:17" x14ac:dyDescent="0.45">
      <c r="A340" s="19">
        <v>46034.515972222223</v>
      </c>
      <c r="B340" t="s">
        <v>72</v>
      </c>
      <c r="C340" t="s">
        <v>188</v>
      </c>
      <c r="D340" t="s">
        <v>74</v>
      </c>
      <c r="E340" t="s">
        <v>77</v>
      </c>
      <c r="F340" t="s">
        <v>99</v>
      </c>
      <c r="G340" t="s">
        <v>103</v>
      </c>
      <c r="H340" t="s">
        <v>109</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99</v>
      </c>
      <c r="G341" t="s">
        <v>103</v>
      </c>
      <c r="H341" t="s">
        <v>109</v>
      </c>
      <c r="I341">
        <v>7</v>
      </c>
      <c r="J341">
        <v>8</v>
      </c>
      <c r="K341">
        <v>8</v>
      </c>
      <c r="L341">
        <v>8</v>
      </c>
      <c r="M341">
        <v>5</v>
      </c>
      <c r="N341">
        <v>8</v>
      </c>
      <c r="O341">
        <v>5</v>
      </c>
      <c r="P341">
        <v>8</v>
      </c>
      <c r="Q341">
        <v>8</v>
      </c>
    </row>
    <row r="342" spans="1:17" x14ac:dyDescent="0.45">
      <c r="A342" s="19">
        <v>46034.592361111114</v>
      </c>
      <c r="B342" t="s">
        <v>72</v>
      </c>
      <c r="C342" t="s">
        <v>188</v>
      </c>
      <c r="D342" t="s">
        <v>74</v>
      </c>
      <c r="E342" t="s">
        <v>77</v>
      </c>
      <c r="F342" t="s">
        <v>99</v>
      </c>
      <c r="G342" t="s">
        <v>193</v>
      </c>
      <c r="H342" t="s">
        <v>109</v>
      </c>
      <c r="I342">
        <v>8</v>
      </c>
      <c r="J342">
        <v>8</v>
      </c>
      <c r="K342">
        <v>8</v>
      </c>
      <c r="L342">
        <v>9</v>
      </c>
      <c r="M342">
        <v>8</v>
      </c>
      <c r="N342">
        <v>8</v>
      </c>
      <c r="O342">
        <v>7</v>
      </c>
      <c r="P342">
        <v>7</v>
      </c>
      <c r="Q342">
        <v>8</v>
      </c>
    </row>
    <row r="343" spans="1:17" x14ac:dyDescent="0.45">
      <c r="A343" s="19">
        <v>46034.593055555553</v>
      </c>
      <c r="B343" t="s">
        <v>78</v>
      </c>
      <c r="C343" t="s">
        <v>188</v>
      </c>
      <c r="D343" t="s">
        <v>74</v>
      </c>
      <c r="E343" t="s">
        <v>77</v>
      </c>
      <c r="F343" t="s">
        <v>99</v>
      </c>
      <c r="G343" t="s">
        <v>193</v>
      </c>
      <c r="H343" t="s">
        <v>109</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99</v>
      </c>
      <c r="G344" t="s">
        <v>103</v>
      </c>
      <c r="H344" t="s">
        <v>109</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99</v>
      </c>
      <c r="G345" t="s">
        <v>110</v>
      </c>
      <c r="H345" t="s">
        <v>104</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99</v>
      </c>
      <c r="G346" t="s">
        <v>103</v>
      </c>
      <c r="H346" t="s">
        <v>109</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99</v>
      </c>
      <c r="G347" t="s">
        <v>100</v>
      </c>
      <c r="H347" t="s">
        <v>101</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99</v>
      </c>
      <c r="G348" t="s">
        <v>195</v>
      </c>
      <c r="H348" t="s">
        <v>109</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99</v>
      </c>
      <c r="G349" t="s">
        <v>195</v>
      </c>
      <c r="H349" t="s">
        <v>109</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99</v>
      </c>
      <c r="G350" t="s">
        <v>195</v>
      </c>
      <c r="H350" t="s">
        <v>109</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99</v>
      </c>
      <c r="G351" t="s">
        <v>100</v>
      </c>
      <c r="H351" t="s">
        <v>109</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99</v>
      </c>
      <c r="G352" t="s">
        <v>108</v>
      </c>
      <c r="H352" t="s">
        <v>104</v>
      </c>
      <c r="I352">
        <v>8</v>
      </c>
      <c r="J352">
        <v>8</v>
      </c>
      <c r="K352">
        <v>6</v>
      </c>
      <c r="L352">
        <v>7</v>
      </c>
      <c r="M352">
        <v>6</v>
      </c>
      <c r="N352">
        <v>7</v>
      </c>
      <c r="O352">
        <v>5</v>
      </c>
      <c r="P352">
        <v>7</v>
      </c>
      <c r="Q352">
        <v>7</v>
      </c>
    </row>
    <row r="353" spans="1:17" x14ac:dyDescent="0.45">
      <c r="A353" s="19">
        <v>46034.7</v>
      </c>
      <c r="B353" t="s">
        <v>72</v>
      </c>
      <c r="C353" t="s">
        <v>73</v>
      </c>
      <c r="D353" t="s">
        <v>74</v>
      </c>
      <c r="E353" t="s">
        <v>77</v>
      </c>
      <c r="F353" t="s">
        <v>99</v>
      </c>
      <c r="G353" t="s">
        <v>100</v>
      </c>
      <c r="H353" t="s">
        <v>101</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99</v>
      </c>
      <c r="G354" t="s">
        <v>106</v>
      </c>
      <c r="H354" t="s">
        <v>194</v>
      </c>
      <c r="I354">
        <v>7</v>
      </c>
      <c r="J354">
        <v>7</v>
      </c>
      <c r="K354">
        <v>8</v>
      </c>
      <c r="L354">
        <v>8</v>
      </c>
      <c r="M354">
        <v>6</v>
      </c>
      <c r="N354">
        <v>7</v>
      </c>
      <c r="O354">
        <v>5</v>
      </c>
      <c r="P354">
        <v>7</v>
      </c>
      <c r="Q354">
        <v>7</v>
      </c>
    </row>
    <row r="355" spans="1:17" x14ac:dyDescent="0.45">
      <c r="A355" s="19">
        <v>46034.701388888891</v>
      </c>
      <c r="B355" t="s">
        <v>72</v>
      </c>
      <c r="C355" t="s">
        <v>188</v>
      </c>
      <c r="D355" t="s">
        <v>74</v>
      </c>
      <c r="E355" t="s">
        <v>77</v>
      </c>
      <c r="F355" t="s">
        <v>99</v>
      </c>
      <c r="G355" t="s">
        <v>103</v>
      </c>
      <c r="H355" t="s">
        <v>109</v>
      </c>
      <c r="I355">
        <v>9</v>
      </c>
      <c r="J355">
        <v>9</v>
      </c>
      <c r="K355">
        <v>10</v>
      </c>
      <c r="L355">
        <v>10</v>
      </c>
      <c r="M355">
        <v>9</v>
      </c>
      <c r="N355">
        <v>10</v>
      </c>
      <c r="O355">
        <v>8</v>
      </c>
      <c r="P355">
        <v>8</v>
      </c>
      <c r="Q355">
        <v>9</v>
      </c>
    </row>
    <row r="356" spans="1:17" x14ac:dyDescent="0.45">
      <c r="A356" s="19">
        <v>46034.720138888886</v>
      </c>
      <c r="B356" t="s">
        <v>78</v>
      </c>
      <c r="C356" t="s">
        <v>188</v>
      </c>
      <c r="D356" t="s">
        <v>74</v>
      </c>
      <c r="E356" t="s">
        <v>77</v>
      </c>
      <c r="F356" t="s">
        <v>99</v>
      </c>
      <c r="G356" t="s">
        <v>103</v>
      </c>
      <c r="H356" t="s">
        <v>109</v>
      </c>
      <c r="I356">
        <v>7</v>
      </c>
      <c r="J356">
        <v>8</v>
      </c>
      <c r="K356">
        <v>8</v>
      </c>
      <c r="L356">
        <v>9</v>
      </c>
      <c r="M356">
        <v>8</v>
      </c>
      <c r="N356">
        <v>10</v>
      </c>
      <c r="O356">
        <v>8</v>
      </c>
      <c r="P356">
        <v>8</v>
      </c>
      <c r="Q356">
        <v>9</v>
      </c>
    </row>
    <row r="357" spans="1:17" x14ac:dyDescent="0.45">
      <c r="A357" s="19">
        <v>46034.753472222219</v>
      </c>
      <c r="B357" t="s">
        <v>78</v>
      </c>
      <c r="C357" t="s">
        <v>188</v>
      </c>
      <c r="D357" t="s">
        <v>74</v>
      </c>
      <c r="E357" t="s">
        <v>77</v>
      </c>
      <c r="F357" t="s">
        <v>99</v>
      </c>
      <c r="G357" t="s">
        <v>103</v>
      </c>
      <c r="H357" t="s">
        <v>109</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99</v>
      </c>
      <c r="G358" t="s">
        <v>100</v>
      </c>
      <c r="H358" t="s">
        <v>109</v>
      </c>
      <c r="I358">
        <v>9</v>
      </c>
      <c r="J358">
        <v>9</v>
      </c>
      <c r="K358">
        <v>8</v>
      </c>
      <c r="L358">
        <v>9</v>
      </c>
      <c r="M358">
        <v>8</v>
      </c>
      <c r="N358">
        <v>8</v>
      </c>
      <c r="O358">
        <v>7</v>
      </c>
      <c r="P358">
        <v>7</v>
      </c>
      <c r="Q358">
        <v>8</v>
      </c>
    </row>
    <row r="359" spans="1:17" x14ac:dyDescent="0.45">
      <c r="A359" s="19">
        <v>46034.770138888889</v>
      </c>
      <c r="B359" t="s">
        <v>72</v>
      </c>
      <c r="C359" t="s">
        <v>188</v>
      </c>
      <c r="D359" t="s">
        <v>74</v>
      </c>
      <c r="E359" t="s">
        <v>77</v>
      </c>
      <c r="F359" t="s">
        <v>99</v>
      </c>
      <c r="G359" t="s">
        <v>103</v>
      </c>
      <c r="H359" t="s">
        <v>109</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99</v>
      </c>
      <c r="G360" t="s">
        <v>195</v>
      </c>
      <c r="H360" t="s">
        <v>101</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99</v>
      </c>
      <c r="G361" t="s">
        <v>195</v>
      </c>
      <c r="H361" t="s">
        <v>109</v>
      </c>
      <c r="I361">
        <v>9</v>
      </c>
      <c r="J361">
        <v>8</v>
      </c>
      <c r="K361">
        <v>8</v>
      </c>
      <c r="L361">
        <v>8</v>
      </c>
      <c r="M361">
        <v>7</v>
      </c>
      <c r="N361">
        <v>7</v>
      </c>
      <c r="O361">
        <v>6</v>
      </c>
      <c r="P361">
        <v>7</v>
      </c>
      <c r="Q361">
        <v>8</v>
      </c>
    </row>
    <row r="362" spans="1:17" x14ac:dyDescent="0.45">
      <c r="A362" s="19">
        <v>46034.894444444442</v>
      </c>
      <c r="B362" t="s">
        <v>72</v>
      </c>
      <c r="C362" t="s">
        <v>188</v>
      </c>
      <c r="D362" t="s">
        <v>74</v>
      </c>
      <c r="E362" t="s">
        <v>77</v>
      </c>
      <c r="F362" t="s">
        <v>99</v>
      </c>
      <c r="G362" t="s">
        <v>193</v>
      </c>
      <c r="H362" t="s">
        <v>109</v>
      </c>
      <c r="I362">
        <v>7</v>
      </c>
      <c r="J362">
        <v>7</v>
      </c>
      <c r="K362">
        <v>8</v>
      </c>
      <c r="L362">
        <v>9</v>
      </c>
      <c r="M362">
        <v>7</v>
      </c>
      <c r="N362">
        <v>10</v>
      </c>
      <c r="O362">
        <v>8</v>
      </c>
      <c r="P362">
        <v>8</v>
      </c>
      <c r="Q362">
        <v>10</v>
      </c>
    </row>
    <row r="363" spans="1:17" x14ac:dyDescent="0.45">
      <c r="A363" s="19">
        <v>46034.895138888889</v>
      </c>
      <c r="B363" t="s">
        <v>72</v>
      </c>
      <c r="C363" t="s">
        <v>188</v>
      </c>
      <c r="D363" t="s">
        <v>74</v>
      </c>
      <c r="E363" t="s">
        <v>77</v>
      </c>
      <c r="F363" t="s">
        <v>99</v>
      </c>
      <c r="G363" t="s">
        <v>103</v>
      </c>
      <c r="H363" t="s">
        <v>109</v>
      </c>
      <c r="I363">
        <v>3</v>
      </c>
      <c r="J363">
        <v>3</v>
      </c>
      <c r="K363">
        <v>5</v>
      </c>
      <c r="L363">
        <v>6</v>
      </c>
      <c r="M363">
        <v>5</v>
      </c>
      <c r="N363">
        <v>6</v>
      </c>
      <c r="O363">
        <v>4</v>
      </c>
      <c r="P363">
        <v>6</v>
      </c>
      <c r="Q363">
        <v>6</v>
      </c>
    </row>
    <row r="364" spans="1:17" x14ac:dyDescent="0.45">
      <c r="A364" s="19">
        <v>46034.9</v>
      </c>
      <c r="B364" t="s">
        <v>78</v>
      </c>
      <c r="C364" t="s">
        <v>81</v>
      </c>
      <c r="D364" t="s">
        <v>74</v>
      </c>
      <c r="E364" t="s">
        <v>77</v>
      </c>
      <c r="F364" t="s">
        <v>99</v>
      </c>
      <c r="G364" t="s">
        <v>100</v>
      </c>
      <c r="H364" t="s">
        <v>101</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99</v>
      </c>
      <c r="G365" t="s">
        <v>195</v>
      </c>
      <c r="H365" t="s">
        <v>101</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99</v>
      </c>
      <c r="G366" t="s">
        <v>108</v>
      </c>
      <c r="H366" t="s">
        <v>109</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99</v>
      </c>
      <c r="G367" t="s">
        <v>110</v>
      </c>
      <c r="H367" t="s">
        <v>101</v>
      </c>
      <c r="I367">
        <v>7</v>
      </c>
      <c r="J367">
        <v>8</v>
      </c>
      <c r="K367">
        <v>8</v>
      </c>
      <c r="L367">
        <v>8</v>
      </c>
      <c r="M367">
        <v>5</v>
      </c>
      <c r="N367">
        <v>6</v>
      </c>
      <c r="O367">
        <v>5</v>
      </c>
      <c r="P367">
        <v>6</v>
      </c>
      <c r="Q367">
        <v>6</v>
      </c>
    </row>
    <row r="368" spans="1:17" x14ac:dyDescent="0.45">
      <c r="A368" s="19">
        <v>46034.904861111114</v>
      </c>
      <c r="B368" t="s">
        <v>72</v>
      </c>
      <c r="C368" t="s">
        <v>188</v>
      </c>
      <c r="D368" t="s">
        <v>74</v>
      </c>
      <c r="E368" t="s">
        <v>77</v>
      </c>
      <c r="F368" t="s">
        <v>99</v>
      </c>
      <c r="G368" t="s">
        <v>103</v>
      </c>
      <c r="H368" t="s">
        <v>109</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99</v>
      </c>
      <c r="G369" t="s">
        <v>100</v>
      </c>
      <c r="H369" t="s">
        <v>104</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99</v>
      </c>
      <c r="G370" t="s">
        <v>103</v>
      </c>
      <c r="H370" t="s">
        <v>109</v>
      </c>
      <c r="I370">
        <v>6</v>
      </c>
      <c r="J370">
        <v>6</v>
      </c>
      <c r="K370">
        <v>8</v>
      </c>
      <c r="L370">
        <v>9</v>
      </c>
      <c r="M370">
        <v>8</v>
      </c>
      <c r="N370">
        <v>8</v>
      </c>
      <c r="O370">
        <v>5</v>
      </c>
      <c r="P370">
        <v>7</v>
      </c>
      <c r="Q370">
        <v>8</v>
      </c>
    </row>
    <row r="371" spans="1:17" x14ac:dyDescent="0.45">
      <c r="A371" s="19">
        <v>46034.908333333333</v>
      </c>
      <c r="B371" t="s">
        <v>78</v>
      </c>
      <c r="C371" t="s">
        <v>188</v>
      </c>
      <c r="D371" t="s">
        <v>74</v>
      </c>
      <c r="E371" t="s">
        <v>77</v>
      </c>
      <c r="F371" t="s">
        <v>99</v>
      </c>
      <c r="G371" t="s">
        <v>195</v>
      </c>
      <c r="H371" t="s">
        <v>109</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99</v>
      </c>
      <c r="G372" t="s">
        <v>110</v>
      </c>
      <c r="H372" t="s">
        <v>105</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99</v>
      </c>
      <c r="G373" t="s">
        <v>108</v>
      </c>
      <c r="H373" t="s">
        <v>104</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99</v>
      </c>
      <c r="G374" t="s">
        <v>106</v>
      </c>
      <c r="H374" t="s">
        <v>104</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99</v>
      </c>
      <c r="G375" t="s">
        <v>108</v>
      </c>
      <c r="H375" t="s">
        <v>101</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99</v>
      </c>
      <c r="G376" t="s">
        <v>110</v>
      </c>
      <c r="H376" t="s">
        <v>101</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99</v>
      </c>
      <c r="G377" t="s">
        <v>195</v>
      </c>
      <c r="H377" t="s">
        <v>109</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99</v>
      </c>
      <c r="G378" t="s">
        <v>103</v>
      </c>
      <c r="H378" t="s">
        <v>109</v>
      </c>
      <c r="I378">
        <v>7</v>
      </c>
      <c r="J378">
        <v>8</v>
      </c>
      <c r="K378">
        <v>7</v>
      </c>
      <c r="L378">
        <v>7</v>
      </c>
      <c r="M378">
        <v>8</v>
      </c>
      <c r="N378">
        <v>9</v>
      </c>
      <c r="O378">
        <v>7</v>
      </c>
      <c r="P378">
        <v>7</v>
      </c>
      <c r="Q378">
        <v>8</v>
      </c>
    </row>
    <row r="379" spans="1:17" x14ac:dyDescent="0.45">
      <c r="A379" s="19">
        <v>46035.34375</v>
      </c>
      <c r="B379" t="s">
        <v>72</v>
      </c>
      <c r="C379" t="s">
        <v>188</v>
      </c>
      <c r="D379" t="s">
        <v>74</v>
      </c>
      <c r="E379" t="s">
        <v>77</v>
      </c>
      <c r="F379" t="s">
        <v>99</v>
      </c>
      <c r="G379" t="s">
        <v>195</v>
      </c>
      <c r="H379" t="s">
        <v>109</v>
      </c>
      <c r="I379">
        <v>6</v>
      </c>
      <c r="J379">
        <v>7</v>
      </c>
      <c r="K379">
        <v>5</v>
      </c>
      <c r="L379">
        <v>8</v>
      </c>
      <c r="M379">
        <v>7</v>
      </c>
      <c r="N379">
        <v>7</v>
      </c>
      <c r="O379">
        <v>7</v>
      </c>
      <c r="P379">
        <v>7</v>
      </c>
      <c r="Q379">
        <v>8</v>
      </c>
    </row>
    <row r="380" spans="1:17" x14ac:dyDescent="0.45">
      <c r="A380" s="19">
        <v>46035.345138888886</v>
      </c>
      <c r="B380" t="s">
        <v>72</v>
      </c>
      <c r="C380" t="s">
        <v>188</v>
      </c>
      <c r="D380" t="s">
        <v>74</v>
      </c>
      <c r="E380" t="s">
        <v>77</v>
      </c>
      <c r="F380" t="s">
        <v>99</v>
      </c>
      <c r="G380" t="s">
        <v>103</v>
      </c>
      <c r="H380" t="s">
        <v>109</v>
      </c>
      <c r="I380">
        <v>8</v>
      </c>
      <c r="J380">
        <v>8</v>
      </c>
      <c r="K380">
        <v>9</v>
      </c>
      <c r="L380">
        <v>9</v>
      </c>
      <c r="M380">
        <v>7</v>
      </c>
      <c r="N380">
        <v>9</v>
      </c>
      <c r="O380">
        <v>7</v>
      </c>
      <c r="P380">
        <v>7</v>
      </c>
      <c r="Q380">
        <v>9</v>
      </c>
    </row>
    <row r="381" spans="1:17" x14ac:dyDescent="0.45">
      <c r="A381" s="19">
        <v>46035.354861111111</v>
      </c>
      <c r="B381" t="s">
        <v>78</v>
      </c>
      <c r="C381" t="s">
        <v>188</v>
      </c>
      <c r="D381" t="s">
        <v>74</v>
      </c>
      <c r="E381" t="s">
        <v>77</v>
      </c>
      <c r="F381" t="s">
        <v>99</v>
      </c>
      <c r="G381" t="s">
        <v>195</v>
      </c>
      <c r="H381" t="s">
        <v>109</v>
      </c>
      <c r="I381">
        <v>8</v>
      </c>
      <c r="J381">
        <v>8</v>
      </c>
      <c r="K381">
        <v>5</v>
      </c>
      <c r="L381">
        <v>8</v>
      </c>
      <c r="M381">
        <v>6</v>
      </c>
      <c r="N381">
        <v>9</v>
      </c>
      <c r="O381">
        <v>5</v>
      </c>
      <c r="P381">
        <v>7</v>
      </c>
      <c r="Q381">
        <v>8</v>
      </c>
    </row>
    <row r="382" spans="1:17" x14ac:dyDescent="0.45">
      <c r="A382" s="19">
        <v>46035.370138888888</v>
      </c>
      <c r="B382" t="s">
        <v>78</v>
      </c>
      <c r="C382" t="s">
        <v>188</v>
      </c>
      <c r="D382" t="s">
        <v>74</v>
      </c>
      <c r="E382" t="s">
        <v>189</v>
      </c>
      <c r="F382" t="s">
        <v>99</v>
      </c>
      <c r="G382" t="s">
        <v>103</v>
      </c>
      <c r="H382" t="s">
        <v>109</v>
      </c>
      <c r="I382">
        <v>9</v>
      </c>
      <c r="J382">
        <v>9</v>
      </c>
      <c r="K382">
        <v>8</v>
      </c>
      <c r="L382">
        <v>9</v>
      </c>
      <c r="M382">
        <v>8</v>
      </c>
      <c r="N382">
        <v>10</v>
      </c>
      <c r="O382">
        <v>8</v>
      </c>
      <c r="P382">
        <v>8</v>
      </c>
      <c r="Q382">
        <v>10</v>
      </c>
    </row>
    <row r="383" spans="1:17" x14ac:dyDescent="0.45">
      <c r="A383" s="19">
        <v>46035.370833333334</v>
      </c>
      <c r="B383" t="s">
        <v>72</v>
      </c>
      <c r="C383" t="s">
        <v>188</v>
      </c>
      <c r="D383" t="s">
        <v>74</v>
      </c>
      <c r="E383" t="s">
        <v>77</v>
      </c>
      <c r="F383" t="s">
        <v>99</v>
      </c>
      <c r="G383" t="s">
        <v>195</v>
      </c>
      <c r="H383" t="s">
        <v>101</v>
      </c>
      <c r="I383">
        <v>5</v>
      </c>
      <c r="J383">
        <v>5</v>
      </c>
      <c r="K383">
        <v>4</v>
      </c>
      <c r="L383">
        <v>8</v>
      </c>
      <c r="M383">
        <v>4</v>
      </c>
      <c r="N383">
        <v>8</v>
      </c>
      <c r="O383">
        <v>4</v>
      </c>
      <c r="P383">
        <v>5</v>
      </c>
      <c r="Q383">
        <v>7</v>
      </c>
    </row>
    <row r="384" spans="1:17" x14ac:dyDescent="0.45">
      <c r="A384" s="19">
        <v>46035.371527777781</v>
      </c>
      <c r="B384" t="s">
        <v>78</v>
      </c>
      <c r="C384" t="s">
        <v>190</v>
      </c>
      <c r="D384" t="s">
        <v>74</v>
      </c>
      <c r="E384" t="s">
        <v>75</v>
      </c>
      <c r="F384" t="s">
        <v>99</v>
      </c>
      <c r="G384" t="s">
        <v>106</v>
      </c>
      <c r="H384" t="s">
        <v>104</v>
      </c>
      <c r="I384">
        <v>1</v>
      </c>
      <c r="J384">
        <v>1</v>
      </c>
      <c r="K384">
        <v>4</v>
      </c>
      <c r="L384">
        <v>5</v>
      </c>
      <c r="M384">
        <v>5</v>
      </c>
      <c r="N384">
        <v>4</v>
      </c>
      <c r="O384">
        <v>4</v>
      </c>
      <c r="P384">
        <v>5</v>
      </c>
      <c r="Q384">
        <v>3</v>
      </c>
    </row>
    <row r="385" spans="1:17" x14ac:dyDescent="0.45">
      <c r="A385" s="19">
        <v>46035.388888888891</v>
      </c>
      <c r="B385" t="s">
        <v>78</v>
      </c>
      <c r="C385" t="s">
        <v>188</v>
      </c>
      <c r="D385" t="s">
        <v>74</v>
      </c>
      <c r="E385" t="s">
        <v>77</v>
      </c>
      <c r="F385" t="s">
        <v>99</v>
      </c>
      <c r="G385" t="s">
        <v>193</v>
      </c>
      <c r="H385" t="s">
        <v>109</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99</v>
      </c>
      <c r="G386" t="s">
        <v>108</v>
      </c>
      <c r="H386" t="s">
        <v>104</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99</v>
      </c>
      <c r="G387" t="s">
        <v>100</v>
      </c>
      <c r="H387" t="s">
        <v>109</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99</v>
      </c>
      <c r="G388" t="s">
        <v>110</v>
      </c>
      <c r="H388" t="s">
        <v>104</v>
      </c>
      <c r="I388">
        <v>5</v>
      </c>
      <c r="J388">
        <v>5</v>
      </c>
      <c r="K388">
        <v>5</v>
      </c>
      <c r="L388">
        <v>5</v>
      </c>
      <c r="M388">
        <v>5</v>
      </c>
      <c r="N388">
        <v>5</v>
      </c>
      <c r="O388">
        <v>5</v>
      </c>
      <c r="P388">
        <v>5</v>
      </c>
      <c r="Q388">
        <v>5</v>
      </c>
    </row>
    <row r="389" spans="1:17" x14ac:dyDescent="0.45">
      <c r="A389" s="19">
        <v>46035.459722222222</v>
      </c>
      <c r="B389" t="s">
        <v>78</v>
      </c>
      <c r="C389" t="s">
        <v>188</v>
      </c>
      <c r="D389" t="s">
        <v>74</v>
      </c>
      <c r="E389" t="s">
        <v>77</v>
      </c>
      <c r="F389" t="s">
        <v>99</v>
      </c>
      <c r="G389" t="s">
        <v>103</v>
      </c>
      <c r="H389" t="s">
        <v>109</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99</v>
      </c>
      <c r="G390" t="s">
        <v>195</v>
      </c>
      <c r="H390" t="s">
        <v>109</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99</v>
      </c>
      <c r="G391" t="s">
        <v>108</v>
      </c>
      <c r="H391" t="s">
        <v>105</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99</v>
      </c>
      <c r="G392" t="s">
        <v>103</v>
      </c>
      <c r="H392" t="s">
        <v>109</v>
      </c>
      <c r="I392">
        <v>4</v>
      </c>
      <c r="J392">
        <v>5</v>
      </c>
      <c r="K392">
        <v>7</v>
      </c>
      <c r="L392">
        <v>7</v>
      </c>
      <c r="M392">
        <v>5</v>
      </c>
      <c r="N392">
        <v>7</v>
      </c>
      <c r="O392">
        <v>5</v>
      </c>
      <c r="P392">
        <v>5</v>
      </c>
      <c r="Q392">
        <v>7</v>
      </c>
    </row>
    <row r="393" spans="1:17" x14ac:dyDescent="0.45">
      <c r="A393" s="19">
        <v>46035.467361111114</v>
      </c>
      <c r="B393" t="s">
        <v>72</v>
      </c>
      <c r="C393" t="s">
        <v>192</v>
      </c>
      <c r="D393" t="s">
        <v>74</v>
      </c>
      <c r="E393" t="s">
        <v>75</v>
      </c>
      <c r="F393" t="s">
        <v>99</v>
      </c>
      <c r="G393" t="s">
        <v>107</v>
      </c>
      <c r="H393" t="s">
        <v>194</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99</v>
      </c>
      <c r="G394" t="s">
        <v>100</v>
      </c>
      <c r="H394" t="s">
        <v>104</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99</v>
      </c>
      <c r="G395" t="s">
        <v>193</v>
      </c>
      <c r="H395" t="s">
        <v>101</v>
      </c>
      <c r="I395">
        <v>9</v>
      </c>
      <c r="J395">
        <v>9</v>
      </c>
      <c r="K395">
        <v>9</v>
      </c>
      <c r="L395">
        <v>7</v>
      </c>
      <c r="M395">
        <v>8</v>
      </c>
      <c r="N395">
        <v>6</v>
      </c>
      <c r="O395">
        <v>8</v>
      </c>
      <c r="P395">
        <v>10</v>
      </c>
      <c r="Q395">
        <v>10</v>
      </c>
    </row>
    <row r="396" spans="1:17" x14ac:dyDescent="0.45">
      <c r="A396" s="19">
        <v>46035.526388888888</v>
      </c>
      <c r="B396" t="s">
        <v>78</v>
      </c>
      <c r="C396" t="s">
        <v>190</v>
      </c>
      <c r="D396" t="s">
        <v>74</v>
      </c>
      <c r="E396" t="s">
        <v>77</v>
      </c>
      <c r="F396" t="s">
        <v>99</v>
      </c>
      <c r="G396" t="s">
        <v>108</v>
      </c>
      <c r="H396" t="s">
        <v>101</v>
      </c>
      <c r="I396">
        <v>7</v>
      </c>
      <c r="J396">
        <v>7</v>
      </c>
      <c r="K396">
        <v>5</v>
      </c>
      <c r="L396">
        <v>7</v>
      </c>
      <c r="M396">
        <v>5</v>
      </c>
      <c r="N396">
        <v>6</v>
      </c>
      <c r="O396">
        <v>5</v>
      </c>
      <c r="P396">
        <v>6</v>
      </c>
      <c r="Q396">
        <v>6</v>
      </c>
    </row>
    <row r="397" spans="1:17" x14ac:dyDescent="0.45">
      <c r="A397" s="19">
        <v>46035.527083333334</v>
      </c>
      <c r="B397" t="s">
        <v>72</v>
      </c>
      <c r="C397" t="s">
        <v>73</v>
      </c>
      <c r="D397" t="s">
        <v>74</v>
      </c>
      <c r="E397" t="s">
        <v>189</v>
      </c>
      <c r="F397" t="s">
        <v>99</v>
      </c>
      <c r="G397" t="s">
        <v>100</v>
      </c>
      <c r="H397" t="s">
        <v>101</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99</v>
      </c>
      <c r="G398" t="s">
        <v>100</v>
      </c>
      <c r="H398" t="s">
        <v>109</v>
      </c>
      <c r="I398">
        <v>8</v>
      </c>
      <c r="J398">
        <v>8</v>
      </c>
      <c r="K398">
        <v>7</v>
      </c>
      <c r="L398">
        <v>7</v>
      </c>
      <c r="M398">
        <v>7</v>
      </c>
      <c r="N398">
        <v>8</v>
      </c>
      <c r="O398">
        <v>7</v>
      </c>
      <c r="P398">
        <v>8</v>
      </c>
      <c r="Q398">
        <v>8</v>
      </c>
    </row>
    <row r="399" spans="1:17" x14ac:dyDescent="0.45">
      <c r="A399" s="19">
        <v>46035.527777777781</v>
      </c>
      <c r="B399" t="s">
        <v>72</v>
      </c>
      <c r="C399" t="s">
        <v>188</v>
      </c>
      <c r="D399" t="s">
        <v>74</v>
      </c>
      <c r="E399" t="s">
        <v>77</v>
      </c>
      <c r="F399" t="s">
        <v>99</v>
      </c>
      <c r="G399" t="s">
        <v>193</v>
      </c>
      <c r="H399" t="s">
        <v>109</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99</v>
      </c>
      <c r="G400" t="s">
        <v>100</v>
      </c>
      <c r="H400" t="s">
        <v>109</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99</v>
      </c>
      <c r="G401" t="s">
        <v>108</v>
      </c>
      <c r="H401" t="s">
        <v>105</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99</v>
      </c>
      <c r="G402" t="s">
        <v>103</v>
      </c>
      <c r="H402" t="s">
        <v>109</v>
      </c>
      <c r="I402">
        <v>4</v>
      </c>
      <c r="J402">
        <v>4</v>
      </c>
      <c r="K402">
        <v>3</v>
      </c>
      <c r="L402">
        <v>5</v>
      </c>
      <c r="M402">
        <v>5</v>
      </c>
      <c r="N402">
        <v>2</v>
      </c>
      <c r="O402">
        <v>2</v>
      </c>
      <c r="P402">
        <v>5</v>
      </c>
      <c r="Q402">
        <v>2</v>
      </c>
    </row>
    <row r="403" spans="1:17" x14ac:dyDescent="0.45">
      <c r="A403" s="19">
        <v>46035.532638888886</v>
      </c>
      <c r="B403" t="s">
        <v>78</v>
      </c>
      <c r="C403" t="s">
        <v>192</v>
      </c>
      <c r="D403" t="s">
        <v>74</v>
      </c>
      <c r="E403" t="s">
        <v>75</v>
      </c>
      <c r="F403" t="s">
        <v>99</v>
      </c>
      <c r="G403" t="s">
        <v>107</v>
      </c>
      <c r="H403" t="s">
        <v>194</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99</v>
      </c>
      <c r="G404" t="s">
        <v>100</v>
      </c>
      <c r="H404" t="s">
        <v>109</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P1" workbookViewId="0">
      <selection activeCell="AV1" sqref="AV1"/>
    </sheetView>
  </sheetViews>
  <sheetFormatPr defaultRowHeight="14.25" x14ac:dyDescent="0.45"/>
  <sheetData>
    <row r="1" spans="1:61" s="23" customFormat="1" x14ac:dyDescent="0.45">
      <c r="A1" s="17" t="s">
        <v>37</v>
      </c>
      <c r="B1" s="18" t="s">
        <v>197</v>
      </c>
      <c r="C1" s="18" t="s">
        <v>111</v>
      </c>
      <c r="D1" s="18" t="s">
        <v>112</v>
      </c>
      <c r="E1" s="18" t="s">
        <v>113</v>
      </c>
      <c r="F1" s="18" t="s">
        <v>114</v>
      </c>
      <c r="G1" s="18" t="s">
        <v>115</v>
      </c>
      <c r="H1" s="18" t="s">
        <v>116</v>
      </c>
      <c r="I1" s="18" t="s">
        <v>117</v>
      </c>
      <c r="J1" s="18" t="s">
        <v>118</v>
      </c>
      <c r="K1" s="18" t="s">
        <v>119</v>
      </c>
      <c r="L1" s="18" t="s">
        <v>120</v>
      </c>
      <c r="M1" s="18" t="s">
        <v>121</v>
      </c>
      <c r="N1" s="18" t="s">
        <v>122</v>
      </c>
      <c r="O1" s="18" t="s">
        <v>123</v>
      </c>
      <c r="P1" s="18" t="s">
        <v>124</v>
      </c>
      <c r="Q1" s="21" t="s">
        <v>45</v>
      </c>
      <c r="R1" s="21" t="s">
        <v>126</v>
      </c>
      <c r="S1" s="21" t="s">
        <v>125</v>
      </c>
      <c r="T1" s="21" t="s">
        <v>127</v>
      </c>
      <c r="U1" s="18" t="s">
        <v>128</v>
      </c>
      <c r="V1" s="22" t="s">
        <v>48</v>
      </c>
      <c r="W1" s="22" t="s">
        <v>129</v>
      </c>
      <c r="X1" s="22" t="s">
        <v>130</v>
      </c>
      <c r="Y1" s="22" t="s">
        <v>131</v>
      </c>
      <c r="Z1" s="20" t="s">
        <v>132</v>
      </c>
      <c r="AA1" s="21" t="s">
        <v>51</v>
      </c>
      <c r="AB1" s="21" t="s">
        <v>133</v>
      </c>
      <c r="AC1" s="21" t="s">
        <v>134</v>
      </c>
      <c r="AD1" s="21" t="s">
        <v>135</v>
      </c>
      <c r="AE1" s="18" t="s">
        <v>136</v>
      </c>
      <c r="AF1" s="22" t="s">
        <v>54</v>
      </c>
      <c r="AG1" s="22" t="s">
        <v>137</v>
      </c>
      <c r="AH1" s="22" t="s">
        <v>138</v>
      </c>
      <c r="AI1" s="22" t="s">
        <v>139</v>
      </c>
      <c r="AJ1" s="22" t="s">
        <v>140</v>
      </c>
      <c r="AK1" s="21" t="s">
        <v>57</v>
      </c>
      <c r="AL1" s="21" t="s">
        <v>141</v>
      </c>
      <c r="AM1" s="21" t="s">
        <v>142</v>
      </c>
      <c r="AN1" s="21" t="s">
        <v>143</v>
      </c>
      <c r="AO1" s="21" t="s">
        <v>144</v>
      </c>
      <c r="AP1" s="22" t="s">
        <v>60</v>
      </c>
      <c r="AQ1" s="22" t="s">
        <v>145</v>
      </c>
      <c r="AR1" s="22" t="s">
        <v>146</v>
      </c>
      <c r="AS1" s="22" t="s">
        <v>147</v>
      </c>
      <c r="AT1" s="22" t="s">
        <v>148</v>
      </c>
      <c r="AU1" s="21" t="s">
        <v>63</v>
      </c>
      <c r="AV1" s="21" t="s">
        <v>149</v>
      </c>
      <c r="AW1" s="21" t="s">
        <v>150</v>
      </c>
      <c r="AX1" s="21" t="s">
        <v>151</v>
      </c>
      <c r="AY1" s="21" t="s">
        <v>152</v>
      </c>
      <c r="AZ1" s="22" t="s">
        <v>66</v>
      </c>
      <c r="BA1" s="22" t="s">
        <v>153</v>
      </c>
      <c r="BB1" s="22" t="s">
        <v>154</v>
      </c>
      <c r="BC1" s="22" t="s">
        <v>155</v>
      </c>
      <c r="BD1" s="22" t="s">
        <v>156</v>
      </c>
      <c r="BE1" s="21" t="s">
        <v>69</v>
      </c>
      <c r="BF1" s="21" t="s">
        <v>157</v>
      </c>
      <c r="BG1" s="21" t="s">
        <v>158</v>
      </c>
      <c r="BH1" s="21" t="s">
        <v>159</v>
      </c>
      <c r="BI1" s="21" t="s">
        <v>160</v>
      </c>
    </row>
    <row r="2" spans="1:61" x14ac:dyDescent="0.45">
      <c r="A2" s="30">
        <f>step3_validation[[#This Row],[Persona_ID]]</f>
        <v>1</v>
      </c>
      <c r="B2" s="31">
        <f>step3_validation[[#This Row],[Used_Seed]]</f>
        <v>42</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15.869780242779816</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8</v>
      </c>
      <c r="R2" t="str">
        <f>IF(AND(Q2&gt;=1,Q2&lt;5),"Oppose",IF(AND(Q2&gt;=5,Q2&lt;8),"Neutral",IF(AND(Q2&gt;=8,Q2&lt;=10),"Support","")))</f>
        <v>Support</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2</v>
      </c>
      <c r="V2">
        <f>step3_validation[[#This Row],[AI_ENF2]]</f>
        <v>7</v>
      </c>
      <c r="W2" t="str">
        <f>IF(AND(V2&gt;=1,V2&lt;5),"Oppose",IF(AND(V2&gt;=5,V2&lt;8),"Neutral",IF(AND(V2&gt;=8,V2&lt;=10),"Support","")))</f>
        <v>Neutral</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1</v>
      </c>
      <c r="AA2">
        <f>step3_validation[[#This Row],[AI_FAC1]]</f>
        <v>6</v>
      </c>
      <c r="AB2" t="str">
        <f>IF(AND(AA2&gt;=1,AA2&lt;5),"Oppose",IF(AND(AA2&gt;=5,AA2&lt;8),"Neutral",IF(AND(AA2&gt;=8,AA2&lt;=10),"Support","")))</f>
        <v>Neutral</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1</v>
      </c>
      <c r="AF2">
        <f>step3_validation[[#This Row],[AI_FAC2]]</f>
        <v>8</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3</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6</v>
      </c>
      <c r="AQ2" t="str">
        <f>IF(AND(AP2&gt;=1,AP2&lt;5),"Oppose",IF(AND(AP2&gt;=5,AP2&lt;8),"Neutral",IF(AND(AP2&gt;=8,AP2&lt;=10),"Support","")))</f>
        <v>Neutral</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4</v>
      </c>
      <c r="AU2">
        <f>step3_validation[[#This Row],[AI_TRU3]]</f>
        <v>6</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4</v>
      </c>
      <c r="AZ2">
        <f>step3_validation[[#This Row],[AI_TRU4]]</f>
        <v>7</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3</v>
      </c>
      <c r="BE2">
        <f>step3_validation[[#This Row],[AI_OUT1]]</f>
        <v>7</v>
      </c>
      <c r="BF2" t="str">
        <f>IF(AND(BE2&gt;=1,BE2&lt;5),"Oppose",IF(AND(BE2&gt;=5,BE2&lt;8),"Neutral",IF(AND(BE2&gt;=8,BE2&lt;=10),"Support","")))</f>
        <v>Neutral</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3</v>
      </c>
    </row>
    <row r="3" spans="1:61" x14ac:dyDescent="0.45">
      <c r="A3" s="30">
        <f>step3_validation[[#This Row],[Persona_ID]]</f>
        <v>2</v>
      </c>
      <c r="B3" s="31">
        <f>step3_validation[[#This Row],[Used_Seed]]</f>
        <v>43</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15.261496313504553</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8</v>
      </c>
      <c r="R3" t="str">
        <f t="shared" ref="R3:R66" si="0">IF(AND(Q3&gt;=1,Q3&lt;5),"Oppose",IF(AND(Q3&gt;=5,Q3&lt;8),"Neutral",IF(AND(Q3&gt;=8,Q3&lt;=10),"Support","")))</f>
        <v>Support</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0</v>
      </c>
      <c r="V3">
        <f>step3_validation[[#This Row],[AI_ENF2]]</f>
        <v>7</v>
      </c>
      <c r="W3" t="str">
        <f t="shared" ref="W3:W66" si="3">IF(AND(V3&gt;=1,V3&lt;5),"Oppose",IF(AND(V3&gt;=5,V3&lt;8),"Neutral",IF(AND(V3&gt;=8,V3&lt;=10),"Support","")))</f>
        <v>Neutral</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1</v>
      </c>
      <c r="AA3">
        <f>step3_validation[[#This Row],[AI_FAC1]]</f>
        <v>9</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3</v>
      </c>
      <c r="AF3">
        <f>step3_validation[[#This Row],[AI_FAC2]]</f>
        <v>8</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7</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3</v>
      </c>
      <c r="AP3">
        <f>step3_validation[[#This Row],[AI_TRU2]]</f>
        <v>5</v>
      </c>
      <c r="AQ3" t="str">
        <f t="shared" ref="AQ3:AQ66" si="15">IF(AND(AP3&gt;=1,AP3&lt;5),"Oppose",IF(AND(AP3&gt;=5,AP3&lt;8),"Neutral",IF(AND(AP3&gt;=8,AP3&lt;=10),"Support","")))</f>
        <v>Neutral</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4</v>
      </c>
      <c r="AU3">
        <f>step3_validation[[#This Row],[AI_TRU3]]</f>
        <v>6</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2</v>
      </c>
      <c r="AZ3">
        <f>step3_validation[[#This Row],[AI_TRU4]]</f>
        <v>4</v>
      </c>
      <c r="BA3" t="str">
        <f t="shared" ref="BA3:BA66" si="21">IF(AND(AZ3&gt;=1,AZ3&lt;5),"Oppose",IF(AND(AZ3&gt;=5,AZ3&lt;8),"Neutral",IF(AND(AZ3&gt;=8,AZ3&lt;=10),"Support","")))</f>
        <v>Oppose</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5</v>
      </c>
      <c r="BE3">
        <f>step3_validation[[#This Row],[AI_OUT1]]</f>
        <v>6</v>
      </c>
      <c r="BF3" t="str">
        <f t="shared" ref="BF3:BF66" si="24">IF(AND(BE3&gt;=1,BE3&lt;5),"Oppose",IF(AND(BE3&gt;=5,BE3&lt;8),"Neutral",IF(AND(BE3&gt;=8,BE3&lt;=10),"Support","")))</f>
        <v>Neutral</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4</v>
      </c>
    </row>
    <row r="4" spans="1:61" x14ac:dyDescent="0.45">
      <c r="A4" s="30">
        <f>step3_validation[[#This Row],[Persona_ID]]</f>
        <v>3</v>
      </c>
      <c r="B4" s="31">
        <f>step3_validation[[#This Row],[Used_Seed]]</f>
        <v>44</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50.573875703151302</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9</v>
      </c>
      <c r="R4" t="str">
        <f t="shared" si="0"/>
        <v>Support</v>
      </c>
      <c r="S4">
        <f>survey_responses[[#This Row],[Tôi tin rằng với các quy định quản lý thuế hiện nay, hành vi gian lận hoặc trốn thuế sẽ dễ dàng bị phát hiện và xử lý nghiêm. - HUMAN-ENF1]]</f>
        <v>6</v>
      </c>
      <c r="T4" t="str">
        <f t="shared" si="1"/>
        <v>Neutral</v>
      </c>
      <c r="U4" s="32">
        <f t="shared" si="2"/>
        <v>3</v>
      </c>
      <c r="V4">
        <f>step3_validation[[#This Row],[AI_ENF2]]</f>
        <v>8</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2">
        <f t="shared" si="5"/>
        <v>3</v>
      </c>
      <c r="AA4">
        <f>step3_validation[[#This Row],[AI_FAC1]]</f>
        <v>6</v>
      </c>
      <c r="AB4" t="str">
        <f t="shared" si="6"/>
        <v>Neutral</v>
      </c>
      <c r="AC4">
        <f>survey_responses[[#This Row],[Các thủ tục khai báo thuế VÀ/HOẶC quy trình làm việc với cơ quan thuế đơn giản, tiện lợi, nhanh chóng hơn so với trước đây. - HUMAN-FAC1]]</f>
        <v>4</v>
      </c>
      <c r="AD4" t="str">
        <f t="shared" si="7"/>
        <v>Oppose</v>
      </c>
      <c r="AE4" s="32">
        <f t="shared" si="8"/>
        <v>2</v>
      </c>
      <c r="AF4">
        <f>step3_validation[[#This Row],[AI_FAC2]]</f>
        <v>7</v>
      </c>
      <c r="AG4" t="str">
        <f t="shared" si="9"/>
        <v>Neutral</v>
      </c>
      <c r="AH4">
        <f>survey_responses[[#This Row],[So với trước đây, tôi thấy cách tính thuế và các bậc thuế trong phương án mới đơn giản, dễ hiểu và dễ thực hiện hơn. - HUMAN-FAC2]]</f>
        <v>5</v>
      </c>
      <c r="AI4" t="str">
        <f t="shared" si="10"/>
        <v>Neutral</v>
      </c>
      <c r="AJ4" s="32">
        <f t="shared" si="11"/>
        <v>2</v>
      </c>
      <c r="AK4">
        <f>step3_validation[[#This Row],[AI_TRU1]]</f>
        <v>7</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3</v>
      </c>
      <c r="AP4">
        <f>step3_validation[[#This Row],[AI_TRU2]]</f>
        <v>6</v>
      </c>
      <c r="AQ4" t="str">
        <f t="shared" si="15"/>
        <v>Neutral</v>
      </c>
      <c r="AR4">
        <f>survey_responses[[#This Row],[Tôi thấy mức thuế tôi phải đóng theo phương án mới là công bằng (người thu nhập như tôi đóng mức này là hợp lý). - HUMAN-TRU2]]</f>
        <v>4</v>
      </c>
      <c r="AS4" t="str">
        <f t="shared" si="16"/>
        <v>Oppose</v>
      </c>
      <c r="AT4" s="32">
        <f t="shared" si="17"/>
        <v>2</v>
      </c>
      <c r="AU4">
        <f>step3_validation[[#This Row],[AI_TRU3]]</f>
        <v>5</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2">
        <f t="shared" si="20"/>
        <v>1</v>
      </c>
      <c r="AZ4">
        <f>step3_validation[[#This Row],[AI_TRU4]]</f>
        <v>4</v>
      </c>
      <c r="BA4" t="str">
        <f t="shared" si="21"/>
        <v>Oppose</v>
      </c>
      <c r="BB4">
        <f>survey_responses[[#This Row],[Tôi thấy Nhà nước đã giải thích rõ ràng, minh bạch về lý do và mục tiêu của việc sửa đổi thuế lần này. - HUMAN-TRU4]]</f>
        <v>10</v>
      </c>
      <c r="BC4" t="str">
        <f t="shared" si="22"/>
        <v>Support</v>
      </c>
      <c r="BD4" s="32">
        <f t="shared" si="23"/>
        <v>6</v>
      </c>
      <c r="BE4">
        <f>step3_validation[[#This Row],[AI_OUT1]]</f>
        <v>5</v>
      </c>
      <c r="BF4" t="str">
        <f t="shared" si="24"/>
        <v>Neutral</v>
      </c>
      <c r="BG4">
        <f>survey_responses[[#This Row],[Sau khi xem xét các quyền lợi và nghĩa vụ, bạn có ủng hộ và tuân thủ chính sách mới hiện nay? - HUMAN-OUT1]]</f>
        <v>4</v>
      </c>
      <c r="BH4" t="str">
        <f t="shared" si="25"/>
        <v>Oppose</v>
      </c>
      <c r="BI4" s="32">
        <f t="shared" si="26"/>
        <v>1</v>
      </c>
    </row>
    <row r="5" spans="1:61" x14ac:dyDescent="0.45">
      <c r="A5" s="30">
        <f>step3_validation[[#This Row],[Persona_ID]]</f>
        <v>4</v>
      </c>
      <c r="B5" s="31">
        <f>step3_validation[[#This Row],[Used_Seed]]</f>
        <v>45</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8</v>
      </c>
      <c r="AL5" t="str">
        <f t="shared" si="12"/>
        <v>Support</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1</v>
      </c>
      <c r="AP5">
        <f>step3_validation[[#This Row],[AI_TRU2]]</f>
        <v>7</v>
      </c>
      <c r="AQ5" t="str">
        <f t="shared" si="15"/>
        <v>Neutral</v>
      </c>
      <c r="AR5">
        <f>survey_responses[[#This Row],[Tôi thấy mức thuế tôi phải đóng theo phương án mới là công bằng (người thu nhập như tôi đóng mức này là hợp lý). - HUMAN-TRU2]]</f>
        <v>7</v>
      </c>
      <c r="AS5" t="str">
        <f t="shared" si="16"/>
        <v>Neutral</v>
      </c>
      <c r="AT5" s="32">
        <f t="shared" si="17"/>
        <v>0</v>
      </c>
      <c r="AU5">
        <f>step3_validation[[#This Row],[AI_TRU3]]</f>
        <v>7</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3</v>
      </c>
      <c r="AZ5">
        <f>step3_validation[[#This Row],[AI_TRU4]]</f>
        <v>6</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1</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46</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7</v>
      </c>
      <c r="R6" t="str">
        <f t="shared" si="0"/>
        <v>Neutral</v>
      </c>
      <c r="S6">
        <f>survey_responses[[#This Row],[Tôi tin rằng với các quy định quản lý thuế hiện nay, hành vi gian lận hoặc trốn thuế sẽ dễ dàng bị phát hiện và xử lý nghiêm. - HUMAN-ENF1]]</f>
        <v>9</v>
      </c>
      <c r="T6" t="str">
        <f t="shared" si="1"/>
        <v>Support</v>
      </c>
      <c r="U6" s="32">
        <f t="shared" si="2"/>
        <v>2</v>
      </c>
      <c r="V6">
        <f>step3_validation[[#This Row],[AI_ENF2]]</f>
        <v>7</v>
      </c>
      <c r="W6" t="str">
        <f t="shared" si="3"/>
        <v>Neutral</v>
      </c>
      <c r="X6">
        <f>survey_responses[[#This Row],[Tôi tin rằng Nhà nước, cơ quan thuế có đủ khả năng và công nghệ để phát hiện, xử lý nghiêm các hành vi trốn thuế. - HUMAN-ENF2]]</f>
        <v>9</v>
      </c>
      <c r="Y6" t="str">
        <f t="shared" si="4"/>
        <v>Support</v>
      </c>
      <c r="Z6" s="32">
        <f t="shared" si="5"/>
        <v>2</v>
      </c>
      <c r="AA6">
        <f>step3_validation[[#This Row],[AI_FAC1]]</f>
        <v>6</v>
      </c>
      <c r="AB6" t="str">
        <f t="shared" si="6"/>
        <v>Neutral</v>
      </c>
      <c r="AC6">
        <f>survey_responses[[#This Row],[Các thủ tục khai báo thuế VÀ/HOẶC quy trình làm việc với cơ quan thuế đơn giản, tiện lợi, nhanh chóng hơn so với trước đây. - HUMAN-FAC1]]</f>
        <v>10</v>
      </c>
      <c r="AD6" t="str">
        <f t="shared" si="7"/>
        <v>Support</v>
      </c>
      <c r="AE6" s="32">
        <f t="shared" si="8"/>
        <v>4</v>
      </c>
      <c r="AF6">
        <f>step3_validation[[#This Row],[AI_FAC2]]</f>
        <v>8</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1</v>
      </c>
      <c r="AK6">
        <f>step3_validation[[#This Row],[AI_TRU1]]</f>
        <v>6</v>
      </c>
      <c r="AL6" t="str">
        <f t="shared" si="12"/>
        <v>Neutral</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3</v>
      </c>
      <c r="AP6">
        <f>step3_validation[[#This Row],[AI_TRU2]]</f>
        <v>7</v>
      </c>
      <c r="AQ6" t="str">
        <f t="shared" si="15"/>
        <v>Neutral</v>
      </c>
      <c r="AR6">
        <f>survey_responses[[#This Row],[Tôi thấy mức thuế tôi phải đóng theo phương án mới là công bằng (người thu nhập như tôi đóng mức này là hợp lý). - HUMAN-TRU2]]</f>
        <v>9</v>
      </c>
      <c r="AS6" t="str">
        <f t="shared" si="16"/>
        <v>Support</v>
      </c>
      <c r="AT6" s="32">
        <f t="shared" si="17"/>
        <v>2</v>
      </c>
      <c r="AU6">
        <f>step3_validation[[#This Row],[AI_TRU3]]</f>
        <v>6</v>
      </c>
      <c r="AV6" t="str">
        <f t="shared" si="18"/>
        <v>Neutral</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3</v>
      </c>
      <c r="AZ6">
        <f>step3_validation[[#This Row],[AI_TRU4]]</f>
        <v>5</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4</v>
      </c>
      <c r="BE6">
        <f>step3_validation[[#This Row],[AI_OUT1]]</f>
        <v>6</v>
      </c>
      <c r="BF6" t="str">
        <f t="shared" si="24"/>
        <v>Neutral</v>
      </c>
      <c r="BG6">
        <f>survey_responses[[#This Row],[Sau khi xem xét các quyền lợi và nghĩa vụ, bạn có ủng hộ và tuân thủ chính sách mới hiện nay? - HUMAN-OUT1]]</f>
        <v>9</v>
      </c>
      <c r="BH6" t="str">
        <f t="shared" si="25"/>
        <v>Support</v>
      </c>
      <c r="BI6" s="32">
        <f t="shared" si="26"/>
        <v>3</v>
      </c>
    </row>
    <row r="7" spans="1:61" x14ac:dyDescent="0.45">
      <c r="A7" s="30">
        <f>step3_validation[[#This Row],[Persona_ID]]</f>
        <v>6</v>
      </c>
      <c r="B7" s="31">
        <f>step3_validation[[#This Row],[Used_Seed]]</f>
        <v>47</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92.995861833919378</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2</v>
      </c>
      <c r="V7">
        <f>step3_validation[[#This Row],[AI_ENF2]]</f>
        <v>5</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3</v>
      </c>
      <c r="AA7">
        <f>step3_validation[[#This Row],[AI_FAC1]]</f>
        <v>7</v>
      </c>
      <c r="AB7" t="str">
        <f t="shared" si="6"/>
        <v>Neutral</v>
      </c>
      <c r="AC7">
        <f>survey_responses[[#This Row],[Các thủ tục khai báo thuế VÀ/HOẶC quy trình làm việc với cơ quan thuế đơn giản, tiện lợi, nhanh chóng hơn so với trước đây. - HUMAN-FAC1]]</f>
        <v>5</v>
      </c>
      <c r="AD7" t="str">
        <f t="shared" si="7"/>
        <v>Neutral</v>
      </c>
      <c r="AE7" s="32">
        <f t="shared" si="8"/>
        <v>2</v>
      </c>
      <c r="AF7">
        <f>step3_validation[[#This Row],[AI_FAC2]]</f>
        <v>8</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0</v>
      </c>
      <c r="AK7">
        <f>step3_validation[[#This Row],[AI_TRU1]]</f>
        <v>7</v>
      </c>
      <c r="AL7" t="str">
        <f t="shared" si="12"/>
        <v>Neutral</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1</v>
      </c>
      <c r="AP7">
        <f>step3_validation[[#This Row],[AI_TRU2]]</f>
        <v>8</v>
      </c>
      <c r="AQ7" t="str">
        <f t="shared" si="15"/>
        <v>Support</v>
      </c>
      <c r="AR7">
        <f>survey_responses[[#This Row],[Tôi thấy mức thuế tôi phải đóng theo phương án mới là công bằng (người thu nhập như tôi đóng mức này là hợp lý). - HUMAN-TRU2]]</f>
        <v>6</v>
      </c>
      <c r="AS7" t="str">
        <f t="shared" si="16"/>
        <v>Neutral</v>
      </c>
      <c r="AT7" s="32">
        <f t="shared" si="17"/>
        <v>2</v>
      </c>
      <c r="AU7">
        <f>step3_validation[[#This Row],[AI_TRU3]]</f>
        <v>6</v>
      </c>
      <c r="AV7" t="str">
        <f t="shared" si="18"/>
        <v>Neutral</v>
      </c>
      <c r="AW7">
        <f>survey_responses[[#This Row],[Tôi tin tưởng số tiền thuế tôi đóng sẽ được Nhà nước sử dụng hiệu quả để cải thiện dịch vụ công (y tế, đường xá...). - HUMAN-TRU3]]</f>
        <v>4</v>
      </c>
      <c r="AX7" t="str">
        <f t="shared" si="19"/>
        <v>Oppose</v>
      </c>
      <c r="AY7" s="32">
        <f t="shared" si="20"/>
        <v>2</v>
      </c>
      <c r="AZ7">
        <f>step3_validation[[#This Row],[AI_TRU4]]</f>
        <v>5</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0</v>
      </c>
      <c r="BE7">
        <f>step3_validation[[#This Row],[AI_OUT1]]</f>
        <v>7</v>
      </c>
      <c r="BF7" t="str">
        <f t="shared" si="24"/>
        <v>Neutral</v>
      </c>
      <c r="BG7">
        <f>survey_responses[[#This Row],[Sau khi xem xét các quyền lợi và nghĩa vụ, bạn có ủng hộ và tuân thủ chính sách mới hiện nay? - HUMAN-OUT1]]</f>
        <v>6</v>
      </c>
      <c r="BH7" t="str">
        <f t="shared" si="25"/>
        <v>Neutral</v>
      </c>
      <c r="BI7" s="32">
        <f t="shared" si="26"/>
        <v>1</v>
      </c>
    </row>
    <row r="8" spans="1:61" x14ac:dyDescent="0.45">
      <c r="A8" s="30">
        <f>step3_validation[[#This Row],[Persona_ID]]</f>
        <v>7</v>
      </c>
      <c r="B8" s="31">
        <f>step3_validation[[#This Row],[Used_Seed]]</f>
        <v>48</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19.550799489142378</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2</v>
      </c>
      <c r="V8">
        <f>step3_validation[[#This Row],[AI_ENF2]]</f>
        <v>8</v>
      </c>
      <c r="W8" t="str">
        <f t="shared" si="3"/>
        <v>Support</v>
      </c>
      <c r="X8">
        <f>survey_responses[[#This Row],[Tôi tin rằng Nhà nước, cơ quan thuế có đủ khả năng và công nghệ để phát hiện, xử lý nghiêm các hành vi trốn thuế. - HUMAN-ENF2]]</f>
        <v>4</v>
      </c>
      <c r="Y8" t="str">
        <f t="shared" si="4"/>
        <v>Oppose</v>
      </c>
      <c r="Z8" s="32">
        <f t="shared" si="5"/>
        <v>4</v>
      </c>
      <c r="AA8">
        <f>step3_validation[[#This Row],[AI_FAC1]]</f>
        <v>9</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5</v>
      </c>
      <c r="AF8">
        <f>step3_validation[[#This Row],[AI_FAC2]]</f>
        <v>8</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2</v>
      </c>
      <c r="AK8">
        <f>step3_validation[[#This Row],[AI_TRU1]]</f>
        <v>7</v>
      </c>
      <c r="AL8" t="str">
        <f t="shared" si="12"/>
        <v>Neutral</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1</v>
      </c>
      <c r="AP8">
        <f>step3_validation[[#This Row],[AI_TRU2]]</f>
        <v>9</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2</v>
      </c>
      <c r="AU8">
        <f>step3_validation[[#This Row],[AI_TRU3]]</f>
        <v>6</v>
      </c>
      <c r="AV8" t="str">
        <f t="shared" si="18"/>
        <v>Neutral</v>
      </c>
      <c r="AW8">
        <f>survey_responses[[#This Row],[Tôi tin tưởng số tiền thuế tôi đóng sẽ được Nhà nước sử dụng hiệu quả để cải thiện dịch vụ công (y tế, đường xá...). - HUMAN-TRU3]]</f>
        <v>2</v>
      </c>
      <c r="AX8" t="str">
        <f t="shared" si="19"/>
        <v>Oppose</v>
      </c>
      <c r="AY8" s="32">
        <f t="shared" si="20"/>
        <v>4</v>
      </c>
      <c r="AZ8">
        <f>step3_validation[[#This Row],[AI_TRU4]]</f>
        <v>8</v>
      </c>
      <c r="BA8" t="str">
        <f t="shared" si="21"/>
        <v>Support</v>
      </c>
      <c r="BB8">
        <f>survey_responses[[#This Row],[Tôi thấy Nhà nước đã giải thích rõ ràng, minh bạch về lý do và mục tiêu của việc sửa đổi thuế lần này. - HUMAN-TRU4]]</f>
        <v>4</v>
      </c>
      <c r="BC8" t="str">
        <f t="shared" si="22"/>
        <v>Oppose</v>
      </c>
      <c r="BD8" s="32">
        <f t="shared" si="23"/>
        <v>4</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2">
        <f t="shared" si="26"/>
        <v>5</v>
      </c>
    </row>
    <row r="9" spans="1:61" x14ac:dyDescent="0.45">
      <c r="A9" s="30">
        <f>step3_validation[[#This Row],[Persona_ID]]</f>
        <v>8</v>
      </c>
      <c r="B9" s="31">
        <f>step3_validation[[#This Row],[Used_Seed]]</f>
        <v>49</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9</v>
      </c>
      <c r="R9" t="str">
        <f t="shared" si="0"/>
        <v>Support</v>
      </c>
      <c r="S9">
        <f>survey_responses[[#This Row],[Tôi tin rằng với các quy định quản lý thuế hiện nay, hành vi gian lận hoặc trốn thuế sẽ dễ dàng bị phát hiện và xử lý nghiêm. - HUMAN-ENF1]]</f>
        <v>1</v>
      </c>
      <c r="T9" t="str">
        <f t="shared" si="1"/>
        <v>Oppose</v>
      </c>
      <c r="U9" s="32">
        <f t="shared" si="2"/>
        <v>8</v>
      </c>
      <c r="V9">
        <f>step3_validation[[#This Row],[AI_ENF2]]</f>
        <v>8</v>
      </c>
      <c r="W9" t="str">
        <f t="shared" si="3"/>
        <v>Support</v>
      </c>
      <c r="X9">
        <f>survey_responses[[#This Row],[Tôi tin rằng Nhà nước, cơ quan thuế có đủ khả năng và công nghệ để phát hiện, xử lý nghiêm các hành vi trốn thuế. - HUMAN-ENF2]]</f>
        <v>1</v>
      </c>
      <c r="Y9" t="str">
        <f t="shared" si="4"/>
        <v>Oppose</v>
      </c>
      <c r="Z9" s="32">
        <f t="shared" si="5"/>
        <v>7</v>
      </c>
      <c r="AA9">
        <f>step3_validation[[#This Row],[AI_FAC1]]</f>
        <v>7</v>
      </c>
      <c r="AB9" t="str">
        <f t="shared" si="6"/>
        <v>Neutral</v>
      </c>
      <c r="AC9">
        <f>survey_responses[[#This Row],[Các thủ tục khai báo thuế VÀ/HOẶC quy trình làm việc với cơ quan thuế đơn giản, tiện lợi, nhanh chóng hơn so với trước đây. - HUMAN-FAC1]]</f>
        <v>2</v>
      </c>
      <c r="AD9" t="str">
        <f t="shared" si="7"/>
        <v>Oppose</v>
      </c>
      <c r="AE9" s="32">
        <f t="shared" si="8"/>
        <v>5</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7</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0</v>
      </c>
      <c r="AZ9">
        <f>step3_validation[[#This Row],[AI_TRU4]]</f>
        <v>8</v>
      </c>
      <c r="BA9" t="str">
        <f t="shared" si="21"/>
        <v>Support</v>
      </c>
      <c r="BB9">
        <f>survey_responses[[#This Row],[Tôi thấy Nhà nước đã giải thích rõ ràng, minh bạch về lý do và mục tiêu của việc sửa đổi thuế lần này. - HUMAN-TRU4]]</f>
        <v>3</v>
      </c>
      <c r="BC9" t="str">
        <f t="shared" si="22"/>
        <v>Oppose</v>
      </c>
      <c r="BD9" s="32">
        <f t="shared" si="23"/>
        <v>5</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2">
        <f t="shared" si="26"/>
        <v>6</v>
      </c>
    </row>
    <row r="10" spans="1:61" x14ac:dyDescent="0.45">
      <c r="A10" s="30">
        <f>step3_validation[[#This Row],[Persona_ID]]</f>
        <v>9</v>
      </c>
      <c r="B10" s="31">
        <f>step3_validation[[#This Row],[Used_Seed]]</f>
        <v>50</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15.937113459433117</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6</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4</v>
      </c>
      <c r="AA10">
        <f>step3_validation[[#This Row],[AI_FAC1]]</f>
        <v>8</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0</v>
      </c>
      <c r="AF10">
        <f>step3_validation[[#This Row],[AI_FAC2]]</f>
        <v>9</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2</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6</v>
      </c>
      <c r="AQ10" t="str">
        <f t="shared" si="15"/>
        <v>Neutral</v>
      </c>
      <c r="AR10">
        <f>survey_responses[[#This Row],[Tôi thấy mức thuế tôi phải đóng theo phương án mới là công bằng (người thu nhập như tôi đóng mức này là hợp lý). - HUMAN-TRU2]]</f>
        <v>5</v>
      </c>
      <c r="AS10" t="str">
        <f t="shared" si="16"/>
        <v>Neutral</v>
      </c>
      <c r="AT10" s="32">
        <f t="shared" si="17"/>
        <v>1</v>
      </c>
      <c r="AU10">
        <f>step3_validation[[#This Row],[AI_TRU3]]</f>
        <v>7</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2</v>
      </c>
      <c r="AZ10">
        <f>step3_validation[[#This Row],[AI_TRU4]]</f>
        <v>5</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4</v>
      </c>
      <c r="BE10">
        <f>step3_validation[[#This Row],[AI_OUT1]]</f>
        <v>6</v>
      </c>
      <c r="BF10" t="str">
        <f t="shared" si="24"/>
        <v>Neutral</v>
      </c>
      <c r="BG10">
        <f>survey_responses[[#This Row],[Sau khi xem xét các quyền lợi và nghĩa vụ, bạn có ủng hộ và tuân thủ chính sách mới hiện nay? - HUMAN-OUT1]]</f>
        <v>8</v>
      </c>
      <c r="BH10" t="str">
        <f t="shared" si="25"/>
        <v>Support</v>
      </c>
      <c r="BI10" s="32">
        <f t="shared" si="26"/>
        <v>2</v>
      </c>
    </row>
    <row r="11" spans="1:61" x14ac:dyDescent="0.45">
      <c r="A11" s="30">
        <f>step3_validation[[#This Row],[Persona_ID]]</f>
        <v>10</v>
      </c>
      <c r="B11" s="31">
        <f>step3_validation[[#This Row],[Used_Seed]]</f>
        <v>51</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21.769764785081666</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8</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2">
        <f t="shared" si="5"/>
        <v>2</v>
      </c>
      <c r="AA11">
        <f>step3_validation[[#This Row],[AI_FAC1]]</f>
        <v>6</v>
      </c>
      <c r="AB11" t="str">
        <f t="shared" si="6"/>
        <v>Neutral</v>
      </c>
      <c r="AC11">
        <f>survey_responses[[#This Row],[Các thủ tục khai báo thuế VÀ/HOẶC quy trình làm việc với cơ quan thuế đơn giản, tiện lợi, nhanh chóng hơn so với trước đây. - HUMAN-FAC1]]</f>
        <v>1</v>
      </c>
      <c r="AD11" t="str">
        <f t="shared" si="7"/>
        <v>Oppose</v>
      </c>
      <c r="AE11" s="32">
        <f t="shared" si="8"/>
        <v>5</v>
      </c>
      <c r="AF11">
        <f>step3_validation[[#This Row],[AI_FAC2]]</f>
        <v>9</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4</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6</v>
      </c>
      <c r="AQ11" t="str">
        <f t="shared" si="15"/>
        <v>Neutral</v>
      </c>
      <c r="AR11">
        <f>survey_responses[[#This Row],[Tôi thấy mức thuế tôi phải đóng theo phương án mới là công bằng (người thu nhập như tôi đóng mức này là hợp lý). - HUMAN-TRU2]]</f>
        <v>5</v>
      </c>
      <c r="AS11" t="str">
        <f t="shared" si="16"/>
        <v>Neutral</v>
      </c>
      <c r="AT11" s="32">
        <f t="shared" si="17"/>
        <v>1</v>
      </c>
      <c r="AU11">
        <f>step3_validation[[#This Row],[AI_TRU3]]</f>
        <v>7</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2</v>
      </c>
      <c r="AZ11">
        <f>step3_validation[[#This Row],[AI_TRU4]]</f>
        <v>5</v>
      </c>
      <c r="BA11" t="str">
        <f t="shared" si="21"/>
        <v>Neutral</v>
      </c>
      <c r="BB11">
        <f>survey_responses[[#This Row],[Tôi thấy Nhà nước đã giải thích rõ ràng, minh bạch về lý do và mục tiêu của việc sửa đổi thuế lần này. - HUMAN-TRU4]]</f>
        <v>5</v>
      </c>
      <c r="BC11" t="str">
        <f t="shared" si="22"/>
        <v>Neutral</v>
      </c>
      <c r="BD11" s="32">
        <f t="shared" si="23"/>
        <v>0</v>
      </c>
      <c r="BE11">
        <f>step3_validation[[#This Row],[AI_OUT1]]</f>
        <v>7</v>
      </c>
      <c r="BF11" t="str">
        <f t="shared" si="24"/>
        <v>Neutral</v>
      </c>
      <c r="BG11">
        <f>survey_responses[[#This Row],[Sau khi xem xét các quyền lợi và nghĩa vụ, bạn có ủng hộ và tuân thủ chính sách mới hiện nay? - HUMAN-OUT1]]</f>
        <v>10</v>
      </c>
      <c r="BH11" t="str">
        <f t="shared" si="25"/>
        <v>Support</v>
      </c>
      <c r="BI11" s="32">
        <f t="shared" si="26"/>
        <v>3</v>
      </c>
    </row>
    <row r="12" spans="1:61" x14ac:dyDescent="0.45">
      <c r="A12" s="30">
        <f>step3_validation[[#This Row],[Persona_ID]]</f>
        <v>11</v>
      </c>
      <c r="B12" s="31">
        <f>step3_validation[[#This Row],[Used_Seed]]</f>
        <v>52</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41.23644432203649</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7</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3</v>
      </c>
      <c r="V12">
        <f>step3_validation[[#This Row],[AI_ENF2]]</f>
        <v>8</v>
      </c>
      <c r="W12" t="str">
        <f t="shared" si="3"/>
        <v>Support</v>
      </c>
      <c r="X12">
        <f>survey_responses[[#This Row],[Tôi tin rằng Nhà nước, cơ quan thuế có đủ khả năng và công nghệ để phát hiện, xử lý nghiêm các hành vi trốn thuế. - HUMAN-ENF2]]</f>
        <v>3</v>
      </c>
      <c r="Y12" t="str">
        <f t="shared" si="4"/>
        <v>Oppose</v>
      </c>
      <c r="Z12" s="32">
        <f t="shared" si="5"/>
        <v>5</v>
      </c>
      <c r="AA12">
        <f>step3_validation[[#This Row],[AI_FAC1]]</f>
        <v>8</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7</v>
      </c>
      <c r="AF12">
        <f>step3_validation[[#This Row],[AI_FAC2]]</f>
        <v>6</v>
      </c>
      <c r="AG12" t="str">
        <f t="shared" si="9"/>
        <v>Neutral</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7</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6</v>
      </c>
      <c r="AP12">
        <f>step3_validation[[#This Row],[AI_TRU2]]</f>
        <v>8</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3</v>
      </c>
      <c r="AU12">
        <f>step3_validation[[#This Row],[AI_TRU3]]</f>
        <v>7</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6</v>
      </c>
      <c r="AZ12">
        <f>step3_validation[[#This Row],[AI_TRU4]]</f>
        <v>6</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2</v>
      </c>
      <c r="BE12">
        <f>step3_validation[[#This Row],[AI_OUT1]]</f>
        <v>8</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2</v>
      </c>
    </row>
    <row r="13" spans="1:61" x14ac:dyDescent="0.45">
      <c r="A13" s="30">
        <f>step3_validation[[#This Row],[Persona_ID]]</f>
        <v>12</v>
      </c>
      <c r="B13" s="31">
        <f>step3_validation[[#This Row],[Used_Seed]]</f>
        <v>53</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6</v>
      </c>
      <c r="R13" t="str">
        <f t="shared" si="0"/>
        <v>Neutral</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1</v>
      </c>
      <c r="V13">
        <f>step3_validation[[#This Row],[AI_ENF2]]</f>
        <v>7</v>
      </c>
      <c r="W13" t="str">
        <f t="shared" si="3"/>
        <v>Neutral</v>
      </c>
      <c r="X13">
        <f>survey_responses[[#This Row],[Tôi tin rằng Nhà nước, cơ quan thuế có đủ khả năng và công nghệ để phát hiện, xử lý nghiêm các hành vi trốn thuế. - HUMAN-ENF2]]</f>
        <v>8</v>
      </c>
      <c r="Y13" t="str">
        <f t="shared" si="4"/>
        <v>Support</v>
      </c>
      <c r="Z13" s="32">
        <f t="shared" si="5"/>
        <v>1</v>
      </c>
      <c r="AA13">
        <f>step3_validation[[#This Row],[AI_FAC1]]</f>
        <v>8</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3</v>
      </c>
      <c r="AF13">
        <f>step3_validation[[#This Row],[AI_FAC2]]</f>
        <v>7</v>
      </c>
      <c r="AG13" t="str">
        <f t="shared" si="9"/>
        <v>Neutral</v>
      </c>
      <c r="AH13">
        <f>survey_responses[[#This Row],[So với trước đây, tôi thấy cách tính thuế và các bậc thuế trong phương án mới đơn giản, dễ hiểu và dễ thực hiện hơn. - HUMAN-FAC2]]</f>
        <v>5</v>
      </c>
      <c r="AI13" t="str">
        <f t="shared" si="10"/>
        <v>Neutral</v>
      </c>
      <c r="AJ13" s="32">
        <f t="shared" si="11"/>
        <v>2</v>
      </c>
      <c r="AK13">
        <f>step3_validation[[#This Row],[AI_TRU1]]</f>
        <v>8</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2</v>
      </c>
      <c r="AP13">
        <f>step3_validation[[#This Row],[AI_TRU2]]</f>
        <v>6</v>
      </c>
      <c r="AQ13" t="str">
        <f t="shared" si="15"/>
        <v>Neutral</v>
      </c>
      <c r="AR13">
        <f>survey_responses[[#This Row],[Tôi thấy mức thuế tôi phải đóng theo phương án mới là công bằng (người thu nhập như tôi đóng mức này là hợp lý). - HUMAN-TRU2]]</f>
        <v>5</v>
      </c>
      <c r="AS13" t="str">
        <f t="shared" si="16"/>
        <v>Neutral</v>
      </c>
      <c r="AT13" s="32">
        <f t="shared" si="17"/>
        <v>1</v>
      </c>
      <c r="AU13">
        <f>step3_validation[[#This Row],[AI_TRU3]]</f>
        <v>7</v>
      </c>
      <c r="AV13" t="str">
        <f t="shared" si="18"/>
        <v>Neutral</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2</v>
      </c>
      <c r="AZ13">
        <f>step3_validation[[#This Row],[AI_TRU4]]</f>
        <v>6</v>
      </c>
      <c r="BA13" t="str">
        <f t="shared" si="21"/>
        <v>Neutral</v>
      </c>
      <c r="BB13">
        <f>survey_responses[[#This Row],[Tôi thấy Nhà nước đã giải thích rõ ràng, minh bạch về lý do và mục tiêu của việc sửa đổi thuế lần này. - HUMAN-TRU4]]</f>
        <v>5</v>
      </c>
      <c r="BC13" t="str">
        <f t="shared" si="22"/>
        <v>Neutral</v>
      </c>
      <c r="BD13" s="32">
        <f t="shared" si="23"/>
        <v>1</v>
      </c>
      <c r="BE13">
        <f>step3_validation[[#This Row],[AI_OUT1]]</f>
        <v>7</v>
      </c>
      <c r="BF13" t="str">
        <f t="shared" si="24"/>
        <v>Neutral</v>
      </c>
      <c r="BG13">
        <f>survey_responses[[#This Row],[Sau khi xem xét các quyền lợi và nghĩa vụ, bạn có ủng hộ và tuân thủ chính sách mới hiện nay? - HUMAN-OUT1]]</f>
        <v>5</v>
      </c>
      <c r="BH13" t="str">
        <f t="shared" si="25"/>
        <v>Neutral</v>
      </c>
      <c r="BI13" s="32">
        <f t="shared" si="26"/>
        <v>2</v>
      </c>
    </row>
    <row r="14" spans="1:61" x14ac:dyDescent="0.45">
      <c r="A14" s="30">
        <f>step3_validation[[#This Row],[Persona_ID]]</f>
        <v>13</v>
      </c>
      <c r="B14" s="31">
        <f>step3_validation[[#This Row],[Used_Seed]]</f>
        <v>54</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6</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2</v>
      </c>
      <c r="V14">
        <f>step3_validation[[#This Row],[AI_ENF2]]</f>
        <v>7</v>
      </c>
      <c r="W14" t="str">
        <f t="shared" si="3"/>
        <v>Neutral</v>
      </c>
      <c r="X14">
        <f>survey_responses[[#This Row],[Tôi tin rằng Nhà nước, cơ quan thuế có đủ khả năng và công nghệ để phát hiện, xử lý nghiêm các hành vi trốn thuế. - HUMAN-ENF2]]</f>
        <v>7</v>
      </c>
      <c r="Y14" t="str">
        <f t="shared" si="4"/>
        <v>Neutral</v>
      </c>
      <c r="Z14" s="32">
        <f t="shared" si="5"/>
        <v>0</v>
      </c>
      <c r="AA14">
        <f>step3_validation[[#This Row],[AI_FAC1]]</f>
        <v>5</v>
      </c>
      <c r="AB14" t="str">
        <f t="shared" si="6"/>
        <v>Neutral</v>
      </c>
      <c r="AC14">
        <f>survey_responses[[#This Row],[Các thủ tục khai báo thuế VÀ/HOẶC quy trình làm việc với cơ quan thuế đơn giản, tiện lợi, nhanh chóng hơn so với trước đây. - HUMAN-FAC1]]</f>
        <v>7</v>
      </c>
      <c r="AD14" t="str">
        <f t="shared" si="7"/>
        <v>Neutral</v>
      </c>
      <c r="AE14" s="32">
        <f t="shared" si="8"/>
        <v>2</v>
      </c>
      <c r="AF14">
        <f>step3_validation[[#This Row],[AI_FAC2]]</f>
        <v>8</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7</v>
      </c>
      <c r="AL14" t="str">
        <f t="shared" si="12"/>
        <v>Neutral</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0</v>
      </c>
      <c r="AP14">
        <f>step3_validation[[#This Row],[AI_TRU2]]</f>
        <v>6</v>
      </c>
      <c r="AQ14" t="str">
        <f t="shared" si="15"/>
        <v>Neutral</v>
      </c>
      <c r="AR14">
        <f>survey_responses[[#This Row],[Tôi thấy mức thuế tôi phải đóng theo phương án mới là công bằng (người thu nhập như tôi đóng mức này là hợp lý). - HUMAN-TRU2]]</f>
        <v>8</v>
      </c>
      <c r="AS14" t="str">
        <f t="shared" si="16"/>
        <v>Support</v>
      </c>
      <c r="AT14" s="32">
        <f t="shared" si="17"/>
        <v>2</v>
      </c>
      <c r="AU14">
        <f>step3_validation[[#This Row],[AI_TRU3]]</f>
        <v>7</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0</v>
      </c>
      <c r="AZ14">
        <f>step3_validation[[#This Row],[AI_TRU4]]</f>
        <v>5</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2</v>
      </c>
      <c r="BE14">
        <f>step3_validation[[#This Row],[AI_OUT1]]</f>
        <v>8</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1</v>
      </c>
    </row>
    <row r="15" spans="1:61" x14ac:dyDescent="0.45">
      <c r="A15" s="30">
        <f>step3_validation[[#This Row],[Persona_ID]]</f>
        <v>14</v>
      </c>
      <c r="B15" s="31">
        <f>step3_validation[[#This Row],[Used_Seed]]</f>
        <v>55</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21.329008733819801</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8</v>
      </c>
      <c r="R15" t="str">
        <f t="shared" si="0"/>
        <v>Support</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2</v>
      </c>
      <c r="V15">
        <f>step3_validation[[#This Row],[AI_ENF2]]</f>
        <v>7</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2">
        <f t="shared" si="5"/>
        <v>3</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9</v>
      </c>
      <c r="AL15" t="str">
        <f t="shared" si="12"/>
        <v>Support</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7</v>
      </c>
      <c r="AQ15" t="str">
        <f t="shared" si="15"/>
        <v>Neutral</v>
      </c>
      <c r="AR15">
        <f>survey_responses[[#This Row],[Tôi thấy mức thuế tôi phải đóng theo phương án mới là công bằng (người thu nhập như tôi đóng mức này là hợp lý). - HUMAN-TRU2]]</f>
        <v>6</v>
      </c>
      <c r="AS15" t="str">
        <f t="shared" si="16"/>
        <v>Neutral</v>
      </c>
      <c r="AT15" s="32">
        <f t="shared" si="17"/>
        <v>1</v>
      </c>
      <c r="AU15">
        <f>step3_validation[[#This Row],[AI_TRU3]]</f>
        <v>8</v>
      </c>
      <c r="AV15" t="str">
        <f t="shared" si="18"/>
        <v>Support</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2</v>
      </c>
      <c r="AZ15">
        <f>step3_validation[[#This Row],[AI_TRU4]]</f>
        <v>6</v>
      </c>
      <c r="BA15" t="str">
        <f t="shared" si="21"/>
        <v>Neutral</v>
      </c>
      <c r="BB15">
        <f>survey_responses[[#This Row],[Tôi thấy Nhà nước đã giải thích rõ ràng, minh bạch về lý do và mục tiêu của việc sửa đổi thuế lần này. - HUMAN-TRU4]]</f>
        <v>5</v>
      </c>
      <c r="BC15" t="str">
        <f t="shared" si="22"/>
        <v>Neutral</v>
      </c>
      <c r="BD15" s="32">
        <f t="shared" si="23"/>
        <v>1</v>
      </c>
      <c r="BE15">
        <f>step3_validation[[#This Row],[AI_OUT1]]</f>
        <v>7</v>
      </c>
      <c r="BF15" t="str">
        <f t="shared" si="24"/>
        <v>Neutral</v>
      </c>
      <c r="BG15">
        <f>survey_responses[[#This Row],[Sau khi xem xét các quyền lợi và nghĩa vụ, bạn có ủng hộ và tuân thủ chính sách mới hiện nay? - HUMAN-OUT1]]</f>
        <v>5</v>
      </c>
      <c r="BH15" t="str">
        <f t="shared" si="25"/>
        <v>Neutral</v>
      </c>
      <c r="BI15" s="32">
        <f t="shared" si="26"/>
        <v>2</v>
      </c>
    </row>
    <row r="16" spans="1:61" x14ac:dyDescent="0.45">
      <c r="A16" s="30">
        <f>step3_validation[[#This Row],[Persona_ID]]</f>
        <v>15</v>
      </c>
      <c r="B16" s="31">
        <f>step3_validation[[#This Row],[Used_Seed]]</f>
        <v>56</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42.891890749453097</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0</v>
      </c>
      <c r="V16">
        <f>step3_validation[[#This Row],[AI_ENF2]]</f>
        <v>6</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3</v>
      </c>
      <c r="AA16">
        <f>step3_validation[[#This Row],[AI_FAC1]]</f>
        <v>8</v>
      </c>
      <c r="AB16" t="str">
        <f t="shared" si="6"/>
        <v>Support</v>
      </c>
      <c r="AC16">
        <f>survey_responses[[#This Row],[Các thủ tục khai báo thuế VÀ/HOẶC quy trình làm việc với cơ quan thuế đơn giản, tiện lợi, nhanh chóng hơn so với trước đây. - HUMAN-FAC1]]</f>
        <v>3</v>
      </c>
      <c r="AD16" t="str">
        <f t="shared" si="7"/>
        <v>Oppose</v>
      </c>
      <c r="AE16" s="32">
        <f t="shared" si="8"/>
        <v>5</v>
      </c>
      <c r="AF16">
        <f>step3_validation[[#This Row],[AI_FAC2]]</f>
        <v>7</v>
      </c>
      <c r="AG16" t="str">
        <f t="shared" si="9"/>
        <v>Neutral</v>
      </c>
      <c r="AH16">
        <f>survey_responses[[#This Row],[So với trước đây, tôi thấy cách tính thuế và các bậc thuế trong phương án mới đơn giản, dễ hiểu và dễ thực hiện hơn. - HUMAN-FAC2]]</f>
        <v>6</v>
      </c>
      <c r="AI16" t="str">
        <f t="shared" si="10"/>
        <v>Neutral</v>
      </c>
      <c r="AJ16" s="32">
        <f t="shared" si="11"/>
        <v>1</v>
      </c>
      <c r="AK16">
        <f>step3_validation[[#This Row],[AI_TRU1]]</f>
        <v>6</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5</v>
      </c>
      <c r="AP16">
        <f>step3_validation[[#This Row],[AI_TRU2]]</f>
        <v>5</v>
      </c>
      <c r="AQ16" t="str">
        <f t="shared" si="15"/>
        <v>Neutral</v>
      </c>
      <c r="AR16">
        <f>survey_responses[[#This Row],[Tôi thấy mức thuế tôi phải đóng theo phương án mới là công bằng (người thu nhập như tôi đóng mức này là hợp lý). - HUMAN-TRU2]]</f>
        <v>1</v>
      </c>
      <c r="AS16" t="str">
        <f t="shared" si="16"/>
        <v>Oppose</v>
      </c>
      <c r="AT16" s="32">
        <f t="shared" si="17"/>
        <v>4</v>
      </c>
      <c r="AU16">
        <f>step3_validation[[#This Row],[AI_TRU3]]</f>
        <v>6</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5</v>
      </c>
      <c r="AZ16">
        <f>step3_validation[[#This Row],[AI_TRU4]]</f>
        <v>5</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4</v>
      </c>
      <c r="BE16">
        <f>step3_validation[[#This Row],[AI_OUT1]]</f>
        <v>7</v>
      </c>
      <c r="BF16" t="str">
        <f t="shared" si="24"/>
        <v>Neutral</v>
      </c>
      <c r="BG16">
        <f>survey_responses[[#This Row],[Sau khi xem xét các quyền lợi và nghĩa vụ, bạn có ủng hộ và tuân thủ chính sách mới hiện nay? - HUMAN-OUT1]]</f>
        <v>1</v>
      </c>
      <c r="BH16" t="str">
        <f t="shared" si="25"/>
        <v>Oppose</v>
      </c>
      <c r="BI16" s="32">
        <f t="shared" si="26"/>
        <v>6</v>
      </c>
    </row>
    <row r="17" spans="1:61" x14ac:dyDescent="0.45">
      <c r="A17" s="30">
        <f>step3_validation[[#This Row],[Persona_ID]]</f>
        <v>16</v>
      </c>
      <c r="B17" s="31">
        <f>step3_validation[[#This Row],[Used_Seed]]</f>
        <v>57</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91.209167797821792</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7</v>
      </c>
      <c r="R17" t="str">
        <f t="shared" si="0"/>
        <v>Neutral</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1</v>
      </c>
      <c r="V17">
        <f>step3_validation[[#This Row],[AI_ENF2]]</f>
        <v>8</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0</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9</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2</v>
      </c>
      <c r="AP17">
        <f>step3_validation[[#This Row],[AI_TRU2]]</f>
        <v>7</v>
      </c>
      <c r="AQ17" t="str">
        <f t="shared" si="15"/>
        <v>Neutral</v>
      </c>
      <c r="AR17">
        <f>survey_responses[[#This Row],[Tôi thấy mức thuế tôi phải đóng theo phương án mới là công bằng (người thu nhập như tôi đóng mức này là hợp lý). - HUMAN-TRU2]]</f>
        <v>7</v>
      </c>
      <c r="AS17" t="str">
        <f t="shared" si="16"/>
        <v>Neutral</v>
      </c>
      <c r="AT17" s="32">
        <f t="shared" si="17"/>
        <v>0</v>
      </c>
      <c r="AU17">
        <f>step3_validation[[#This Row],[AI_TRU3]]</f>
        <v>8</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1</v>
      </c>
      <c r="AZ17">
        <f>step3_validation[[#This Row],[AI_TRU4]]</f>
        <v>6</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2">
        <f t="shared" si="23"/>
        <v>2</v>
      </c>
      <c r="BE17">
        <f>step3_validation[[#This Row],[AI_OUT1]]</f>
        <v>7</v>
      </c>
      <c r="BF17" t="str">
        <f t="shared" si="24"/>
        <v>Neutral</v>
      </c>
      <c r="BG17">
        <f>survey_responses[[#This Row],[Sau khi xem xét các quyền lợi và nghĩa vụ, bạn có ủng hộ và tuân thủ chính sách mới hiện nay? - HUMAN-OUT1]]</f>
        <v>7</v>
      </c>
      <c r="BH17" t="str">
        <f t="shared" si="25"/>
        <v>Neutral</v>
      </c>
      <c r="BI17" s="32">
        <f t="shared" si="26"/>
        <v>0</v>
      </c>
    </row>
    <row r="18" spans="1:61" x14ac:dyDescent="0.45">
      <c r="A18" s="30">
        <f>step3_validation[[#This Row],[Persona_ID]]</f>
        <v>17</v>
      </c>
      <c r="B18" s="31">
        <f>step3_validation[[#This Row],[Used_Seed]]</f>
        <v>58</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19.236047202264977</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1</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6</v>
      </c>
      <c r="AB18" t="str">
        <f t="shared" si="6"/>
        <v>Neutral</v>
      </c>
      <c r="AC18">
        <f>survey_responses[[#This Row],[Các thủ tục khai báo thuế VÀ/HOẶC quy trình làm việc với cơ quan thuế đơn giản, tiện lợi, nhanh chóng hơn so với trước đây. - HUMAN-FAC1]]</f>
        <v>5</v>
      </c>
      <c r="AD18" t="str">
        <f t="shared" si="7"/>
        <v>Neutral</v>
      </c>
      <c r="AE18" s="32">
        <f t="shared" si="8"/>
        <v>1</v>
      </c>
      <c r="AF18">
        <f>step3_validation[[#This Row],[AI_FAC2]]</f>
        <v>8</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3</v>
      </c>
      <c r="AK18">
        <f>step3_validation[[#This Row],[AI_TRU1]]</f>
        <v>7</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1</v>
      </c>
      <c r="AP18">
        <f>step3_validation[[#This Row],[AI_TRU2]]</f>
        <v>6</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1</v>
      </c>
      <c r="AU18">
        <f>step3_validation[[#This Row],[AI_TRU3]]</f>
        <v>7</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4</v>
      </c>
      <c r="AZ18">
        <f>step3_validation[[#This Row],[AI_TRU4]]</f>
        <v>6</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2</v>
      </c>
      <c r="BE18">
        <f>step3_validation[[#This Row],[AI_OUT1]]</f>
        <v>7</v>
      </c>
      <c r="BF18" t="str">
        <f t="shared" si="24"/>
        <v>Neutral</v>
      </c>
      <c r="BG18">
        <f>survey_responses[[#This Row],[Sau khi xem xét các quyền lợi và nghĩa vụ, bạn có ủng hộ và tuân thủ chính sách mới hiện nay? - HUMAN-OUT1]]</f>
        <v>5</v>
      </c>
      <c r="BH18" t="str">
        <f t="shared" si="25"/>
        <v>Neutral</v>
      </c>
      <c r="BI18" s="32">
        <f t="shared" si="26"/>
        <v>2</v>
      </c>
    </row>
    <row r="19" spans="1:61" x14ac:dyDescent="0.45">
      <c r="A19" s="30">
        <f>step3_validation[[#This Row],[Persona_ID]]</f>
        <v>18</v>
      </c>
      <c r="B19" s="31">
        <f>step3_validation[[#This Row],[Used_Seed]]</f>
        <v>59</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14.938735793331821</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9</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1</v>
      </c>
      <c r="AK19">
        <f>step3_validation[[#This Row],[AI_TRU1]]</f>
        <v>7</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6</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1</v>
      </c>
      <c r="AZ19">
        <f>step3_validation[[#This Row],[AI_TRU4]]</f>
        <v>7</v>
      </c>
      <c r="BA19" t="str">
        <f t="shared" si="21"/>
        <v>Neutral</v>
      </c>
      <c r="BB19">
        <f>survey_responses[[#This Row],[Tôi thấy Nhà nước đã giải thích rõ ràng, minh bạch về lý do và mục tiêu của việc sửa đổi thuế lần này. - HUMAN-TRU4]]</f>
        <v>6</v>
      </c>
      <c r="BC19" t="str">
        <f t="shared" si="22"/>
        <v>Neutral</v>
      </c>
      <c r="BD19" s="32">
        <f t="shared" si="23"/>
        <v>1</v>
      </c>
      <c r="BE19">
        <f>step3_validation[[#This Row],[AI_OUT1]]</f>
        <v>8</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0</v>
      </c>
    </row>
    <row r="20" spans="1:61" x14ac:dyDescent="0.45">
      <c r="A20" s="30">
        <f>step3_validation[[#This Row],[Persona_ID]]</f>
        <v>19</v>
      </c>
      <c r="B20" s="31">
        <f>step3_validation[[#This Row],[Used_Seed]]</f>
        <v>60</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149.99400427978892</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6</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4</v>
      </c>
      <c r="V20">
        <f>step3_validation[[#This Row],[AI_ENF2]]</f>
        <v>5</v>
      </c>
      <c r="W20" t="str">
        <f t="shared" si="3"/>
        <v>Neutral</v>
      </c>
      <c r="X20">
        <f>survey_responses[[#This Row],[Tôi tin rằng Nhà nước, cơ quan thuế có đủ khả năng và công nghệ để phát hiện, xử lý nghiêm các hành vi trốn thuế. - HUMAN-ENF2]]</f>
        <v>10</v>
      </c>
      <c r="Y20" t="str">
        <f t="shared" si="4"/>
        <v>Support</v>
      </c>
      <c r="Z20" s="32">
        <f t="shared" si="5"/>
        <v>5</v>
      </c>
      <c r="AA20">
        <f>step3_validation[[#This Row],[AI_FAC1]]</f>
        <v>8</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3</v>
      </c>
      <c r="AF20">
        <f>step3_validation[[#This Row],[AI_FAC2]]</f>
        <v>7</v>
      </c>
      <c r="AG20" t="str">
        <f t="shared" si="9"/>
        <v>Neutral</v>
      </c>
      <c r="AH20">
        <f>survey_responses[[#This Row],[So với trước đây, tôi thấy cách tính thuế và các bậc thuế trong phương án mới đơn giản, dễ hiểu và dễ thực hiện hơn. - HUMAN-FAC2]]</f>
        <v>5</v>
      </c>
      <c r="AI20" t="str">
        <f t="shared" si="10"/>
        <v>Neutral</v>
      </c>
      <c r="AJ20" s="32">
        <f t="shared" si="11"/>
        <v>2</v>
      </c>
      <c r="AK20">
        <f>step3_validation[[#This Row],[AI_TRU1]]</f>
        <v>8</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3</v>
      </c>
      <c r="AP20">
        <f>step3_validation[[#This Row],[AI_TRU2]]</f>
        <v>7</v>
      </c>
      <c r="AQ20" t="str">
        <f t="shared" si="15"/>
        <v>Neutral</v>
      </c>
      <c r="AR20">
        <f>survey_responses[[#This Row],[Tôi thấy mức thuế tôi phải đóng theo phương án mới là công bằng (người thu nhập như tôi đóng mức này là hợp lý). - HUMAN-TRU2]]</f>
        <v>3</v>
      </c>
      <c r="AS20" t="str">
        <f t="shared" si="16"/>
        <v>Oppose</v>
      </c>
      <c r="AT20" s="32">
        <f t="shared" si="17"/>
        <v>4</v>
      </c>
      <c r="AU20">
        <f>step3_validation[[#This Row],[AI_TRU3]]</f>
        <v>6</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4</v>
      </c>
      <c r="AZ20">
        <f>step3_validation[[#This Row],[AI_TRU4]]</f>
        <v>5</v>
      </c>
      <c r="BA20" t="str">
        <f t="shared" si="21"/>
        <v>Neutral</v>
      </c>
      <c r="BB20">
        <f>survey_responses[[#This Row],[Tôi thấy Nhà nước đã giải thích rõ ràng, minh bạch về lý do và mục tiêu của việc sửa đổi thuế lần này. - HUMAN-TRU4]]</f>
        <v>5</v>
      </c>
      <c r="BC20" t="str">
        <f t="shared" si="22"/>
        <v>Neutral</v>
      </c>
      <c r="BD20" s="32">
        <f t="shared" si="23"/>
        <v>0</v>
      </c>
      <c r="BE20">
        <f>step3_validation[[#This Row],[AI_OUT1]]</f>
        <v>7</v>
      </c>
      <c r="BF20" t="str">
        <f t="shared" si="24"/>
        <v>Neutral</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61</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55.861859940430463</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1</v>
      </c>
      <c r="V21">
        <f>step3_validation[[#This Row],[AI_ENF2]]</f>
        <v>9</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0</v>
      </c>
      <c r="AA21">
        <f>step3_validation[[#This Row],[AI_FAC1]]</f>
        <v>7</v>
      </c>
      <c r="AB21" t="str">
        <f t="shared" si="6"/>
        <v>Neutral</v>
      </c>
      <c r="AC21">
        <f>survey_responses[[#This Row],[Các thủ tục khai báo thuế VÀ/HOẶC quy trình làm việc với cơ quan thuế đơn giản, tiện lợi, nhanh chóng hơn so với trước đây. - HUMAN-FAC1]]</f>
        <v>7</v>
      </c>
      <c r="AD21" t="str">
        <f t="shared" si="7"/>
        <v>Neutral</v>
      </c>
      <c r="AE21" s="32">
        <f t="shared" si="8"/>
        <v>0</v>
      </c>
      <c r="AF21">
        <f>step3_validation[[#This Row],[AI_FAC2]]</f>
        <v>8</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1</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8</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0</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8</v>
      </c>
      <c r="BA21" t="str">
        <f t="shared" si="21"/>
        <v>Support</v>
      </c>
      <c r="BB21">
        <f>survey_responses[[#This Row],[Tôi thấy Nhà nước đã giải thích rõ ràng, minh bạch về lý do và mục tiêu của việc sửa đổi thuế lần này. - HUMAN-TRU4]]</f>
        <v>5</v>
      </c>
      <c r="BC21" t="str">
        <f t="shared" si="22"/>
        <v>Neutral</v>
      </c>
      <c r="BD21" s="32">
        <f t="shared" si="23"/>
        <v>3</v>
      </c>
      <c r="BE21">
        <f>step3_validation[[#This Row],[AI_OUT1]]</f>
        <v>9</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3</v>
      </c>
    </row>
    <row r="22" spans="1:61" x14ac:dyDescent="0.45">
      <c r="A22" s="30">
        <f>step3_validation[[#This Row],[Persona_ID]]</f>
        <v>21</v>
      </c>
      <c r="B22" s="31">
        <f>step3_validation[[#This Row],[Used_Seed]]</f>
        <v>62</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192.17938469495905</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6</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4</v>
      </c>
      <c r="V22">
        <f>step3_validation[[#This Row],[AI_ENF2]]</f>
        <v>7</v>
      </c>
      <c r="W22" t="str">
        <f t="shared" si="3"/>
        <v>Neutral</v>
      </c>
      <c r="X22">
        <f>survey_responses[[#This Row],[Tôi tin rằng Nhà nước, cơ quan thuế có đủ khả năng và công nghệ để phát hiện, xử lý nghiêm các hành vi trốn thuế. - HUMAN-ENF2]]</f>
        <v>10</v>
      </c>
      <c r="Y22" t="str">
        <f t="shared" si="4"/>
        <v>Support</v>
      </c>
      <c r="Z22" s="32">
        <f t="shared" si="5"/>
        <v>3</v>
      </c>
      <c r="AA22">
        <f>step3_validation[[#This Row],[AI_FAC1]]</f>
        <v>8</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0</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8</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1</v>
      </c>
      <c r="AU22">
        <f>step3_validation[[#This Row],[AI_TRU3]]</f>
        <v>7</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5</v>
      </c>
      <c r="AZ22">
        <f>step3_validation[[#This Row],[AI_TRU4]]</f>
        <v>6</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3</v>
      </c>
      <c r="BE22">
        <f>step3_validation[[#This Row],[AI_OUT1]]</f>
        <v>0</v>
      </c>
      <c r="BF22" t="str">
        <f t="shared" si="24"/>
        <v/>
      </c>
      <c r="BG22">
        <f>survey_responses[[#This Row],[Sau khi xem xét các quyền lợi và nghĩa vụ, bạn có ủng hộ và tuân thủ chính sách mới hiện nay? - HUMAN-OUT1]]</f>
        <v>3</v>
      </c>
      <c r="BH22" t="str">
        <f t="shared" si="25"/>
        <v>Oppose</v>
      </c>
      <c r="BI22" s="32">
        <f t="shared" si="26"/>
        <v>3</v>
      </c>
    </row>
    <row r="23" spans="1:61" x14ac:dyDescent="0.45">
      <c r="A23" s="30">
        <f>step3_validation[[#This Row],[Persona_ID]]</f>
        <v>22</v>
      </c>
      <c r="B23" s="31">
        <f>step3_validation[[#This Row],[Used_Seed]]</f>
        <v>63</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14.800396859477839</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9</v>
      </c>
      <c r="R23" t="str">
        <f t="shared" si="0"/>
        <v>Support</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8</v>
      </c>
      <c r="W23" t="str">
        <f t="shared" si="3"/>
        <v>Support</v>
      </c>
      <c r="X23">
        <f>survey_responses[[#This Row],[Tôi tin rằng Nhà nước, cơ quan thuế có đủ khả năng và công nghệ để phát hiện, xử lý nghiêm các hành vi trốn thuế. - HUMAN-ENF2]]</f>
        <v>8</v>
      </c>
      <c r="Y23" t="str">
        <f t="shared" si="4"/>
        <v>Support</v>
      </c>
      <c r="Z23" s="32">
        <f t="shared" si="5"/>
        <v>0</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8</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0</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0</v>
      </c>
      <c r="AP23">
        <f>step3_validation[[#This Row],[AI_TRU2]]</f>
        <v>6</v>
      </c>
      <c r="AQ23" t="str">
        <f t="shared" si="15"/>
        <v>Neutral</v>
      </c>
      <c r="AR23">
        <f>survey_responses[[#This Row],[Tôi thấy mức thuế tôi phải đóng theo phương án mới là công bằng (người thu nhập như tôi đóng mức này là hợp lý). - HUMAN-TRU2]]</f>
        <v>8</v>
      </c>
      <c r="AS23" t="str">
        <f t="shared" si="16"/>
        <v>Support</v>
      </c>
      <c r="AT23" s="32">
        <f t="shared" si="17"/>
        <v>2</v>
      </c>
      <c r="AU23">
        <f>step3_validation[[#This Row],[AI_TRU3]]</f>
        <v>5</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3</v>
      </c>
      <c r="AZ23">
        <f>step3_validation[[#This Row],[AI_TRU4]]</f>
        <v>6</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2</v>
      </c>
      <c r="BE23">
        <f>step3_validation[[#This Row],[AI_OUT1]]</f>
        <v>7</v>
      </c>
      <c r="BF23" t="str">
        <f t="shared" si="24"/>
        <v>Neutral</v>
      </c>
      <c r="BG23">
        <f>survey_responses[[#This Row],[Sau khi xem xét các quyền lợi và nghĩa vụ, bạn có ủng hộ và tuân thủ chính sách mới hiện nay? - HUMAN-OUT1]]</f>
        <v>8</v>
      </c>
      <c r="BH23" t="str">
        <f t="shared" si="25"/>
        <v>Support</v>
      </c>
      <c r="BI23" s="32">
        <f t="shared" si="26"/>
        <v>1</v>
      </c>
    </row>
    <row r="24" spans="1:61" x14ac:dyDescent="0.45">
      <c r="A24" s="30">
        <f>step3_validation[[#This Row],[Persona_ID]]</f>
        <v>23</v>
      </c>
      <c r="B24" s="31">
        <f>step3_validation[[#This Row],[Used_Seed]]</f>
        <v>64</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99.248297034952515</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1</v>
      </c>
      <c r="V24">
        <f>step3_validation[[#This Row],[AI_ENF2]]</f>
        <v>5</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0</v>
      </c>
      <c r="AA24">
        <f>step3_validation[[#This Row],[AI_FAC1]]</f>
        <v>8</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3</v>
      </c>
      <c r="AF24">
        <f>step3_validation[[#This Row],[AI_FAC2]]</f>
        <v>7</v>
      </c>
      <c r="AG24" t="str">
        <f t="shared" si="9"/>
        <v>Neutral</v>
      </c>
      <c r="AH24">
        <f>survey_responses[[#This Row],[So với trước đây, tôi thấy cách tính thuế và các bậc thuế trong phương án mới đơn giản, dễ hiểu và dễ thực hiện hơn. - HUMAN-FAC2]]</f>
        <v>5</v>
      </c>
      <c r="AI24" t="str">
        <f t="shared" si="10"/>
        <v>Neutral</v>
      </c>
      <c r="AJ24" s="32">
        <f t="shared" si="11"/>
        <v>2</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6</v>
      </c>
      <c r="AQ24" t="str">
        <f t="shared" si="15"/>
        <v>Neutral</v>
      </c>
      <c r="AR24">
        <f>survey_responses[[#This Row],[Tôi thấy mức thuế tôi phải đóng theo phương án mới là công bằng (người thu nhập như tôi đóng mức này là hợp lý). - HUMAN-TRU2]]</f>
        <v>5</v>
      </c>
      <c r="AS24" t="str">
        <f t="shared" si="16"/>
        <v>Neutral</v>
      </c>
      <c r="AT24" s="32">
        <f t="shared" si="17"/>
        <v>1</v>
      </c>
      <c r="AU24">
        <f>step3_validation[[#This Row],[AI_TRU3]]</f>
        <v>5</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0</v>
      </c>
      <c r="AZ24">
        <f>step3_validation[[#This Row],[AI_TRU4]]</f>
        <v>6</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1</v>
      </c>
      <c r="BE24">
        <f>step3_validation[[#This Row],[AI_OUT1]]</f>
        <v>7</v>
      </c>
      <c r="BF24" t="str">
        <f t="shared" si="24"/>
        <v>Neutral</v>
      </c>
      <c r="BG24">
        <f>survey_responses[[#This Row],[Sau khi xem xét các quyền lợi và nghĩa vụ, bạn có ủng hộ và tuân thủ chính sách mới hiện nay? - HUMAN-OUT1]]</f>
        <v>5</v>
      </c>
      <c r="BH24" t="str">
        <f t="shared" si="25"/>
        <v>Neutral</v>
      </c>
      <c r="BI24" s="32">
        <f t="shared" si="26"/>
        <v>2</v>
      </c>
    </row>
    <row r="25" spans="1:61" x14ac:dyDescent="0.45">
      <c r="A25" s="30">
        <f>step3_validation[[#This Row],[Persona_ID]]</f>
        <v>24</v>
      </c>
      <c r="B25" s="31">
        <f>step3_validation[[#This Row],[Used_Seed]]</f>
        <v>65</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23.379131883707768</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8</v>
      </c>
      <c r="R25" t="str">
        <f t="shared" si="0"/>
        <v>Support</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1</v>
      </c>
      <c r="V25">
        <f>step3_validation[[#This Row],[AI_ENF2]]</f>
        <v>7</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1</v>
      </c>
      <c r="AA25">
        <f>step3_validation[[#This Row],[AI_FAC1]]</f>
        <v>9</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3</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7</v>
      </c>
      <c r="AL25" t="str">
        <f t="shared" si="12"/>
        <v>Neutral</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6</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0</v>
      </c>
      <c r="AZ25">
        <f>step3_validation[[#This Row],[AI_TRU4]]</f>
        <v>7</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2">
        <f t="shared" si="23"/>
        <v>1</v>
      </c>
      <c r="BE25">
        <f>step3_validation[[#This Row],[AI_OUT1]]</f>
        <v>6</v>
      </c>
      <c r="BF25" t="str">
        <f t="shared" si="24"/>
        <v>Neutral</v>
      </c>
      <c r="BG25">
        <f>survey_responses[[#This Row],[Sau khi xem xét các quyền lợi và nghĩa vụ, bạn có ủng hộ và tuân thủ chính sách mới hiện nay? - HUMAN-OUT1]]</f>
        <v>8</v>
      </c>
      <c r="BH25" t="str">
        <f t="shared" si="25"/>
        <v>Support</v>
      </c>
      <c r="BI25" s="32">
        <f t="shared" si="26"/>
        <v>2</v>
      </c>
    </row>
    <row r="26" spans="1:61" x14ac:dyDescent="0.45">
      <c r="A26" s="30">
        <f>step3_validation[[#This Row],[Persona_ID]]</f>
        <v>25</v>
      </c>
      <c r="B26" s="31">
        <f>step3_validation[[#This Row],[Used_Seed]]</f>
        <v>66</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45.856008169038972</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5</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7</v>
      </c>
      <c r="AB26" t="str">
        <f t="shared" si="6"/>
        <v>Neutral</v>
      </c>
      <c r="AC26">
        <f>survey_responses[[#This Row],[Các thủ tục khai báo thuế VÀ/HOẶC quy trình làm việc với cơ quan thuế đơn giản, tiện lợi, nhanh chóng hơn so với trước đây. - HUMAN-FAC1]]</f>
        <v>5</v>
      </c>
      <c r="AD26" t="str">
        <f t="shared" si="7"/>
        <v>Neutral</v>
      </c>
      <c r="AE26" s="32">
        <f t="shared" si="8"/>
        <v>2</v>
      </c>
      <c r="AF26">
        <f>step3_validation[[#This Row],[AI_FAC2]]</f>
        <v>8</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2</v>
      </c>
      <c r="AK26">
        <f>step3_validation[[#This Row],[AI_TRU1]]</f>
        <v>7</v>
      </c>
      <c r="AL26" t="str">
        <f t="shared" si="12"/>
        <v>Neutral</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0</v>
      </c>
      <c r="AP26">
        <f>step3_validation[[#This Row],[AI_TRU2]]</f>
        <v>6</v>
      </c>
      <c r="AQ26" t="str">
        <f t="shared" si="15"/>
        <v>Neutral</v>
      </c>
      <c r="AR26">
        <f>survey_responses[[#This Row],[Tôi thấy mức thuế tôi phải đóng theo phương án mới là công bằng (người thu nhập như tôi đóng mức này là hợp lý). - HUMAN-TRU2]]</f>
        <v>7</v>
      </c>
      <c r="AS26" t="str">
        <f t="shared" si="16"/>
        <v>Neutral</v>
      </c>
      <c r="AT26" s="32">
        <f t="shared" si="17"/>
        <v>1</v>
      </c>
      <c r="AU26">
        <f>step3_validation[[#This Row],[AI_TRU3]]</f>
        <v>5</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2</v>
      </c>
      <c r="AZ26">
        <f>step3_validation[[#This Row],[AI_TRU4]]</f>
        <v>4</v>
      </c>
      <c r="BA26" t="str">
        <f t="shared" si="21"/>
        <v>Oppose</v>
      </c>
      <c r="BB26">
        <f>survey_responses[[#This Row],[Tôi thấy Nhà nước đã giải thích rõ ràng, minh bạch về lý do và mục tiêu của việc sửa đổi thuế lần này. - HUMAN-TRU4]]</f>
        <v>3</v>
      </c>
      <c r="BC26" t="str">
        <f t="shared" si="22"/>
        <v>Oppose</v>
      </c>
      <c r="BD26" s="32">
        <f t="shared" si="23"/>
        <v>1</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67</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7</v>
      </c>
      <c r="R27" t="str">
        <f t="shared" si="0"/>
        <v>Neutral</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3</v>
      </c>
      <c r="V27">
        <f>step3_validation[[#This Row],[AI_ENF2]]</f>
        <v>8</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2</v>
      </c>
      <c r="AA27">
        <f>step3_validation[[#This Row],[AI_FAC1]]</f>
        <v>6</v>
      </c>
      <c r="AB27" t="str">
        <f t="shared" si="6"/>
        <v>Neutral</v>
      </c>
      <c r="AC27">
        <f>survey_responses[[#This Row],[Các thủ tục khai báo thuế VÀ/HOẶC quy trình làm việc với cơ quan thuế đơn giản, tiện lợi, nhanh chóng hơn so với trước đây. - HUMAN-FAC1]]</f>
        <v>10</v>
      </c>
      <c r="AD27" t="str">
        <f t="shared" si="7"/>
        <v>Support</v>
      </c>
      <c r="AE27" s="32">
        <f t="shared" si="8"/>
        <v>4</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6</v>
      </c>
      <c r="AL27" t="str">
        <f t="shared" si="12"/>
        <v>Neutral</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0</v>
      </c>
      <c r="AP27">
        <f>step3_validation[[#This Row],[AI_TRU2]]</f>
        <v>7</v>
      </c>
      <c r="AQ27" t="str">
        <f t="shared" si="15"/>
        <v>Neutral</v>
      </c>
      <c r="AR27">
        <f>survey_responses[[#This Row],[Tôi thấy mức thuế tôi phải đóng theo phương án mới là công bằng (người thu nhập như tôi đóng mức này là hợp lý). - HUMAN-TRU2]]</f>
        <v>10</v>
      </c>
      <c r="AS27" t="str">
        <f t="shared" si="16"/>
        <v>Support</v>
      </c>
      <c r="AT27" s="32">
        <f t="shared" si="17"/>
        <v>3</v>
      </c>
      <c r="AU27">
        <f>step3_validation[[#This Row],[AI_TRU3]]</f>
        <v>5</v>
      </c>
      <c r="AV27" t="str">
        <f t="shared" si="18"/>
        <v>Neutral</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4</v>
      </c>
      <c r="AZ27">
        <f>step3_validation[[#This Row],[AI_TRU4]]</f>
        <v>6</v>
      </c>
      <c r="BA27" t="str">
        <f t="shared" si="21"/>
        <v>Neutral</v>
      </c>
      <c r="BB27">
        <f>survey_responses[[#This Row],[Tôi thấy Nhà nước đã giải thích rõ ràng, minh bạch về lý do và mục tiêu của việc sửa đổi thuế lần này. - HUMAN-TRU4]]</f>
        <v>4</v>
      </c>
      <c r="BC27" t="str">
        <f t="shared" si="22"/>
        <v>Oppose</v>
      </c>
      <c r="BD27" s="32">
        <f t="shared" si="23"/>
        <v>2</v>
      </c>
      <c r="BE27">
        <f>step3_validation[[#This Row],[AI_OUT1]]</f>
        <v>7</v>
      </c>
      <c r="BF27" t="str">
        <f t="shared" si="24"/>
        <v>Neutral</v>
      </c>
      <c r="BG27">
        <f>survey_responses[[#This Row],[Sau khi xem xét các quyền lợi và nghĩa vụ, bạn có ủng hộ và tuân thủ chính sách mới hiện nay? - HUMAN-OUT1]]</f>
        <v>10</v>
      </c>
      <c r="BH27" t="str">
        <f t="shared" si="25"/>
        <v>Support</v>
      </c>
      <c r="BI27" s="32">
        <f t="shared" si="26"/>
        <v>3</v>
      </c>
    </row>
    <row r="28" spans="1:61" x14ac:dyDescent="0.45">
      <c r="A28" s="30">
        <f>step3_validation[[#This Row],[Persona_ID]]</f>
        <v>27</v>
      </c>
      <c r="B28" s="31">
        <f>step3_validation[[#This Row],[Used_Seed]]</f>
        <v>68</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8</v>
      </c>
      <c r="R28" t="str">
        <f t="shared" si="0"/>
        <v>Support</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7</v>
      </c>
      <c r="V28">
        <f>step3_validation[[#This Row],[AI_ENF2]]</f>
        <v>7</v>
      </c>
      <c r="W28" t="str">
        <f t="shared" si="3"/>
        <v>Neutral</v>
      </c>
      <c r="X28">
        <f>survey_responses[[#This Row],[Tôi tin rằng Nhà nước, cơ quan thuế có đủ khả năng và công nghệ để phát hiện, xử lý nghiêm các hành vi trốn thuế. - HUMAN-ENF2]]</f>
        <v>1</v>
      </c>
      <c r="Y28" t="str">
        <f t="shared" si="4"/>
        <v>Oppose</v>
      </c>
      <c r="Z28" s="32">
        <f t="shared" si="5"/>
        <v>6</v>
      </c>
      <c r="AA28">
        <f>step3_validation[[#This Row],[AI_FAC1]]</f>
        <v>9</v>
      </c>
      <c r="AB28" t="str">
        <f t="shared" si="6"/>
        <v>Support</v>
      </c>
      <c r="AC28">
        <f>survey_responses[[#This Row],[Các thủ tục khai báo thuế VÀ/HOẶC quy trình làm việc với cơ quan thuế đơn giản, tiện lợi, nhanh chóng hơn so với trước đây. - HUMAN-FAC1]]</f>
        <v>1</v>
      </c>
      <c r="AD28" t="str">
        <f t="shared" si="7"/>
        <v>Oppose</v>
      </c>
      <c r="AE28" s="32">
        <f t="shared" si="8"/>
        <v>8</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6</v>
      </c>
      <c r="AQ28" t="str">
        <f t="shared" si="15"/>
        <v>Neutral</v>
      </c>
      <c r="AR28">
        <f>survey_responses[[#This Row],[Tôi thấy mức thuế tôi phải đóng theo phương án mới là công bằng (người thu nhập như tôi đóng mức này là hợp lý). - HUMAN-TRU2]]</f>
        <v>1</v>
      </c>
      <c r="AS28" t="str">
        <f t="shared" si="16"/>
        <v>Oppose</v>
      </c>
      <c r="AT28" s="32">
        <f t="shared" si="17"/>
        <v>5</v>
      </c>
      <c r="AU28">
        <f>step3_validation[[#This Row],[AI_TRU3]]</f>
        <v>5</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4</v>
      </c>
      <c r="AZ28">
        <f>step3_validation[[#This Row],[AI_TRU4]]</f>
        <v>4</v>
      </c>
      <c r="BA28" t="str">
        <f t="shared" si="21"/>
        <v>Oppose</v>
      </c>
      <c r="BB28">
        <f>survey_responses[[#This Row],[Tôi thấy Nhà nước đã giải thích rõ ràng, minh bạch về lý do và mục tiêu của việc sửa đổi thuế lần này. - HUMAN-TRU4]]</f>
        <v>1</v>
      </c>
      <c r="BC28" t="str">
        <f t="shared" si="22"/>
        <v>Oppose</v>
      </c>
      <c r="BD28" s="32">
        <f t="shared" si="23"/>
        <v>3</v>
      </c>
      <c r="BE28">
        <f>step3_validation[[#This Row],[AI_OUT1]]</f>
        <v>7</v>
      </c>
      <c r="BF28" t="str">
        <f t="shared" si="24"/>
        <v>Neutral</v>
      </c>
      <c r="BG28">
        <f>survey_responses[[#This Row],[Sau khi xem xét các quyền lợi và nghĩa vụ, bạn có ủng hộ và tuân thủ chính sách mới hiện nay? - HUMAN-OUT1]]</f>
        <v>1</v>
      </c>
      <c r="BH28" t="str">
        <f t="shared" si="25"/>
        <v>Oppose</v>
      </c>
      <c r="BI28" s="32">
        <f t="shared" si="26"/>
        <v>6</v>
      </c>
    </row>
    <row r="29" spans="1:61" x14ac:dyDescent="0.45">
      <c r="A29" s="30">
        <f>step3_validation[[#This Row],[Persona_ID]]</f>
        <v>28</v>
      </c>
      <c r="B29" s="31">
        <f>step3_validation[[#This Row],[Used_Seed]]</f>
        <v>69</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14.901861876078375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8</v>
      </c>
      <c r="R29" t="str">
        <f t="shared" si="0"/>
        <v>Support</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7</v>
      </c>
      <c r="V29">
        <f>step3_validation[[#This Row],[AI_ENF2]]</f>
        <v>7</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6</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7</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6</v>
      </c>
      <c r="AZ29">
        <f>step3_validation[[#This Row],[AI_TRU4]]</f>
        <v>6</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5</v>
      </c>
      <c r="BE29">
        <f>step3_validation[[#This Row],[AI_OUT1]]</f>
        <v>7</v>
      </c>
      <c r="BF29" t="str">
        <f t="shared" si="24"/>
        <v>Neutral</v>
      </c>
      <c r="BG29">
        <f>survey_responses[[#This Row],[Sau khi xem xét các quyền lợi và nghĩa vụ, bạn có ủng hộ và tuân thủ chính sách mới hiện nay? - HUMAN-OUT1]]</f>
        <v>1</v>
      </c>
      <c r="BH29" t="str">
        <f t="shared" si="25"/>
        <v>Oppose</v>
      </c>
      <c r="BI29" s="32">
        <f t="shared" si="26"/>
        <v>6</v>
      </c>
    </row>
    <row r="30" spans="1:61" x14ac:dyDescent="0.45">
      <c r="A30" s="30">
        <f>step3_validation[[#This Row],[Persona_ID]]</f>
        <v>29</v>
      </c>
      <c r="B30" s="31">
        <f>step3_validation[[#This Row],[Used_Seed]]</f>
        <v>70</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13.903674226075715</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8</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2">
        <f t="shared" si="5"/>
        <v>2</v>
      </c>
      <c r="AA30">
        <f>step3_validation[[#This Row],[AI_FAC1]]</f>
        <v>6</v>
      </c>
      <c r="AB30" t="str">
        <f t="shared" si="6"/>
        <v>Neutral</v>
      </c>
      <c r="AC30">
        <f>survey_responses[[#This Row],[Các thủ tục khai báo thuế VÀ/HOẶC quy trình làm việc với cơ quan thuế đơn giản, tiện lợi, nhanh chóng hơn so với trước đây. - HUMAN-FAC1]]</f>
        <v>9</v>
      </c>
      <c r="AD30" t="str">
        <f t="shared" si="7"/>
        <v>Support</v>
      </c>
      <c r="AE30" s="32">
        <f t="shared" si="8"/>
        <v>3</v>
      </c>
      <c r="AF30">
        <f>step3_validation[[#This Row],[AI_FAC2]]</f>
        <v>8</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2</v>
      </c>
      <c r="AK30">
        <f>step3_validation[[#This Row],[AI_TRU1]]</f>
        <v>7</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3</v>
      </c>
      <c r="AP30">
        <f>step3_validation[[#This Row],[AI_TRU2]]</f>
        <v>6</v>
      </c>
      <c r="AQ30" t="str">
        <f t="shared" si="15"/>
        <v>Neutral</v>
      </c>
      <c r="AR30">
        <f>survey_responses[[#This Row],[Tôi thấy mức thuế tôi phải đóng theo phương án mới là công bằng (người thu nhập như tôi đóng mức này là hợp lý). - HUMAN-TRU2]]</f>
        <v>9</v>
      </c>
      <c r="AS30" t="str">
        <f t="shared" si="16"/>
        <v>Support</v>
      </c>
      <c r="AT30" s="32">
        <f t="shared" si="17"/>
        <v>3</v>
      </c>
      <c r="AU30">
        <f>step3_validation[[#This Row],[AI_TRU3]]</f>
        <v>7</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3</v>
      </c>
      <c r="AZ30">
        <f>step3_validation[[#This Row],[AI_TRU4]]</f>
        <v>6</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4</v>
      </c>
      <c r="BE30">
        <f>step3_validation[[#This Row],[AI_OUT1]]</f>
        <v>7</v>
      </c>
      <c r="BF30" t="str">
        <f t="shared" si="24"/>
        <v>Neutral</v>
      </c>
      <c r="BG30">
        <f>survey_responses[[#This Row],[Sau khi xem xét các quyền lợi và nghĩa vụ, bạn có ủng hộ và tuân thủ chính sách mới hiện nay? - HUMAN-OUT1]]</f>
        <v>10</v>
      </c>
      <c r="BH30" t="str">
        <f t="shared" si="25"/>
        <v>Support</v>
      </c>
      <c r="BI30" s="32">
        <f t="shared" si="26"/>
        <v>3</v>
      </c>
    </row>
    <row r="31" spans="1:61" x14ac:dyDescent="0.45">
      <c r="A31" s="30">
        <f>step3_validation[[#This Row],[Persona_ID]]</f>
        <v>30</v>
      </c>
      <c r="B31" s="31">
        <f>step3_validation[[#This Row],[Used_Seed]]</f>
        <v>71</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13.267068387186514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2</v>
      </c>
      <c r="V31">
        <f>step3_validation[[#This Row],[AI_ENF2]]</f>
        <v>9</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1</v>
      </c>
      <c r="AA31">
        <f>step3_validation[[#This Row],[AI_FAC1]]</f>
        <v>6</v>
      </c>
      <c r="AB31" t="str">
        <f t="shared" si="6"/>
        <v>Neutral</v>
      </c>
      <c r="AC31">
        <f>survey_responses[[#This Row],[Các thủ tục khai báo thuế VÀ/HOẶC quy trình làm việc với cơ quan thuế đơn giản, tiện lợi, nhanh chóng hơn so với trước đây. - HUMAN-FAC1]]</f>
        <v>9</v>
      </c>
      <c r="AD31" t="str">
        <f t="shared" si="7"/>
        <v>Support</v>
      </c>
      <c r="AE31" s="32">
        <f t="shared" si="8"/>
        <v>3</v>
      </c>
      <c r="AF31">
        <f>step3_validation[[#This Row],[AI_FAC2]]</f>
        <v>7</v>
      </c>
      <c r="AG31" t="str">
        <f t="shared" si="9"/>
        <v>Neutral</v>
      </c>
      <c r="AH31">
        <f>survey_responses[[#This Row],[So với trước đây, tôi thấy cách tính thuế và các bậc thuế trong phương án mới đơn giản, dễ hiểu và dễ thực hiện hơn. - HUMAN-FAC2]]</f>
        <v>10</v>
      </c>
      <c r="AI31" t="str">
        <f t="shared" si="10"/>
        <v>Support</v>
      </c>
      <c r="AJ31" s="32">
        <f t="shared" si="11"/>
        <v>3</v>
      </c>
      <c r="AK31">
        <f>step3_validation[[#This Row],[AI_TRU1]]</f>
        <v>6</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4</v>
      </c>
      <c r="AP31">
        <f>step3_validation[[#This Row],[AI_TRU2]]</f>
        <v>8</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2</v>
      </c>
      <c r="AU31">
        <f>step3_validation[[#This Row],[AI_TRU3]]</f>
        <v>4</v>
      </c>
      <c r="AV31" t="str">
        <f t="shared" si="18"/>
        <v>Oppose</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6</v>
      </c>
      <c r="AZ31">
        <f>step3_validation[[#This Row],[AI_TRU4]]</f>
        <v>6</v>
      </c>
      <c r="BA31" t="str">
        <f t="shared" si="21"/>
        <v>Neutral</v>
      </c>
      <c r="BB31">
        <f>survey_responses[[#This Row],[Tôi thấy Nhà nước đã giải thích rõ ràng, minh bạch về lý do và mục tiêu của việc sửa đổi thuế lần này. - HUMAN-TRU4]]</f>
        <v>10</v>
      </c>
      <c r="BC31" t="str">
        <f t="shared" si="22"/>
        <v>Support</v>
      </c>
      <c r="BD31" s="32">
        <f t="shared" si="23"/>
        <v>4</v>
      </c>
      <c r="BE31">
        <f>step3_validation[[#This Row],[AI_OUT1]]</f>
        <v>7</v>
      </c>
      <c r="BF31" t="str">
        <f t="shared" si="24"/>
        <v>Neutral</v>
      </c>
      <c r="BG31">
        <f>survey_responses[[#This Row],[Sau khi xem xét các quyền lợi và nghĩa vụ, bạn có ủng hộ và tuân thủ chính sách mới hiện nay? - HUMAN-OUT1]]</f>
        <v>10</v>
      </c>
      <c r="BH31" t="str">
        <f t="shared" si="25"/>
        <v>Support</v>
      </c>
      <c r="BI31" s="32">
        <f t="shared" si="26"/>
        <v>3</v>
      </c>
    </row>
    <row r="32" spans="1:61" x14ac:dyDescent="0.45">
      <c r="A32" s="30">
        <f>step3_validation[[#This Row],[Persona_ID]]</f>
        <v>31</v>
      </c>
      <c r="B32" s="31">
        <f>step3_validation[[#This Row],[Used_Seed]]</f>
        <v>72</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29.702693875790402</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8</v>
      </c>
      <c r="R32" t="str">
        <f t="shared" si="0"/>
        <v>Support</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2</v>
      </c>
      <c r="V32">
        <f>step3_validation[[#This Row],[AI_ENF2]]</f>
        <v>7</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0</v>
      </c>
      <c r="AA32">
        <f>step3_validation[[#This Row],[AI_FAC1]]</f>
        <v>6</v>
      </c>
      <c r="AB32" t="str">
        <f t="shared" si="6"/>
        <v>Neutral</v>
      </c>
      <c r="AC32">
        <f>survey_responses[[#This Row],[Các thủ tục khai báo thuế VÀ/HOẶC quy trình làm việc với cơ quan thuế đơn giản, tiện lợi, nhanh chóng hơn so với trước đây. - HUMAN-FAC1]]</f>
        <v>10</v>
      </c>
      <c r="AD32" t="str">
        <f t="shared" si="7"/>
        <v>Support</v>
      </c>
      <c r="AE32" s="32">
        <f t="shared" si="8"/>
        <v>4</v>
      </c>
      <c r="AF32">
        <f>step3_validation[[#This Row],[AI_FAC2]]</f>
        <v>8</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1</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6</v>
      </c>
      <c r="AQ32" t="str">
        <f t="shared" si="15"/>
        <v>Neutral</v>
      </c>
      <c r="AR32">
        <f>survey_responses[[#This Row],[Tôi thấy mức thuế tôi phải đóng theo phương án mới là công bằng (người thu nhập như tôi đóng mức này là hợp lý). - HUMAN-TRU2]]</f>
        <v>10</v>
      </c>
      <c r="AS32" t="str">
        <f t="shared" si="16"/>
        <v>Support</v>
      </c>
      <c r="AT32" s="32">
        <f t="shared" si="17"/>
        <v>4</v>
      </c>
      <c r="AU32">
        <f>step3_validation[[#This Row],[AI_TRU3]]</f>
        <v>5</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2</v>
      </c>
      <c r="AZ32">
        <f>step3_validation[[#This Row],[AI_TRU4]]</f>
        <v>6</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1</v>
      </c>
      <c r="BE32">
        <f>step3_validation[[#This Row],[AI_OUT1]]</f>
        <v>7</v>
      </c>
      <c r="BF32" t="str">
        <f t="shared" si="24"/>
        <v>Neutral</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73</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26.941089514305542</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2</v>
      </c>
      <c r="V33">
        <f>step3_validation[[#This Row],[AI_ENF2]]</f>
        <v>6</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1</v>
      </c>
      <c r="AA33">
        <f>step3_validation[[#This Row],[AI_FAC1]]</f>
        <v>8</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3</v>
      </c>
      <c r="AF33">
        <f>step3_validation[[#This Row],[AI_FAC2]]</f>
        <v>9</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4</v>
      </c>
      <c r="AK33">
        <f>step3_validation[[#This Row],[AI_TRU1]]</f>
        <v>6</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1</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1</v>
      </c>
      <c r="BE33">
        <f>step3_validation[[#This Row],[AI_OUT1]]</f>
        <v>8</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3</v>
      </c>
    </row>
    <row r="34" spans="1:61" x14ac:dyDescent="0.45">
      <c r="A34" s="30">
        <f>step3_validation[[#This Row],[Persona_ID]]</f>
        <v>33</v>
      </c>
      <c r="B34" s="31">
        <f>step3_validation[[#This Row],[Used_Seed]]</f>
        <v>74</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30.155026147511258</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8</v>
      </c>
      <c r="R34" t="str">
        <f t="shared" si="0"/>
        <v>Support</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0</v>
      </c>
      <c r="V34">
        <f>step3_validation[[#This Row],[AI_ENF2]]</f>
        <v>9</v>
      </c>
      <c r="W34" t="str">
        <f t="shared" si="3"/>
        <v>Support</v>
      </c>
      <c r="X34">
        <f>survey_responses[[#This Row],[Tôi tin rằng Nhà nước, cơ quan thuế có đủ khả năng và công nghệ để phát hiện, xử lý nghiêm các hành vi trốn thuế. - HUMAN-ENF2]]</f>
        <v>9</v>
      </c>
      <c r="Y34" t="str">
        <f t="shared" si="4"/>
        <v>Support</v>
      </c>
      <c r="Z34" s="32">
        <f t="shared" si="5"/>
        <v>0</v>
      </c>
      <c r="AA34">
        <f>step3_validation[[#This Row],[AI_FAC1]]</f>
        <v>8</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1</v>
      </c>
      <c r="AF34">
        <f>step3_validation[[#This Row],[AI_FAC2]]</f>
        <v>7</v>
      </c>
      <c r="AG34" t="str">
        <f t="shared" si="9"/>
        <v>Neutral</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8</v>
      </c>
      <c r="AL34" t="str">
        <f t="shared" si="12"/>
        <v>Support</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0</v>
      </c>
      <c r="AP34">
        <f>step3_validation[[#This Row],[AI_TRU2]]</f>
        <v>7</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1</v>
      </c>
      <c r="AU34">
        <f>step3_validation[[#This Row],[AI_TRU3]]</f>
        <v>6</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3</v>
      </c>
      <c r="AZ34">
        <f>step3_validation[[#This Row],[AI_TRU4]]</f>
        <v>7</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1</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75</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13.066458407630989</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6</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4</v>
      </c>
      <c r="V35">
        <f>step3_validation[[#This Row],[AI_ENF2]]</f>
        <v>7</v>
      </c>
      <c r="W35" t="str">
        <f t="shared" si="3"/>
        <v>Neutral</v>
      </c>
      <c r="X35">
        <f>survey_responses[[#This Row],[Tôi tin rằng Nhà nước, cơ quan thuế có đủ khả năng và công nghệ để phát hiện, xử lý nghiêm các hành vi trốn thuế. - HUMAN-ENF2]]</f>
        <v>10</v>
      </c>
      <c r="Y35" t="str">
        <f t="shared" si="4"/>
        <v>Support</v>
      </c>
      <c r="Z35" s="32">
        <f t="shared" si="5"/>
        <v>3</v>
      </c>
      <c r="AA35">
        <f>step3_validation[[#This Row],[AI_FAC1]]</f>
        <v>5</v>
      </c>
      <c r="AB35" t="str">
        <f t="shared" si="6"/>
        <v>Neutral</v>
      </c>
      <c r="AC35">
        <f>survey_responses[[#This Row],[Các thủ tục khai báo thuế VÀ/HOẶC quy trình làm việc với cơ quan thuế đơn giản, tiện lợi, nhanh chóng hơn so với trước đây. - HUMAN-FAC1]]</f>
        <v>10</v>
      </c>
      <c r="AD35" t="str">
        <f t="shared" si="7"/>
        <v>Support</v>
      </c>
      <c r="AE35" s="32">
        <f t="shared" si="8"/>
        <v>5</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4</v>
      </c>
      <c r="AL35" t="str">
        <f t="shared" si="12"/>
        <v>Oppose</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6</v>
      </c>
      <c r="AP35">
        <f>step3_validation[[#This Row],[AI_TRU2]]</f>
        <v>6</v>
      </c>
      <c r="AQ35" t="str">
        <f t="shared" si="15"/>
        <v>Neutral</v>
      </c>
      <c r="AR35">
        <f>survey_responses[[#This Row],[Tôi thấy mức thuế tôi phải đóng theo phương án mới là công bằng (người thu nhập như tôi đóng mức này là hợp lý). - HUMAN-TRU2]]</f>
        <v>10</v>
      </c>
      <c r="AS35" t="str">
        <f t="shared" si="16"/>
        <v>Support</v>
      </c>
      <c r="AT35" s="32">
        <f t="shared" si="17"/>
        <v>4</v>
      </c>
      <c r="AU35">
        <f>step3_validation[[#This Row],[AI_TRU3]]</f>
        <v>5</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5</v>
      </c>
      <c r="AZ35">
        <f>step3_validation[[#This Row],[AI_TRU4]]</f>
        <v>3</v>
      </c>
      <c r="BA35" t="str">
        <f t="shared" si="21"/>
        <v>Oppose</v>
      </c>
      <c r="BB35">
        <f>survey_responses[[#This Row],[Tôi thấy Nhà nước đã giải thích rõ ràng, minh bạch về lý do và mục tiêu của việc sửa đổi thuế lần này. - HUMAN-TRU4]]</f>
        <v>10</v>
      </c>
      <c r="BC35" t="str">
        <f t="shared" si="22"/>
        <v>Support</v>
      </c>
      <c r="BD35" s="32">
        <f t="shared" si="23"/>
        <v>7</v>
      </c>
      <c r="BE35">
        <f>step3_validation[[#This Row],[AI_OUT1]]</f>
        <v>5</v>
      </c>
      <c r="BF35" t="str">
        <f t="shared" si="24"/>
        <v>Neutral</v>
      </c>
      <c r="BG35">
        <f>survey_responses[[#This Row],[Sau khi xem xét các quyền lợi và nghĩa vụ, bạn có ủng hộ và tuân thủ chính sách mới hiện nay? - HUMAN-OUT1]]</f>
        <v>10</v>
      </c>
      <c r="BH35" t="str">
        <f t="shared" si="25"/>
        <v>Support</v>
      </c>
      <c r="BI35" s="32">
        <f t="shared" si="26"/>
        <v>5</v>
      </c>
    </row>
    <row r="36" spans="1:61" x14ac:dyDescent="0.45">
      <c r="A36" s="30">
        <f>step3_validation[[#This Row],[Persona_ID]]</f>
        <v>35</v>
      </c>
      <c r="B36" s="31">
        <f>step3_validation[[#This Row],[Used_Seed]]</f>
        <v>76</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16.031657545787478</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7</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3</v>
      </c>
      <c r="V36">
        <f>step3_validation[[#This Row],[AI_ENF2]]</f>
        <v>8</v>
      </c>
      <c r="W36" t="str">
        <f t="shared" si="3"/>
        <v>Support</v>
      </c>
      <c r="X36">
        <f>survey_responses[[#This Row],[Tôi tin rằng Nhà nước, cơ quan thuế có đủ khả năng và công nghệ để phát hiện, xử lý nghiêm các hành vi trốn thuế. - HUMAN-ENF2]]</f>
        <v>10</v>
      </c>
      <c r="Y36" t="str">
        <f t="shared" si="4"/>
        <v>Support</v>
      </c>
      <c r="Z36" s="32">
        <f t="shared" si="5"/>
        <v>2</v>
      </c>
      <c r="AA36">
        <f>step3_validation[[#This Row],[AI_FAC1]]</f>
        <v>6</v>
      </c>
      <c r="AB36" t="str">
        <f t="shared" si="6"/>
        <v>Neutral</v>
      </c>
      <c r="AC36">
        <f>survey_responses[[#This Row],[Các thủ tục khai báo thuế VÀ/HOẶC quy trình làm việc với cơ quan thuế đơn giản, tiện lợi, nhanh chóng hơn so với trước đây. - HUMAN-FAC1]]</f>
        <v>10</v>
      </c>
      <c r="AD36" t="str">
        <f t="shared" si="7"/>
        <v>Support</v>
      </c>
      <c r="AE36" s="32">
        <f t="shared" si="8"/>
        <v>4</v>
      </c>
      <c r="AF36">
        <f>step3_validation[[#This Row],[AI_FAC2]]</f>
        <v>7</v>
      </c>
      <c r="AG36" t="str">
        <f t="shared" si="9"/>
        <v>Neutral</v>
      </c>
      <c r="AH36">
        <f>survey_responses[[#This Row],[So với trước đây, tôi thấy cách tính thuế và các bậc thuế trong phương án mới đơn giản, dễ hiểu và dễ thực hiện hơn. - HUMAN-FAC2]]</f>
        <v>10</v>
      </c>
      <c r="AI36" t="str">
        <f t="shared" si="10"/>
        <v>Support</v>
      </c>
      <c r="AJ36" s="32">
        <f t="shared" si="11"/>
        <v>3</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8</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2</v>
      </c>
      <c r="AU36">
        <f>step3_validation[[#This Row],[AI_TRU3]]</f>
        <v>6</v>
      </c>
      <c r="AV36" t="str">
        <f t="shared" si="18"/>
        <v>Neutral</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4</v>
      </c>
      <c r="AZ36">
        <f>step3_validation[[#This Row],[AI_TRU4]]</f>
        <v>7</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3</v>
      </c>
      <c r="BE36">
        <f>step3_validation[[#This Row],[AI_OUT1]]</f>
        <v>8</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2</v>
      </c>
    </row>
    <row r="37" spans="1:61" x14ac:dyDescent="0.45">
      <c r="A37" s="30">
        <f>step3_validation[[#This Row],[Persona_ID]]</f>
        <v>36</v>
      </c>
      <c r="B37" s="31">
        <f>step3_validation[[#This Row],[Used_Seed]]</f>
        <v>77</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15.929661542712465</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8</v>
      </c>
      <c r="R37" t="str">
        <f t="shared" si="0"/>
        <v>Support</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2</v>
      </c>
      <c r="V37">
        <f>step3_validation[[#This Row],[AI_ENF2]]</f>
        <v>9</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0</v>
      </c>
      <c r="AA37">
        <f>step3_validation[[#This Row],[AI_FAC1]]</f>
        <v>7</v>
      </c>
      <c r="AB37" t="str">
        <f t="shared" si="6"/>
        <v>Neutral</v>
      </c>
      <c r="AC37">
        <f>survey_responses[[#This Row],[Các thủ tục khai báo thuế VÀ/HOẶC quy trình làm việc với cơ quan thuế đơn giản, tiện lợi, nhanh chóng hơn so với trước đây. - HUMAN-FAC1]]</f>
        <v>10</v>
      </c>
      <c r="AD37" t="str">
        <f t="shared" si="7"/>
        <v>Support</v>
      </c>
      <c r="AE37" s="32">
        <f t="shared" si="8"/>
        <v>3</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6</v>
      </c>
      <c r="AQ37" t="str">
        <f t="shared" si="15"/>
        <v>Neutral</v>
      </c>
      <c r="AR37">
        <f>survey_responses[[#This Row],[Tôi thấy mức thuế tôi phải đóng theo phương án mới là công bằng (người thu nhập như tôi đóng mức này là hợp lý). - HUMAN-TRU2]]</f>
        <v>9</v>
      </c>
      <c r="AS37" t="str">
        <f t="shared" si="16"/>
        <v>Support</v>
      </c>
      <c r="AT37" s="32">
        <f t="shared" si="17"/>
        <v>3</v>
      </c>
      <c r="AU37">
        <f>step3_validation[[#This Row],[AI_TRU3]]</f>
        <v>6</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4</v>
      </c>
      <c r="AZ37">
        <f>step3_validation[[#This Row],[AI_TRU4]]</f>
        <v>5</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5</v>
      </c>
      <c r="BE37">
        <f>step3_validation[[#This Row],[AI_OUT1]]</f>
        <v>7</v>
      </c>
      <c r="BF37" t="str">
        <f t="shared" si="24"/>
        <v>Neutral</v>
      </c>
      <c r="BG37">
        <f>survey_responses[[#This Row],[Sau khi xem xét các quyền lợi và nghĩa vụ, bạn có ủng hộ và tuân thủ chính sách mới hiện nay? - HUMAN-OUT1]]</f>
        <v>10</v>
      </c>
      <c r="BH37" t="str">
        <f t="shared" si="25"/>
        <v>Support</v>
      </c>
      <c r="BI37" s="32">
        <f t="shared" si="26"/>
        <v>3</v>
      </c>
    </row>
    <row r="38" spans="1:61" x14ac:dyDescent="0.45">
      <c r="A38" s="30">
        <f>step3_validation[[#This Row],[Persona_ID]]</f>
        <v>37</v>
      </c>
      <c r="B38" s="31">
        <f>step3_validation[[#This Row],[Used_Seed]]</f>
        <v>78</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14.094315439151609</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8</v>
      </c>
      <c r="R38" t="str">
        <f t="shared" si="0"/>
        <v>Support</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2</v>
      </c>
      <c r="V38">
        <f>step3_validation[[#This Row],[AI_ENF2]]</f>
        <v>7</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3</v>
      </c>
      <c r="AA38">
        <f>step3_validation[[#This Row],[AI_FAC1]]</f>
        <v>6</v>
      </c>
      <c r="AB38" t="str">
        <f t="shared" si="6"/>
        <v>Neutral</v>
      </c>
      <c r="AC38">
        <f>survey_responses[[#This Row],[Các thủ tục khai báo thuế VÀ/HOẶC quy trình làm việc với cơ quan thuế đơn giản, tiện lợi, nhanh chóng hơn so với trước đây. - HUMAN-FAC1]]</f>
        <v>10</v>
      </c>
      <c r="AD38" t="str">
        <f t="shared" si="7"/>
        <v>Support</v>
      </c>
      <c r="AE38" s="32">
        <f t="shared" si="8"/>
        <v>4</v>
      </c>
      <c r="AF38">
        <f>step3_validation[[#This Row],[AI_FAC2]]</f>
        <v>6</v>
      </c>
      <c r="AG38" t="str">
        <f t="shared" si="9"/>
        <v>Neutral</v>
      </c>
      <c r="AH38">
        <f>survey_responses[[#This Row],[So với trước đây, tôi thấy cách tính thuế và các bậc thuế trong phương án mới đơn giản, dễ hiểu và dễ thực hiện hơn. - HUMAN-FAC2]]</f>
        <v>10</v>
      </c>
      <c r="AI38" t="str">
        <f t="shared" si="10"/>
        <v>Support</v>
      </c>
      <c r="AJ38" s="32">
        <f t="shared" si="11"/>
        <v>4</v>
      </c>
      <c r="AK38">
        <f>step3_validation[[#This Row],[AI_TRU1]]</f>
        <v>7</v>
      </c>
      <c r="AL38" t="str">
        <f t="shared" si="12"/>
        <v>Neutral</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2</v>
      </c>
      <c r="AP38">
        <f>step3_validation[[#This Row],[AI_TRU2]]</f>
        <v>6</v>
      </c>
      <c r="AQ38" t="str">
        <f t="shared" si="15"/>
        <v>Neutral</v>
      </c>
      <c r="AR38">
        <f>survey_responses[[#This Row],[Tôi thấy mức thuế tôi phải đóng theo phương án mới là công bằng (người thu nhập như tôi đóng mức này là hợp lý). - HUMAN-TRU2]]</f>
        <v>9</v>
      </c>
      <c r="AS38" t="str">
        <f t="shared" si="16"/>
        <v>Support</v>
      </c>
      <c r="AT38" s="32">
        <f t="shared" si="17"/>
        <v>3</v>
      </c>
      <c r="AU38">
        <f>step3_validation[[#This Row],[AI_TRU3]]</f>
        <v>5</v>
      </c>
      <c r="AV38" t="str">
        <f t="shared" si="18"/>
        <v>Neutral</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4</v>
      </c>
      <c r="AZ38">
        <f>step3_validation[[#This Row],[AI_TRU4]]</f>
        <v>6</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3</v>
      </c>
      <c r="BE38">
        <f>step3_validation[[#This Row],[AI_OUT1]]</f>
        <v>7</v>
      </c>
      <c r="BF38" t="str">
        <f t="shared" si="24"/>
        <v>Neutral</v>
      </c>
      <c r="BG38">
        <f>survey_responses[[#This Row],[Sau khi xem xét các quyền lợi và nghĩa vụ, bạn có ủng hộ và tuân thủ chính sách mới hiện nay? - HUMAN-OUT1]]</f>
        <v>8</v>
      </c>
      <c r="BH38" t="str">
        <f t="shared" si="25"/>
        <v>Support</v>
      </c>
      <c r="BI38" s="32">
        <f t="shared" si="26"/>
        <v>1</v>
      </c>
    </row>
    <row r="39" spans="1:61" x14ac:dyDescent="0.45">
      <c r="A39" s="30">
        <f>step3_validation[[#This Row],[Persona_ID]]</f>
        <v>38</v>
      </c>
      <c r="B39" s="31">
        <f>step3_validation[[#This Row],[Used_Seed]]</f>
        <v>79</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45.794035810652829</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8</v>
      </c>
      <c r="R39" t="str">
        <f t="shared" si="0"/>
        <v>Support</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0</v>
      </c>
      <c r="V39">
        <f>step3_validation[[#This Row],[AI_ENF2]]</f>
        <v>7</v>
      </c>
      <c r="W39" t="str">
        <f t="shared" si="3"/>
        <v>Neutral</v>
      </c>
      <c r="X39">
        <f>survey_responses[[#This Row],[Tôi tin rằng Nhà nước, cơ quan thuế có đủ khả năng và công nghệ để phát hiện, xử lý nghiêm các hành vi trốn thuế. - HUMAN-ENF2]]</f>
        <v>8</v>
      </c>
      <c r="Y39" t="str">
        <f t="shared" si="4"/>
        <v>Support</v>
      </c>
      <c r="Z39" s="32">
        <f t="shared" si="5"/>
        <v>1</v>
      </c>
      <c r="AA39">
        <f>step3_validation[[#This Row],[AI_FAC1]]</f>
        <v>9</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1</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0</v>
      </c>
      <c r="AP39">
        <f>step3_validation[[#This Row],[AI_TRU2]]</f>
        <v>8</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2">
        <f t="shared" si="17"/>
        <v>0</v>
      </c>
      <c r="AU39">
        <f>step3_validation[[#This Row],[AI_TRU3]]</f>
        <v>7</v>
      </c>
      <c r="AV39" t="str">
        <f t="shared" si="18"/>
        <v>Neutral</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1</v>
      </c>
      <c r="AZ39">
        <f>step3_validation[[#This Row],[AI_TRU4]]</f>
        <v>6</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2</v>
      </c>
      <c r="BE39">
        <f>step3_validation[[#This Row],[AI_OUT1]]</f>
        <v>7</v>
      </c>
      <c r="BF39" t="str">
        <f t="shared" si="24"/>
        <v>Neutral</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80</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15.682456656717269</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3</v>
      </c>
      <c r="V40">
        <f>step3_validation[[#This Row],[AI_ENF2]]</f>
        <v>8</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2">
        <f t="shared" si="5"/>
        <v>2</v>
      </c>
      <c r="AA40">
        <f>step3_validation[[#This Row],[AI_FAC1]]</f>
        <v>9</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1</v>
      </c>
      <c r="AF40">
        <f>step3_validation[[#This Row],[AI_FAC2]]</f>
        <v>8</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2</v>
      </c>
      <c r="AK40">
        <f>step3_validation[[#This Row],[AI_TRU1]]</f>
        <v>7</v>
      </c>
      <c r="AL40" t="str">
        <f t="shared" si="12"/>
        <v>Neutral</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3</v>
      </c>
      <c r="AP40">
        <f>step3_validation[[#This Row],[AI_TRU2]]</f>
        <v>8</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2</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3</v>
      </c>
      <c r="AZ40">
        <f>step3_validation[[#This Row],[AI_TRU4]]</f>
        <v>6</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4</v>
      </c>
      <c r="BE40">
        <f>step3_validation[[#This Row],[AI_OUT1]]</f>
        <v>9</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1</v>
      </c>
    </row>
    <row r="41" spans="1:61" x14ac:dyDescent="0.45">
      <c r="A41" s="30">
        <f>step3_validation[[#This Row],[Persona_ID]]</f>
        <v>40</v>
      </c>
      <c r="B41" s="31">
        <f>step3_validation[[#This Row],[Used_Seed]]</f>
        <v>81</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166.24876708363354</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0</v>
      </c>
      <c r="AA41">
        <f>step3_validation[[#This Row],[AI_FAC1]]</f>
        <v>9</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3</v>
      </c>
      <c r="AF41">
        <f>step3_validation[[#This Row],[AI_FAC2]]</f>
        <v>8</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0</v>
      </c>
      <c r="AK41">
        <f>step3_validation[[#This Row],[AI_TRU1]]</f>
        <v>9</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2</v>
      </c>
      <c r="AP41">
        <f>step3_validation[[#This Row],[AI_TRU2]]</f>
        <v>7</v>
      </c>
      <c r="AQ41" t="str">
        <f t="shared" si="15"/>
        <v>Neutral</v>
      </c>
      <c r="AR41">
        <f>survey_responses[[#This Row],[Tôi thấy mức thuế tôi phải đóng theo phương án mới là công bằng (người thu nhập như tôi đóng mức này là hợp lý). - HUMAN-TRU2]]</f>
        <v>8</v>
      </c>
      <c r="AS41" t="str">
        <f t="shared" si="16"/>
        <v>Support</v>
      </c>
      <c r="AT41" s="32">
        <f t="shared" si="17"/>
        <v>1</v>
      </c>
      <c r="AU41">
        <f>step3_validation[[#This Row],[AI_TRU3]]</f>
        <v>6</v>
      </c>
      <c r="AV41" t="str">
        <f t="shared" si="18"/>
        <v>Neutral</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1</v>
      </c>
      <c r="AZ41">
        <f>step3_validation[[#This Row],[AI_TRU4]]</f>
        <v>5</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1</v>
      </c>
      <c r="BE41">
        <f>step3_validation[[#This Row],[AI_OUT1]]</f>
        <v>7</v>
      </c>
      <c r="BF41" t="str">
        <f t="shared" si="24"/>
        <v>Neutral</v>
      </c>
      <c r="BG41">
        <f>survey_responses[[#This Row],[Sau khi xem xét các quyền lợi và nghĩa vụ, bạn có ủng hộ và tuân thủ chính sách mới hiện nay? - HUMAN-OUT1]]</f>
        <v>7</v>
      </c>
      <c r="BH41" t="str">
        <f t="shared" si="25"/>
        <v>Neutral</v>
      </c>
      <c r="BI41" s="32">
        <f t="shared" si="26"/>
        <v>0</v>
      </c>
    </row>
    <row r="42" spans="1:61" x14ac:dyDescent="0.45">
      <c r="A42" s="30">
        <f>step3_validation[[#This Row],[Persona_ID]]</f>
        <v>41</v>
      </c>
      <c r="B42" s="31">
        <f>step3_validation[[#This Row],[Used_Seed]]</f>
        <v>82</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100.92680132394321</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8</v>
      </c>
      <c r="W42" t="str">
        <f t="shared" si="3"/>
        <v>Support</v>
      </c>
      <c r="X42">
        <f>survey_responses[[#This Row],[Tôi tin rằng Nhà nước, cơ quan thuế có đủ khả năng và công nghệ để phát hiện, xử lý nghiêm các hành vi trốn thuế. - HUMAN-ENF2]]</f>
        <v>8</v>
      </c>
      <c r="Y42" t="str">
        <f t="shared" si="4"/>
        <v>Support</v>
      </c>
      <c r="Z42" s="32">
        <f t="shared" si="5"/>
        <v>0</v>
      </c>
      <c r="AA42">
        <f>step3_validation[[#This Row],[AI_FAC1]]</f>
        <v>6</v>
      </c>
      <c r="AB42" t="str">
        <f t="shared" si="6"/>
        <v>Neutral</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8</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1</v>
      </c>
      <c r="AP42">
        <f>step3_validation[[#This Row],[AI_TRU2]]</f>
        <v>9</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5</v>
      </c>
      <c r="AU42">
        <f>step3_validation[[#This Row],[AI_TRU3]]</f>
        <v>7</v>
      </c>
      <c r="AV42" t="str">
        <f t="shared" si="18"/>
        <v>Neutral</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5</v>
      </c>
      <c r="AZ42">
        <f>step3_validation[[#This Row],[AI_TRU4]]</f>
        <v>6</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2</v>
      </c>
      <c r="BE42">
        <f>step3_validation[[#This Row],[AI_OUT1]]</f>
        <v>8</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0</v>
      </c>
    </row>
    <row r="43" spans="1:61" x14ac:dyDescent="0.45">
      <c r="A43" s="30">
        <f>step3_validation[[#This Row],[Persona_ID]]</f>
        <v>42</v>
      </c>
      <c r="B43" s="31">
        <f>step3_validation[[#This Row],[Used_Seed]]</f>
        <v>83</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36.746214797765028</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8</v>
      </c>
      <c r="W43" t="str">
        <f t="shared" si="3"/>
        <v>Support</v>
      </c>
      <c r="X43">
        <f>survey_responses[[#This Row],[Tôi tin rằng Nhà nước, cơ quan thuế có đủ khả năng và công nghệ để phát hiện, xử lý nghiêm các hành vi trốn thuế. - HUMAN-ENF2]]</f>
        <v>10</v>
      </c>
      <c r="Y43" t="str">
        <f t="shared" si="4"/>
        <v>Support</v>
      </c>
      <c r="Z43" s="32">
        <f t="shared" si="5"/>
        <v>2</v>
      </c>
      <c r="AA43">
        <f>step3_validation[[#This Row],[AI_FAC1]]</f>
        <v>9</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0</v>
      </c>
      <c r="AF43">
        <f>step3_validation[[#This Row],[AI_FAC2]]</f>
        <v>8</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0</v>
      </c>
      <c r="AK43">
        <f>step3_validation[[#This Row],[AI_TRU1]]</f>
        <v>9</v>
      </c>
      <c r="AL43" t="str">
        <f t="shared" si="12"/>
        <v>Support</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2</v>
      </c>
      <c r="AP43">
        <f>step3_validation[[#This Row],[AI_TRU2]]</f>
        <v>7</v>
      </c>
      <c r="AQ43" t="str">
        <f t="shared" si="15"/>
        <v>Neutral</v>
      </c>
      <c r="AR43">
        <f>survey_responses[[#This Row],[Tôi thấy mức thuế tôi phải đóng theo phương án mới là công bằng (người thu nhập như tôi đóng mức này là hợp lý). - HUMAN-TRU2]]</f>
        <v>9</v>
      </c>
      <c r="AS43" t="str">
        <f t="shared" si="16"/>
        <v>Support</v>
      </c>
      <c r="AT43" s="32">
        <f t="shared" si="17"/>
        <v>2</v>
      </c>
      <c r="AU43">
        <f>step3_validation[[#This Row],[AI_TRU3]]</f>
        <v>8</v>
      </c>
      <c r="AV43" t="str">
        <f t="shared" si="18"/>
        <v>Support</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1</v>
      </c>
      <c r="AZ43">
        <f>step3_validation[[#This Row],[AI_TRU4]]</f>
        <v>5</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3</v>
      </c>
      <c r="BE43">
        <f>step3_validation[[#This Row],[AI_OUT1]]</f>
        <v>6</v>
      </c>
      <c r="BF43" t="str">
        <f t="shared" si="24"/>
        <v>Neutral</v>
      </c>
      <c r="BG43">
        <f>survey_responses[[#This Row],[Sau khi xem xét các quyền lợi và nghĩa vụ, bạn có ủng hộ và tuân thủ chính sách mới hiện nay? - HUMAN-OUT1]]</f>
        <v>8</v>
      </c>
      <c r="BH43" t="str">
        <f t="shared" si="25"/>
        <v>Support</v>
      </c>
      <c r="BI43" s="32">
        <f t="shared" si="26"/>
        <v>2</v>
      </c>
    </row>
    <row r="44" spans="1:61" x14ac:dyDescent="0.45">
      <c r="A44" s="30">
        <f>step3_validation[[#This Row],[Persona_ID]]</f>
        <v>43</v>
      </c>
      <c r="B44" s="31">
        <f>step3_validation[[#This Row],[Used_Seed]]</f>
        <v>84</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210.3505393613315</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7</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1</v>
      </c>
      <c r="V44">
        <f>step3_validation[[#This Row],[AI_ENF2]]</f>
        <v>8</v>
      </c>
      <c r="W44" t="str">
        <f t="shared" si="3"/>
        <v>Support</v>
      </c>
      <c r="X44">
        <f>survey_responses[[#This Row],[Tôi tin rằng Nhà nước, cơ quan thuế có đủ khả năng và công nghệ để phát hiện, xử lý nghiêm các hành vi trốn thuế. - HUMAN-ENF2]]</f>
        <v>6</v>
      </c>
      <c r="Y44" t="str">
        <f t="shared" si="4"/>
        <v>Neutral</v>
      </c>
      <c r="Z44" s="32">
        <f t="shared" si="5"/>
        <v>2</v>
      </c>
      <c r="AA44">
        <f>step3_validation[[#This Row],[AI_FAC1]]</f>
        <v>6</v>
      </c>
      <c r="AB44" t="str">
        <f t="shared" si="6"/>
        <v>Neutral</v>
      </c>
      <c r="AC44">
        <f>survey_responses[[#This Row],[Các thủ tục khai báo thuế VÀ/HOẶC quy trình làm việc với cơ quan thuế đơn giản, tiện lợi, nhanh chóng hơn so với trước đây. - HUMAN-FAC1]]</f>
        <v>8</v>
      </c>
      <c r="AD44" t="str">
        <f t="shared" si="7"/>
        <v>Support</v>
      </c>
      <c r="AE44" s="32">
        <f t="shared" si="8"/>
        <v>2</v>
      </c>
      <c r="AF44">
        <f>step3_validation[[#This Row],[AI_FAC2]]</f>
        <v>5</v>
      </c>
      <c r="AG44" t="str">
        <f t="shared" si="9"/>
        <v>Neutral</v>
      </c>
      <c r="AH44">
        <f>survey_responses[[#This Row],[So với trước đây, tôi thấy cách tính thuế và các bậc thuế trong phương án mới đơn giản, dễ hiểu và dễ thực hiện hơn. - HUMAN-FAC2]]</f>
        <v>10</v>
      </c>
      <c r="AI44" t="str">
        <f t="shared" si="10"/>
        <v>Support</v>
      </c>
      <c r="AJ44" s="32">
        <f t="shared" si="11"/>
        <v>5</v>
      </c>
      <c r="AK44">
        <f>step3_validation[[#This Row],[AI_TRU1]]</f>
        <v>7</v>
      </c>
      <c r="AL44" t="str">
        <f t="shared" si="12"/>
        <v>Neutral</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2</v>
      </c>
      <c r="AP44">
        <f>step3_validation[[#This Row],[AI_TRU2]]</f>
        <v>6</v>
      </c>
      <c r="AQ44" t="str">
        <f t="shared" si="15"/>
        <v>Neutral</v>
      </c>
      <c r="AR44">
        <f>survey_responses[[#This Row],[Tôi thấy mức thuế tôi phải đóng theo phương án mới là công bằng (người thu nhập như tôi đóng mức này là hợp lý). - HUMAN-TRU2]]</f>
        <v>1</v>
      </c>
      <c r="AS44" t="str">
        <f t="shared" si="16"/>
        <v>Oppose</v>
      </c>
      <c r="AT44" s="32">
        <f t="shared" si="17"/>
        <v>5</v>
      </c>
      <c r="AU44">
        <f>step3_validation[[#This Row],[AI_TRU3]]</f>
        <v>7</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0</v>
      </c>
      <c r="AZ44">
        <f>step3_validation[[#This Row],[AI_TRU4]]</f>
        <v>5</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2</v>
      </c>
      <c r="BE44">
        <f>step3_validation[[#This Row],[AI_OUT1]]</f>
        <v>6</v>
      </c>
      <c r="BF44" t="str">
        <f t="shared" si="24"/>
        <v>Neutral</v>
      </c>
      <c r="BG44">
        <f>survey_responses[[#This Row],[Sau khi xem xét các quyền lợi và nghĩa vụ, bạn có ủng hộ và tuân thủ chính sách mới hiện nay? - HUMAN-OUT1]]</f>
        <v>8</v>
      </c>
      <c r="BH44" t="str">
        <f t="shared" si="25"/>
        <v>Support</v>
      </c>
      <c r="BI44" s="32">
        <f t="shared" si="26"/>
        <v>2</v>
      </c>
    </row>
    <row r="45" spans="1:61" x14ac:dyDescent="0.45">
      <c r="A45" s="30">
        <f>step3_validation[[#This Row],[Persona_ID]]</f>
        <v>44</v>
      </c>
      <c r="B45" s="31">
        <f>step3_validation[[#This Row],[Used_Seed]]</f>
        <v>85</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23.354583929687994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8</v>
      </c>
      <c r="R45" t="str">
        <f t="shared" si="0"/>
        <v>Support</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0</v>
      </c>
      <c r="V45">
        <f>step3_validation[[#This Row],[AI_ENF2]]</f>
        <v>7</v>
      </c>
      <c r="W45" t="str">
        <f t="shared" si="3"/>
        <v>Neutral</v>
      </c>
      <c r="X45">
        <f>survey_responses[[#This Row],[Tôi tin rằng Nhà nước, cơ quan thuế có đủ khả năng và công nghệ để phát hiện, xử lý nghiêm các hành vi trốn thuế. - HUMAN-ENF2]]</f>
        <v>8</v>
      </c>
      <c r="Y45" t="str">
        <f t="shared" si="4"/>
        <v>Support</v>
      </c>
      <c r="Z45" s="32">
        <f t="shared" si="5"/>
        <v>1</v>
      </c>
      <c r="AA45">
        <f>step3_validation[[#This Row],[AI_FAC1]]</f>
        <v>6</v>
      </c>
      <c r="AB45" t="str">
        <f t="shared" si="6"/>
        <v>Neutral</v>
      </c>
      <c r="AC45">
        <f>survey_responses[[#This Row],[Các thủ tục khai báo thuế VÀ/HOẶC quy trình làm việc với cơ quan thuế đơn giản, tiện lợi, nhanh chóng hơn so với trước đây. - HUMAN-FAC1]]</f>
        <v>8</v>
      </c>
      <c r="AD45" t="str">
        <f t="shared" si="7"/>
        <v>Support</v>
      </c>
      <c r="AE45" s="32">
        <f t="shared" si="8"/>
        <v>2</v>
      </c>
      <c r="AF45">
        <f>step3_validation[[#This Row],[AI_FAC2]]</f>
        <v>9</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7</v>
      </c>
      <c r="AL45" t="str">
        <f t="shared" si="12"/>
        <v>Neutral</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0</v>
      </c>
      <c r="AU45">
        <f>step3_validation[[#This Row],[AI_TRU3]]</f>
        <v>6</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3</v>
      </c>
      <c r="AZ45">
        <f>step3_validation[[#This Row],[AI_TRU4]]</f>
        <v>7</v>
      </c>
      <c r="BA45" t="str">
        <f t="shared" si="21"/>
        <v>Neutral</v>
      </c>
      <c r="BB45">
        <f>survey_responses[[#This Row],[Tôi thấy Nhà nước đã giải thích rõ ràng, minh bạch về lý do và mục tiêu của việc sửa đổi thuế lần này. - HUMAN-TRU4]]</f>
        <v>5</v>
      </c>
      <c r="BC45" t="str">
        <f t="shared" si="22"/>
        <v>Neutral</v>
      </c>
      <c r="BD45" s="32">
        <f t="shared" si="23"/>
        <v>2</v>
      </c>
      <c r="BE45">
        <f>step3_validation[[#This Row],[AI_OUT1]]</f>
        <v>8</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1</v>
      </c>
    </row>
    <row r="46" spans="1:61" x14ac:dyDescent="0.45">
      <c r="A46" s="30">
        <f>step3_validation[[#This Row],[Persona_ID]]</f>
        <v>45</v>
      </c>
      <c r="B46" s="31">
        <f>step3_validation[[#This Row],[Used_Seed]]</f>
        <v>86</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27.923698546286271</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6</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4</v>
      </c>
      <c r="V46">
        <f>step3_validation[[#This Row],[AI_ENF2]]</f>
        <v>7</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3</v>
      </c>
      <c r="AA46">
        <f>step3_validation[[#This Row],[AI_FAC1]]</f>
        <v>8</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2</v>
      </c>
      <c r="AF46">
        <f>step3_validation[[#This Row],[AI_FAC2]]</f>
        <v>9</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0</v>
      </c>
      <c r="AK46">
        <f>step3_validation[[#This Row],[AI_TRU1]]</f>
        <v>7</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3</v>
      </c>
      <c r="AP46">
        <f>step3_validation[[#This Row],[AI_TRU2]]</f>
        <v>8</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2</v>
      </c>
      <c r="AU46">
        <f>step3_validation[[#This Row],[AI_TRU3]]</f>
        <v>6</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4</v>
      </c>
      <c r="AZ46">
        <f>step3_validation[[#This Row],[AI_TRU4]]</f>
        <v>5</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5</v>
      </c>
      <c r="BE46">
        <f>step3_validation[[#This Row],[AI_OUT1]]</f>
        <v>7</v>
      </c>
      <c r="BF46" t="str">
        <f t="shared" si="24"/>
        <v>Neutral</v>
      </c>
      <c r="BG46">
        <f>survey_responses[[#This Row],[Sau khi xem xét các quyền lợi và nghĩa vụ, bạn có ủng hộ và tuân thủ chính sách mới hiện nay? - HUMAN-OUT1]]</f>
        <v>10</v>
      </c>
      <c r="BH46" t="str">
        <f t="shared" si="25"/>
        <v>Support</v>
      </c>
      <c r="BI46" s="32">
        <f t="shared" si="26"/>
        <v>3</v>
      </c>
    </row>
    <row r="47" spans="1:61" x14ac:dyDescent="0.45">
      <c r="A47" s="30">
        <f>step3_validation[[#This Row],[Persona_ID]]</f>
        <v>46</v>
      </c>
      <c r="B47" s="31">
        <f>step3_validation[[#This Row],[Used_Seed]]</f>
        <v>87</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6</v>
      </c>
      <c r="V47">
        <f>step3_validation[[#This Row],[AI_ENF2]]</f>
        <v>6</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5</v>
      </c>
      <c r="AA47">
        <f>step3_validation[[#This Row],[AI_FAC1]]</f>
        <v>6</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2">
        <f t="shared" si="8"/>
        <v>4</v>
      </c>
      <c r="AF47">
        <f>step3_validation[[#This Row],[AI_FAC2]]</f>
        <v>7</v>
      </c>
      <c r="AG47" t="str">
        <f t="shared" si="9"/>
        <v>Neutral</v>
      </c>
      <c r="AH47">
        <f>survey_responses[[#This Row],[So với trước đây, tôi thấy cách tính thuế và các bậc thuế trong phương án mới đơn giản, dễ hiểu và dễ thực hiện hơn. - HUMAN-FAC2]]</f>
        <v>1</v>
      </c>
      <c r="AI47" t="str">
        <f t="shared" si="10"/>
        <v>Oppose</v>
      </c>
      <c r="AJ47" s="32">
        <f t="shared" si="11"/>
        <v>6</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7</v>
      </c>
      <c r="AP47">
        <f>step3_validation[[#This Row],[AI_TRU2]]</f>
        <v>7</v>
      </c>
      <c r="AQ47" t="str">
        <f t="shared" si="15"/>
        <v>Neutral</v>
      </c>
      <c r="AR47">
        <f>survey_responses[[#This Row],[Tôi thấy mức thuế tôi phải đóng theo phương án mới là công bằng (người thu nhập như tôi đóng mức này là hợp lý). - HUMAN-TRU2]]</f>
        <v>1</v>
      </c>
      <c r="AS47" t="str">
        <f t="shared" si="16"/>
        <v>Oppose</v>
      </c>
      <c r="AT47" s="32">
        <f t="shared" si="17"/>
        <v>6</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7</v>
      </c>
      <c r="AZ47">
        <f>step3_validation[[#This Row],[AI_TRU4]]</f>
        <v>6</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5</v>
      </c>
      <c r="BE47">
        <f>step3_validation[[#This Row],[AI_OUT1]]</f>
        <v>7</v>
      </c>
      <c r="BF47" t="str">
        <f t="shared" si="24"/>
        <v>Neutral</v>
      </c>
      <c r="BG47">
        <f>survey_responses[[#This Row],[Sau khi xem xét các quyền lợi và nghĩa vụ, bạn có ủng hộ và tuân thủ chính sách mới hiện nay? - HUMAN-OUT1]]</f>
        <v>1</v>
      </c>
      <c r="BH47" t="str">
        <f t="shared" si="25"/>
        <v>Oppose</v>
      </c>
      <c r="BI47" s="32">
        <f t="shared" si="26"/>
        <v>6</v>
      </c>
    </row>
    <row r="48" spans="1:61" x14ac:dyDescent="0.45">
      <c r="A48" s="30">
        <f>step3_validation[[#This Row],[Persona_ID]]</f>
        <v>47</v>
      </c>
      <c r="B48" s="31">
        <f>step3_validation[[#This Row],[Used_Seed]]</f>
        <v>88</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7</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1</v>
      </c>
      <c r="V48">
        <f>step3_validation[[#This Row],[AI_ENF2]]</f>
        <v>6</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2</v>
      </c>
      <c r="AA48">
        <f>step3_validation[[#This Row],[AI_FAC1]]</f>
        <v>8</v>
      </c>
      <c r="AB48" t="str">
        <f t="shared" si="6"/>
        <v>Support</v>
      </c>
      <c r="AC48">
        <f>survey_responses[[#This Row],[Các thủ tục khai báo thuế VÀ/HOẶC quy trình làm việc với cơ quan thuế đơn giản, tiện lợi, nhanh chóng hơn so với trước đây. - HUMAN-FAC1]]</f>
        <v>8</v>
      </c>
      <c r="AD48" t="str">
        <f t="shared" si="7"/>
        <v>Support</v>
      </c>
      <c r="AE48" s="32">
        <f t="shared" si="8"/>
        <v>0</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8</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2</v>
      </c>
      <c r="AP48">
        <f>step3_validation[[#This Row],[AI_TRU2]]</f>
        <v>7</v>
      </c>
      <c r="AQ48" t="str">
        <f t="shared" si="15"/>
        <v>Neutral</v>
      </c>
      <c r="AR48">
        <f>survey_responses[[#This Row],[Tôi thấy mức thuế tôi phải đóng theo phương án mới là công bằng (người thu nhập như tôi đóng mức này là hợp lý). - HUMAN-TRU2]]</f>
        <v>8</v>
      </c>
      <c r="AS48" t="str">
        <f t="shared" si="16"/>
        <v>Support</v>
      </c>
      <c r="AT48" s="32">
        <f t="shared" si="17"/>
        <v>1</v>
      </c>
      <c r="AU48">
        <f>step3_validation[[#This Row],[AI_TRU3]]</f>
        <v>8</v>
      </c>
      <c r="AV48" t="str">
        <f t="shared" si="18"/>
        <v>Support</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0</v>
      </c>
      <c r="AZ48">
        <f>step3_validation[[#This Row],[AI_TRU4]]</f>
        <v>5</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4</v>
      </c>
      <c r="BE48">
        <f>step3_validation[[#This Row],[AI_OUT1]]</f>
        <v>8</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0</v>
      </c>
    </row>
    <row r="49" spans="1:61" x14ac:dyDescent="0.45">
      <c r="A49" s="30">
        <f>step3_validation[[#This Row],[Persona_ID]]</f>
        <v>48</v>
      </c>
      <c r="B49" s="31">
        <f>step3_validation[[#This Row],[Used_Seed]]</f>
        <v>89</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40.636657127150492</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7</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3</v>
      </c>
      <c r="V49">
        <f>step3_validation[[#This Row],[AI_ENF2]]</f>
        <v>6</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2">
        <f t="shared" si="5"/>
        <v>4</v>
      </c>
      <c r="AA49">
        <f>step3_validation[[#This Row],[AI_FAC1]]</f>
        <v>8</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2</v>
      </c>
      <c r="AF49">
        <f>step3_validation[[#This Row],[AI_FAC2]]</f>
        <v>9</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1</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6</v>
      </c>
      <c r="AQ49" t="str">
        <f t="shared" si="15"/>
        <v>Neutral</v>
      </c>
      <c r="AR49">
        <f>survey_responses[[#This Row],[Tôi thấy mức thuế tôi phải đóng theo phương án mới là công bằng (người thu nhập như tôi đóng mức này là hợp lý). - HUMAN-TRU2]]</f>
        <v>10</v>
      </c>
      <c r="AS49" t="str">
        <f t="shared" si="16"/>
        <v>Support</v>
      </c>
      <c r="AT49" s="32">
        <f t="shared" si="17"/>
        <v>4</v>
      </c>
      <c r="AU49">
        <f>step3_validation[[#This Row],[AI_TRU3]]</f>
        <v>7</v>
      </c>
      <c r="AV49" t="str">
        <f t="shared" si="18"/>
        <v>Neutral</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3</v>
      </c>
      <c r="AZ49">
        <f>step3_validation[[#This Row],[AI_TRU4]]</f>
        <v>6</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4</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90</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157.10525141680057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6</v>
      </c>
      <c r="AB50" t="str">
        <f t="shared" si="6"/>
        <v>Neutral</v>
      </c>
      <c r="AC50">
        <f>survey_responses[[#This Row],[Các thủ tục khai báo thuế VÀ/HOẶC quy trình làm việc với cơ quan thuế đơn giản, tiện lợi, nhanh chóng hơn so với trước đây. - HUMAN-FAC1]]</f>
        <v>7</v>
      </c>
      <c r="AD50" t="str">
        <f t="shared" si="7"/>
        <v>Neutral</v>
      </c>
      <c r="AE50" s="32">
        <f t="shared" si="8"/>
        <v>1</v>
      </c>
      <c r="AF50">
        <f>step3_validation[[#This Row],[AI_FAC2]]</f>
        <v>7</v>
      </c>
      <c r="AG50" t="str">
        <f t="shared" si="9"/>
        <v>Neutral</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6</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0</v>
      </c>
      <c r="AP50">
        <f>step3_validation[[#This Row],[AI_TRU2]]</f>
        <v>6</v>
      </c>
      <c r="AQ50" t="str">
        <f t="shared" si="15"/>
        <v>Neutral</v>
      </c>
      <c r="AR50">
        <f>survey_responses[[#This Row],[Tôi thấy mức thuế tôi phải đóng theo phương án mới là công bằng (người thu nhập như tôi đóng mức này là hợp lý). - HUMAN-TRU2]]</f>
        <v>8</v>
      </c>
      <c r="AS50" t="str">
        <f t="shared" si="16"/>
        <v>Support</v>
      </c>
      <c r="AT50" s="32">
        <f t="shared" si="17"/>
        <v>2</v>
      </c>
      <c r="AU50">
        <f>step3_validation[[#This Row],[AI_TRU3]]</f>
        <v>6</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0</v>
      </c>
      <c r="AZ50">
        <f>step3_validation[[#This Row],[AI_TRU4]]</f>
        <v>5</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0</v>
      </c>
      <c r="BE50">
        <f>step3_validation[[#This Row],[AI_OUT1]]</f>
        <v>6</v>
      </c>
      <c r="BF50" t="str">
        <f t="shared" si="24"/>
        <v>Neutral</v>
      </c>
      <c r="BG50">
        <f>survey_responses[[#This Row],[Sau khi xem xét các quyền lợi và nghĩa vụ, bạn có ủng hộ và tuân thủ chính sách mới hiện nay? - HUMAN-OUT1]]</f>
        <v>8</v>
      </c>
      <c r="BH50" t="str">
        <f t="shared" si="25"/>
        <v>Support</v>
      </c>
      <c r="BI50" s="32">
        <f t="shared" si="26"/>
        <v>2</v>
      </c>
    </row>
    <row r="51" spans="1:61" x14ac:dyDescent="0.45">
      <c r="A51" s="30">
        <f>step3_validation[[#This Row],[Persona_ID]]</f>
        <v>50</v>
      </c>
      <c r="B51" s="31">
        <f>step3_validation[[#This Row],[Used_Seed]]</f>
        <v>91</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19.132332230671341</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8</v>
      </c>
      <c r="R51" t="str">
        <f t="shared" si="0"/>
        <v>Support</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2</v>
      </c>
      <c r="V51">
        <f>step3_validation[[#This Row],[AI_ENF2]]</f>
        <v>9</v>
      </c>
      <c r="W51" t="str">
        <f t="shared" si="3"/>
        <v>Support</v>
      </c>
      <c r="X51">
        <f>survey_responses[[#This Row],[Tôi tin rằng Nhà nước, cơ quan thuế có đủ khả năng và công nghệ để phát hiện, xử lý nghiêm các hành vi trốn thuế. - HUMAN-ENF2]]</f>
        <v>10</v>
      </c>
      <c r="Y51" t="str">
        <f t="shared" si="4"/>
        <v>Support</v>
      </c>
      <c r="Z51" s="32">
        <f t="shared" si="5"/>
        <v>1</v>
      </c>
      <c r="AA51">
        <f>step3_validation[[#This Row],[AI_FAC1]]</f>
        <v>8</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2</v>
      </c>
      <c r="AF51">
        <f>step3_validation[[#This Row],[AI_FAC2]]</f>
        <v>7</v>
      </c>
      <c r="AG51" t="str">
        <f t="shared" si="9"/>
        <v>Neutral</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8</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0</v>
      </c>
      <c r="AP51">
        <f>step3_validation[[#This Row],[AI_TRU2]]</f>
        <v>7</v>
      </c>
      <c r="AQ51" t="str">
        <f t="shared" si="15"/>
        <v>Neutral</v>
      </c>
      <c r="AR51">
        <f>survey_responses[[#This Row],[Tôi thấy mức thuế tôi phải đóng theo phương án mới là công bằng (người thu nhập như tôi đóng mức này là hợp lý). - HUMAN-TRU2]]</f>
        <v>8</v>
      </c>
      <c r="AS51" t="str">
        <f t="shared" si="16"/>
        <v>Support</v>
      </c>
      <c r="AT51" s="32">
        <f t="shared" si="17"/>
        <v>1</v>
      </c>
      <c r="AU51">
        <f>step3_validation[[#This Row],[AI_TRU3]]</f>
        <v>8</v>
      </c>
      <c r="AV51" t="str">
        <f t="shared" si="18"/>
        <v>Support</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0</v>
      </c>
      <c r="AZ51">
        <f>step3_validation[[#This Row],[AI_TRU4]]</f>
        <v>7</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1</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92</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15.004321480925476</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9</v>
      </c>
      <c r="R52" t="str">
        <f t="shared" si="0"/>
        <v>Support</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1</v>
      </c>
      <c r="V52">
        <f>step3_validation[[#This Row],[AI_ENF2]]</f>
        <v>7</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3</v>
      </c>
      <c r="AA52">
        <f>step3_validation[[#This Row],[AI_FAC1]]</f>
        <v>8</v>
      </c>
      <c r="AB52" t="str">
        <f t="shared" si="6"/>
        <v>Support</v>
      </c>
      <c r="AC52">
        <f>survey_responses[[#This Row],[Các thủ tục khai báo thuế VÀ/HOẶC quy trình làm việc với cơ quan thuế đơn giản, tiện lợi, nhanh chóng hơn so với trước đây. - HUMAN-FAC1]]</f>
        <v>10</v>
      </c>
      <c r="AD52" t="str">
        <f t="shared" si="7"/>
        <v>Support</v>
      </c>
      <c r="AE52" s="32">
        <f t="shared" si="8"/>
        <v>2</v>
      </c>
      <c r="AF52">
        <f>step3_validation[[#This Row],[AI_FAC2]]</f>
        <v>7</v>
      </c>
      <c r="AG52" t="str">
        <f t="shared" si="9"/>
        <v>Neutral</v>
      </c>
      <c r="AH52">
        <f>survey_responses[[#This Row],[So với trước đây, tôi thấy cách tính thuế và các bậc thuế trong phương án mới đơn giản, dễ hiểu và dễ thực hiện hơn. - HUMAN-FAC2]]</f>
        <v>10</v>
      </c>
      <c r="AI52" t="str">
        <f t="shared" si="10"/>
        <v>Support</v>
      </c>
      <c r="AJ52" s="32">
        <f t="shared" si="11"/>
        <v>3</v>
      </c>
      <c r="AK52">
        <f>step3_validation[[#This Row],[AI_TRU1]]</f>
        <v>8</v>
      </c>
      <c r="AL52" t="str">
        <f t="shared" si="12"/>
        <v>Support</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2</v>
      </c>
      <c r="AP52">
        <f>step3_validation[[#This Row],[AI_TRU2]]</f>
        <v>7</v>
      </c>
      <c r="AQ52" t="str">
        <f t="shared" si="15"/>
        <v>Neutral</v>
      </c>
      <c r="AR52">
        <f>survey_responses[[#This Row],[Tôi thấy mức thuế tôi phải đóng theo phương án mới là công bằng (người thu nhập như tôi đóng mức này là hợp lý). - HUMAN-TRU2]]</f>
        <v>10</v>
      </c>
      <c r="AS52" t="str">
        <f t="shared" si="16"/>
        <v>Support</v>
      </c>
      <c r="AT52" s="32">
        <f t="shared" si="17"/>
        <v>3</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7</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3</v>
      </c>
      <c r="BE52">
        <f>step3_validation[[#This Row],[AI_OUT1]]</f>
        <v>8</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2</v>
      </c>
    </row>
    <row r="53" spans="1:61" x14ac:dyDescent="0.45">
      <c r="A53" s="30">
        <f>step3_validation[[#This Row],[Persona_ID]]</f>
        <v>52</v>
      </c>
      <c r="B53" s="31">
        <f>step3_validation[[#This Row],[Used_Seed]]</f>
        <v>93</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21.941961505409019</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8</v>
      </c>
      <c r="W53" t="str">
        <f t="shared" si="3"/>
        <v>Support</v>
      </c>
      <c r="X53">
        <f>survey_responses[[#This Row],[Tôi tin rằng Nhà nước, cơ quan thuế có đủ khả năng và công nghệ để phát hiện, xử lý nghiêm các hành vi trốn thuế. - HUMAN-ENF2]]</f>
        <v>10</v>
      </c>
      <c r="Y53" t="str">
        <f t="shared" si="4"/>
        <v>Support</v>
      </c>
      <c r="Z53" s="32">
        <f t="shared" si="5"/>
        <v>2</v>
      </c>
      <c r="AA53">
        <f>step3_validation[[#This Row],[AI_FAC1]]</f>
        <v>9</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1</v>
      </c>
      <c r="AF53">
        <f>step3_validation[[#This Row],[AI_FAC2]]</f>
        <v>8</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2</v>
      </c>
      <c r="AK53">
        <f>step3_validation[[#This Row],[AI_TRU1]]</f>
        <v>7</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3</v>
      </c>
      <c r="AP53">
        <f>step3_validation[[#This Row],[AI_TRU2]]</f>
        <v>6</v>
      </c>
      <c r="AQ53" t="str">
        <f t="shared" si="15"/>
        <v>Neutral</v>
      </c>
      <c r="AR53">
        <f>survey_responses[[#This Row],[Tôi thấy mức thuế tôi phải đóng theo phương án mới là công bằng (người thu nhập như tôi đóng mức này là hợp lý). - HUMAN-TRU2]]</f>
        <v>10</v>
      </c>
      <c r="AS53" t="str">
        <f t="shared" si="16"/>
        <v>Support</v>
      </c>
      <c r="AT53" s="32">
        <f t="shared" si="17"/>
        <v>4</v>
      </c>
      <c r="AU53">
        <f>step3_validation[[#This Row],[AI_TRU3]]</f>
        <v>7</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3</v>
      </c>
      <c r="AZ53">
        <f>step3_validation[[#This Row],[AI_TRU4]]</f>
        <v>6</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4</v>
      </c>
      <c r="BE53">
        <f>step3_validation[[#This Row],[AI_OUT1]]</f>
        <v>7</v>
      </c>
      <c r="BF53" t="str">
        <f t="shared" si="24"/>
        <v>Neutral</v>
      </c>
      <c r="BG53">
        <f>survey_responses[[#This Row],[Sau khi xem xét các quyền lợi và nghĩa vụ, bạn có ủng hộ và tuân thủ chính sách mới hiện nay? - HUMAN-OUT1]]</f>
        <v>8</v>
      </c>
      <c r="BH53" t="str">
        <f t="shared" si="25"/>
        <v>Support</v>
      </c>
      <c r="BI53" s="32">
        <f t="shared" si="26"/>
        <v>1</v>
      </c>
    </row>
    <row r="54" spans="1:61" x14ac:dyDescent="0.45">
      <c r="A54" s="30">
        <f>step3_validation[[#This Row],[Persona_ID]]</f>
        <v>53</v>
      </c>
      <c r="B54" s="31">
        <f>step3_validation[[#This Row],[Used_Seed]]</f>
        <v>94</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13.198354627756014</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6</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4</v>
      </c>
      <c r="V54">
        <f>step3_validation[[#This Row],[AI_ENF2]]</f>
        <v>6</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4</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2</v>
      </c>
      <c r="AF54">
        <f>step3_validation[[#This Row],[AI_FAC2]]</f>
        <v>8</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2</v>
      </c>
      <c r="AK54">
        <f>step3_validation[[#This Row],[AI_TRU1]]</f>
        <v>7</v>
      </c>
      <c r="AL54" t="str">
        <f t="shared" si="12"/>
        <v>Neutral</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3</v>
      </c>
      <c r="AP54">
        <f>step3_validation[[#This Row],[AI_TRU2]]</f>
        <v>7</v>
      </c>
      <c r="AQ54" t="str">
        <f t="shared" si="15"/>
        <v>Neutral</v>
      </c>
      <c r="AR54">
        <f>survey_responses[[#This Row],[Tôi thấy mức thuế tôi phải đóng theo phương án mới là công bằng (người thu nhập như tôi đóng mức này là hợp lý). - HUMAN-TRU2]]</f>
        <v>10</v>
      </c>
      <c r="AS54" t="str">
        <f t="shared" si="16"/>
        <v>Support</v>
      </c>
      <c r="AT54" s="32">
        <f t="shared" si="17"/>
        <v>3</v>
      </c>
      <c r="AU54">
        <f>step3_validation[[#This Row],[AI_TRU3]]</f>
        <v>7</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3</v>
      </c>
      <c r="AZ54">
        <f>step3_validation[[#This Row],[AI_TRU4]]</f>
        <v>7</v>
      </c>
      <c r="BA54" t="str">
        <f t="shared" si="21"/>
        <v>Neutral</v>
      </c>
      <c r="BB54">
        <f>survey_responses[[#This Row],[Tôi thấy Nhà nước đã giải thích rõ ràng, minh bạch về lý do và mục tiêu của việc sửa đổi thuế lần này. - HUMAN-TRU4]]</f>
        <v>10</v>
      </c>
      <c r="BC54" t="str">
        <f t="shared" si="22"/>
        <v>Support</v>
      </c>
      <c r="BD54" s="32">
        <f t="shared" si="23"/>
        <v>3</v>
      </c>
      <c r="BE54">
        <f>step3_validation[[#This Row],[AI_OUT1]]</f>
        <v>6</v>
      </c>
      <c r="BF54" t="str">
        <f t="shared" si="24"/>
        <v>Neutral</v>
      </c>
      <c r="BG54">
        <f>survey_responses[[#This Row],[Sau khi xem xét các quyền lợi và nghĩa vụ, bạn có ủng hộ và tuân thủ chính sách mới hiện nay? - HUMAN-OUT1]]</f>
        <v>10</v>
      </c>
      <c r="BH54" t="str">
        <f t="shared" si="25"/>
        <v>Support</v>
      </c>
      <c r="BI54" s="32">
        <f t="shared" si="26"/>
        <v>4</v>
      </c>
    </row>
    <row r="55" spans="1:61" x14ac:dyDescent="0.45">
      <c r="A55" s="30">
        <f>step3_validation[[#This Row],[Persona_ID]]</f>
        <v>54</v>
      </c>
      <c r="B55" s="31">
        <f>step3_validation[[#This Row],[Used_Seed]]</f>
        <v>95</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40.121847610861892</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1</v>
      </c>
      <c r="V55">
        <f>step3_validation[[#This Row],[AI_ENF2]]</f>
        <v>6</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8</v>
      </c>
      <c r="AL55" t="str">
        <f t="shared" si="12"/>
        <v>Support</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1</v>
      </c>
      <c r="AP55">
        <f>step3_validation[[#This Row],[AI_TRU2]]</f>
        <v>7</v>
      </c>
      <c r="AQ55" t="str">
        <f t="shared" si="15"/>
        <v>Neutral</v>
      </c>
      <c r="AR55">
        <f>survey_responses[[#This Row],[Tôi thấy mức thuế tôi phải đóng theo phương án mới là công bằng (người thu nhập như tôi đóng mức này là hợp lý). - HUMAN-TRU2]]</f>
        <v>8</v>
      </c>
      <c r="AS55" t="str">
        <f t="shared" si="16"/>
        <v>Support</v>
      </c>
      <c r="AT55" s="32">
        <f t="shared" si="17"/>
        <v>1</v>
      </c>
      <c r="AU55">
        <f>step3_validation[[#This Row],[AI_TRU3]]</f>
        <v>6</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1</v>
      </c>
      <c r="AZ55">
        <f>step3_validation[[#This Row],[AI_TRU4]]</f>
        <v>5</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2</v>
      </c>
      <c r="BE55">
        <f>step3_validation[[#This Row],[AI_OUT1]]</f>
        <v>8</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0</v>
      </c>
    </row>
    <row r="56" spans="1:61" x14ac:dyDescent="0.45">
      <c r="A56" s="30">
        <f>step3_validation[[#This Row],[Persona_ID]]</f>
        <v>55</v>
      </c>
      <c r="B56" s="31">
        <f>step3_validation[[#This Row],[Used_Seed]]</f>
        <v>96</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42.937535333774413</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8</v>
      </c>
      <c r="R56" t="str">
        <f t="shared" si="0"/>
        <v>Support</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2</v>
      </c>
      <c r="V56">
        <f>step3_validation[[#This Row],[AI_ENF2]]</f>
        <v>9</v>
      </c>
      <c r="W56" t="str">
        <f t="shared" si="3"/>
        <v>Support</v>
      </c>
      <c r="X56">
        <f>survey_responses[[#This Row],[Tôi tin rằng Nhà nước, cơ quan thuế có đủ khả năng và công nghệ để phát hiện, xử lý nghiêm các hành vi trốn thuế. - HUMAN-ENF2]]</f>
        <v>9</v>
      </c>
      <c r="Y56" t="str">
        <f t="shared" si="4"/>
        <v>Support</v>
      </c>
      <c r="Z56" s="32">
        <f t="shared" si="5"/>
        <v>0</v>
      </c>
      <c r="AA56">
        <f>step3_validation[[#This Row],[AI_FAC1]]</f>
        <v>7</v>
      </c>
      <c r="AB56" t="str">
        <f t="shared" si="6"/>
        <v>Neutral</v>
      </c>
      <c r="AC56">
        <f>survey_responses[[#This Row],[Các thủ tục khai báo thuế VÀ/HOẶC quy trình làm việc với cơ quan thuế đơn giản, tiện lợi, nhanh chóng hơn so với trước đây. - HUMAN-FAC1]]</f>
        <v>3</v>
      </c>
      <c r="AD56" t="str">
        <f t="shared" si="7"/>
        <v>Oppose</v>
      </c>
      <c r="AE56" s="32">
        <f t="shared" si="8"/>
        <v>4</v>
      </c>
      <c r="AF56">
        <f>step3_validation[[#This Row],[AI_FAC2]]</f>
        <v>8</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4</v>
      </c>
      <c r="AK56">
        <f>step3_validation[[#This Row],[AI_TRU1]]</f>
        <v>7</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4</v>
      </c>
      <c r="AP56">
        <f>step3_validation[[#This Row],[AI_TRU2]]</f>
        <v>8</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5</v>
      </c>
      <c r="AU56">
        <f>step3_validation[[#This Row],[AI_TRU3]]</f>
        <v>7</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6</v>
      </c>
      <c r="AZ56">
        <f>step3_validation[[#This Row],[AI_TRU4]]</f>
        <v>6</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5</v>
      </c>
      <c r="BE56">
        <f>step3_validation[[#This Row],[AI_OUT1]]</f>
        <v>7</v>
      </c>
      <c r="BF56" t="str">
        <f t="shared" si="24"/>
        <v>Neutral</v>
      </c>
      <c r="BG56">
        <f>survey_responses[[#This Row],[Sau khi xem xét các quyền lợi và nghĩa vụ, bạn có ủng hộ và tuân thủ chính sách mới hiện nay? - HUMAN-OUT1]]</f>
        <v>3</v>
      </c>
      <c r="BH56" t="str">
        <f t="shared" si="25"/>
        <v>Oppose</v>
      </c>
      <c r="BI56" s="32">
        <f t="shared" si="26"/>
        <v>4</v>
      </c>
    </row>
    <row r="57" spans="1:61" x14ac:dyDescent="0.45">
      <c r="A57" s="30">
        <f>step3_validation[[#This Row],[Persona_ID]]</f>
        <v>56</v>
      </c>
      <c r="B57" s="31">
        <f>step3_validation[[#This Row],[Used_Seed]]</f>
        <v>97</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6</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4</v>
      </c>
      <c r="V57">
        <f>step3_validation[[#This Row],[AI_ENF2]]</f>
        <v>7</v>
      </c>
      <c r="W57" t="str">
        <f t="shared" si="3"/>
        <v>Neutral</v>
      </c>
      <c r="X57">
        <f>survey_responses[[#This Row],[Tôi tin rằng Nhà nước, cơ quan thuế có đủ khả năng và công nghệ để phát hiện, xử lý nghiêm các hành vi trốn thuế. - HUMAN-ENF2]]</f>
        <v>10</v>
      </c>
      <c r="Y57" t="str">
        <f t="shared" si="4"/>
        <v>Support</v>
      </c>
      <c r="Z57" s="32">
        <f t="shared" si="5"/>
        <v>3</v>
      </c>
      <c r="AA57">
        <f>step3_validation[[#This Row],[AI_FAC1]]</f>
        <v>8</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1</v>
      </c>
      <c r="AF57">
        <f>step3_validation[[#This Row],[AI_FAC2]]</f>
        <v>6</v>
      </c>
      <c r="AG57" t="str">
        <f t="shared" si="9"/>
        <v>Neutral</v>
      </c>
      <c r="AH57">
        <f>survey_responses[[#This Row],[So với trước đây, tôi thấy cách tính thuế và các bậc thuế trong phương án mới đơn giản, dễ hiểu và dễ thực hiện hơn. - HUMAN-FAC2]]</f>
        <v>10</v>
      </c>
      <c r="AI57" t="str">
        <f t="shared" si="10"/>
        <v>Support</v>
      </c>
      <c r="AJ57" s="32">
        <f t="shared" si="11"/>
        <v>4</v>
      </c>
      <c r="AK57">
        <f>step3_validation[[#This Row],[AI_TRU1]]</f>
        <v>7</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2</v>
      </c>
      <c r="AP57">
        <f>step3_validation[[#This Row],[AI_TRU2]]</f>
        <v>5</v>
      </c>
      <c r="AQ57" t="str">
        <f t="shared" si="15"/>
        <v>Neutral</v>
      </c>
      <c r="AR57">
        <f>survey_responses[[#This Row],[Tôi thấy mức thuế tôi phải đóng theo phương án mới là công bằng (người thu nhập như tôi đóng mức này là hợp lý). - HUMAN-TRU2]]</f>
        <v>10</v>
      </c>
      <c r="AS57" t="str">
        <f t="shared" si="16"/>
        <v>Support</v>
      </c>
      <c r="AT57" s="32">
        <f t="shared" si="17"/>
        <v>5</v>
      </c>
      <c r="AU57">
        <f>step3_validation[[#This Row],[AI_TRU3]]</f>
        <v>7</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2</v>
      </c>
      <c r="AZ57">
        <f>step3_validation[[#This Row],[AI_TRU4]]</f>
        <v>6</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4</v>
      </c>
      <c r="BE57">
        <f>step3_validation[[#This Row],[AI_OUT1]]</f>
        <v>7</v>
      </c>
      <c r="BF57" t="str">
        <f t="shared" si="24"/>
        <v>Neutral</v>
      </c>
      <c r="BG57">
        <f>survey_responses[[#This Row],[Sau khi xem xét các quyền lợi và nghĩa vụ, bạn có ủng hộ và tuân thủ chính sách mới hiện nay? - HUMAN-OUT1]]</f>
        <v>9</v>
      </c>
      <c r="BH57" t="str">
        <f t="shared" si="25"/>
        <v>Support</v>
      </c>
      <c r="BI57" s="32">
        <f t="shared" si="26"/>
        <v>2</v>
      </c>
    </row>
    <row r="58" spans="1:61" x14ac:dyDescent="0.45">
      <c r="A58" s="30">
        <f>step3_validation[[#This Row],[Persona_ID]]</f>
        <v>57</v>
      </c>
      <c r="B58" s="31">
        <f>step3_validation[[#This Row],[Used_Seed]]</f>
        <v>98</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16.718277705058973</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8</v>
      </c>
      <c r="R58" t="str">
        <f t="shared" si="0"/>
        <v>Support</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2</v>
      </c>
      <c r="V58">
        <f>step3_validation[[#This Row],[AI_ENF2]]</f>
        <v>7</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2">
        <f t="shared" si="5"/>
        <v>3</v>
      </c>
      <c r="AA58">
        <f>step3_validation[[#This Row],[AI_FAC1]]</f>
        <v>8</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7</v>
      </c>
      <c r="AF58">
        <f>step3_validation[[#This Row],[AI_FAC2]]</f>
        <v>9</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4</v>
      </c>
      <c r="AK58">
        <f>step3_validation[[#This Row],[AI_TRU1]]</f>
        <v>7</v>
      </c>
      <c r="AL58" t="str">
        <f t="shared" si="12"/>
        <v>Neutral</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0</v>
      </c>
      <c r="AP58">
        <f>step3_validation[[#This Row],[AI_TRU2]]</f>
        <v>8</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2</v>
      </c>
      <c r="AU58">
        <f>step3_validation[[#This Row],[AI_TRU3]]</f>
        <v>7</v>
      </c>
      <c r="AV58" t="str">
        <f t="shared" si="18"/>
        <v>Neutral</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2</v>
      </c>
      <c r="AZ58">
        <f>step3_validation[[#This Row],[AI_TRU4]]</f>
        <v>6</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3</v>
      </c>
      <c r="BE58">
        <f>step3_validation[[#This Row],[AI_OUT1]]</f>
        <v>8</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2</v>
      </c>
    </row>
    <row r="59" spans="1:61" x14ac:dyDescent="0.45">
      <c r="A59" s="30">
        <f>step3_validation[[#This Row],[Persona_ID]]</f>
        <v>58</v>
      </c>
      <c r="B59" s="31">
        <f>step3_validation[[#This Row],[Used_Seed]]</f>
        <v>99</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27.048245396387156</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6</v>
      </c>
      <c r="W59" t="str">
        <f t="shared" si="3"/>
        <v>Neutral</v>
      </c>
      <c r="X59">
        <f>survey_responses[[#This Row],[Tôi tin rằng Nhà nước, cơ quan thuế có đủ khả năng và công nghệ để phát hiện, xử lý nghiêm các hành vi trốn thuế. - HUMAN-ENF2]]</f>
        <v>5</v>
      </c>
      <c r="Y59" t="str">
        <f t="shared" si="4"/>
        <v>Neutral</v>
      </c>
      <c r="Z59" s="32">
        <f t="shared" si="5"/>
        <v>1</v>
      </c>
      <c r="AA59">
        <f>step3_validation[[#This Row],[AI_FAC1]]</f>
        <v>5</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2">
        <f t="shared" si="8"/>
        <v>1</v>
      </c>
      <c r="AF59">
        <f>step3_validation[[#This Row],[AI_FAC2]]</f>
        <v>7</v>
      </c>
      <c r="AG59" t="str">
        <f t="shared" si="9"/>
        <v>Neutral</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4</v>
      </c>
      <c r="AL59" t="str">
        <f t="shared" si="12"/>
        <v>Oppose</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1</v>
      </c>
      <c r="AP59">
        <f>step3_validation[[#This Row],[AI_TRU2]]</f>
        <v>5</v>
      </c>
      <c r="AQ59" t="str">
        <f t="shared" si="15"/>
        <v>Neutral</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4</v>
      </c>
      <c r="AV59" t="str">
        <f t="shared" si="18"/>
        <v>Oppose</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3</v>
      </c>
      <c r="AZ59">
        <f>step3_validation[[#This Row],[AI_TRU4]]</f>
        <v>5</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2</v>
      </c>
      <c r="BE59">
        <f>step3_validation[[#This Row],[AI_OUT1]]</f>
        <v>5</v>
      </c>
      <c r="BF59" t="str">
        <f t="shared" si="24"/>
        <v>Neutral</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100</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6</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3</v>
      </c>
      <c r="V60">
        <f>step3_validation[[#This Row],[AI_ENF2]]</f>
        <v>8</v>
      </c>
      <c r="W60" t="str">
        <f t="shared" si="3"/>
        <v>Support</v>
      </c>
      <c r="X60">
        <f>survey_responses[[#This Row],[Tôi tin rằng Nhà nước, cơ quan thuế có đủ khả năng và công nghệ để phát hiện, xử lý nghiêm các hành vi trốn thuế. - HUMAN-ENF2]]</f>
        <v>9</v>
      </c>
      <c r="Y60" t="str">
        <f t="shared" si="4"/>
        <v>Support</v>
      </c>
      <c r="Z60" s="32">
        <f t="shared" si="5"/>
        <v>1</v>
      </c>
      <c r="AA60">
        <f>step3_validation[[#This Row],[AI_FAC1]]</f>
        <v>7</v>
      </c>
      <c r="AB60" t="str">
        <f t="shared" si="6"/>
        <v>Neutral</v>
      </c>
      <c r="AC60">
        <f>survey_responses[[#This Row],[Các thủ tục khai báo thuế VÀ/HOẶC quy trình làm việc với cơ quan thuế đơn giản, tiện lợi, nhanh chóng hơn so với trước đây. - HUMAN-FAC1]]</f>
        <v>9</v>
      </c>
      <c r="AD60" t="str">
        <f t="shared" si="7"/>
        <v>Support</v>
      </c>
      <c r="AE60" s="32">
        <f t="shared" si="8"/>
        <v>2</v>
      </c>
      <c r="AF60">
        <f>step3_validation[[#This Row],[AI_FAC2]]</f>
        <v>9</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2</v>
      </c>
      <c r="AK60">
        <f>step3_validation[[#This Row],[AI_TRU1]]</f>
        <v>8</v>
      </c>
      <c r="AL60" t="str">
        <f t="shared" si="12"/>
        <v>Support</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1</v>
      </c>
      <c r="AP60">
        <f>step3_validation[[#This Row],[AI_TRU2]]</f>
        <v>7</v>
      </c>
      <c r="AQ60" t="str">
        <f t="shared" si="15"/>
        <v>Neutral</v>
      </c>
      <c r="AR60">
        <f>survey_responses[[#This Row],[Tôi thấy mức thuế tôi phải đóng theo phương án mới là công bằng (người thu nhập như tôi đóng mức này là hợp lý). - HUMAN-TRU2]]</f>
        <v>8</v>
      </c>
      <c r="AS60" t="str">
        <f t="shared" si="16"/>
        <v>Support</v>
      </c>
      <c r="AT60" s="32">
        <f t="shared" si="17"/>
        <v>1</v>
      </c>
      <c r="AU60">
        <f>step3_validation[[#This Row],[AI_TRU3]]</f>
        <v>6</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2</v>
      </c>
      <c r="AZ60">
        <f>step3_validation[[#This Row],[AI_TRU4]]</f>
        <v>7</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8</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3</v>
      </c>
    </row>
    <row r="61" spans="1:61" x14ac:dyDescent="0.45">
      <c r="A61" s="30">
        <f>step3_validation[[#This Row],[Persona_ID]]</f>
        <v>60</v>
      </c>
      <c r="B61" s="31">
        <f>step3_validation[[#This Row],[Used_Seed]]</f>
        <v>101</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16.71766252805277</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8</v>
      </c>
      <c r="R61" t="str">
        <f t="shared" si="0"/>
        <v>Support</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3</v>
      </c>
      <c r="V61">
        <f>step3_validation[[#This Row],[AI_ENF2]]</f>
        <v>7</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2</v>
      </c>
      <c r="AA61">
        <f>step3_validation[[#This Row],[AI_FAC1]]</f>
        <v>9</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4</v>
      </c>
      <c r="AF61">
        <f>step3_validation[[#This Row],[AI_FAC2]]</f>
        <v>8</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3</v>
      </c>
      <c r="AK61">
        <f>step3_validation[[#This Row],[AI_TRU1]]</f>
        <v>9</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4</v>
      </c>
      <c r="AP61">
        <f>step3_validation[[#This Row],[AI_TRU2]]</f>
        <v>7</v>
      </c>
      <c r="AQ61" t="str">
        <f t="shared" si="15"/>
        <v>Neutral</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6</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2</v>
      </c>
      <c r="AZ61">
        <f>step3_validation[[#This Row],[AI_TRU4]]</f>
        <v>7</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2</v>
      </c>
      <c r="BE61">
        <f>step3_validation[[#This Row],[AI_OUT1]]</f>
        <v>8</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3</v>
      </c>
    </row>
    <row r="62" spans="1:61" x14ac:dyDescent="0.45">
      <c r="A62" s="30">
        <f>step3_validation[[#This Row],[Persona_ID]]</f>
        <v>61</v>
      </c>
      <c r="B62" s="31">
        <f>step3_validation[[#This Row],[Used_Seed]]</f>
        <v>102</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18.639964580017214</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6</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2</v>
      </c>
      <c r="V62">
        <f>step3_validation[[#This Row],[AI_ENF2]]</f>
        <v>5</v>
      </c>
      <c r="W62" t="str">
        <f t="shared" si="3"/>
        <v>Neutral</v>
      </c>
      <c r="X62">
        <f>survey_responses[[#This Row],[Tôi tin rằng Nhà nước, cơ quan thuế có đủ khả năng và công nghệ để phát hiện, xử lý nghiêm các hành vi trốn thuế. - HUMAN-ENF2]]</f>
        <v>9</v>
      </c>
      <c r="Y62" t="str">
        <f t="shared" si="4"/>
        <v>Support</v>
      </c>
      <c r="Z62" s="32">
        <f t="shared" si="5"/>
        <v>4</v>
      </c>
      <c r="AA62">
        <f>step3_validation[[#This Row],[AI_FAC1]]</f>
        <v>7</v>
      </c>
      <c r="AB62" t="str">
        <f t="shared" si="6"/>
        <v>Neutral</v>
      </c>
      <c r="AC62">
        <f>survey_responses[[#This Row],[Các thủ tục khai báo thuế VÀ/HOẶC quy trình làm việc với cơ quan thuế đơn giản, tiện lợi, nhanh chóng hơn so với trước đây. - HUMAN-FAC1]]</f>
        <v>9</v>
      </c>
      <c r="AD62" t="str">
        <f t="shared" si="7"/>
        <v>Support</v>
      </c>
      <c r="AE62" s="32">
        <f t="shared" si="8"/>
        <v>2</v>
      </c>
      <c r="AF62">
        <f>step3_validation[[#This Row],[AI_FAC2]]</f>
        <v>8</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6</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3</v>
      </c>
      <c r="AP62">
        <f>step3_validation[[#This Row],[AI_TRU2]]</f>
        <v>7</v>
      </c>
      <c r="AQ62" t="str">
        <f t="shared" si="15"/>
        <v>Neutral</v>
      </c>
      <c r="AR62">
        <f>survey_responses[[#This Row],[Tôi thấy mức thuế tôi phải đóng theo phương án mới là công bằng (người thu nhập như tôi đóng mức này là hợp lý). - HUMAN-TRU2]]</f>
        <v>8</v>
      </c>
      <c r="AS62" t="str">
        <f t="shared" si="16"/>
        <v>Support</v>
      </c>
      <c r="AT62" s="32">
        <f t="shared" si="17"/>
        <v>1</v>
      </c>
      <c r="AU62">
        <f>step3_validation[[#This Row],[AI_TRU3]]</f>
        <v>6</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2</v>
      </c>
      <c r="AZ62">
        <f>step3_validation[[#This Row],[AI_TRU4]]</f>
        <v>7</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1</v>
      </c>
      <c r="BE62">
        <f>step3_validation[[#This Row],[AI_OUT1]]</f>
        <v>8</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1</v>
      </c>
    </row>
    <row r="63" spans="1:61" x14ac:dyDescent="0.45">
      <c r="A63" s="30">
        <f>step3_validation[[#This Row],[Persona_ID]]</f>
        <v>62</v>
      </c>
      <c r="B63" s="31">
        <f>step3_validation[[#This Row],[Used_Seed]]</f>
        <v>103</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25.501465861783579</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2</v>
      </c>
      <c r="V63">
        <f>step3_validation[[#This Row],[AI_ENF2]]</f>
        <v>7</v>
      </c>
      <c r="W63" t="str">
        <f t="shared" si="3"/>
        <v>Neutral</v>
      </c>
      <c r="X63">
        <f>survey_responses[[#This Row],[Tôi tin rằng Nhà nước, cơ quan thuế có đủ khả năng và công nghệ để phát hiện, xử lý nghiêm các hành vi trốn thuế. - HUMAN-ENF2]]</f>
        <v>9</v>
      </c>
      <c r="Y63" t="str">
        <f t="shared" si="4"/>
        <v>Support</v>
      </c>
      <c r="Z63" s="32">
        <f t="shared" si="5"/>
        <v>2</v>
      </c>
      <c r="AA63">
        <f>step3_validation[[#This Row],[AI_FAC1]]</f>
        <v>8</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1</v>
      </c>
      <c r="AF63">
        <f>step3_validation[[#This Row],[AI_FAC2]]</f>
        <v>9</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3</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7</v>
      </c>
      <c r="AQ63" t="str">
        <f t="shared" si="15"/>
        <v>Neutral</v>
      </c>
      <c r="AR63">
        <f>survey_responses[[#This Row],[Tôi thấy mức thuế tôi phải đóng theo phương án mới là công bằng (người thu nhập như tôi đóng mức này là hợp lý). - HUMAN-TRU2]]</f>
        <v>5</v>
      </c>
      <c r="AS63" t="str">
        <f t="shared" si="16"/>
        <v>Neutral</v>
      </c>
      <c r="AT63" s="32">
        <f t="shared" si="17"/>
        <v>2</v>
      </c>
      <c r="AU63">
        <f>step3_validation[[#This Row],[AI_TRU3]]</f>
        <v>7</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1</v>
      </c>
      <c r="AZ63">
        <f>step3_validation[[#This Row],[AI_TRU4]]</f>
        <v>6</v>
      </c>
      <c r="BA63" t="str">
        <f t="shared" si="21"/>
        <v>Neutral</v>
      </c>
      <c r="BB63">
        <f>survey_responses[[#This Row],[Tôi thấy Nhà nước đã giải thích rõ ràng, minh bạch về lý do và mục tiêu của việc sửa đổi thuế lần này. - HUMAN-TRU4]]</f>
        <v>8</v>
      </c>
      <c r="BC63" t="str">
        <f t="shared" si="22"/>
        <v>Support</v>
      </c>
      <c r="BD63" s="32">
        <f t="shared" si="23"/>
        <v>2</v>
      </c>
      <c r="BE63">
        <f>step3_validation[[#This Row],[AI_OUT1]]</f>
        <v>7</v>
      </c>
      <c r="BF63" t="str">
        <f t="shared" si="24"/>
        <v>Neutral</v>
      </c>
      <c r="BG63">
        <f>survey_responses[[#This Row],[Sau khi xem xét các quyền lợi và nghĩa vụ, bạn có ủng hộ và tuân thủ chính sách mới hiện nay? - HUMAN-OUT1]]</f>
        <v>5</v>
      </c>
      <c r="BH63" t="str">
        <f t="shared" si="25"/>
        <v>Neutral</v>
      </c>
      <c r="BI63" s="32">
        <f t="shared" si="26"/>
        <v>2</v>
      </c>
    </row>
    <row r="64" spans="1:61" x14ac:dyDescent="0.45">
      <c r="A64" s="30">
        <f>step3_validation[[#This Row],[Persona_ID]]</f>
        <v>63</v>
      </c>
      <c r="B64" s="31">
        <f>step3_validation[[#This Row],[Used_Seed]]</f>
        <v>104</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21.354259249478144</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6</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3</v>
      </c>
      <c r="V64">
        <f>step3_validation[[#This Row],[AI_ENF2]]</f>
        <v>7</v>
      </c>
      <c r="W64" t="str">
        <f t="shared" si="3"/>
        <v>Neutral</v>
      </c>
      <c r="X64">
        <f>survey_responses[[#This Row],[Tôi tin rằng Nhà nước, cơ quan thuế có đủ khả năng và công nghệ để phát hiện, xử lý nghiêm các hành vi trốn thuế. - HUMAN-ENF2]]</f>
        <v>9</v>
      </c>
      <c r="Y64" t="str">
        <f t="shared" si="4"/>
        <v>Support</v>
      </c>
      <c r="Z64" s="32">
        <f t="shared" si="5"/>
        <v>2</v>
      </c>
      <c r="AA64">
        <f>step3_validation[[#This Row],[AI_FAC1]]</f>
        <v>8</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1</v>
      </c>
      <c r="AF64">
        <f>step3_validation[[#This Row],[AI_FAC2]]</f>
        <v>9</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0</v>
      </c>
      <c r="AK64">
        <f>step3_validation[[#This Row],[AI_TRU1]]</f>
        <v>5</v>
      </c>
      <c r="AL64" t="str">
        <f t="shared" si="12"/>
        <v>Neutral</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3</v>
      </c>
      <c r="AP64">
        <f>step3_validation[[#This Row],[AI_TRU2]]</f>
        <v>6</v>
      </c>
      <c r="AQ64" t="str">
        <f t="shared" si="15"/>
        <v>Neutral</v>
      </c>
      <c r="AR64">
        <f>survey_responses[[#This Row],[Tôi thấy mức thuế tôi phải đóng theo phương án mới là công bằng (người thu nhập như tôi đóng mức này là hợp lý). - HUMAN-TRU2]]</f>
        <v>9</v>
      </c>
      <c r="AS64" t="str">
        <f t="shared" si="16"/>
        <v>Support</v>
      </c>
      <c r="AT64" s="32">
        <f t="shared" si="17"/>
        <v>3</v>
      </c>
      <c r="AU64">
        <f>step3_validation[[#This Row],[AI_TRU3]]</f>
        <v>4</v>
      </c>
      <c r="AV64" t="str">
        <f t="shared" si="18"/>
        <v>Oppose</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5</v>
      </c>
      <c r="AZ64">
        <f>step3_validation[[#This Row],[AI_TRU4]]</f>
        <v>5</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3</v>
      </c>
      <c r="BE64">
        <f>step3_validation[[#This Row],[AI_OUT1]]</f>
        <v>6</v>
      </c>
      <c r="BF64" t="str">
        <f t="shared" si="24"/>
        <v>Neutral</v>
      </c>
      <c r="BG64">
        <f>survey_responses[[#This Row],[Sau khi xem xét các quyền lợi và nghĩa vụ, bạn có ủng hộ và tuân thủ chính sách mới hiện nay? - HUMAN-OUT1]]</f>
        <v>7</v>
      </c>
      <c r="BH64" t="str">
        <f t="shared" si="25"/>
        <v>Neutral</v>
      </c>
      <c r="BI64" s="32">
        <f t="shared" si="26"/>
        <v>1</v>
      </c>
    </row>
    <row r="65" spans="1:61" x14ac:dyDescent="0.45">
      <c r="A65" s="30">
        <f>step3_validation[[#This Row],[Persona_ID]]</f>
        <v>64</v>
      </c>
      <c r="B65" s="31">
        <f>step3_validation[[#This Row],[Used_Seed]]</f>
        <v>105</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196.4529093730286</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8</v>
      </c>
      <c r="R65" t="str">
        <f t="shared" si="0"/>
        <v>Support</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1</v>
      </c>
      <c r="V65">
        <f>step3_validation[[#This Row],[AI_ENF2]]</f>
        <v>7</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3</v>
      </c>
      <c r="AA65">
        <f>step3_validation[[#This Row],[AI_FAC1]]</f>
        <v>9</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0</v>
      </c>
      <c r="AF65">
        <f>step3_validation[[#This Row],[AI_FAC2]]</f>
        <v>8</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2</v>
      </c>
      <c r="AK65">
        <f>step3_validation[[#This Row],[AI_TRU1]]</f>
        <v>7</v>
      </c>
      <c r="AL65" t="str">
        <f t="shared" si="12"/>
        <v>Neutral</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3</v>
      </c>
      <c r="AP65">
        <f>step3_validation[[#This Row],[AI_TRU2]]</f>
        <v>7</v>
      </c>
      <c r="AQ65" t="str">
        <f t="shared" si="15"/>
        <v>Neutral</v>
      </c>
      <c r="AR65">
        <f>survey_responses[[#This Row],[Tôi thấy mức thuế tôi phải đóng theo phương án mới là công bằng (người thu nhập như tôi đóng mức này là hợp lý). - HUMAN-TRU2]]</f>
        <v>5</v>
      </c>
      <c r="AS65" t="str">
        <f t="shared" si="16"/>
        <v>Neutral</v>
      </c>
      <c r="AT65" s="32">
        <f t="shared" si="17"/>
        <v>2</v>
      </c>
      <c r="AU65">
        <f>step3_validation[[#This Row],[AI_TRU3]]</f>
        <v>7</v>
      </c>
      <c r="AV65" t="str">
        <f t="shared" si="18"/>
        <v>Neutral</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3</v>
      </c>
      <c r="AZ65">
        <f>step3_validation[[#This Row],[AI_TRU4]]</f>
        <v>7</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0</v>
      </c>
      <c r="BE65">
        <f>step3_validation[[#This Row],[AI_OUT1]]</f>
        <v>6</v>
      </c>
      <c r="BF65" t="str">
        <f t="shared" si="24"/>
        <v>Neutral</v>
      </c>
      <c r="BG65">
        <f>survey_responses[[#This Row],[Sau khi xem xét các quyền lợi và nghĩa vụ, bạn có ủng hộ và tuân thủ chính sách mới hiện nay? - HUMAN-OUT1]]</f>
        <v>9</v>
      </c>
      <c r="BH65" t="str">
        <f t="shared" si="25"/>
        <v>Support</v>
      </c>
      <c r="BI65" s="32">
        <f t="shared" si="26"/>
        <v>3</v>
      </c>
    </row>
    <row r="66" spans="1:61" x14ac:dyDescent="0.45">
      <c r="A66" s="30">
        <f>step3_validation[[#This Row],[Persona_ID]]</f>
        <v>65</v>
      </c>
      <c r="B66" s="31">
        <f>step3_validation[[#This Row],[Used_Seed]]</f>
        <v>106</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8</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2">
        <f t="shared" si="5"/>
        <v>2</v>
      </c>
      <c r="AA66">
        <f>step3_validation[[#This Row],[AI_FAC1]]</f>
        <v>7</v>
      </c>
      <c r="AB66" t="str">
        <f t="shared" si="6"/>
        <v>Neutral</v>
      </c>
      <c r="AC66">
        <f>survey_responses[[#This Row],[Các thủ tục khai báo thuế VÀ/HOẶC quy trình làm việc với cơ quan thuế đơn giản, tiện lợi, nhanh chóng hơn so với trước đây. - HUMAN-FAC1]]</f>
        <v>10</v>
      </c>
      <c r="AD66" t="str">
        <f t="shared" si="7"/>
        <v>Support</v>
      </c>
      <c r="AE66" s="32">
        <f t="shared" si="8"/>
        <v>3</v>
      </c>
      <c r="AF66">
        <f>step3_validation[[#This Row],[AI_FAC2]]</f>
        <v>8</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2</v>
      </c>
      <c r="AK66">
        <f>step3_validation[[#This Row],[AI_TRU1]]</f>
        <v>6</v>
      </c>
      <c r="AL66" t="str">
        <f t="shared" si="12"/>
        <v>Neutral</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4</v>
      </c>
      <c r="AP66">
        <f>step3_validation[[#This Row],[AI_TRU2]]</f>
        <v>8</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2</v>
      </c>
      <c r="AU66">
        <f>step3_validation[[#This Row],[AI_TRU3]]</f>
        <v>7</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3</v>
      </c>
      <c r="AZ66">
        <f>step3_validation[[#This Row],[AI_TRU4]]</f>
        <v>6</v>
      </c>
      <c r="BA66" t="str">
        <f t="shared" si="21"/>
        <v>Neutral</v>
      </c>
      <c r="BB66">
        <f>survey_responses[[#This Row],[Tôi thấy Nhà nước đã giải thích rõ ràng, minh bạch về lý do và mục tiêu của việc sửa đổi thuế lần này. - HUMAN-TRU4]]</f>
        <v>10</v>
      </c>
      <c r="BC66" t="str">
        <f t="shared" si="22"/>
        <v>Support</v>
      </c>
      <c r="BD66" s="32">
        <f t="shared" si="23"/>
        <v>4</v>
      </c>
      <c r="BE66">
        <f>step3_validation[[#This Row],[AI_OUT1]]</f>
        <v>8</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2</v>
      </c>
    </row>
    <row r="67" spans="1:61" x14ac:dyDescent="0.45">
      <c r="A67" s="30">
        <f>step3_validation[[#This Row],[Persona_ID]]</f>
        <v>66</v>
      </c>
      <c r="B67" s="31">
        <f>step3_validation[[#This Row],[Used_Seed]]</f>
        <v>107</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15.242679597001288</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8</v>
      </c>
      <c r="R67" t="str">
        <f t="shared" ref="R67:R130" si="27">IF(AND(Q67&gt;=1,Q67&lt;5),"Oppose",IF(AND(Q67&gt;=5,Q67&lt;8),"Neutral",IF(AND(Q67&gt;=8,Q67&lt;=10),"Support","")))</f>
        <v>Support</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1</v>
      </c>
      <c r="V67">
        <f>step3_validation[[#This Row],[AI_ENF2]]</f>
        <v>7</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2</v>
      </c>
      <c r="AA67">
        <f>step3_validation[[#This Row],[AI_FAC1]]</f>
        <v>8</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5</v>
      </c>
      <c r="AF67">
        <f>step3_validation[[#This Row],[AI_FAC2]]</f>
        <v>9</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4</v>
      </c>
      <c r="AK67">
        <f>step3_validation[[#This Row],[AI_TRU1]]</f>
        <v>8</v>
      </c>
      <c r="AL67" t="str">
        <f t="shared" ref="AL67:AL130" si="39">IF(AND(AK67&gt;=1,AK67&lt;5),"Oppose",IF(AND(AK67&gt;=5,AK67&lt;8),"Neutral",IF(AND(AK67&gt;=8,AK67&lt;=10),"Support","")))</f>
        <v>Support</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4</v>
      </c>
      <c r="AP67">
        <f>step3_validation[[#This Row],[AI_TRU2]]</f>
        <v>7</v>
      </c>
      <c r="AQ67" t="str">
        <f t="shared" ref="AQ67:AQ130" si="42">IF(AND(AP67&gt;=1,AP67&lt;5),"Oppose",IF(AND(AP67&gt;=5,AP67&lt;8),"Neutral",IF(AND(AP67&gt;=8,AP67&lt;=10),"Support","")))</f>
        <v>Neutral</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4</v>
      </c>
      <c r="AU67">
        <f>step3_validation[[#This Row],[AI_TRU3]]</f>
        <v>8</v>
      </c>
      <c r="AV67" t="str">
        <f t="shared" ref="AV67:AV130" si="45">IF(AND(AU67&gt;=1,AU67&lt;5),"Oppose",IF(AND(AU67&gt;=5,AU67&lt;8),"Neutral",IF(AND(AU67&gt;=8,AU67&lt;=10),"Support","")))</f>
        <v>Support</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3</v>
      </c>
      <c r="AZ67">
        <f>step3_validation[[#This Row],[AI_TRU4]]</f>
        <v>7</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1</v>
      </c>
      <c r="BE67">
        <f>step3_validation[[#This Row],[AI_OUT1]]</f>
        <v>8</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2</v>
      </c>
    </row>
    <row r="68" spans="1:61" x14ac:dyDescent="0.45">
      <c r="A68" s="30">
        <f>step3_validation[[#This Row],[Persona_ID]]</f>
        <v>67</v>
      </c>
      <c r="B68" s="31">
        <f>step3_validation[[#This Row],[Used_Seed]]</f>
        <v>108</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96.535808337186438</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6</v>
      </c>
      <c r="W68" t="str">
        <f t="shared" si="30"/>
        <v>Neutral</v>
      </c>
      <c r="X68">
        <f>survey_responses[[#This Row],[Tôi tin rằng Nhà nước, cơ quan thuế có đủ khả năng và công nghệ để phát hiện, xử lý nghiêm các hành vi trốn thuế. - HUMAN-ENF2]]</f>
        <v>5</v>
      </c>
      <c r="Y68" t="str">
        <f t="shared" si="31"/>
        <v>Neutral</v>
      </c>
      <c r="Z68" s="32">
        <f t="shared" si="32"/>
        <v>1</v>
      </c>
      <c r="AA68">
        <f>step3_validation[[#This Row],[AI_FAC1]]</f>
        <v>5</v>
      </c>
      <c r="AB68" t="str">
        <f t="shared" si="33"/>
        <v>Neutral</v>
      </c>
      <c r="AC68">
        <f>survey_responses[[#This Row],[Các thủ tục khai báo thuế VÀ/HOẶC quy trình làm việc với cơ quan thuế đơn giản, tiện lợi, nhanh chóng hơn so với trước đây. - HUMAN-FAC1]]</f>
        <v>4</v>
      </c>
      <c r="AD68" t="str">
        <f t="shared" si="34"/>
        <v>Oppose</v>
      </c>
      <c r="AE68" s="32">
        <f t="shared" si="35"/>
        <v>1</v>
      </c>
      <c r="AF68">
        <f>step3_validation[[#This Row],[AI_FAC2]]</f>
        <v>4</v>
      </c>
      <c r="AG68" t="str">
        <f t="shared" si="36"/>
        <v>Oppose</v>
      </c>
      <c r="AH68">
        <f>survey_responses[[#This Row],[So với trước đây, tôi thấy cách tính thuế và các bậc thuế trong phương án mới đơn giản, dễ hiểu và dễ thực hiện hơn. - HUMAN-FAC2]]</f>
        <v>4</v>
      </c>
      <c r="AI68" t="str">
        <f t="shared" si="37"/>
        <v>Oppose</v>
      </c>
      <c r="AJ68" s="32">
        <f t="shared" si="38"/>
        <v>0</v>
      </c>
      <c r="AK68">
        <f>step3_validation[[#This Row],[AI_TRU1]]</f>
        <v>6</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4</v>
      </c>
      <c r="AP68">
        <f>step3_validation[[#This Row],[AI_TRU2]]</f>
        <v>7</v>
      </c>
      <c r="AQ68" t="str">
        <f t="shared" si="42"/>
        <v>Neutral</v>
      </c>
      <c r="AR68">
        <f>survey_responses[[#This Row],[Tôi thấy mức thuế tôi phải đóng theo phương án mới là công bằng (người thu nhập như tôi đóng mức này là hợp lý). - HUMAN-TRU2]]</f>
        <v>3</v>
      </c>
      <c r="AS68" t="str">
        <f t="shared" si="43"/>
        <v>Oppose</v>
      </c>
      <c r="AT68" s="32">
        <f t="shared" si="44"/>
        <v>4</v>
      </c>
      <c r="AU68">
        <f>step3_validation[[#This Row],[AI_TRU3]]</f>
        <v>5</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3</v>
      </c>
      <c r="AZ68">
        <f>step3_validation[[#This Row],[AI_TRU4]]</f>
        <v>6</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3</v>
      </c>
      <c r="BE68">
        <f>step3_validation[[#This Row],[AI_OUT1]]</f>
        <v>7</v>
      </c>
      <c r="BF68" t="str">
        <f t="shared" si="51"/>
        <v>Neutral</v>
      </c>
      <c r="BG68">
        <f>survey_responses[[#This Row],[Sau khi xem xét các quyền lợi và nghĩa vụ, bạn có ủng hộ và tuân thủ chính sách mới hiện nay? - HUMAN-OUT1]]</f>
        <v>3</v>
      </c>
      <c r="BH68" t="str">
        <f t="shared" si="52"/>
        <v>Oppose</v>
      </c>
      <c r="BI68" s="32">
        <f t="shared" si="53"/>
        <v>4</v>
      </c>
    </row>
    <row r="69" spans="1:61" x14ac:dyDescent="0.45">
      <c r="A69" s="30">
        <f>step3_validation[[#This Row],[Persona_ID]]</f>
        <v>68</v>
      </c>
      <c r="B69" s="31">
        <f>step3_validation[[#This Row],[Used_Seed]]</f>
        <v>109</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59.418587227273363</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8</v>
      </c>
      <c r="W69" t="str">
        <f t="shared" si="30"/>
        <v>Support</v>
      </c>
      <c r="X69">
        <f>survey_responses[[#This Row],[Tôi tin rằng Nhà nước, cơ quan thuế có đủ khả năng và công nghệ để phát hiện, xử lý nghiêm các hành vi trốn thuế. - HUMAN-ENF2]]</f>
        <v>3</v>
      </c>
      <c r="Y69" t="str">
        <f t="shared" si="31"/>
        <v>Oppose</v>
      </c>
      <c r="Z69" s="32">
        <f t="shared" si="32"/>
        <v>5</v>
      </c>
      <c r="AA69">
        <f>step3_validation[[#This Row],[AI_FAC1]]</f>
        <v>7</v>
      </c>
      <c r="AB69" t="str">
        <f t="shared" si="33"/>
        <v>Neutral</v>
      </c>
      <c r="AC69">
        <f>survey_responses[[#This Row],[Các thủ tục khai báo thuế VÀ/HOẶC quy trình làm việc với cơ quan thuế đơn giản, tiện lợi, nhanh chóng hơn so với trước đây. - HUMAN-FAC1]]</f>
        <v>1</v>
      </c>
      <c r="AD69" t="str">
        <f t="shared" si="34"/>
        <v>Oppose</v>
      </c>
      <c r="AE69" s="32">
        <f t="shared" si="35"/>
        <v>6</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9</v>
      </c>
      <c r="AL69" t="str">
        <f t="shared" si="39"/>
        <v>Support</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5</v>
      </c>
      <c r="AP69">
        <f>step3_validation[[#This Row],[AI_TRU2]]</f>
        <v>8</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5</v>
      </c>
      <c r="AU69">
        <f>step3_validation[[#This Row],[AI_TRU3]]</f>
        <v>7</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6</v>
      </c>
      <c r="AZ69">
        <f>step3_validation[[#This Row],[AI_TRU4]]</f>
        <v>6</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3</v>
      </c>
      <c r="BE69">
        <f>step3_validation[[#This Row],[AI_OUT1]]</f>
        <v>8</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3</v>
      </c>
    </row>
    <row r="70" spans="1:61" x14ac:dyDescent="0.45">
      <c r="A70" s="30">
        <f>step3_validation[[#This Row],[Persona_ID]]</f>
        <v>69</v>
      </c>
      <c r="B70" s="31">
        <f>step3_validation[[#This Row],[Used_Seed]]</f>
        <v>110</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21.7219712460412</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0</v>
      </c>
      <c r="V70">
        <f>step3_validation[[#This Row],[AI_ENF2]]</f>
        <v>8</v>
      </c>
      <c r="W70" t="str">
        <f t="shared" si="30"/>
        <v>Support</v>
      </c>
      <c r="X70">
        <f>survey_responses[[#This Row],[Tôi tin rằng Nhà nước, cơ quan thuế có đủ khả năng và công nghệ để phát hiện, xử lý nghiêm các hành vi trốn thuế. - HUMAN-ENF2]]</f>
        <v>7</v>
      </c>
      <c r="Y70" t="str">
        <f t="shared" si="31"/>
        <v>Neutral</v>
      </c>
      <c r="Z70" s="32">
        <f t="shared" si="32"/>
        <v>1</v>
      </c>
      <c r="AA70">
        <f>step3_validation[[#This Row],[AI_FAC1]]</f>
        <v>9</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8</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7</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1</v>
      </c>
      <c r="AP70">
        <f>step3_validation[[#This Row],[AI_TRU2]]</f>
        <v>6</v>
      </c>
      <c r="AQ70" t="str">
        <f t="shared" si="42"/>
        <v>Neutral</v>
      </c>
      <c r="AR70">
        <f>survey_responses[[#This Row],[Tôi thấy mức thuế tôi phải đóng theo phương án mới là công bằng (người thu nhập như tôi đóng mức này là hợp lý). - HUMAN-TRU2]]</f>
        <v>10</v>
      </c>
      <c r="AS70" t="str">
        <f t="shared" si="43"/>
        <v>Support</v>
      </c>
      <c r="AT70" s="32">
        <f t="shared" si="44"/>
        <v>4</v>
      </c>
      <c r="AU70">
        <f>step3_validation[[#This Row],[AI_TRU3]]</f>
        <v>5</v>
      </c>
      <c r="AV70" t="str">
        <f t="shared" si="45"/>
        <v>Neutral</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4</v>
      </c>
      <c r="AZ70">
        <f>step3_validation[[#This Row],[AI_TRU4]]</f>
        <v>4</v>
      </c>
      <c r="BA70" t="str">
        <f t="shared" si="48"/>
        <v>Oppose</v>
      </c>
      <c r="BB70">
        <f>survey_responses[[#This Row],[Tôi thấy Nhà nước đã giải thích rõ ràng, minh bạch về lý do và mục tiêu của việc sửa đổi thuế lần này. - HUMAN-TRU4]]</f>
        <v>9</v>
      </c>
      <c r="BC70" t="str">
        <f t="shared" si="49"/>
        <v>Support</v>
      </c>
      <c r="BD70" s="32">
        <f t="shared" si="50"/>
        <v>5</v>
      </c>
      <c r="BE70">
        <f>step3_validation[[#This Row],[AI_OUT1]]</f>
        <v>6</v>
      </c>
      <c r="BF70" t="str">
        <f t="shared" si="51"/>
        <v>Neutral</v>
      </c>
      <c r="BG70">
        <f>survey_responses[[#This Row],[Sau khi xem xét các quyền lợi và nghĩa vụ, bạn có ủng hộ và tuân thủ chính sách mới hiện nay? - HUMAN-OUT1]]</f>
        <v>9</v>
      </c>
      <c r="BH70" t="str">
        <f t="shared" si="52"/>
        <v>Support</v>
      </c>
      <c r="BI70" s="32">
        <f t="shared" si="53"/>
        <v>3</v>
      </c>
    </row>
    <row r="71" spans="1:61" x14ac:dyDescent="0.45">
      <c r="A71" s="30">
        <f>step3_validation[[#This Row],[Persona_ID]]</f>
        <v>70</v>
      </c>
      <c r="B71" s="31">
        <f>step3_validation[[#This Row],[Used_Seed]]</f>
        <v>111</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124.74188068094527</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8</v>
      </c>
      <c r="R71" t="str">
        <f t="shared" si="27"/>
        <v>Support</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2</v>
      </c>
      <c r="V71">
        <f>step3_validation[[#This Row],[AI_ENF2]]</f>
        <v>9</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3</v>
      </c>
      <c r="AA71">
        <f>step3_validation[[#This Row],[AI_FAC1]]</f>
        <v>8</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3</v>
      </c>
      <c r="AF71">
        <f>step3_validation[[#This Row],[AI_FAC2]]</f>
        <v>8</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3</v>
      </c>
      <c r="AK71">
        <f>step3_validation[[#This Row],[AI_TRU1]]</f>
        <v>9</v>
      </c>
      <c r="AL71" t="str">
        <f t="shared" si="39"/>
        <v>Support</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4</v>
      </c>
      <c r="AP71">
        <f>step3_validation[[#This Row],[AI_TRU2]]</f>
        <v>7</v>
      </c>
      <c r="AQ71" t="str">
        <f t="shared" si="42"/>
        <v>Neutral</v>
      </c>
      <c r="AR71">
        <f>survey_responses[[#This Row],[Tôi thấy mức thuế tôi phải đóng theo phương án mới là công bằng (người thu nhập như tôi đóng mức này là hợp lý). - HUMAN-TRU2]]</f>
        <v>1</v>
      </c>
      <c r="AS71" t="str">
        <f t="shared" si="43"/>
        <v>Oppose</v>
      </c>
      <c r="AT71" s="32">
        <f t="shared" si="44"/>
        <v>6</v>
      </c>
      <c r="AU71">
        <f>step3_validation[[#This Row],[AI_TRU3]]</f>
        <v>6</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1</v>
      </c>
      <c r="AZ71">
        <f>step3_validation[[#This Row],[AI_TRU4]]</f>
        <v>8</v>
      </c>
      <c r="BA71" t="str">
        <f t="shared" si="48"/>
        <v>Support</v>
      </c>
      <c r="BB71">
        <f>survey_responses[[#This Row],[Tôi thấy Nhà nước đã giải thích rõ ràng, minh bạch về lý do và mục tiêu của việc sửa đổi thuế lần này. - HUMAN-TRU4]]</f>
        <v>5</v>
      </c>
      <c r="BC71" t="str">
        <f t="shared" si="49"/>
        <v>Neutral</v>
      </c>
      <c r="BD71" s="32">
        <f t="shared" si="50"/>
        <v>3</v>
      </c>
      <c r="BE71">
        <f>step3_validation[[#This Row],[AI_OUT1]]</f>
        <v>7</v>
      </c>
      <c r="BF71" t="str">
        <f t="shared" si="51"/>
        <v>Neutral</v>
      </c>
      <c r="BG71">
        <f>survey_responses[[#This Row],[Sau khi xem xét các quyền lợi và nghĩa vụ, bạn có ủng hộ và tuân thủ chính sách mới hiện nay? - HUMAN-OUT1]]</f>
        <v>5</v>
      </c>
      <c r="BH71" t="str">
        <f t="shared" si="52"/>
        <v>Neutral</v>
      </c>
      <c r="BI71" s="32">
        <f t="shared" si="53"/>
        <v>2</v>
      </c>
    </row>
    <row r="72" spans="1:61" x14ac:dyDescent="0.45">
      <c r="A72" s="30">
        <f>step3_validation[[#This Row],[Persona_ID]]</f>
        <v>71</v>
      </c>
      <c r="B72" s="31">
        <f>step3_validation[[#This Row],[Used_Seed]]</f>
        <v>112</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23.931672104061242</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8</v>
      </c>
      <c r="R72" t="str">
        <f t="shared" si="27"/>
        <v>Support</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5</v>
      </c>
      <c r="V72">
        <f>step3_validation[[#This Row],[AI_ENF2]]</f>
        <v>7</v>
      </c>
      <c r="W72" t="str">
        <f t="shared" si="30"/>
        <v>Neutral</v>
      </c>
      <c r="X72">
        <f>survey_responses[[#This Row],[Tôi tin rằng Nhà nước, cơ quan thuế có đủ khả năng và công nghệ để phát hiện, xử lý nghiêm các hành vi trốn thuế. - HUMAN-ENF2]]</f>
        <v>3</v>
      </c>
      <c r="Y72" t="str">
        <f t="shared" si="31"/>
        <v>Oppose</v>
      </c>
      <c r="Z72" s="32">
        <f t="shared" si="32"/>
        <v>4</v>
      </c>
      <c r="AA72">
        <f>step3_validation[[#This Row],[AI_FAC1]]</f>
        <v>6</v>
      </c>
      <c r="AB72" t="str">
        <f t="shared" si="33"/>
        <v>Neutral</v>
      </c>
      <c r="AC72">
        <f>survey_responses[[#This Row],[Các thủ tục khai báo thuế VÀ/HOẶC quy trình làm việc với cơ quan thuế đơn giản, tiện lợi, nhanh chóng hơn so với trước đây. - HUMAN-FAC1]]</f>
        <v>3</v>
      </c>
      <c r="AD72" t="str">
        <f t="shared" si="34"/>
        <v>Oppose</v>
      </c>
      <c r="AE72" s="32">
        <f t="shared" si="35"/>
        <v>3</v>
      </c>
      <c r="AF72">
        <f>step3_validation[[#This Row],[AI_FAC2]]</f>
        <v>7</v>
      </c>
      <c r="AG72" t="str">
        <f t="shared" si="36"/>
        <v>Neutral</v>
      </c>
      <c r="AH72">
        <f>survey_responses[[#This Row],[So với trước đây, tôi thấy cách tính thuế và các bậc thuế trong phương án mới đơn giản, dễ hiểu và dễ thực hiện hơn. - HUMAN-FAC2]]</f>
        <v>5</v>
      </c>
      <c r="AI72" t="str">
        <f t="shared" si="37"/>
        <v>Neutral</v>
      </c>
      <c r="AJ72" s="32">
        <f t="shared" si="38"/>
        <v>2</v>
      </c>
      <c r="AK72">
        <f>step3_validation[[#This Row],[AI_TRU1]]</f>
        <v>8</v>
      </c>
      <c r="AL72" t="str">
        <f t="shared" si="39"/>
        <v>Support</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5</v>
      </c>
      <c r="AP72">
        <f>step3_validation[[#This Row],[AI_TRU2]]</f>
        <v>7</v>
      </c>
      <c r="AQ72" t="str">
        <f t="shared" si="42"/>
        <v>Neutral</v>
      </c>
      <c r="AR72">
        <f>survey_responses[[#This Row],[Tôi thấy mức thuế tôi phải đóng theo phương án mới là công bằng (người thu nhập như tôi đóng mức này là hợp lý). - HUMAN-TRU2]]</f>
        <v>3</v>
      </c>
      <c r="AS72" t="str">
        <f t="shared" si="43"/>
        <v>Oppose</v>
      </c>
      <c r="AT72" s="32">
        <f t="shared" si="44"/>
        <v>4</v>
      </c>
      <c r="AU72">
        <f>step3_validation[[#This Row],[AI_TRU3]]</f>
        <v>6</v>
      </c>
      <c r="AV72" t="str">
        <f t="shared" si="45"/>
        <v>Neutral</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3</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8</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4</v>
      </c>
    </row>
    <row r="73" spans="1:61" x14ac:dyDescent="0.45">
      <c r="A73" s="30">
        <f>step3_validation[[#This Row],[Persona_ID]]</f>
        <v>72</v>
      </c>
      <c r="B73" s="31">
        <f>step3_validation[[#This Row],[Used_Seed]]</f>
        <v>113</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18.282312425122235</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1</v>
      </c>
      <c r="V73">
        <f>step3_validation[[#This Row],[AI_ENF2]]</f>
        <v>8</v>
      </c>
      <c r="W73" t="str">
        <f t="shared" si="30"/>
        <v>Support</v>
      </c>
      <c r="X73">
        <f>survey_responses[[#This Row],[Tôi tin rằng Nhà nước, cơ quan thuế có đủ khả năng và công nghệ để phát hiện, xử lý nghiêm các hành vi trốn thuế. - HUMAN-ENF2]]</f>
        <v>8</v>
      </c>
      <c r="Y73" t="str">
        <f t="shared" si="31"/>
        <v>Support</v>
      </c>
      <c r="Z73" s="32">
        <f t="shared" si="32"/>
        <v>0</v>
      </c>
      <c r="AA73">
        <f>step3_validation[[#This Row],[AI_FAC1]]</f>
        <v>6</v>
      </c>
      <c r="AB73" t="str">
        <f t="shared" si="33"/>
        <v>Neutral</v>
      </c>
      <c r="AC73">
        <f>survey_responses[[#This Row],[Các thủ tục khai báo thuế VÀ/HOẶC quy trình làm việc với cơ quan thuế đơn giản, tiện lợi, nhanh chóng hơn so với trước đây. - HUMAN-FAC1]]</f>
        <v>4</v>
      </c>
      <c r="AD73" t="str">
        <f t="shared" si="34"/>
        <v>Oppose</v>
      </c>
      <c r="AE73" s="32">
        <f t="shared" si="35"/>
        <v>2</v>
      </c>
      <c r="AF73">
        <f>step3_validation[[#This Row],[AI_FAC2]]</f>
        <v>8</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6</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7</v>
      </c>
      <c r="AQ73" t="str">
        <f t="shared" si="42"/>
        <v>Neutral</v>
      </c>
      <c r="AR73">
        <f>survey_responses[[#This Row],[Tôi thấy mức thuế tôi phải đóng theo phương án mới là công bằng (người thu nhập như tôi đóng mức này là hợp lý). - HUMAN-TRU2]]</f>
        <v>3</v>
      </c>
      <c r="AS73" t="str">
        <f t="shared" si="43"/>
        <v>Oppose</v>
      </c>
      <c r="AT73" s="32">
        <f t="shared" si="44"/>
        <v>4</v>
      </c>
      <c r="AU73">
        <f>step3_validation[[#This Row],[AI_TRU3]]</f>
        <v>6</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2</v>
      </c>
      <c r="AZ73">
        <f>step3_validation[[#This Row],[AI_TRU4]]</f>
        <v>7</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3</v>
      </c>
      <c r="BE73">
        <f>step3_validation[[#This Row],[AI_OUT1]]</f>
        <v>6</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2</v>
      </c>
    </row>
    <row r="74" spans="1:61" x14ac:dyDescent="0.45">
      <c r="A74" s="30">
        <f>step3_validation[[#This Row],[Persona_ID]]</f>
        <v>73</v>
      </c>
      <c r="B74" s="31">
        <f>step3_validation[[#This Row],[Used_Seed]]</f>
        <v>114</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15.639441372548426</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8</v>
      </c>
      <c r="W74" t="str">
        <f t="shared" si="30"/>
        <v>Support</v>
      </c>
      <c r="X74">
        <f>survey_responses[[#This Row],[Tôi tin rằng Nhà nước, cơ quan thuế có đủ khả năng và công nghệ để phát hiện, xử lý nghiêm các hành vi trốn thuế. - HUMAN-ENF2]]</f>
        <v>5</v>
      </c>
      <c r="Y74" t="str">
        <f t="shared" si="31"/>
        <v>Neutral</v>
      </c>
      <c r="Z74" s="32">
        <f t="shared" si="32"/>
        <v>3</v>
      </c>
      <c r="AA74">
        <f>step3_validation[[#This Row],[AI_FAC1]]</f>
        <v>6</v>
      </c>
      <c r="AB74" t="str">
        <f t="shared" si="33"/>
        <v>Neutral</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1</v>
      </c>
      <c r="AF74">
        <f>step3_validation[[#This Row],[AI_FAC2]]</f>
        <v>7</v>
      </c>
      <c r="AG74" t="str">
        <f t="shared" si="36"/>
        <v>Neutral</v>
      </c>
      <c r="AH74">
        <f>survey_responses[[#This Row],[So với trước đây, tôi thấy cách tính thuế và các bậc thuế trong phương án mới đơn giản, dễ hiểu và dễ thực hiện hơn. - HUMAN-FAC2]]</f>
        <v>5</v>
      </c>
      <c r="AI74" t="str">
        <f t="shared" si="37"/>
        <v>Neutral</v>
      </c>
      <c r="AJ74" s="32">
        <f t="shared" si="38"/>
        <v>2</v>
      </c>
      <c r="AK74">
        <f>step3_validation[[#This Row],[AI_TRU1]]</f>
        <v>6</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1</v>
      </c>
      <c r="AP74">
        <f>step3_validation[[#This Row],[AI_TRU2]]</f>
        <v>7</v>
      </c>
      <c r="AQ74" t="str">
        <f t="shared" si="42"/>
        <v>Neutral</v>
      </c>
      <c r="AR74">
        <f>survey_responses[[#This Row],[Tôi thấy mức thuế tôi phải đóng theo phương án mới là công bằng (người thu nhập như tôi đóng mức này là hợp lý). - HUMAN-TRU2]]</f>
        <v>10</v>
      </c>
      <c r="AS74" t="str">
        <f t="shared" si="43"/>
        <v>Support</v>
      </c>
      <c r="AT74" s="32">
        <f t="shared" si="44"/>
        <v>3</v>
      </c>
      <c r="AU74">
        <f>step3_validation[[#This Row],[AI_TRU3]]</f>
        <v>6</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1</v>
      </c>
      <c r="AZ74">
        <f>step3_validation[[#This Row],[AI_TRU4]]</f>
        <v>7</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2</v>
      </c>
      <c r="BE74">
        <f>step3_validation[[#This Row],[AI_OUT1]]</f>
        <v>6</v>
      </c>
      <c r="BF74" t="str">
        <f t="shared" si="51"/>
        <v>Neutral</v>
      </c>
      <c r="BG74">
        <f>survey_responses[[#This Row],[Sau khi xem xét các quyền lợi và nghĩa vụ, bạn có ủng hộ và tuân thủ chính sách mới hiện nay? - HUMAN-OUT1]]</f>
        <v>10</v>
      </c>
      <c r="BH74" t="str">
        <f t="shared" si="52"/>
        <v>Support</v>
      </c>
      <c r="BI74" s="32">
        <f t="shared" si="53"/>
        <v>4</v>
      </c>
    </row>
    <row r="75" spans="1:61" x14ac:dyDescent="0.45">
      <c r="A75" s="30">
        <f>step3_validation[[#This Row],[Persona_ID]]</f>
        <v>74</v>
      </c>
      <c r="B75" s="31">
        <f>step3_validation[[#This Row],[Used_Seed]]</f>
        <v>115</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20.80935209675512</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2</v>
      </c>
      <c r="V75">
        <f>step3_validation[[#This Row],[AI_ENF2]]</f>
        <v>8</v>
      </c>
      <c r="W75" t="str">
        <f t="shared" si="30"/>
        <v>Support</v>
      </c>
      <c r="X75">
        <f>survey_responses[[#This Row],[Tôi tin rằng Nhà nước, cơ quan thuế có đủ khả năng và công nghệ để phát hiện, xử lý nghiêm các hành vi trốn thuế. - HUMAN-ENF2]]</f>
        <v>10</v>
      </c>
      <c r="Y75" t="str">
        <f t="shared" si="31"/>
        <v>Support</v>
      </c>
      <c r="Z75" s="32">
        <f t="shared" si="32"/>
        <v>2</v>
      </c>
      <c r="AA75">
        <f>step3_validation[[#This Row],[AI_FAC1]]</f>
        <v>9</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2">
        <f t="shared" si="35"/>
        <v>7</v>
      </c>
      <c r="AF75">
        <f>step3_validation[[#This Row],[AI_FAC2]]</f>
        <v>8</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0</v>
      </c>
      <c r="AK75">
        <f>step3_validation[[#This Row],[AI_TRU1]]</f>
        <v>7</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2</v>
      </c>
      <c r="AP75">
        <f>step3_validation[[#This Row],[AI_TRU2]]</f>
        <v>8</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3</v>
      </c>
      <c r="AU75">
        <f>step3_validation[[#This Row],[AI_TRU3]]</f>
        <v>7</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6</v>
      </c>
      <c r="AZ75">
        <f>step3_validation[[#This Row],[AI_TRU4]]</f>
        <v>8</v>
      </c>
      <c r="BA75" t="str">
        <f t="shared" si="48"/>
        <v>Support</v>
      </c>
      <c r="BB75">
        <f>survey_responses[[#This Row],[Tôi thấy Nhà nước đã giải thích rõ ràng, minh bạch về lý do và mục tiêu của việc sửa đổi thuế lần này. - HUMAN-TRU4]]</f>
        <v>4</v>
      </c>
      <c r="BC75" t="str">
        <f t="shared" si="49"/>
        <v>Oppose</v>
      </c>
      <c r="BD75" s="32">
        <f t="shared" si="50"/>
        <v>4</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4</v>
      </c>
    </row>
    <row r="76" spans="1:61" x14ac:dyDescent="0.45">
      <c r="A76" s="30">
        <f>step3_validation[[#This Row],[Persona_ID]]</f>
        <v>75</v>
      </c>
      <c r="B76" s="31">
        <f>step3_validation[[#This Row],[Used_Seed]]</f>
        <v>116</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51.619765083298567</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7</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1</v>
      </c>
      <c r="V76">
        <f>step3_validation[[#This Row],[AI_ENF2]]</f>
        <v>6</v>
      </c>
      <c r="W76" t="str">
        <f t="shared" si="30"/>
        <v>Neutral</v>
      </c>
      <c r="X76">
        <f>survey_responses[[#This Row],[Tôi tin rằng Nhà nước, cơ quan thuế có đủ khả năng và công nghệ để phát hiện, xử lý nghiêm các hành vi trốn thuế. - HUMAN-ENF2]]</f>
        <v>9</v>
      </c>
      <c r="Y76" t="str">
        <f t="shared" si="31"/>
        <v>Support</v>
      </c>
      <c r="Z76" s="32">
        <f t="shared" si="32"/>
        <v>3</v>
      </c>
      <c r="AA76">
        <f>step3_validation[[#This Row],[AI_FAC1]]</f>
        <v>8</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1</v>
      </c>
      <c r="AF76">
        <f>step3_validation[[#This Row],[AI_FAC2]]</f>
        <v>7</v>
      </c>
      <c r="AG76" t="str">
        <f t="shared" si="36"/>
        <v>Neutral</v>
      </c>
      <c r="AH76">
        <f>survey_responses[[#This Row],[So với trước đây, tôi thấy cách tính thuế và các bậc thuế trong phương án mới đơn giản, dễ hiểu và dễ thực hiện hơn. - HUMAN-FAC2]]</f>
        <v>9</v>
      </c>
      <c r="AI76" t="str">
        <f t="shared" si="37"/>
        <v>Support</v>
      </c>
      <c r="AJ76" s="32">
        <f t="shared" si="38"/>
        <v>2</v>
      </c>
      <c r="AK76">
        <f>step3_validation[[#This Row],[AI_TRU1]]</f>
        <v>5</v>
      </c>
      <c r="AL76" t="str">
        <f t="shared" si="39"/>
        <v>Neutral</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2</v>
      </c>
      <c r="AP76">
        <f>step3_validation[[#This Row],[AI_TRU2]]</f>
        <v>8</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5</v>
      </c>
      <c r="AU76">
        <f>step3_validation[[#This Row],[AI_TRU3]]</f>
        <v>6</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4</v>
      </c>
      <c r="AZ76">
        <f>step3_validation[[#This Row],[AI_TRU4]]</f>
        <v>5</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3</v>
      </c>
      <c r="BE76">
        <f>step3_validation[[#This Row],[AI_OUT1]]</f>
        <v>7</v>
      </c>
      <c r="BF76" t="str">
        <f t="shared" si="51"/>
        <v>Neutral</v>
      </c>
      <c r="BG76">
        <f>survey_responses[[#This Row],[Sau khi xem xét các quyền lợi và nghĩa vụ, bạn có ủng hộ và tuân thủ chính sách mới hiện nay? - HUMAN-OUT1]]</f>
        <v>6</v>
      </c>
      <c r="BH76" t="str">
        <f t="shared" si="52"/>
        <v>Neutral</v>
      </c>
      <c r="BI76" s="32">
        <f t="shared" si="53"/>
        <v>1</v>
      </c>
    </row>
    <row r="77" spans="1:61" x14ac:dyDescent="0.45">
      <c r="A77" s="30">
        <f>step3_validation[[#This Row],[Persona_ID]]</f>
        <v>76</v>
      </c>
      <c r="B77" s="31">
        <f>step3_validation[[#This Row],[Used_Seed]]</f>
        <v>117</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16.375058800369303</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8</v>
      </c>
      <c r="R77" t="str">
        <f t="shared" si="27"/>
        <v>Support</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3</v>
      </c>
      <c r="V77">
        <f>step3_validation[[#This Row],[AI_ENF2]]</f>
        <v>7</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2</v>
      </c>
      <c r="AA77">
        <f>step3_validation[[#This Row],[AI_FAC1]]</f>
        <v>9</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4</v>
      </c>
      <c r="AF77">
        <f>step3_validation[[#This Row],[AI_FAC2]]</f>
        <v>8</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3</v>
      </c>
      <c r="AK77">
        <f>step3_validation[[#This Row],[AI_TRU1]]</f>
        <v>7</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2</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3</v>
      </c>
      <c r="AU77">
        <f>step3_validation[[#This Row],[AI_TRU3]]</f>
        <v>6</v>
      </c>
      <c r="AV77" t="str">
        <f t="shared" si="45"/>
        <v>Neutral</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7</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8</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3</v>
      </c>
    </row>
    <row r="78" spans="1:61" x14ac:dyDescent="0.45">
      <c r="A78" s="30">
        <f>step3_validation[[#This Row],[Persona_ID]]</f>
        <v>77</v>
      </c>
      <c r="B78" s="31">
        <f>step3_validation[[#This Row],[Used_Seed]]</f>
        <v>118</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16.653448223125846</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7</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1</v>
      </c>
      <c r="V78">
        <f>step3_validation[[#This Row],[AI_ENF2]]</f>
        <v>8</v>
      </c>
      <c r="W78" t="str">
        <f t="shared" si="30"/>
        <v>Support</v>
      </c>
      <c r="X78">
        <f>survey_responses[[#This Row],[Tôi tin rằng Nhà nước, cơ quan thuế có đủ khả năng và công nghệ để phát hiện, xử lý nghiêm các hành vi trốn thuế. - HUMAN-ENF2]]</f>
        <v>8</v>
      </c>
      <c r="Y78" t="str">
        <f t="shared" si="31"/>
        <v>Support</v>
      </c>
      <c r="Z78" s="32">
        <f t="shared" si="32"/>
        <v>0</v>
      </c>
      <c r="AA78">
        <f>step3_validation[[#This Row],[AI_FAC1]]</f>
        <v>6</v>
      </c>
      <c r="AB78" t="str">
        <f t="shared" si="33"/>
        <v>Neutral</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2</v>
      </c>
      <c r="AF78">
        <f>step3_validation[[#This Row],[AI_FAC2]]</f>
        <v>6</v>
      </c>
      <c r="AG78" t="str">
        <f t="shared" si="36"/>
        <v>Neutral</v>
      </c>
      <c r="AH78">
        <f>survey_responses[[#This Row],[So với trước đây, tôi thấy cách tính thuế và các bậc thuế trong phương án mới đơn giản, dễ hiểu và dễ thực hiện hơn. - HUMAN-FAC2]]</f>
        <v>8</v>
      </c>
      <c r="AI78" t="str">
        <f t="shared" si="37"/>
        <v>Support</v>
      </c>
      <c r="AJ78" s="32">
        <f t="shared" si="38"/>
        <v>2</v>
      </c>
      <c r="AK78">
        <f>step3_validation[[#This Row],[AI_TRU1]]</f>
        <v>8</v>
      </c>
      <c r="AL78" t="str">
        <f t="shared" si="39"/>
        <v>Support</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1</v>
      </c>
      <c r="AP78">
        <f>step3_validation[[#This Row],[AI_TRU2]]</f>
        <v>7</v>
      </c>
      <c r="AQ78" t="str">
        <f t="shared" si="42"/>
        <v>Neutral</v>
      </c>
      <c r="AR78">
        <f>survey_responses[[#This Row],[Tôi thấy mức thuế tôi phải đóng theo phương án mới là công bằng (người thu nhập như tôi đóng mức này là hợp lý). - HUMAN-TRU2]]</f>
        <v>7</v>
      </c>
      <c r="AS78" t="str">
        <f t="shared" si="43"/>
        <v>Neutral</v>
      </c>
      <c r="AT78" s="32">
        <f t="shared" si="44"/>
        <v>0</v>
      </c>
      <c r="AU78">
        <f>step3_validation[[#This Row],[AI_TRU3]]</f>
        <v>7</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2</v>
      </c>
      <c r="AZ78">
        <f>step3_validation[[#This Row],[AI_TRU4]]</f>
        <v>8</v>
      </c>
      <c r="BA78" t="str">
        <f t="shared" si="48"/>
        <v>Support</v>
      </c>
      <c r="BB78">
        <f>survey_responses[[#This Row],[Tôi thấy Nhà nước đã giải thích rõ ràng, minh bạch về lý do và mục tiêu của việc sửa đổi thuế lần này. - HUMAN-TRU4]]</f>
        <v>10</v>
      </c>
      <c r="BC78" t="str">
        <f t="shared" si="49"/>
        <v>Support</v>
      </c>
      <c r="BD78" s="32">
        <f t="shared" si="50"/>
        <v>2</v>
      </c>
      <c r="BE78">
        <f>step3_validation[[#This Row],[AI_OUT1]]</f>
        <v>7</v>
      </c>
      <c r="BF78" t="str">
        <f t="shared" si="51"/>
        <v>Neutral</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119</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46.343605990619146</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6</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2</v>
      </c>
      <c r="V79">
        <f>step3_validation[[#This Row],[AI_ENF2]]</f>
        <v>7</v>
      </c>
      <c r="W79" t="str">
        <f t="shared" si="30"/>
        <v>Neutral</v>
      </c>
      <c r="X79">
        <f>survey_responses[[#This Row],[Tôi tin rằng Nhà nước, cơ quan thuế có đủ khả năng và công nghệ để phát hiện, xử lý nghiêm các hành vi trốn thuế. - HUMAN-ENF2]]</f>
        <v>7</v>
      </c>
      <c r="Y79" t="str">
        <f t="shared" si="31"/>
        <v>Neutral</v>
      </c>
      <c r="Z79" s="32">
        <f t="shared" si="32"/>
        <v>0</v>
      </c>
      <c r="AA79">
        <f>step3_validation[[#This Row],[AI_FAC1]]</f>
        <v>8</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1</v>
      </c>
      <c r="AF79">
        <f>step3_validation[[#This Row],[AI_FAC2]]</f>
        <v>7</v>
      </c>
      <c r="AG79" t="str">
        <f t="shared" si="36"/>
        <v>Neutral</v>
      </c>
      <c r="AH79">
        <f>survey_responses[[#This Row],[So với trước đây, tôi thấy cách tính thuế và các bậc thuế trong phương án mới đơn giản, dễ hiểu và dễ thực hiện hơn. - HUMAN-FAC2]]</f>
        <v>8</v>
      </c>
      <c r="AI79" t="str">
        <f t="shared" si="37"/>
        <v>Support</v>
      </c>
      <c r="AJ79" s="32">
        <f t="shared" si="38"/>
        <v>1</v>
      </c>
      <c r="AK79">
        <f>step3_validation[[#This Row],[AI_TRU1]]</f>
        <v>5</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3</v>
      </c>
      <c r="AP79">
        <f>step3_validation[[#This Row],[AI_TRU2]]</f>
        <v>6</v>
      </c>
      <c r="AQ79" t="str">
        <f t="shared" si="42"/>
        <v>Neutral</v>
      </c>
      <c r="AR79">
        <f>survey_responses[[#This Row],[Tôi thấy mức thuế tôi phải đóng theo phương án mới là công bằng (người thu nhập như tôi đóng mức này là hợp lý). - HUMAN-TRU2]]</f>
        <v>8</v>
      </c>
      <c r="AS79" t="str">
        <f t="shared" si="43"/>
        <v>Support</v>
      </c>
      <c r="AT79" s="32">
        <f t="shared" si="44"/>
        <v>2</v>
      </c>
      <c r="AU79">
        <f>step3_validation[[#This Row],[AI_TRU3]]</f>
        <v>6</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0</v>
      </c>
      <c r="AZ79">
        <f>step3_validation[[#This Row],[AI_TRU4]]</f>
        <v>5</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1</v>
      </c>
      <c r="BE79">
        <f>step3_validation[[#This Row],[AI_OUT1]]</f>
        <v>7</v>
      </c>
      <c r="BF79" t="str">
        <f t="shared" si="51"/>
        <v>Neutral</v>
      </c>
      <c r="BG79">
        <f>survey_responses[[#This Row],[Sau khi xem xét các quyền lợi và nghĩa vụ, bạn có ủng hộ và tuân thủ chính sách mới hiện nay? - HUMAN-OUT1]]</f>
        <v>7</v>
      </c>
      <c r="BH79" t="str">
        <f t="shared" si="52"/>
        <v>Neutral</v>
      </c>
      <c r="BI79" s="32">
        <f t="shared" si="53"/>
        <v>0</v>
      </c>
    </row>
    <row r="80" spans="1:61" x14ac:dyDescent="0.45">
      <c r="A80" s="30">
        <f>step3_validation[[#This Row],[Persona_ID]]</f>
        <v>79</v>
      </c>
      <c r="B80" s="31">
        <f>step3_validation[[#This Row],[Used_Seed]]</f>
        <v>120</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16.268707796377921</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1</v>
      </c>
      <c r="V80">
        <f>step3_validation[[#This Row],[AI_ENF2]]</f>
        <v>8</v>
      </c>
      <c r="W80" t="str">
        <f t="shared" si="30"/>
        <v>Support</v>
      </c>
      <c r="X80">
        <f>survey_responses[[#This Row],[Tôi tin rằng Nhà nước, cơ quan thuế có đủ khả năng và công nghệ để phát hiện, xử lý nghiêm các hành vi trốn thuế. - HUMAN-ENF2]]</f>
        <v>2</v>
      </c>
      <c r="Y80" t="str">
        <f t="shared" si="31"/>
        <v>Oppose</v>
      </c>
      <c r="Z80" s="32">
        <f t="shared" si="32"/>
        <v>6</v>
      </c>
      <c r="AA80">
        <f>step3_validation[[#This Row],[AI_FAC1]]</f>
        <v>6</v>
      </c>
      <c r="AB80" t="str">
        <f t="shared" si="33"/>
        <v>Neutral</v>
      </c>
      <c r="AC80">
        <f>survey_responses[[#This Row],[Các thủ tục khai báo thuế VÀ/HOẶC quy trình làm việc với cơ quan thuế đơn giản, tiện lợi, nhanh chóng hơn so với trước đây. - HUMAN-FAC1]]</f>
        <v>3</v>
      </c>
      <c r="AD80" t="str">
        <f t="shared" si="34"/>
        <v>Oppose</v>
      </c>
      <c r="AE80" s="32">
        <f t="shared" si="35"/>
        <v>3</v>
      </c>
      <c r="AF80">
        <f>step3_validation[[#This Row],[AI_FAC2]]</f>
        <v>5</v>
      </c>
      <c r="AG80" t="str">
        <f t="shared" si="36"/>
        <v>Neutral</v>
      </c>
      <c r="AH80">
        <f>survey_responses[[#This Row],[So với trước đây, tôi thấy cách tính thuế và các bậc thuế trong phương án mới đơn giản, dễ hiểu và dễ thực hiện hơn. - HUMAN-FAC2]]</f>
        <v>2</v>
      </c>
      <c r="AI80" t="str">
        <f t="shared" si="37"/>
        <v>Oppose</v>
      </c>
      <c r="AJ80" s="32">
        <f t="shared" si="38"/>
        <v>3</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6</v>
      </c>
      <c r="AQ80" t="str">
        <f t="shared" si="42"/>
        <v>Neutral</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7</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2</v>
      </c>
      <c r="AZ80">
        <f>step3_validation[[#This Row],[AI_TRU4]]</f>
        <v>6</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1</v>
      </c>
      <c r="BE80">
        <f>step3_validation[[#This Row],[AI_OUT1]]</f>
        <v>8</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1</v>
      </c>
    </row>
    <row r="81" spans="1:61" x14ac:dyDescent="0.45">
      <c r="A81" s="30">
        <f>step3_validation[[#This Row],[Persona_ID]]</f>
        <v>80</v>
      </c>
      <c r="B81" s="31">
        <f>step3_validation[[#This Row],[Used_Seed]]</f>
        <v>121</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15.16407904409764</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t="str">
        <f t="shared" si="27"/>
        <v>Support</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0</v>
      </c>
      <c r="V81">
        <f>step3_validation[[#This Row],[AI_ENF2]]</f>
        <v>7</v>
      </c>
      <c r="W81" t="str">
        <f t="shared" si="30"/>
        <v>Neutral</v>
      </c>
      <c r="X81">
        <f>survey_responses[[#This Row],[Tôi tin rằng Nhà nước, cơ quan thuế có đủ khả năng và công nghệ để phát hiện, xử lý nghiêm các hành vi trốn thuế. - HUMAN-ENF2]]</f>
        <v>8</v>
      </c>
      <c r="Y81" t="str">
        <f t="shared" si="31"/>
        <v>Support</v>
      </c>
      <c r="Z81" s="32">
        <f t="shared" si="32"/>
        <v>1</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8</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0</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0</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8</v>
      </c>
      <c r="BA81" t="str">
        <f t="shared" si="48"/>
        <v>Support</v>
      </c>
      <c r="BB81">
        <f>survey_responses[[#This Row],[Tôi thấy Nhà nước đã giải thích rõ ràng, minh bạch về lý do và mục tiêu của việc sửa đổi thuế lần này. - HUMAN-TRU4]]</f>
        <v>8</v>
      </c>
      <c r="BC81" t="str">
        <f t="shared" si="49"/>
        <v>Support</v>
      </c>
      <c r="BD81" s="32">
        <f t="shared" si="50"/>
        <v>0</v>
      </c>
      <c r="BE81">
        <f>step3_validation[[#This Row],[AI_OUT1]]</f>
        <v>7</v>
      </c>
      <c r="BF81" t="str">
        <f t="shared" si="51"/>
        <v>Neutral</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122</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2</v>
      </c>
      <c r="V82">
        <f>step3_validation[[#This Row],[AI_ENF2]]</f>
        <v>6</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8</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3</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4</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1</v>
      </c>
      <c r="AP82">
        <f>step3_validation[[#This Row],[AI_TRU2]]</f>
        <v>8</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3</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5</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1</v>
      </c>
      <c r="BE82">
        <f>step3_validation[[#This Row],[AI_OUT1]]</f>
        <v>6</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2</v>
      </c>
    </row>
    <row r="83" spans="1:61" x14ac:dyDescent="0.45">
      <c r="A83" s="30">
        <f>step3_validation[[#This Row],[Persona_ID]]</f>
        <v>82</v>
      </c>
      <c r="B83" s="31">
        <f>step3_validation[[#This Row],[Used_Seed]]</f>
        <v>123</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15.411759316240717</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8</v>
      </c>
      <c r="R83" t="str">
        <f t="shared" si="27"/>
        <v>Support</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0</v>
      </c>
      <c r="V83">
        <f>step3_validation[[#This Row],[AI_ENF2]]</f>
        <v>9</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0</v>
      </c>
      <c r="AA83">
        <f>step3_validation[[#This Row],[AI_FAC1]]</f>
        <v>8</v>
      </c>
      <c r="AB83" t="str">
        <f t="shared" si="33"/>
        <v>Support</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3</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8</v>
      </c>
      <c r="AL83" t="str">
        <f t="shared" si="39"/>
        <v>Support</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3</v>
      </c>
      <c r="AP83">
        <f>step3_validation[[#This Row],[AI_TRU2]]</f>
        <v>8</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3</v>
      </c>
      <c r="AU83">
        <f>step3_validation[[#This Row],[AI_TRU3]]</f>
        <v>8</v>
      </c>
      <c r="AV83" t="str">
        <f t="shared" si="45"/>
        <v>Support</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7</v>
      </c>
      <c r="AZ83">
        <f>step3_validation[[#This Row],[AI_TRU4]]</f>
        <v>7</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2</v>
      </c>
      <c r="BE83">
        <f>step3_validation[[#This Row],[AI_OUT1]]</f>
        <v>7</v>
      </c>
      <c r="BF83" t="str">
        <f t="shared" si="51"/>
        <v>Neutral</v>
      </c>
      <c r="BG83">
        <f>survey_responses[[#This Row],[Sau khi xem xét các quyền lợi và nghĩa vụ, bạn có ủng hộ và tuân thủ chính sách mới hiện nay? - HUMAN-OUT1]]</f>
        <v>5</v>
      </c>
      <c r="BH83" t="str">
        <f t="shared" si="52"/>
        <v>Neutral</v>
      </c>
      <c r="BI83" s="32">
        <f t="shared" si="53"/>
        <v>2</v>
      </c>
    </row>
    <row r="84" spans="1:61" x14ac:dyDescent="0.45">
      <c r="A84" s="30">
        <f>step3_validation[[#This Row],[Persona_ID]]</f>
        <v>83</v>
      </c>
      <c r="B84" s="31">
        <f>step3_validation[[#This Row],[Used_Seed]]</f>
        <v>124</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15.926265570194589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7</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1</v>
      </c>
      <c r="AA84">
        <f>step3_validation[[#This Row],[AI_FAC1]]</f>
        <v>8</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0</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2</v>
      </c>
      <c r="AK84">
        <f>step3_validation[[#This Row],[AI_TRU1]]</f>
        <v>6</v>
      </c>
      <c r="AL84" t="str">
        <f t="shared" si="39"/>
        <v>Neutral</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7</v>
      </c>
      <c r="AQ84" t="str">
        <f t="shared" si="42"/>
        <v>Neutral</v>
      </c>
      <c r="AR84">
        <f>survey_responses[[#This Row],[Tôi thấy mức thuế tôi phải đóng theo phương án mới là công bằng (người thu nhập như tôi đóng mức này là hợp lý). - HUMAN-TRU2]]</f>
        <v>6</v>
      </c>
      <c r="AS84" t="str">
        <f t="shared" si="43"/>
        <v>Neutral</v>
      </c>
      <c r="AT84" s="32">
        <f t="shared" si="44"/>
        <v>1</v>
      </c>
      <c r="AU84">
        <f>step3_validation[[#This Row],[AI_TRU3]]</f>
        <v>6</v>
      </c>
      <c r="AV84" t="str">
        <f t="shared" si="45"/>
        <v>Neutral</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5</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1</v>
      </c>
      <c r="BE84">
        <f>step3_validation[[#This Row],[AI_OUT1]]</f>
        <v>6</v>
      </c>
      <c r="BF84" t="str">
        <f t="shared" si="51"/>
        <v>Neutral</v>
      </c>
      <c r="BG84">
        <f>survey_responses[[#This Row],[Sau khi xem xét các quyền lợi và nghĩa vụ, bạn có ủng hộ và tuân thủ chính sách mới hiện nay? - HUMAN-OUT1]]</f>
        <v>8</v>
      </c>
      <c r="BH84" t="str">
        <f t="shared" si="52"/>
        <v>Support</v>
      </c>
      <c r="BI84" s="32">
        <f t="shared" si="53"/>
        <v>2</v>
      </c>
    </row>
    <row r="85" spans="1:61" x14ac:dyDescent="0.45">
      <c r="A85" s="30">
        <f>step3_validation[[#This Row],[Persona_ID]]</f>
        <v>84</v>
      </c>
      <c r="B85" s="31">
        <f>step3_validation[[#This Row],[Used_Seed]]</f>
        <v>125</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16.258747418004365</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2</v>
      </c>
      <c r="V85">
        <f>step3_validation[[#This Row],[AI_ENF2]]</f>
        <v>7</v>
      </c>
      <c r="W85" t="str">
        <f t="shared" si="30"/>
        <v>Neutral</v>
      </c>
      <c r="X85">
        <f>survey_responses[[#This Row],[Tôi tin rằng Nhà nước, cơ quan thuế có đủ khả năng và công nghệ để phát hiện, xử lý nghiêm các hành vi trốn thuế. - HUMAN-ENF2]]</f>
        <v>7</v>
      </c>
      <c r="Y85" t="str">
        <f t="shared" si="31"/>
        <v>Neutral</v>
      </c>
      <c r="Z85" s="32">
        <f t="shared" si="32"/>
        <v>0</v>
      </c>
      <c r="AA85">
        <f>step3_validation[[#This Row],[AI_FAC1]]</f>
        <v>9</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4</v>
      </c>
      <c r="AF85">
        <f>step3_validation[[#This Row],[AI_FAC2]]</f>
        <v>8</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3</v>
      </c>
      <c r="AK85">
        <f>step3_validation[[#This Row],[AI_TRU1]]</f>
        <v>7</v>
      </c>
      <c r="AL85" t="str">
        <f t="shared" si="39"/>
        <v>Neutral</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2</v>
      </c>
      <c r="AP85">
        <f>step3_validation[[#This Row],[AI_TRU2]]</f>
        <v>6</v>
      </c>
      <c r="AQ85" t="str">
        <f t="shared" si="42"/>
        <v>Neutral</v>
      </c>
      <c r="AR85">
        <f>survey_responses[[#This Row],[Tôi thấy mức thuế tôi phải đóng theo phương án mới là công bằng (người thu nhập như tôi đóng mức này là hợp lý). - HUMAN-TRU2]]</f>
        <v>5</v>
      </c>
      <c r="AS85" t="str">
        <f t="shared" si="43"/>
        <v>Neutral</v>
      </c>
      <c r="AT85" s="32">
        <f t="shared" si="44"/>
        <v>1</v>
      </c>
      <c r="AU85">
        <f>step3_validation[[#This Row],[AI_TRU3]]</f>
        <v>7</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2</v>
      </c>
      <c r="AZ85">
        <f>step3_validation[[#This Row],[AI_TRU4]]</f>
        <v>5</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0</v>
      </c>
      <c r="BE85">
        <f>step3_validation[[#This Row],[AI_OUT1]]</f>
        <v>7</v>
      </c>
      <c r="BF85" t="str">
        <f t="shared" si="51"/>
        <v>Neutral</v>
      </c>
      <c r="BG85">
        <f>survey_responses[[#This Row],[Sau khi xem xét các quyền lợi và nghĩa vụ, bạn có ủng hộ và tuân thủ chính sách mới hiện nay? - HUMAN-OUT1]]</f>
        <v>5</v>
      </c>
      <c r="BH85" t="str">
        <f t="shared" si="52"/>
        <v>Neutral</v>
      </c>
      <c r="BI85" s="32">
        <f t="shared" si="53"/>
        <v>2</v>
      </c>
    </row>
    <row r="86" spans="1:61" x14ac:dyDescent="0.45">
      <c r="A86" s="30">
        <f>step3_validation[[#This Row],[Persona_ID]]</f>
        <v>85</v>
      </c>
      <c r="B86" s="31">
        <f>step3_validation[[#This Row],[Used_Seed]]</f>
        <v>126</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12.030880379843296</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8</v>
      </c>
      <c r="R86" t="str">
        <f t="shared" si="27"/>
        <v>Support</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1</v>
      </c>
      <c r="V86">
        <f>step3_validation[[#This Row],[AI_ENF2]]</f>
        <v>7</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2</v>
      </c>
      <c r="AA86">
        <f>step3_validation[[#This Row],[AI_FAC1]]</f>
        <v>8</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0</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6</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3</v>
      </c>
      <c r="AP86">
        <f>step3_validation[[#This Row],[AI_TRU2]]</f>
        <v>8</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1</v>
      </c>
      <c r="AU86">
        <f>step3_validation[[#This Row],[AI_TRU3]]</f>
        <v>5</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2</v>
      </c>
      <c r="AZ86">
        <f>step3_validation[[#This Row],[AI_TRU4]]</f>
        <v>7</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1</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0</v>
      </c>
    </row>
    <row r="87" spans="1:61" x14ac:dyDescent="0.45">
      <c r="A87" s="30">
        <f>step3_validation[[#This Row],[Persona_ID]]</f>
        <v>86</v>
      </c>
      <c r="B87" s="31">
        <f>step3_validation[[#This Row],[Used_Seed]]</f>
        <v>127</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12.312332838666865</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2</v>
      </c>
      <c r="V87">
        <f>step3_validation[[#This Row],[AI_ENF2]]</f>
        <v>8</v>
      </c>
      <c r="W87" t="str">
        <f t="shared" si="30"/>
        <v>Support</v>
      </c>
      <c r="X87">
        <f>survey_responses[[#This Row],[Tôi tin rằng Nhà nước, cơ quan thuế có đủ khả năng và công nghệ để phát hiện, xử lý nghiêm các hành vi trốn thuế. - HUMAN-ENF2]]</f>
        <v>5</v>
      </c>
      <c r="Y87" t="str">
        <f t="shared" si="31"/>
        <v>Neutral</v>
      </c>
      <c r="Z87" s="32">
        <f t="shared" si="32"/>
        <v>3</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1</v>
      </c>
      <c r="AF87">
        <f>step3_validation[[#This Row],[AI_FAC2]]</f>
        <v>8</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4</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6</v>
      </c>
      <c r="AQ87" t="str">
        <f t="shared" si="42"/>
        <v>Neutral</v>
      </c>
      <c r="AR87">
        <f>survey_responses[[#This Row],[Tôi thấy mức thuế tôi phải đóng theo phương án mới là công bằng (người thu nhập như tôi đóng mức này là hợp lý). - HUMAN-TRU2]]</f>
        <v>5</v>
      </c>
      <c r="AS87" t="str">
        <f t="shared" si="43"/>
        <v>Neutral</v>
      </c>
      <c r="AT87" s="32">
        <f t="shared" si="44"/>
        <v>1</v>
      </c>
      <c r="AU87">
        <f>step3_validation[[#This Row],[AI_TRU3]]</f>
        <v>6</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1</v>
      </c>
      <c r="AZ87">
        <f>step3_validation[[#This Row],[AI_TRU4]]</f>
        <v>5</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3</v>
      </c>
      <c r="BE87">
        <f>step3_validation[[#This Row],[AI_OUT1]]</f>
        <v>7</v>
      </c>
      <c r="BF87" t="str">
        <f t="shared" si="51"/>
        <v>Neutral</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128</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15.295896504667837</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7</v>
      </c>
      <c r="AG88" t="str">
        <f t="shared" si="36"/>
        <v>Neutral</v>
      </c>
      <c r="AH88">
        <f>survey_responses[[#This Row],[So với trước đây, tôi thấy cách tính thuế và các bậc thuế trong phương án mới đơn giản, dễ hiểu và dễ thực hiện hơn. - HUMAN-FAC2]]</f>
        <v>9</v>
      </c>
      <c r="AI88" t="str">
        <f t="shared" si="37"/>
        <v>Support</v>
      </c>
      <c r="AJ88" s="32">
        <f t="shared" si="38"/>
        <v>2</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7</v>
      </c>
      <c r="AQ88" t="str">
        <f t="shared" si="42"/>
        <v>Neutral</v>
      </c>
      <c r="AR88">
        <f>survey_responses[[#This Row],[Tôi thấy mức thuế tôi phải đóng theo phương án mới là công bằng (người thu nhập như tôi đóng mức này là hợp lý). - HUMAN-TRU2]]</f>
        <v>9</v>
      </c>
      <c r="AS88" t="str">
        <f t="shared" si="43"/>
        <v>Support</v>
      </c>
      <c r="AT88" s="32">
        <f t="shared" si="44"/>
        <v>2</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2</v>
      </c>
      <c r="AZ88">
        <f>step3_validation[[#This Row],[AI_TRU4]]</f>
        <v>6</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3</v>
      </c>
      <c r="BE88">
        <f>step3_validation[[#This Row],[AI_OUT1]]</f>
        <v>8</v>
      </c>
      <c r="BF88" t="str">
        <f t="shared" si="51"/>
        <v>Support</v>
      </c>
      <c r="BG88">
        <f>survey_responses[[#This Row],[Sau khi xem xét các quyền lợi và nghĩa vụ, bạn có ủng hộ và tuân thủ chính sách mới hiện nay? - HUMAN-OUT1]]</f>
        <v>10</v>
      </c>
      <c r="BH88" t="str">
        <f t="shared" si="52"/>
        <v>Support</v>
      </c>
      <c r="BI88" s="32">
        <f t="shared" si="53"/>
        <v>2</v>
      </c>
    </row>
    <row r="89" spans="1:61" x14ac:dyDescent="0.45">
      <c r="A89" s="30">
        <f>step3_validation[[#This Row],[Persona_ID]]</f>
        <v>88</v>
      </c>
      <c r="B89" s="31">
        <f>step3_validation[[#This Row],[Used_Seed]]</f>
        <v>129</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8</v>
      </c>
      <c r="R89" t="str">
        <f t="shared" si="27"/>
        <v>Support</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2</v>
      </c>
      <c r="V89">
        <f>step3_validation[[#This Row],[AI_ENF2]]</f>
        <v>7</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3</v>
      </c>
      <c r="AA89">
        <f>step3_validation[[#This Row],[AI_FAC1]]</f>
        <v>9</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1</v>
      </c>
      <c r="AF89">
        <f>step3_validation[[#This Row],[AI_FAC2]]</f>
        <v>8</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2</v>
      </c>
      <c r="AK89">
        <f>step3_validation[[#This Row],[AI_TRU1]]</f>
        <v>6</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4</v>
      </c>
      <c r="AP89">
        <f>step3_validation[[#This Row],[AI_TRU2]]</f>
        <v>7</v>
      </c>
      <c r="AQ89" t="str">
        <f t="shared" si="42"/>
        <v>Neutral</v>
      </c>
      <c r="AR89">
        <f>survey_responses[[#This Row],[Tôi thấy mức thuế tôi phải đóng theo phương án mới là công bằng (người thu nhập như tôi đóng mức này là hợp lý). - HUMAN-TRU2]]</f>
        <v>10</v>
      </c>
      <c r="AS89" t="str">
        <f t="shared" si="43"/>
        <v>Support</v>
      </c>
      <c r="AT89" s="32">
        <f t="shared" si="44"/>
        <v>3</v>
      </c>
      <c r="AU89">
        <f>step3_validation[[#This Row],[AI_TRU3]]</f>
        <v>5</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5</v>
      </c>
      <c r="AZ89">
        <f>step3_validation[[#This Row],[AI_TRU4]]</f>
        <v>6</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4</v>
      </c>
      <c r="BE89">
        <f>step3_validation[[#This Row],[AI_OUT1]]</f>
        <v>7</v>
      </c>
      <c r="BF89" t="str">
        <f t="shared" si="51"/>
        <v>Neutral</v>
      </c>
      <c r="BG89">
        <f>survey_responses[[#This Row],[Sau khi xem xét các quyền lợi và nghĩa vụ, bạn có ủng hộ và tuân thủ chính sách mới hiện nay? - HUMAN-OUT1]]</f>
        <v>10</v>
      </c>
      <c r="BH89" t="str">
        <f t="shared" si="52"/>
        <v>Support</v>
      </c>
      <c r="BI89" s="32">
        <f t="shared" si="53"/>
        <v>3</v>
      </c>
    </row>
    <row r="90" spans="1:61" x14ac:dyDescent="0.45">
      <c r="A90" s="30">
        <f>step3_validation[[#This Row],[Persona_ID]]</f>
        <v>89</v>
      </c>
      <c r="B90" s="31">
        <f>step3_validation[[#This Row],[Used_Seed]]</f>
        <v>130</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6</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3</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7</v>
      </c>
      <c r="AG90" t="str">
        <f t="shared" si="36"/>
        <v>Neutral</v>
      </c>
      <c r="AH90">
        <f>survey_responses[[#This Row],[So với trước đây, tôi thấy cách tính thuế và các bậc thuế trong phương án mới đơn giản, dễ hiểu và dễ thực hiện hơn. - HUMAN-FAC2]]</f>
        <v>9</v>
      </c>
      <c r="AI90" t="str">
        <f t="shared" si="37"/>
        <v>Support</v>
      </c>
      <c r="AJ90" s="32">
        <f t="shared" si="38"/>
        <v>2</v>
      </c>
      <c r="AK90">
        <f>step3_validation[[#This Row],[AI_TRU1]]</f>
        <v>8</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2</v>
      </c>
      <c r="AP90">
        <f>step3_validation[[#This Row],[AI_TRU2]]</f>
        <v>6</v>
      </c>
      <c r="AQ90" t="str">
        <f t="shared" si="42"/>
        <v>Neutral</v>
      </c>
      <c r="AR90">
        <f>survey_responses[[#This Row],[Tôi thấy mức thuế tôi phải đóng theo phương án mới là công bằng (người thu nhập như tôi đóng mức này là hợp lý). - HUMAN-TRU2]]</f>
        <v>9</v>
      </c>
      <c r="AS90" t="str">
        <f t="shared" si="43"/>
        <v>Support</v>
      </c>
      <c r="AT90" s="32">
        <f t="shared" si="44"/>
        <v>3</v>
      </c>
      <c r="AU90">
        <f>step3_validation[[#This Row],[AI_TRU3]]</f>
        <v>7</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2</v>
      </c>
      <c r="AZ90">
        <f>step3_validation[[#This Row],[AI_TRU4]]</f>
        <v>5</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3</v>
      </c>
      <c r="BE90">
        <f>step3_validation[[#This Row],[AI_OUT1]]</f>
        <v>7</v>
      </c>
      <c r="BF90" t="str">
        <f t="shared" si="51"/>
        <v>Neutral</v>
      </c>
      <c r="BG90">
        <f>survey_responses[[#This Row],[Sau khi xem xét các quyền lợi và nghĩa vụ, bạn có ủng hộ và tuân thủ chính sách mới hiện nay? - HUMAN-OUT1]]</f>
        <v>9</v>
      </c>
      <c r="BH90" t="str">
        <f t="shared" si="52"/>
        <v>Support</v>
      </c>
      <c r="BI90" s="32">
        <f t="shared" si="53"/>
        <v>2</v>
      </c>
    </row>
    <row r="91" spans="1:61" x14ac:dyDescent="0.45">
      <c r="A91" s="30">
        <f>step3_validation[[#This Row],[Persona_ID]]</f>
        <v>90</v>
      </c>
      <c r="B91" s="31">
        <f>step3_validation[[#This Row],[Used_Seed]]</f>
        <v>131</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1</v>
      </c>
      <c r="V91">
        <f>step3_validation[[#This Row],[AI_ENF2]]</f>
        <v>6</v>
      </c>
      <c r="W91" t="str">
        <f t="shared" si="30"/>
        <v>Neutral</v>
      </c>
      <c r="X91">
        <f>survey_responses[[#This Row],[Tôi tin rằng Nhà nước, cơ quan thuế có đủ khả năng và công nghệ để phát hiện, xử lý nghiêm các hành vi trốn thuế. - HUMAN-ENF2]]</f>
        <v>10</v>
      </c>
      <c r="Y91" t="str">
        <f t="shared" si="31"/>
        <v>Support</v>
      </c>
      <c r="Z91" s="32">
        <f t="shared" si="32"/>
        <v>4</v>
      </c>
      <c r="AA91">
        <f>step3_validation[[#This Row],[AI_FAC1]]</f>
        <v>8</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0</v>
      </c>
      <c r="AF91">
        <f>step3_validation[[#This Row],[AI_FAC2]]</f>
        <v>7</v>
      </c>
      <c r="AG91" t="str">
        <f t="shared" si="36"/>
        <v>Neutral</v>
      </c>
      <c r="AH91">
        <f>survey_responses[[#This Row],[So với trước đây, tôi thấy cách tính thuế và các bậc thuế trong phương án mới đơn giản, dễ hiểu và dễ thực hiện hơn. - HUMAN-FAC2]]</f>
        <v>9</v>
      </c>
      <c r="AI91" t="str">
        <f t="shared" si="37"/>
        <v>Support</v>
      </c>
      <c r="AJ91" s="32">
        <f t="shared" si="38"/>
        <v>2</v>
      </c>
      <c r="AK91">
        <f>step3_validation[[#This Row],[AI_TRU1]]</f>
        <v>8</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1</v>
      </c>
      <c r="AP91">
        <f>step3_validation[[#This Row],[AI_TRU2]]</f>
        <v>6</v>
      </c>
      <c r="AQ91" t="str">
        <f t="shared" si="42"/>
        <v>Neutral</v>
      </c>
      <c r="AR91">
        <f>survey_responses[[#This Row],[Tôi thấy mức thuế tôi phải đóng theo phương án mới là công bằng (người thu nhập như tôi đóng mức này là hợp lý). - HUMAN-TRU2]]</f>
        <v>9</v>
      </c>
      <c r="AS91" t="str">
        <f t="shared" si="43"/>
        <v>Support</v>
      </c>
      <c r="AT91" s="32">
        <f t="shared" si="44"/>
        <v>3</v>
      </c>
      <c r="AU91">
        <f>step3_validation[[#This Row],[AI_TRU3]]</f>
        <v>7</v>
      </c>
      <c r="AV91" t="str">
        <f t="shared" si="45"/>
        <v>Neutral</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1</v>
      </c>
      <c r="AZ91">
        <f>step3_validation[[#This Row],[AI_TRU4]]</f>
        <v>5</v>
      </c>
      <c r="BA91" t="str">
        <f t="shared" si="48"/>
        <v>Neutral</v>
      </c>
      <c r="BB91">
        <f>survey_responses[[#This Row],[Tôi thấy Nhà nước đã giải thích rõ ràng, minh bạch về lý do và mục tiêu của việc sửa đổi thuế lần này. - HUMAN-TRU4]]</f>
        <v>8</v>
      </c>
      <c r="BC91" t="str">
        <f t="shared" si="49"/>
        <v>Support</v>
      </c>
      <c r="BD91" s="32">
        <f t="shared" si="50"/>
        <v>3</v>
      </c>
      <c r="BE91">
        <f>step3_validation[[#This Row],[AI_OUT1]]</f>
        <v>6</v>
      </c>
      <c r="BF91" t="str">
        <f t="shared" si="51"/>
        <v>Neutral</v>
      </c>
      <c r="BG91">
        <f>survey_responses[[#This Row],[Sau khi xem xét các quyền lợi và nghĩa vụ, bạn có ủng hộ và tuân thủ chính sách mới hiện nay? - HUMAN-OUT1]]</f>
        <v>9</v>
      </c>
      <c r="BH91" t="str">
        <f t="shared" si="52"/>
        <v>Support</v>
      </c>
      <c r="BI91" s="32">
        <f t="shared" si="53"/>
        <v>3</v>
      </c>
    </row>
    <row r="92" spans="1:61" x14ac:dyDescent="0.45">
      <c r="A92" s="30">
        <f>step3_validation[[#This Row],[Persona_ID]]</f>
        <v>91</v>
      </c>
      <c r="B92" s="31">
        <f>step3_validation[[#This Row],[Used_Seed]]</f>
        <v>132</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7</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3</v>
      </c>
      <c r="V92">
        <f>step3_validation[[#This Row],[AI_ENF2]]</f>
        <v>8</v>
      </c>
      <c r="W92" t="str">
        <f t="shared" si="30"/>
        <v>Support</v>
      </c>
      <c r="X92">
        <f>survey_responses[[#This Row],[Tôi tin rằng Nhà nước, cơ quan thuế có đủ khả năng và công nghệ để phát hiện, xử lý nghiêm các hành vi trốn thuế. - HUMAN-ENF2]]</f>
        <v>9</v>
      </c>
      <c r="Y92" t="str">
        <f t="shared" si="31"/>
        <v>Support</v>
      </c>
      <c r="Z92" s="32">
        <f t="shared" si="32"/>
        <v>1</v>
      </c>
      <c r="AA92">
        <f>step3_validation[[#This Row],[AI_FAC1]]</f>
        <v>6</v>
      </c>
      <c r="AB92" t="str">
        <f t="shared" si="33"/>
        <v>Neutral</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3</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1</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8</v>
      </c>
      <c r="BA92" t="str">
        <f t="shared" si="48"/>
        <v>Support</v>
      </c>
      <c r="BB92">
        <f>survey_responses[[#This Row],[Tôi thấy Nhà nước đã giải thích rõ ràng, minh bạch về lý do và mục tiêu của việc sửa đổi thuế lần này. - HUMAN-TRU4]]</f>
        <v>8</v>
      </c>
      <c r="BC92" t="str">
        <f t="shared" si="49"/>
        <v>Support</v>
      </c>
      <c r="BD92" s="32">
        <f t="shared" si="50"/>
        <v>0</v>
      </c>
      <c r="BE92">
        <f>step3_validation[[#This Row],[AI_OUT1]]</f>
        <v>9</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1</v>
      </c>
    </row>
    <row r="93" spans="1:61" x14ac:dyDescent="0.45">
      <c r="A93" s="30">
        <f>step3_validation[[#This Row],[Persona_ID]]</f>
        <v>92</v>
      </c>
      <c r="B93" s="31">
        <f>step3_validation[[#This Row],[Used_Seed]]</f>
        <v>133</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3</v>
      </c>
      <c r="V93">
        <f>step3_validation[[#This Row],[AI_ENF2]]</f>
        <v>6</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4</v>
      </c>
      <c r="AA93">
        <f>step3_validation[[#This Row],[AI_FAC1]]</f>
        <v>8</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2</v>
      </c>
      <c r="AF93">
        <f>step3_validation[[#This Row],[AI_FAC2]]</f>
        <v>7</v>
      </c>
      <c r="AG93" t="str">
        <f t="shared" si="36"/>
        <v>Neutral</v>
      </c>
      <c r="AH93">
        <f>survey_responses[[#This Row],[So với trước đây, tôi thấy cách tính thuế và các bậc thuế trong phương án mới đơn giản, dễ hiểu và dễ thực hiện hơn. - HUMAN-FAC2]]</f>
        <v>10</v>
      </c>
      <c r="AI93" t="str">
        <f t="shared" si="37"/>
        <v>Support</v>
      </c>
      <c r="AJ93" s="32">
        <f t="shared" si="38"/>
        <v>3</v>
      </c>
      <c r="AK93">
        <f>step3_validation[[#This Row],[AI_TRU1]]</f>
        <v>6</v>
      </c>
      <c r="AL93" t="str">
        <f t="shared" si="39"/>
        <v>Neutral</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4</v>
      </c>
      <c r="AP93">
        <f>step3_validation[[#This Row],[AI_TRU2]]</f>
        <v>7</v>
      </c>
      <c r="AQ93" t="str">
        <f t="shared" si="42"/>
        <v>Neutral</v>
      </c>
      <c r="AR93">
        <f>survey_responses[[#This Row],[Tôi thấy mức thuế tôi phải đóng theo phương án mới là công bằng (người thu nhập như tôi đóng mức này là hợp lý). - HUMAN-TRU2]]</f>
        <v>1</v>
      </c>
      <c r="AS93" t="str">
        <f t="shared" si="43"/>
        <v>Oppose</v>
      </c>
      <c r="AT93" s="32">
        <f t="shared" si="44"/>
        <v>6</v>
      </c>
      <c r="AU93">
        <f>step3_validation[[#This Row],[AI_TRU3]]</f>
        <v>6</v>
      </c>
      <c r="AV93" t="str">
        <f t="shared" si="45"/>
        <v>Neutral</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4</v>
      </c>
      <c r="AZ93">
        <f>step3_validation[[#This Row],[AI_TRU4]]</f>
        <v>5</v>
      </c>
      <c r="BA93" t="str">
        <f t="shared" si="48"/>
        <v>Neutral</v>
      </c>
      <c r="BB93">
        <f>survey_responses[[#This Row],[Tôi thấy Nhà nước đã giải thích rõ ràng, minh bạch về lý do và mục tiêu của việc sửa đổi thuế lần này. - HUMAN-TRU4]]</f>
        <v>10</v>
      </c>
      <c r="BC93" t="str">
        <f t="shared" si="49"/>
        <v>Support</v>
      </c>
      <c r="BD93" s="32">
        <f t="shared" si="50"/>
        <v>5</v>
      </c>
      <c r="BE93">
        <f>step3_validation[[#This Row],[AI_OUT1]]</f>
        <v>6</v>
      </c>
      <c r="BF93" t="str">
        <f t="shared" si="51"/>
        <v>Neutral</v>
      </c>
      <c r="BG93">
        <f>survey_responses[[#This Row],[Sau khi xem xét các quyền lợi và nghĩa vụ, bạn có ủng hộ và tuân thủ chính sách mới hiện nay? - HUMAN-OUT1]]</f>
        <v>10</v>
      </c>
      <c r="BH93" t="str">
        <f t="shared" si="52"/>
        <v>Support</v>
      </c>
      <c r="BI93" s="32">
        <f t="shared" si="53"/>
        <v>4</v>
      </c>
    </row>
    <row r="94" spans="1:61" x14ac:dyDescent="0.45">
      <c r="A94" s="30">
        <f>step3_validation[[#This Row],[Persona_ID]]</f>
        <v>93</v>
      </c>
      <c r="B94" s="31">
        <f>step3_validation[[#This Row],[Used_Seed]]</f>
        <v>134</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46.527087259745571</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2</v>
      </c>
      <c r="V94">
        <f>step3_validation[[#This Row],[AI_ENF2]]</f>
        <v>8</v>
      </c>
      <c r="W94" t="str">
        <f t="shared" si="30"/>
        <v>Support</v>
      </c>
      <c r="X94">
        <f>survey_responses[[#This Row],[Tôi tin rằng Nhà nước, cơ quan thuế có đủ khả năng và công nghệ để phát hiện, xử lý nghiêm các hành vi trốn thuế. - HUMAN-ENF2]]</f>
        <v>8</v>
      </c>
      <c r="Y94" t="str">
        <f t="shared" si="31"/>
        <v>Support</v>
      </c>
      <c r="Z94" s="32">
        <f t="shared" si="32"/>
        <v>0</v>
      </c>
      <c r="AA94">
        <f>step3_validation[[#This Row],[AI_FAC1]]</f>
        <v>6</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2</v>
      </c>
      <c r="AF94">
        <f>step3_validation[[#This Row],[AI_FAC2]]</f>
        <v>7</v>
      </c>
      <c r="AG94" t="str">
        <f t="shared" si="36"/>
        <v>Neutral</v>
      </c>
      <c r="AH94">
        <f>survey_responses[[#This Row],[So với trước đây, tôi thấy cách tính thuế và các bậc thuế trong phương án mới đơn giản, dễ hiểu và dễ thực hiện hơn. - HUMAN-FAC2]]</f>
        <v>9</v>
      </c>
      <c r="AI94" t="str">
        <f t="shared" si="37"/>
        <v>Support</v>
      </c>
      <c r="AJ94" s="32">
        <f t="shared" si="38"/>
        <v>2</v>
      </c>
      <c r="AK94">
        <f>step3_validation[[#This Row],[AI_TRU1]]</f>
        <v>8</v>
      </c>
      <c r="AL94" t="str">
        <f t="shared" si="39"/>
        <v>Support</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1</v>
      </c>
      <c r="AP94">
        <f>step3_validation[[#This Row],[AI_TRU2]]</f>
        <v>7</v>
      </c>
      <c r="AQ94" t="str">
        <f t="shared" si="42"/>
        <v>Neutral</v>
      </c>
      <c r="AR94">
        <f>survey_responses[[#This Row],[Tôi thấy mức thuế tôi phải đóng theo phương án mới là công bằng (người thu nhập như tôi đóng mức này là hợp lý). - HUMAN-TRU2]]</f>
        <v>5</v>
      </c>
      <c r="AS94" t="str">
        <f t="shared" si="43"/>
        <v>Neutral</v>
      </c>
      <c r="AT94" s="32">
        <f t="shared" si="44"/>
        <v>2</v>
      </c>
      <c r="AU94">
        <f>step3_validation[[#This Row],[AI_TRU3]]</f>
        <v>6</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1</v>
      </c>
      <c r="AZ94">
        <f>step3_validation[[#This Row],[AI_TRU4]]</f>
        <v>5</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3</v>
      </c>
      <c r="BE94">
        <f>step3_validation[[#This Row],[AI_OUT1]]</f>
        <v>8</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2</v>
      </c>
    </row>
    <row r="95" spans="1:61" x14ac:dyDescent="0.45">
      <c r="A95" s="30">
        <f>step3_validation[[#This Row],[Persona_ID]]</f>
        <v>94</v>
      </c>
      <c r="B95" s="31">
        <f>step3_validation[[#This Row],[Used_Seed]]</f>
        <v>135</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8</v>
      </c>
      <c r="R95" t="str">
        <f t="shared" si="27"/>
        <v>Support</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1</v>
      </c>
      <c r="V95">
        <f>step3_validation[[#This Row],[AI_ENF2]]</f>
        <v>9</v>
      </c>
      <c r="W95" t="str">
        <f t="shared" si="30"/>
        <v>Support</v>
      </c>
      <c r="X95">
        <f>survey_responses[[#This Row],[Tôi tin rằng Nhà nước, cơ quan thuế có đủ khả năng và công nghệ để phát hiện, xử lý nghiêm các hành vi trốn thuế. - HUMAN-ENF2]]</f>
        <v>7</v>
      </c>
      <c r="Y95" t="str">
        <f t="shared" si="31"/>
        <v>Neutral</v>
      </c>
      <c r="Z95" s="32">
        <f t="shared" si="32"/>
        <v>2</v>
      </c>
      <c r="AA95">
        <f>step3_validation[[#This Row],[AI_FAC1]]</f>
        <v>8</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3</v>
      </c>
      <c r="AF95">
        <f>step3_validation[[#This Row],[AI_FAC2]]</f>
        <v>7</v>
      </c>
      <c r="AG95" t="str">
        <f t="shared" si="36"/>
        <v>Neutral</v>
      </c>
      <c r="AH95">
        <f>survey_responses[[#This Row],[So với trước đây, tôi thấy cách tính thuế và các bậc thuế trong phương án mới đơn giản, dễ hiểu và dễ thực hiện hơn. - HUMAN-FAC2]]</f>
        <v>7</v>
      </c>
      <c r="AI95" t="str">
        <f t="shared" si="37"/>
        <v>Neutral</v>
      </c>
      <c r="AJ95" s="32">
        <f t="shared" si="38"/>
        <v>0</v>
      </c>
      <c r="AK95">
        <f>step3_validation[[#This Row],[AI_TRU1]]</f>
        <v>8</v>
      </c>
      <c r="AL95" t="str">
        <f t="shared" si="39"/>
        <v>Support</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3</v>
      </c>
      <c r="AP95">
        <f>step3_validation[[#This Row],[AI_TRU2]]</f>
        <v>7</v>
      </c>
      <c r="AQ95" t="str">
        <f t="shared" si="42"/>
        <v>Neutral</v>
      </c>
      <c r="AR95">
        <f>survey_responses[[#This Row],[Tôi thấy mức thuế tôi phải đóng theo phương án mới là công bằng (người thu nhập như tôi đóng mức này là hợp lý). - HUMAN-TRU2]]</f>
        <v>8</v>
      </c>
      <c r="AS95" t="str">
        <f t="shared" si="43"/>
        <v>Support</v>
      </c>
      <c r="AT95" s="32">
        <f t="shared" si="44"/>
        <v>1</v>
      </c>
      <c r="AU95">
        <f>step3_validation[[#This Row],[AI_TRU3]]</f>
        <v>8</v>
      </c>
      <c r="AV95" t="str">
        <f t="shared" si="45"/>
        <v>Support</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3</v>
      </c>
      <c r="AZ95">
        <f>step3_validation[[#This Row],[AI_TRU4]]</f>
        <v>7</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2</v>
      </c>
      <c r="BE95">
        <f>step3_validation[[#This Row],[AI_OUT1]]</f>
        <v>8</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1</v>
      </c>
    </row>
    <row r="96" spans="1:61" x14ac:dyDescent="0.45">
      <c r="A96" s="30">
        <f>step3_validation[[#This Row],[Persona_ID]]</f>
        <v>95</v>
      </c>
      <c r="B96" s="31">
        <f>step3_validation[[#This Row],[Used_Seed]]</f>
        <v>136</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33.911630313798995</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8</v>
      </c>
      <c r="R96" t="str">
        <f t="shared" si="27"/>
        <v>Support</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4</v>
      </c>
      <c r="V96">
        <f>step3_validation[[#This Row],[AI_ENF2]]</f>
        <v>7</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1</v>
      </c>
      <c r="AA96">
        <f>step3_validation[[#This Row],[AI_FAC1]]</f>
        <v>6</v>
      </c>
      <c r="AB96" t="str">
        <f t="shared" si="33"/>
        <v>Neutral</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1</v>
      </c>
      <c r="AF96">
        <f>step3_validation[[#This Row],[AI_FAC2]]</f>
        <v>5</v>
      </c>
      <c r="AG96" t="str">
        <f t="shared" si="36"/>
        <v>Neutral</v>
      </c>
      <c r="AH96">
        <f>survey_responses[[#This Row],[So với trước đây, tôi thấy cách tính thuế và các bậc thuế trong phương án mới đơn giản, dễ hiểu và dễ thực hiện hơn. - HUMAN-FAC2]]</f>
        <v>5</v>
      </c>
      <c r="AI96" t="str">
        <f t="shared" si="37"/>
        <v>Neutral</v>
      </c>
      <c r="AJ96" s="32">
        <f t="shared" si="38"/>
        <v>0</v>
      </c>
      <c r="AK96">
        <f>step3_validation[[#This Row],[AI_TRU1]]</f>
        <v>6</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2</v>
      </c>
      <c r="AP96">
        <f>step3_validation[[#This Row],[AI_TRU2]]</f>
        <v>4</v>
      </c>
      <c r="AQ96" t="str">
        <f t="shared" si="42"/>
        <v>Oppose</v>
      </c>
      <c r="AR96">
        <f>survey_responses[[#This Row],[Tôi thấy mức thuế tôi phải đóng theo phương án mới là công bằng (người thu nhập như tôi đóng mức này là hợp lý). - HUMAN-TRU2]]</f>
        <v>4</v>
      </c>
      <c r="AS96" t="str">
        <f t="shared" si="43"/>
        <v>Oppose</v>
      </c>
      <c r="AT96" s="32">
        <f t="shared" si="44"/>
        <v>0</v>
      </c>
      <c r="AU96">
        <f>step3_validation[[#This Row],[AI_TRU3]]</f>
        <v>5</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2</v>
      </c>
      <c r="AZ96">
        <f>step3_validation[[#This Row],[AI_TRU4]]</f>
        <v>3</v>
      </c>
      <c r="BA96" t="str">
        <f t="shared" si="48"/>
        <v>Oppose</v>
      </c>
      <c r="BB96">
        <f>survey_responses[[#This Row],[Tôi thấy Nhà nước đã giải thích rõ ràng, minh bạch về lý do và mục tiêu của việc sửa đổi thuế lần này. - HUMAN-TRU4]]</f>
        <v>4</v>
      </c>
      <c r="BC96" t="str">
        <f t="shared" si="49"/>
        <v>Oppose</v>
      </c>
      <c r="BD96" s="32">
        <f t="shared" si="50"/>
        <v>1</v>
      </c>
      <c r="BE96">
        <f>step3_validation[[#This Row],[AI_OUT1]]</f>
        <v>7</v>
      </c>
      <c r="BF96" t="str">
        <f t="shared" si="51"/>
        <v>Neutral</v>
      </c>
      <c r="BG96">
        <f>survey_responses[[#This Row],[Sau khi xem xét các quyền lợi và nghĩa vụ, bạn có ủng hộ và tuân thủ chính sách mới hiện nay? - HUMAN-OUT1]]</f>
        <v>3</v>
      </c>
      <c r="BH96" t="str">
        <f t="shared" si="52"/>
        <v>Oppose</v>
      </c>
      <c r="BI96" s="32">
        <f t="shared" si="53"/>
        <v>4</v>
      </c>
    </row>
    <row r="97" spans="1:61" x14ac:dyDescent="0.45">
      <c r="A97" s="30">
        <f>step3_validation[[#This Row],[Persona_ID]]</f>
        <v>96</v>
      </c>
      <c r="B97" s="31">
        <f>step3_validation[[#This Row],[Used_Seed]]</f>
        <v>137</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6</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2</v>
      </c>
      <c r="V97">
        <f>step3_validation[[#This Row],[AI_ENF2]]</f>
        <v>5</v>
      </c>
      <c r="W97" t="str">
        <f t="shared" si="30"/>
        <v>Neutral</v>
      </c>
      <c r="X97">
        <f>survey_responses[[#This Row],[Tôi tin rằng Nhà nước, cơ quan thuế có đủ khả năng và công nghệ để phát hiện, xử lý nghiêm các hành vi trốn thuế. - HUMAN-ENF2]]</f>
        <v>7</v>
      </c>
      <c r="Y97" t="str">
        <f t="shared" si="31"/>
        <v>Neutral</v>
      </c>
      <c r="Z97" s="32">
        <f t="shared" si="32"/>
        <v>2</v>
      </c>
      <c r="AA97">
        <f>step3_validation[[#This Row],[AI_FAC1]]</f>
        <v>7</v>
      </c>
      <c r="AB97" t="str">
        <f t="shared" si="33"/>
        <v>Neutral</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2</v>
      </c>
      <c r="AF97">
        <f>step3_validation[[#This Row],[AI_FAC2]]</f>
        <v>8</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1</v>
      </c>
      <c r="AK97">
        <f>step3_validation[[#This Row],[AI_TRU1]]</f>
        <v>4</v>
      </c>
      <c r="AL97" t="str">
        <f t="shared" si="39"/>
        <v>Oppose</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3</v>
      </c>
      <c r="AP97">
        <f>step3_validation[[#This Row],[AI_TRU2]]</f>
        <v>6</v>
      </c>
      <c r="AQ97" t="str">
        <f t="shared" si="42"/>
        <v>Neutral</v>
      </c>
      <c r="AR97">
        <f>survey_responses[[#This Row],[Tôi thấy mức thuế tôi phải đóng theo phương án mới là công bằng (người thu nhập như tôi đóng mức này là hợp lý). - HUMAN-TRU2]]</f>
        <v>5</v>
      </c>
      <c r="AS97" t="str">
        <f t="shared" si="43"/>
        <v>Neutral</v>
      </c>
      <c r="AT97" s="32">
        <f t="shared" si="44"/>
        <v>1</v>
      </c>
      <c r="AU97">
        <f>step3_validation[[#This Row],[AI_TRU3]]</f>
        <v>5</v>
      </c>
      <c r="AV97" t="str">
        <f t="shared" si="45"/>
        <v>Neutral</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0</v>
      </c>
      <c r="AZ97">
        <f>step3_validation[[#This Row],[AI_TRU4]]</f>
        <v>6</v>
      </c>
      <c r="BA97" t="str">
        <f t="shared" si="48"/>
        <v>Neutral</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5</v>
      </c>
      <c r="BF97" t="str">
        <f t="shared" si="51"/>
        <v>Neutral</v>
      </c>
      <c r="BG97">
        <f>survey_responses[[#This Row],[Sau khi xem xét các quyền lợi và nghĩa vụ, bạn có ủng hộ và tuân thủ chính sách mới hiện nay? - HUMAN-OUT1]]</f>
        <v>7</v>
      </c>
      <c r="BH97" t="str">
        <f t="shared" si="52"/>
        <v>Neutral</v>
      </c>
      <c r="BI97" s="32">
        <f t="shared" si="53"/>
        <v>2</v>
      </c>
    </row>
    <row r="98" spans="1:61" x14ac:dyDescent="0.45">
      <c r="A98" s="30">
        <f>step3_validation[[#This Row],[Persona_ID]]</f>
        <v>97</v>
      </c>
      <c r="B98" s="31">
        <f>step3_validation[[#This Row],[Used_Seed]]</f>
        <v>138</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186.82178729012267</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1</v>
      </c>
      <c r="V98">
        <f>step3_validation[[#This Row],[AI_ENF2]]</f>
        <v>6</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0</v>
      </c>
      <c r="AA98">
        <f>step3_validation[[#This Row],[AI_FAC1]]</f>
        <v>8</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3</v>
      </c>
      <c r="AF98">
        <f>step3_validation[[#This Row],[AI_FAC2]]</f>
        <v>9</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4</v>
      </c>
      <c r="AK98">
        <f>step3_validation[[#This Row],[AI_TRU1]]</f>
        <v>6</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1</v>
      </c>
      <c r="AP98">
        <f>step3_validation[[#This Row],[AI_TRU2]]</f>
        <v>7</v>
      </c>
      <c r="AQ98" t="str">
        <f t="shared" si="42"/>
        <v>Neutral</v>
      </c>
      <c r="AR98">
        <f>survey_responses[[#This Row],[Tôi thấy mức thuế tôi phải đóng theo phương án mới là công bằng (người thu nhập như tôi đóng mức này là hợp lý). - HUMAN-TRU2]]</f>
        <v>5</v>
      </c>
      <c r="AS98" t="str">
        <f t="shared" si="43"/>
        <v>Neutral</v>
      </c>
      <c r="AT98" s="32">
        <f t="shared" si="44"/>
        <v>2</v>
      </c>
      <c r="AU98">
        <f>step3_validation[[#This Row],[AI_TRU3]]</f>
        <v>6</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1</v>
      </c>
      <c r="AZ98">
        <f>step3_validation[[#This Row],[AI_TRU4]]</f>
        <v>7</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2</v>
      </c>
      <c r="BE98">
        <f>step3_validation[[#This Row],[AI_OUT1]]</f>
        <v>8</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3</v>
      </c>
    </row>
    <row r="99" spans="1:61" x14ac:dyDescent="0.45">
      <c r="A99" s="30">
        <f>step3_validation[[#This Row],[Persona_ID]]</f>
        <v>98</v>
      </c>
      <c r="B99" s="31">
        <f>step3_validation[[#This Row],[Used_Seed]]</f>
        <v>139</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19.667050008143452</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9</v>
      </c>
      <c r="R99" t="str">
        <f t="shared" si="27"/>
        <v>Support</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8</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2">
        <f t="shared" si="32"/>
        <v>0</v>
      </c>
      <c r="AA99">
        <f>step3_validation[[#This Row],[AI_FAC1]]</f>
        <v>7</v>
      </c>
      <c r="AB99" t="str">
        <f t="shared" si="33"/>
        <v>Neutral</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2</v>
      </c>
      <c r="AF99">
        <f>step3_validation[[#This Row],[AI_FAC2]]</f>
        <v>8</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0</v>
      </c>
      <c r="AK99">
        <f>step3_validation[[#This Row],[AI_TRU1]]</f>
        <v>8</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2</v>
      </c>
      <c r="AP99">
        <f>step3_validation[[#This Row],[AI_TRU2]]</f>
        <v>7</v>
      </c>
      <c r="AQ99" t="str">
        <f t="shared" si="42"/>
        <v>Neutral</v>
      </c>
      <c r="AR99">
        <f>survey_responses[[#This Row],[Tôi thấy mức thuế tôi phải đóng theo phương án mới là công bằng (người thu nhập như tôi đóng mức này là hợp lý). - HUMAN-TRU2]]</f>
        <v>9</v>
      </c>
      <c r="AS99" t="str">
        <f t="shared" si="43"/>
        <v>Support</v>
      </c>
      <c r="AT99" s="32">
        <f t="shared" si="44"/>
        <v>2</v>
      </c>
      <c r="AU99">
        <f>step3_validation[[#This Row],[AI_TRU3]]</f>
        <v>8</v>
      </c>
      <c r="AV99" t="str">
        <f t="shared" si="45"/>
        <v>Support</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3</v>
      </c>
      <c r="AZ99">
        <f>step3_validation[[#This Row],[AI_TRU4]]</f>
        <v>7</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0</v>
      </c>
      <c r="BE99">
        <f>step3_validation[[#This Row],[AI_OUT1]]</f>
        <v>7</v>
      </c>
      <c r="BF99" t="str">
        <f t="shared" si="51"/>
        <v>Neutral</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140</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28.340960399484587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8</v>
      </c>
      <c r="R100" t="str">
        <f t="shared" si="27"/>
        <v>Support</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2</v>
      </c>
      <c r="V100">
        <f>step3_validation[[#This Row],[AI_ENF2]]</f>
        <v>7</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1</v>
      </c>
      <c r="AA100">
        <f>step3_validation[[#This Row],[AI_FAC1]]</f>
        <v>9</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6</v>
      </c>
      <c r="AF100">
        <f>step3_validation[[#This Row],[AI_FAC2]]</f>
        <v>8</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2</v>
      </c>
      <c r="AK100">
        <f>step3_validation[[#This Row],[AI_TRU1]]</f>
        <v>7</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2</v>
      </c>
      <c r="AP100">
        <f>step3_validation[[#This Row],[AI_TRU2]]</f>
        <v>8</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2</v>
      </c>
      <c r="AU100">
        <f>step3_validation[[#This Row],[AI_TRU3]]</f>
        <v>7</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2</v>
      </c>
      <c r="AZ100">
        <f>step3_validation[[#This Row],[AI_TRU4]]</f>
        <v>6</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0</v>
      </c>
      <c r="BE100">
        <f>step3_validation[[#This Row],[AI_OUT1]]</f>
        <v>7</v>
      </c>
      <c r="BF100" t="str">
        <f t="shared" si="51"/>
        <v>Neutral</v>
      </c>
      <c r="BG100">
        <f>survey_responses[[#This Row],[Sau khi xem xét các quyền lợi và nghĩa vụ, bạn có ủng hộ và tuân thủ chính sách mới hiện nay? - HUMAN-OUT1]]</f>
        <v>6</v>
      </c>
      <c r="BH100" t="str">
        <f t="shared" si="52"/>
        <v>Neutral</v>
      </c>
      <c r="BI100" s="32">
        <f t="shared" si="53"/>
        <v>1</v>
      </c>
    </row>
    <row r="101" spans="1:61" x14ac:dyDescent="0.45">
      <c r="A101" s="30">
        <f>step3_validation[[#This Row],[Persona_ID]]</f>
        <v>100</v>
      </c>
      <c r="B101" s="31">
        <f>step3_validation[[#This Row],[Used_Seed]]</f>
        <v>141</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15.681482536940441</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9</v>
      </c>
      <c r="R101" t="str">
        <f t="shared" si="27"/>
        <v>Support</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1</v>
      </c>
      <c r="V101">
        <f>step3_validation[[#This Row],[AI_ENF2]]</f>
        <v>8</v>
      </c>
      <c r="W101" t="str">
        <f t="shared" si="30"/>
        <v>Support</v>
      </c>
      <c r="X101">
        <f>survey_responses[[#This Row],[Tôi tin rằng Nhà nước, cơ quan thuế có đủ khả năng và công nghệ để phát hiện, xử lý nghiêm các hành vi trốn thuế. - HUMAN-ENF2]]</f>
        <v>8</v>
      </c>
      <c r="Y101" t="str">
        <f t="shared" si="31"/>
        <v>Support</v>
      </c>
      <c r="Z101" s="32">
        <f t="shared" si="32"/>
        <v>0</v>
      </c>
      <c r="AA101">
        <f>step3_validation[[#This Row],[AI_FAC1]]</f>
        <v>7</v>
      </c>
      <c r="AB101" t="str">
        <f t="shared" si="33"/>
        <v>Neutral</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8</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2</v>
      </c>
      <c r="AK101">
        <f>step3_validation[[#This Row],[AI_TRU1]]</f>
        <v>6</v>
      </c>
      <c r="AL101" t="str">
        <f t="shared" si="39"/>
        <v>Neutral</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4</v>
      </c>
      <c r="AP101">
        <f>step3_validation[[#This Row],[AI_TRU2]]</f>
        <v>7</v>
      </c>
      <c r="AQ101" t="str">
        <f t="shared" si="42"/>
        <v>Neutral</v>
      </c>
      <c r="AR101">
        <f>survey_responses[[#This Row],[Tôi thấy mức thuế tôi phải đóng theo phương án mới là công bằng (người thu nhập như tôi đóng mức này là hợp lý). - HUMAN-TRU2]]</f>
        <v>10</v>
      </c>
      <c r="AS101" t="str">
        <f t="shared" si="43"/>
        <v>Support</v>
      </c>
      <c r="AT101" s="32">
        <f t="shared" si="44"/>
        <v>3</v>
      </c>
      <c r="AU101">
        <f>step3_validation[[#This Row],[AI_TRU3]]</f>
        <v>5</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5</v>
      </c>
      <c r="AZ101">
        <f>step3_validation[[#This Row],[AI_TRU4]]</f>
        <v>6</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4</v>
      </c>
      <c r="BE101">
        <f>step3_validation[[#This Row],[AI_OUT1]]</f>
        <v>7</v>
      </c>
      <c r="BF101" t="str">
        <f t="shared" si="51"/>
        <v>Neutral</v>
      </c>
      <c r="BG101">
        <f>survey_responses[[#This Row],[Sau khi xem xét các quyền lợi và nghĩa vụ, bạn có ủng hộ và tuân thủ chính sách mới hiện nay? - HUMAN-OUT1]]</f>
        <v>10</v>
      </c>
      <c r="BH101" t="str">
        <f t="shared" si="52"/>
        <v>Support</v>
      </c>
      <c r="BI101" s="32">
        <f t="shared" si="53"/>
        <v>3</v>
      </c>
    </row>
    <row r="102" spans="1:61" x14ac:dyDescent="0.45">
      <c r="A102" s="30">
        <f>step3_validation[[#This Row],[Persona_ID]]</f>
        <v>101</v>
      </c>
      <c r="B102" s="31">
        <f>step3_validation[[#This Row],[Used_Seed]]</f>
        <v>142</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70.690992035318132</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6</v>
      </c>
      <c r="W102" t="str">
        <f t="shared" si="30"/>
        <v>Neutral</v>
      </c>
      <c r="X102">
        <f>survey_responses[[#This Row],[Tôi tin rằng Nhà nước, cơ quan thuế có đủ khả năng và công nghệ để phát hiện, xử lý nghiêm các hành vi trốn thuế. - HUMAN-ENF2]]</f>
        <v>8</v>
      </c>
      <c r="Y102" t="str">
        <f t="shared" si="31"/>
        <v>Support</v>
      </c>
      <c r="Z102" s="32">
        <f t="shared" si="32"/>
        <v>2</v>
      </c>
      <c r="AA102">
        <f>step3_validation[[#This Row],[AI_FAC1]]</f>
        <v>8</v>
      </c>
      <c r="AB102" t="str">
        <f t="shared" si="33"/>
        <v>Support</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1</v>
      </c>
      <c r="AF102">
        <f>step3_validation[[#This Row],[AI_FAC2]]</f>
        <v>7</v>
      </c>
      <c r="AG102" t="str">
        <f t="shared" si="36"/>
        <v>Neutral</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1</v>
      </c>
      <c r="AK102">
        <f>step3_validation[[#This Row],[AI_TRU1]]</f>
        <v>8</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0</v>
      </c>
      <c r="AP102">
        <f>step3_validation[[#This Row],[AI_TRU2]]</f>
        <v>7</v>
      </c>
      <c r="AQ102" t="str">
        <f t="shared" si="42"/>
        <v>Neutral</v>
      </c>
      <c r="AR102">
        <f>survey_responses[[#This Row],[Tôi thấy mức thuế tôi phải đóng theo phương án mới là công bằng (người thu nhập như tôi đóng mức này là hợp lý). - HUMAN-TRU2]]</f>
        <v>7</v>
      </c>
      <c r="AS102" t="str">
        <f t="shared" si="43"/>
        <v>Neutral</v>
      </c>
      <c r="AT102" s="32">
        <f t="shared" si="44"/>
        <v>0</v>
      </c>
      <c r="AU102">
        <f>step3_validation[[#This Row],[AI_TRU3]]</f>
        <v>8</v>
      </c>
      <c r="AV102" t="str">
        <f t="shared" si="45"/>
        <v>Support</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1</v>
      </c>
      <c r="AZ102">
        <f>step3_validation[[#This Row],[AI_TRU4]]</f>
        <v>7</v>
      </c>
      <c r="BA102" t="str">
        <f t="shared" si="48"/>
        <v>Neutral</v>
      </c>
      <c r="BB102">
        <f>survey_responses[[#This Row],[Tôi thấy Nhà nước đã giải thích rõ ràng, minh bạch về lý do và mục tiêu của việc sửa đổi thuế lần này. - HUMAN-TRU4]]</f>
        <v>7</v>
      </c>
      <c r="BC102" t="str">
        <f t="shared" si="49"/>
        <v>Neutral</v>
      </c>
      <c r="BD102" s="32">
        <f t="shared" si="50"/>
        <v>0</v>
      </c>
      <c r="BE102">
        <f>step3_validation[[#This Row],[AI_OUT1]]</f>
        <v>8</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0</v>
      </c>
    </row>
    <row r="103" spans="1:61" x14ac:dyDescent="0.45">
      <c r="A103" s="30">
        <f>step3_validation[[#This Row],[Persona_ID]]</f>
        <v>102</v>
      </c>
      <c r="B103" s="31">
        <f>step3_validation[[#This Row],[Used_Seed]]</f>
        <v>143</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14.066600798773587</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8</v>
      </c>
      <c r="R103" t="str">
        <f t="shared" si="27"/>
        <v>Support</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3</v>
      </c>
      <c r="V103">
        <f>step3_validation[[#This Row],[AI_ENF2]]</f>
        <v>7</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2</v>
      </c>
      <c r="AA103">
        <f>step3_validation[[#This Row],[AI_FAC1]]</f>
        <v>9</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4</v>
      </c>
      <c r="AF103">
        <f>step3_validation[[#This Row],[AI_FAC2]]</f>
        <v>8</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3</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8</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3</v>
      </c>
      <c r="AU103">
        <f>step3_validation[[#This Row],[AI_TRU3]]</f>
        <v>7</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2</v>
      </c>
      <c r="AZ103">
        <f>step3_validation[[#This Row],[AI_TRU4]]</f>
        <v>6</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1</v>
      </c>
      <c r="BE103">
        <f>step3_validation[[#This Row],[AI_OUT1]]</f>
        <v>7</v>
      </c>
      <c r="BF103" t="str">
        <f t="shared" si="51"/>
        <v>Neutral</v>
      </c>
      <c r="BG103">
        <f>survey_responses[[#This Row],[Sau khi xem xét các quyền lợi và nghĩa vụ, bạn có ủng hộ và tuân thủ chính sách mới hiện nay? - HUMAN-OUT1]]</f>
        <v>5</v>
      </c>
      <c r="BH103" t="str">
        <f t="shared" si="52"/>
        <v>Neutral</v>
      </c>
      <c r="BI103" s="32">
        <f t="shared" si="53"/>
        <v>2</v>
      </c>
    </row>
    <row r="104" spans="1:61" x14ac:dyDescent="0.45">
      <c r="A104" s="30">
        <f>step3_validation[[#This Row],[Persona_ID]]</f>
        <v>103</v>
      </c>
      <c r="B104" s="31">
        <f>step3_validation[[#This Row],[Used_Seed]]</f>
        <v>144</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43.891427599988567</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8</v>
      </c>
      <c r="W104" t="str">
        <f t="shared" si="30"/>
        <v>Support</v>
      </c>
      <c r="X104">
        <f>survey_responses[[#This Row],[Tôi tin rằng Nhà nước, cơ quan thuế có đủ khả năng và công nghệ để phát hiện, xử lý nghiêm các hành vi trốn thuế. - HUMAN-ENF2]]</f>
        <v>8</v>
      </c>
      <c r="Y104" t="str">
        <f t="shared" si="31"/>
        <v>Support</v>
      </c>
      <c r="Z104" s="32">
        <f t="shared" si="32"/>
        <v>0</v>
      </c>
      <c r="AA104">
        <f>step3_validation[[#This Row],[AI_FAC1]]</f>
        <v>9</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4</v>
      </c>
      <c r="AF104">
        <f>step3_validation[[#This Row],[AI_FAC2]]</f>
        <v>8</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0</v>
      </c>
      <c r="AK104">
        <f>step3_validation[[#This Row],[AI_TRU1]]</f>
        <v>6</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1</v>
      </c>
      <c r="AP104">
        <f>step3_validation[[#This Row],[AI_TRU2]]</f>
        <v>7</v>
      </c>
      <c r="AQ104" t="str">
        <f t="shared" si="42"/>
        <v>Neutral</v>
      </c>
      <c r="AR104">
        <f>survey_responses[[#This Row],[Tôi thấy mức thuế tôi phải đóng theo phương án mới là công bằng (người thu nhập như tôi đóng mức này là hợp lý). - HUMAN-TRU2]]</f>
        <v>5</v>
      </c>
      <c r="AS104" t="str">
        <f t="shared" si="43"/>
        <v>Neutral</v>
      </c>
      <c r="AT104" s="32">
        <f t="shared" si="44"/>
        <v>2</v>
      </c>
      <c r="AU104">
        <f>step3_validation[[#This Row],[AI_TRU3]]</f>
        <v>5</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8</v>
      </c>
      <c r="BA104" t="str">
        <f t="shared" si="48"/>
        <v>Support</v>
      </c>
      <c r="BB104">
        <f>survey_responses[[#This Row],[Tôi thấy Nhà nước đã giải thích rõ ràng, minh bạch về lý do và mục tiêu của việc sửa đổi thuế lần này. - HUMAN-TRU4]]</f>
        <v>6</v>
      </c>
      <c r="BC104" t="str">
        <f t="shared" si="49"/>
        <v>Neutral</v>
      </c>
      <c r="BD104" s="32">
        <f t="shared" si="50"/>
        <v>2</v>
      </c>
      <c r="BE104">
        <f>step3_validation[[#This Row],[AI_OUT1]]</f>
        <v>7</v>
      </c>
      <c r="BF104" t="str">
        <f t="shared" si="51"/>
        <v>Neutral</v>
      </c>
      <c r="BG104">
        <f>survey_responses[[#This Row],[Sau khi xem xét các quyền lợi và nghĩa vụ, bạn có ủng hộ và tuân thủ chính sách mới hiện nay? - HUMAN-OUT1]]</f>
        <v>5</v>
      </c>
      <c r="BH104" t="str">
        <f t="shared" si="52"/>
        <v>Neutral</v>
      </c>
      <c r="BI104" s="32">
        <f t="shared" si="53"/>
        <v>2</v>
      </c>
    </row>
    <row r="105" spans="1:61" x14ac:dyDescent="0.45">
      <c r="A105" s="30">
        <f>step3_validation[[#This Row],[Persona_ID]]</f>
        <v>104</v>
      </c>
      <c r="B105" s="31">
        <f>step3_validation[[#This Row],[Used_Seed]]</f>
        <v>145</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20.402522226352509</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5</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1</v>
      </c>
      <c r="V105">
        <f>step3_validation[[#This Row],[AI_ENF2]]</f>
        <v>4</v>
      </c>
      <c r="W105" t="str">
        <f t="shared" si="30"/>
        <v>Oppose</v>
      </c>
      <c r="X105">
        <f>survey_responses[[#This Row],[Tôi tin rằng Nhà nước, cơ quan thuế có đủ khả năng và công nghệ để phát hiện, xử lý nghiêm các hành vi trốn thuế. - HUMAN-ENF2]]</f>
        <v>7</v>
      </c>
      <c r="Y105" t="str">
        <f t="shared" si="31"/>
        <v>Neutral</v>
      </c>
      <c r="Z105" s="32">
        <f t="shared" si="32"/>
        <v>3</v>
      </c>
      <c r="AA105">
        <f>step3_validation[[#This Row],[AI_FAC1]]</f>
        <v>3</v>
      </c>
      <c r="AB105" t="str">
        <f t="shared" si="33"/>
        <v>Oppose</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3</v>
      </c>
      <c r="AF105">
        <f>step3_validation[[#This Row],[AI_FAC2]]</f>
        <v>5</v>
      </c>
      <c r="AG105" t="str">
        <f t="shared" si="36"/>
        <v>Neutral</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3</v>
      </c>
      <c r="AK105">
        <f>step3_validation[[#This Row],[AI_TRU1]]</f>
        <v>4</v>
      </c>
      <c r="AL105" t="str">
        <f t="shared" si="39"/>
        <v>Oppose</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2</v>
      </c>
      <c r="AP105">
        <f>step3_validation[[#This Row],[AI_TRU2]]</f>
        <v>6</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1</v>
      </c>
      <c r="AU105">
        <f>step3_validation[[#This Row],[AI_TRU3]]</f>
        <v>4</v>
      </c>
      <c r="AV105" t="str">
        <f t="shared" si="45"/>
        <v>Oppose</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2</v>
      </c>
      <c r="AZ105">
        <f>step3_validation[[#This Row],[AI_TRU4]]</f>
        <v>5</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6</v>
      </c>
      <c r="BF105" t="str">
        <f t="shared" si="51"/>
        <v>Neutral</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146</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16.00252021368944</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6</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3</v>
      </c>
      <c r="V106">
        <f>step3_validation[[#This Row],[AI_ENF2]]</f>
        <v>7</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3</v>
      </c>
      <c r="AA106">
        <f>step3_validation[[#This Row],[AI_FAC1]]</f>
        <v>8</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0</v>
      </c>
      <c r="AF106">
        <f>step3_validation[[#This Row],[AI_FAC2]]</f>
        <v>9</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7</v>
      </c>
      <c r="AL106" t="str">
        <f t="shared" si="39"/>
        <v>Neutral</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2</v>
      </c>
      <c r="AP106">
        <f>step3_validation[[#This Row],[AI_TRU2]]</f>
        <v>8</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2">
        <f t="shared" si="44"/>
        <v>1</v>
      </c>
      <c r="AU106">
        <f>step3_validation[[#This Row],[AI_TRU3]]</f>
        <v>7</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1</v>
      </c>
      <c r="AZ106">
        <f>step3_validation[[#This Row],[AI_TRU4]]</f>
        <v>6</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0</v>
      </c>
      <c r="BE106">
        <f>step3_validation[[#This Row],[AI_OUT1]]</f>
        <v>5</v>
      </c>
      <c r="BF106" t="str">
        <f t="shared" si="51"/>
        <v>Neutral</v>
      </c>
      <c r="BG106">
        <f>survey_responses[[#This Row],[Sau khi xem xét các quyền lợi và nghĩa vụ, bạn có ủng hộ và tuân thủ chính sách mới hiện nay? - HUMAN-OUT1]]</f>
        <v>9</v>
      </c>
      <c r="BH106" t="str">
        <f t="shared" si="52"/>
        <v>Support</v>
      </c>
      <c r="BI106" s="32">
        <f t="shared" si="53"/>
        <v>4</v>
      </c>
    </row>
    <row r="107" spans="1:61" x14ac:dyDescent="0.45">
      <c r="A107" s="30">
        <f>step3_validation[[#This Row],[Persona_ID]]</f>
        <v>106</v>
      </c>
      <c r="B107" s="31">
        <f>step3_validation[[#This Row],[Used_Seed]]</f>
        <v>147</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9</v>
      </c>
      <c r="R107" t="str">
        <f t="shared" si="27"/>
        <v>Support</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1</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7</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8</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0</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3</v>
      </c>
      <c r="AP107">
        <f>step3_validation[[#This Row],[AI_TRU2]]</f>
        <v>8</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2</v>
      </c>
      <c r="AU107">
        <f>step3_validation[[#This Row],[AI_TRU3]]</f>
        <v>6</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4</v>
      </c>
      <c r="AZ107">
        <f>step3_validation[[#This Row],[AI_TRU4]]</f>
        <v>5</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5</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148</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28.099593980416227</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7</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0</v>
      </c>
      <c r="V108">
        <f>step3_validation[[#This Row],[AI_ENF2]]</f>
        <v>6</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8</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1</v>
      </c>
      <c r="AF108">
        <f>step3_validation[[#This Row],[AI_FAC2]]</f>
        <v>7</v>
      </c>
      <c r="AG108" t="str">
        <f t="shared" si="36"/>
        <v>Neutral</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0</v>
      </c>
      <c r="AK108">
        <f>step3_validation[[#This Row],[AI_TRU1]]</f>
        <v>8</v>
      </c>
      <c r="AL108" t="str">
        <f t="shared" si="39"/>
        <v>Support</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1</v>
      </c>
      <c r="AP108">
        <f>step3_validation[[#This Row],[AI_TRU2]]</f>
        <v>6</v>
      </c>
      <c r="AQ108" t="str">
        <f t="shared" si="42"/>
        <v>Neutral</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5</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2</v>
      </c>
      <c r="AZ108">
        <f>step3_validation[[#This Row],[AI_TRU4]]</f>
        <v>6</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1</v>
      </c>
      <c r="BE108">
        <f>step3_validation[[#This Row],[AI_OUT1]]</f>
        <v>7</v>
      </c>
      <c r="BF108" t="str">
        <f t="shared" si="51"/>
        <v>Neutral</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149</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12.410128499275165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6</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1</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3</v>
      </c>
      <c r="AA109">
        <f>step3_validation[[#This Row],[AI_FAC1]]</f>
        <v>8</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3</v>
      </c>
      <c r="AF109">
        <f>step3_validation[[#This Row],[AI_FAC2]]</f>
        <v>7</v>
      </c>
      <c r="AG109" t="str">
        <f t="shared" si="36"/>
        <v>Neutral</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2</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4</v>
      </c>
      <c r="AP109">
        <f>step3_validation[[#This Row],[AI_TRU2]]</f>
        <v>8</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3</v>
      </c>
      <c r="AU109">
        <f>step3_validation[[#This Row],[AI_TRU3]]</f>
        <v>9</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1</v>
      </c>
      <c r="AZ109">
        <f>step3_validation[[#This Row],[AI_TRU4]]</f>
        <v>7</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2</v>
      </c>
      <c r="BE109">
        <f>step3_validation[[#This Row],[AI_OUT1]]</f>
        <v>8</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2</v>
      </c>
    </row>
    <row r="110" spans="1:61" x14ac:dyDescent="0.45">
      <c r="A110" s="30">
        <f>step3_validation[[#This Row],[Persona_ID]]</f>
        <v>109</v>
      </c>
      <c r="B110" s="31">
        <f>step3_validation[[#This Row],[Used_Seed]]</f>
        <v>150</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12.024110220283054</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6</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4</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7</v>
      </c>
      <c r="AL110" t="str">
        <f t="shared" si="39"/>
        <v>Neutral</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3</v>
      </c>
      <c r="AP110">
        <f>step3_validation[[#This Row],[AI_TRU2]]</f>
        <v>7</v>
      </c>
      <c r="AQ110" t="str">
        <f t="shared" si="42"/>
        <v>Neutral</v>
      </c>
      <c r="AR110">
        <f>survey_responses[[#This Row],[Tôi thấy mức thuế tôi phải đóng theo phương án mới là công bằng (người thu nhập như tôi đóng mức này là hợp lý). - HUMAN-TRU2]]</f>
        <v>10</v>
      </c>
      <c r="AS110" t="str">
        <f t="shared" si="43"/>
        <v>Support</v>
      </c>
      <c r="AT110" s="32">
        <f t="shared" si="44"/>
        <v>3</v>
      </c>
      <c r="AU110">
        <f>step3_validation[[#This Row],[AI_TRU3]]</f>
        <v>6</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4</v>
      </c>
      <c r="AZ110">
        <f>step3_validation[[#This Row],[AI_TRU4]]</f>
        <v>6</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4</v>
      </c>
      <c r="BE110">
        <f>step3_validation[[#This Row],[AI_OUT1]]</f>
        <v>7</v>
      </c>
      <c r="BF110" t="str">
        <f t="shared" si="51"/>
        <v>Neutral</v>
      </c>
      <c r="BG110">
        <f>survey_responses[[#This Row],[Sau khi xem xét các quyền lợi và nghĩa vụ, bạn có ủng hộ và tuân thủ chính sách mới hiện nay? - HUMAN-OUT1]]</f>
        <v>10</v>
      </c>
      <c r="BH110" t="str">
        <f t="shared" si="52"/>
        <v>Support</v>
      </c>
      <c r="BI110" s="32">
        <f t="shared" si="53"/>
        <v>3</v>
      </c>
    </row>
    <row r="111" spans="1:61" x14ac:dyDescent="0.45">
      <c r="A111" s="30">
        <f>step3_validation[[#This Row],[Persona_ID]]</f>
        <v>110</v>
      </c>
      <c r="B111" s="31">
        <f>step3_validation[[#This Row],[Used_Seed]]</f>
        <v>151</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58.327670691599721</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9</v>
      </c>
      <c r="R111" t="str">
        <f t="shared" si="27"/>
        <v>Support</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2</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8</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0</v>
      </c>
      <c r="AF111">
        <f>step3_validation[[#This Row],[AI_FAC2]]</f>
        <v>7</v>
      </c>
      <c r="AG111" t="str">
        <f t="shared" si="36"/>
        <v>Neutral</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6</v>
      </c>
      <c r="AL111" t="str">
        <f t="shared" si="39"/>
        <v>Neutral</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1</v>
      </c>
      <c r="AP111">
        <f>step3_validation[[#This Row],[AI_TRU2]]</f>
        <v>7</v>
      </c>
      <c r="AQ111" t="str">
        <f t="shared" si="42"/>
        <v>Neutral</v>
      </c>
      <c r="AR111">
        <f>survey_responses[[#This Row],[Tôi thấy mức thuế tôi phải đóng theo phương án mới là công bằng (người thu nhập như tôi đóng mức này là hợp lý). - HUMAN-TRU2]]</f>
        <v>6</v>
      </c>
      <c r="AS111" t="str">
        <f t="shared" si="43"/>
        <v>Neutral</v>
      </c>
      <c r="AT111" s="32">
        <f t="shared" si="44"/>
        <v>1</v>
      </c>
      <c r="AU111">
        <f>step3_validation[[#This Row],[AI_TRU3]]</f>
        <v>6</v>
      </c>
      <c r="AV111" t="str">
        <f t="shared" si="45"/>
        <v>Neutral</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1</v>
      </c>
      <c r="AZ111">
        <f>step3_validation[[#This Row],[AI_TRU4]]</f>
        <v>5</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0</v>
      </c>
      <c r="BE111">
        <f>step3_validation[[#This Row],[AI_OUT1]]</f>
        <v>6</v>
      </c>
      <c r="BF111" t="str">
        <f t="shared" si="51"/>
        <v>Neutral</v>
      </c>
      <c r="BG111">
        <f>survey_responses[[#This Row],[Sau khi xem xét các quyền lợi và nghĩa vụ, bạn có ủng hộ và tuân thủ chính sách mới hiện nay? - HUMAN-OUT1]]</f>
        <v>8</v>
      </c>
      <c r="BH111" t="str">
        <f t="shared" si="52"/>
        <v>Support</v>
      </c>
      <c r="BI111" s="32">
        <f t="shared" si="53"/>
        <v>2</v>
      </c>
    </row>
    <row r="112" spans="1:61" x14ac:dyDescent="0.45">
      <c r="A112" s="30">
        <f>step3_validation[[#This Row],[Persona_ID]]</f>
        <v>111</v>
      </c>
      <c r="B112" s="31">
        <f>step3_validation[[#This Row],[Used_Seed]]</f>
        <v>152</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24.748261613185669</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7</v>
      </c>
      <c r="R112" t="str">
        <f t="shared" si="27"/>
        <v>Neutral</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1</v>
      </c>
      <c r="V112">
        <f>step3_validation[[#This Row],[AI_ENF2]]</f>
        <v>8</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2">
        <f t="shared" si="32"/>
        <v>0</v>
      </c>
      <c r="AA112">
        <f>step3_validation[[#This Row],[AI_FAC1]]</f>
        <v>6</v>
      </c>
      <c r="AB112" t="str">
        <f t="shared" si="33"/>
        <v>Neutral</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0</v>
      </c>
      <c r="AF112">
        <f>step3_validation[[#This Row],[AI_FAC2]]</f>
        <v>7</v>
      </c>
      <c r="AG112" t="str">
        <f t="shared" si="36"/>
        <v>Neutral</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0</v>
      </c>
      <c r="AK112">
        <f>step3_validation[[#This Row],[AI_TRU1]]</f>
        <v>8</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2</v>
      </c>
      <c r="AP112">
        <f>step3_validation[[#This Row],[AI_TRU2]]</f>
        <v>7</v>
      </c>
      <c r="AQ112" t="str">
        <f t="shared" si="42"/>
        <v>Neutral</v>
      </c>
      <c r="AR112">
        <f>survey_responses[[#This Row],[Tôi thấy mức thuế tôi phải đóng theo phương án mới là công bằng (người thu nhập như tôi đóng mức này là hợp lý). - HUMAN-TRU2]]</f>
        <v>7</v>
      </c>
      <c r="AS112" t="str">
        <f t="shared" si="43"/>
        <v>Neutral</v>
      </c>
      <c r="AT112" s="32">
        <f t="shared" si="44"/>
        <v>0</v>
      </c>
      <c r="AU112">
        <f>step3_validation[[#This Row],[AI_TRU3]]</f>
        <v>8</v>
      </c>
      <c r="AV112" t="str">
        <f t="shared" si="45"/>
        <v>Support</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3</v>
      </c>
      <c r="AZ112">
        <f>step3_validation[[#This Row],[AI_TRU4]]</f>
        <v>6</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1</v>
      </c>
      <c r="BE112">
        <f>step3_validation[[#This Row],[AI_OUT1]]</f>
        <v>5</v>
      </c>
      <c r="BF112" t="str">
        <f t="shared" si="51"/>
        <v>Neutral</v>
      </c>
      <c r="BG112">
        <f>survey_responses[[#This Row],[Sau khi xem xét các quyền lợi và nghĩa vụ, bạn có ủng hộ và tuân thủ chính sách mới hiện nay? - HUMAN-OUT1]]</f>
        <v>5</v>
      </c>
      <c r="BH112" t="str">
        <f t="shared" si="52"/>
        <v>Neutral</v>
      </c>
      <c r="BI112" s="32">
        <f t="shared" si="53"/>
        <v>0</v>
      </c>
    </row>
    <row r="113" spans="1:61" x14ac:dyDescent="0.45">
      <c r="A113" s="30">
        <f>step3_validation[[#This Row],[Persona_ID]]</f>
        <v>112</v>
      </c>
      <c r="B113" s="31">
        <f>step3_validation[[#This Row],[Used_Seed]]</f>
        <v>153</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21.740715099217272</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6</v>
      </c>
      <c r="R113" t="str">
        <f t="shared" si="27"/>
        <v>Neutral</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8</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0</v>
      </c>
      <c r="AF113">
        <f>step3_validation[[#This Row],[AI_FAC2]]</f>
        <v>7</v>
      </c>
      <c r="AG113" t="str">
        <f t="shared" si="36"/>
        <v>Neutral</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1</v>
      </c>
      <c r="AK113">
        <f>step3_validation[[#This Row],[AI_TRU1]]</f>
        <v>6</v>
      </c>
      <c r="AL113" t="str">
        <f t="shared" si="39"/>
        <v>Neutral</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2</v>
      </c>
      <c r="AP113">
        <f>step3_validation[[#This Row],[AI_TRU2]]</f>
        <v>7</v>
      </c>
      <c r="AQ113" t="str">
        <f t="shared" si="42"/>
        <v>Neutral</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6</v>
      </c>
      <c r="AV113" t="str">
        <f t="shared" si="45"/>
        <v>Neutral</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2</v>
      </c>
      <c r="AZ113">
        <f>step3_validation[[#This Row],[AI_TRU4]]</f>
        <v>5</v>
      </c>
      <c r="BA113" t="str">
        <f t="shared" si="48"/>
        <v>Neutral</v>
      </c>
      <c r="BB113">
        <f>survey_responses[[#This Row],[Tôi thấy Nhà nước đã giải thích rõ ràng, minh bạch về lý do và mục tiêu của việc sửa đổi thuế lần này. - HUMAN-TRU4]]</f>
        <v>8</v>
      </c>
      <c r="BC113" t="str">
        <f t="shared" si="49"/>
        <v>Support</v>
      </c>
      <c r="BD113" s="32">
        <f t="shared" si="50"/>
        <v>3</v>
      </c>
      <c r="BE113">
        <f>step3_validation[[#This Row],[AI_OUT1]]</f>
        <v>7</v>
      </c>
      <c r="BF113" t="str">
        <f t="shared" si="51"/>
        <v>Neutral</v>
      </c>
      <c r="BG113">
        <f>survey_responses[[#This Row],[Sau khi xem xét các quyền lợi và nghĩa vụ, bạn có ủng hộ và tuân thủ chính sách mới hiện nay? - HUMAN-OUT1]]</f>
        <v>8</v>
      </c>
      <c r="BH113" t="str">
        <f t="shared" si="52"/>
        <v>Support</v>
      </c>
      <c r="BI113" s="32">
        <f t="shared" si="53"/>
        <v>1</v>
      </c>
    </row>
    <row r="114" spans="1:61" x14ac:dyDescent="0.45">
      <c r="A114" s="30">
        <f>step3_validation[[#This Row],[Persona_ID]]</f>
        <v>113</v>
      </c>
      <c r="B114" s="31">
        <f>step3_validation[[#This Row],[Used_Seed]]</f>
        <v>154</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8</v>
      </c>
      <c r="R114" t="str">
        <f t="shared" si="27"/>
        <v>Support</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7</v>
      </c>
      <c r="V114">
        <f>step3_validation[[#This Row],[AI_ENF2]]</f>
        <v>7</v>
      </c>
      <c r="W114" t="str">
        <f t="shared" si="30"/>
        <v>Neutral</v>
      </c>
      <c r="X114">
        <f>survey_responses[[#This Row],[Tôi tin rằng Nhà nước, cơ quan thuế có đủ khả năng và công nghệ để phát hiện, xử lý nghiêm các hành vi trốn thuế. - HUMAN-ENF2]]</f>
        <v>1</v>
      </c>
      <c r="Y114" t="str">
        <f t="shared" si="31"/>
        <v>Oppose</v>
      </c>
      <c r="Z114" s="32">
        <f t="shared" si="32"/>
        <v>6</v>
      </c>
      <c r="AA114">
        <f>step3_validation[[#This Row],[AI_FAC1]]</f>
        <v>9</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8</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7</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6</v>
      </c>
      <c r="AP114">
        <f>step3_validation[[#This Row],[AI_TRU2]]</f>
        <v>6</v>
      </c>
      <c r="AQ114" t="str">
        <f t="shared" si="42"/>
        <v>Neutral</v>
      </c>
      <c r="AR114">
        <f>survey_responses[[#This Row],[Tôi thấy mức thuế tôi phải đóng theo phương án mới là công bằng (người thu nhập như tôi đóng mức này là hợp lý). - HUMAN-TRU2]]</f>
        <v>1</v>
      </c>
      <c r="AS114" t="str">
        <f t="shared" si="43"/>
        <v>Oppose</v>
      </c>
      <c r="AT114" s="32">
        <f t="shared" si="44"/>
        <v>5</v>
      </c>
      <c r="AU114">
        <f>step3_validation[[#This Row],[AI_TRU3]]</f>
        <v>5</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4</v>
      </c>
      <c r="AZ114">
        <f>step3_validation[[#This Row],[AI_TRU4]]</f>
        <v>7</v>
      </c>
      <c r="BA114" t="str">
        <f t="shared" si="48"/>
        <v>Neutral</v>
      </c>
      <c r="BB114">
        <f>survey_responses[[#This Row],[Tôi thấy Nhà nước đã giải thích rõ ràng, minh bạch về lý do và mục tiêu của việc sửa đổi thuế lần này. - HUMAN-TRU4]]</f>
        <v>1</v>
      </c>
      <c r="BC114" t="str">
        <f t="shared" si="49"/>
        <v>Oppose</v>
      </c>
      <c r="BD114" s="32">
        <f t="shared" si="50"/>
        <v>6</v>
      </c>
      <c r="BE114">
        <f>step3_validation[[#This Row],[AI_OUT1]]</f>
        <v>8</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7</v>
      </c>
    </row>
    <row r="115" spans="1:61" x14ac:dyDescent="0.45">
      <c r="A115" s="30">
        <f>step3_validation[[#This Row],[Persona_ID]]</f>
        <v>114</v>
      </c>
      <c r="B115" s="31">
        <f>step3_validation[[#This Row],[Used_Seed]]</f>
        <v>155</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19.245919311526606</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8</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2</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7</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3</v>
      </c>
      <c r="AP115">
        <f>step3_validation[[#This Row],[AI_TRU2]]</f>
        <v>6</v>
      </c>
      <c r="AQ115" t="str">
        <f t="shared" si="42"/>
        <v>Neutral</v>
      </c>
      <c r="AR115">
        <f>survey_responses[[#This Row],[Tôi thấy mức thuế tôi phải đóng theo phương án mới là công bằng (người thu nhập như tôi đóng mức này là hợp lý). - HUMAN-TRU2]]</f>
        <v>10</v>
      </c>
      <c r="AS115" t="str">
        <f t="shared" si="43"/>
        <v>Support</v>
      </c>
      <c r="AT115" s="32">
        <f t="shared" si="44"/>
        <v>4</v>
      </c>
      <c r="AU115">
        <f>step3_validation[[#This Row],[AI_TRU3]]</f>
        <v>5</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5</v>
      </c>
      <c r="AZ115">
        <f>step3_validation[[#This Row],[AI_TRU4]]</f>
        <v>4</v>
      </c>
      <c r="BA115" t="str">
        <f t="shared" si="48"/>
        <v>Oppose</v>
      </c>
      <c r="BB115">
        <f>survey_responses[[#This Row],[Tôi thấy Nhà nước đã giải thích rõ ràng, minh bạch về lý do và mục tiêu của việc sửa đổi thuế lần này. - HUMAN-TRU4]]</f>
        <v>10</v>
      </c>
      <c r="BC115" t="str">
        <f t="shared" si="49"/>
        <v>Support</v>
      </c>
      <c r="BD115" s="32">
        <f t="shared" si="50"/>
        <v>6</v>
      </c>
      <c r="BE115">
        <f>step3_validation[[#This Row],[AI_OUT1]]</f>
        <v>5</v>
      </c>
      <c r="BF115" t="str">
        <f t="shared" si="51"/>
        <v>Neutral</v>
      </c>
      <c r="BG115">
        <f>survey_responses[[#This Row],[Sau khi xem xét các quyền lợi và nghĩa vụ, bạn có ủng hộ và tuân thủ chính sách mới hiện nay? - HUMAN-OUT1]]</f>
        <v>10</v>
      </c>
      <c r="BH115" t="str">
        <f t="shared" si="52"/>
        <v>Support</v>
      </c>
      <c r="BI115" s="32">
        <f t="shared" si="53"/>
        <v>5</v>
      </c>
    </row>
    <row r="116" spans="1:61" x14ac:dyDescent="0.45">
      <c r="A116" s="30">
        <f>step3_validation[[#This Row],[Persona_ID]]</f>
        <v>115</v>
      </c>
      <c r="B116" s="31">
        <f>step3_validation[[#This Row],[Used_Seed]]</f>
        <v>156</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12.693600521162054</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6</v>
      </c>
      <c r="V116">
        <f>step3_validation[[#This Row],[AI_ENF2]]</f>
        <v>8</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7</v>
      </c>
      <c r="AA116">
        <f>step3_validation[[#This Row],[AI_FAC1]]</f>
        <v>6</v>
      </c>
      <c r="AB116" t="str">
        <f t="shared" si="33"/>
        <v>Neutral</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5</v>
      </c>
      <c r="AF116">
        <f>step3_validation[[#This Row],[AI_FAC2]]</f>
        <v>6</v>
      </c>
      <c r="AG116" t="str">
        <f t="shared" si="36"/>
        <v>Neutral</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5</v>
      </c>
      <c r="AK116">
        <f>step3_validation[[#This Row],[AI_TRU1]]</f>
        <v>5</v>
      </c>
      <c r="AL116" t="str">
        <f t="shared" si="39"/>
        <v>Neutral</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4</v>
      </c>
      <c r="AP116">
        <f>step3_validation[[#This Row],[AI_TRU2]]</f>
        <v>4</v>
      </c>
      <c r="AQ116" t="str">
        <f t="shared" si="42"/>
        <v>Oppose</v>
      </c>
      <c r="AR116">
        <f>survey_responses[[#This Row],[Tôi thấy mức thuế tôi phải đóng theo phương án mới là công bằng (người thu nhập như tôi đóng mức này là hợp lý). - HUMAN-TRU2]]</f>
        <v>1</v>
      </c>
      <c r="AS116" t="str">
        <f t="shared" si="43"/>
        <v>Oppose</v>
      </c>
      <c r="AT116" s="32">
        <f t="shared" si="44"/>
        <v>3</v>
      </c>
      <c r="AU116">
        <f>step3_validation[[#This Row],[AI_TRU3]]</f>
        <v>5</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4</v>
      </c>
      <c r="AZ116">
        <f>step3_validation[[#This Row],[AI_TRU4]]</f>
        <v>3</v>
      </c>
      <c r="BA116" t="str">
        <f t="shared" si="48"/>
        <v>Oppose</v>
      </c>
      <c r="BB116">
        <f>survey_responses[[#This Row],[Tôi thấy Nhà nước đã giải thích rõ ràng, minh bạch về lý do và mục tiêu của việc sửa đổi thuế lần này. - HUMAN-TRU4]]</f>
        <v>1</v>
      </c>
      <c r="BC116" t="str">
        <f t="shared" si="49"/>
        <v>Oppose</v>
      </c>
      <c r="BD116" s="32">
        <f t="shared" si="50"/>
        <v>2</v>
      </c>
      <c r="BE116">
        <f>step3_validation[[#This Row],[AI_OUT1]]</f>
        <v>7</v>
      </c>
      <c r="BF116" t="str">
        <f t="shared" si="51"/>
        <v>Neutral</v>
      </c>
      <c r="BG116">
        <f>survey_responses[[#This Row],[Sau khi xem xét các quyền lợi và nghĩa vụ, bạn có ủng hộ và tuân thủ chính sách mới hiện nay? - HUMAN-OUT1]]</f>
        <v>1</v>
      </c>
      <c r="BH116" t="str">
        <f t="shared" si="52"/>
        <v>Oppose</v>
      </c>
      <c r="BI116" s="32">
        <f t="shared" si="53"/>
        <v>6</v>
      </c>
    </row>
    <row r="117" spans="1:61" x14ac:dyDescent="0.45">
      <c r="A117" s="30">
        <f>step3_validation[[#This Row],[Persona_ID]]</f>
        <v>116</v>
      </c>
      <c r="B117" s="31">
        <f>step3_validation[[#This Row],[Used_Seed]]</f>
        <v>157</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13.315458582292678</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2</v>
      </c>
      <c r="V117">
        <f>step3_validation[[#This Row],[AI_ENF2]]</f>
        <v>8</v>
      </c>
      <c r="W117" t="str">
        <f t="shared" si="30"/>
        <v>Support</v>
      </c>
      <c r="X117">
        <f>survey_responses[[#This Row],[Tôi tin rằng Nhà nước, cơ quan thuế có đủ khả năng và công nghệ để phát hiện, xử lý nghiêm các hành vi trốn thuế. - HUMAN-ENF2]]</f>
        <v>9</v>
      </c>
      <c r="Y117" t="str">
        <f t="shared" si="31"/>
        <v>Support</v>
      </c>
      <c r="Z117" s="32">
        <f t="shared" si="32"/>
        <v>1</v>
      </c>
      <c r="AA117">
        <f>step3_validation[[#This Row],[AI_FAC1]]</f>
        <v>9</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0</v>
      </c>
      <c r="AF117">
        <f>step3_validation[[#This Row],[AI_FAC2]]</f>
        <v>8</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1</v>
      </c>
      <c r="AK117">
        <f>step3_validation[[#This Row],[AI_TRU1]]</f>
        <v>9</v>
      </c>
      <c r="AL117" t="str">
        <f t="shared" si="39"/>
        <v>Support</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0</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1</v>
      </c>
      <c r="AU117">
        <f>step3_validation[[#This Row],[AI_TRU3]]</f>
        <v>9</v>
      </c>
      <c r="AV117" t="str">
        <f t="shared" si="45"/>
        <v>Support</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0</v>
      </c>
      <c r="AZ117">
        <f>step3_validation[[#This Row],[AI_TRU4]]</f>
        <v>8</v>
      </c>
      <c r="BA117" t="str">
        <f t="shared" si="48"/>
        <v>Support</v>
      </c>
      <c r="BB117">
        <f>survey_responses[[#This Row],[Tôi thấy Nhà nước đã giải thích rõ ràng, minh bạch về lý do và mục tiêu của việc sửa đổi thuế lần này. - HUMAN-TRU4]]</f>
        <v>8</v>
      </c>
      <c r="BC117" t="str">
        <f t="shared" si="49"/>
        <v>Support</v>
      </c>
      <c r="BD117" s="32">
        <f t="shared" si="50"/>
        <v>0</v>
      </c>
      <c r="BE117">
        <f>step3_validation[[#This Row],[AI_OUT1]]</f>
        <v>9</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0</v>
      </c>
    </row>
    <row r="118" spans="1:61" x14ac:dyDescent="0.45">
      <c r="A118" s="30">
        <f>step3_validation[[#This Row],[Persona_ID]]</f>
        <v>117</v>
      </c>
      <c r="B118" s="31">
        <f>step3_validation[[#This Row],[Used_Seed]]</f>
        <v>158</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68.351760817410138</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7</v>
      </c>
      <c r="R118" t="str">
        <f t="shared" si="27"/>
        <v>Neutral</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1</v>
      </c>
      <c r="V118">
        <f>step3_validation[[#This Row],[AI_ENF2]]</f>
        <v>8</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1</v>
      </c>
      <c r="AA118">
        <f>step3_validation[[#This Row],[AI_FAC1]]</f>
        <v>6</v>
      </c>
      <c r="AB118" t="str">
        <f t="shared" si="33"/>
        <v>Neutral</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2</v>
      </c>
      <c r="AF118">
        <f>step3_validation[[#This Row],[AI_FAC2]]</f>
        <v>5</v>
      </c>
      <c r="AG118" t="str">
        <f t="shared" si="36"/>
        <v>Neutral</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1</v>
      </c>
      <c r="AK118">
        <f>step3_validation[[#This Row],[AI_TRU1]]</f>
        <v>7</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1</v>
      </c>
      <c r="AP118">
        <f>step3_validation[[#This Row],[AI_TRU2]]</f>
        <v>6</v>
      </c>
      <c r="AQ118" t="str">
        <f t="shared" si="42"/>
        <v>Neutral</v>
      </c>
      <c r="AR118">
        <f>survey_responses[[#This Row],[Tôi thấy mức thuế tôi phải đóng theo phương án mới là công bằng (người thu nhập như tôi đóng mức này là hợp lý). - HUMAN-TRU2]]</f>
        <v>8</v>
      </c>
      <c r="AS118" t="str">
        <f t="shared" si="43"/>
        <v>Support</v>
      </c>
      <c r="AT118" s="32">
        <f t="shared" si="44"/>
        <v>2</v>
      </c>
      <c r="AU118">
        <f>step3_validation[[#This Row],[AI_TRU3]]</f>
        <v>7</v>
      </c>
      <c r="AV118" t="str">
        <f t="shared" si="45"/>
        <v>Neutral</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1</v>
      </c>
      <c r="AZ118">
        <f>step3_validation[[#This Row],[AI_TRU4]]</f>
        <v>6</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2</v>
      </c>
      <c r="BE118">
        <f>step3_validation[[#This Row],[AI_OUT1]]</f>
        <v>7</v>
      </c>
      <c r="BF118" t="str">
        <f t="shared" si="51"/>
        <v>Neutral</v>
      </c>
      <c r="BG118">
        <f>survey_responses[[#This Row],[Sau khi xem xét các quyền lợi và nghĩa vụ, bạn có ủng hộ và tuân thủ chính sách mới hiện nay? - HUMAN-OUT1]]</f>
        <v>6</v>
      </c>
      <c r="BH118" t="str">
        <f t="shared" si="52"/>
        <v>Neutral</v>
      </c>
      <c r="BI118" s="32">
        <f t="shared" si="53"/>
        <v>1</v>
      </c>
    </row>
    <row r="119" spans="1:61" x14ac:dyDescent="0.45">
      <c r="A119" s="30">
        <f>step3_validation[[#This Row],[Persona_ID]]</f>
        <v>118</v>
      </c>
      <c r="B119" s="31">
        <f>step3_validation[[#This Row],[Used_Seed]]</f>
        <v>159</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44.14911621603617</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8</v>
      </c>
      <c r="R119" t="str">
        <f t="shared" si="27"/>
        <v>Support</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4</v>
      </c>
      <c r="V119">
        <f>step3_validation[[#This Row],[AI_ENF2]]</f>
        <v>7</v>
      </c>
      <c r="W119" t="str">
        <f t="shared" si="30"/>
        <v>Neutral</v>
      </c>
      <c r="X119">
        <f>survey_responses[[#This Row],[Tôi tin rằng Nhà nước, cơ quan thuế có đủ khả năng và công nghệ để phát hiện, xử lý nghiêm các hành vi trốn thuế. - HUMAN-ENF2]]</f>
        <v>1</v>
      </c>
      <c r="Y119" t="str">
        <f t="shared" si="31"/>
        <v>Oppose</v>
      </c>
      <c r="Z119" s="32">
        <f t="shared" si="32"/>
        <v>6</v>
      </c>
      <c r="AA119">
        <f>step3_validation[[#This Row],[AI_FAC1]]</f>
        <v>9</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8</v>
      </c>
      <c r="AF119">
        <f>step3_validation[[#This Row],[AI_FAC2]]</f>
        <v>8</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3</v>
      </c>
      <c r="AK119">
        <f>step3_validation[[#This Row],[AI_TRU1]]</f>
        <v>7</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6</v>
      </c>
      <c r="AP119">
        <f>step3_validation[[#This Row],[AI_TRU2]]</f>
        <v>8</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5</v>
      </c>
      <c r="AU119">
        <f>step3_validation[[#This Row],[AI_TRU3]]</f>
        <v>7</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6</v>
      </c>
      <c r="AZ119">
        <f>step3_validation[[#This Row],[AI_TRU4]]</f>
        <v>6</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5</v>
      </c>
      <c r="BE119">
        <f>step3_validation[[#This Row],[AI_OUT1]]</f>
        <v>8</v>
      </c>
      <c r="BF119" t="str">
        <f t="shared" si="51"/>
        <v>Support</v>
      </c>
      <c r="BG119">
        <f>survey_responses[[#This Row],[Sau khi xem xét các quyền lợi và nghĩa vụ, bạn có ủng hộ và tuân thủ chính sách mới hiện nay? - HUMAN-OUT1]]</f>
        <v>5</v>
      </c>
      <c r="BH119" t="str">
        <f t="shared" si="52"/>
        <v>Neutral</v>
      </c>
      <c r="BI119" s="32">
        <f t="shared" si="53"/>
        <v>3</v>
      </c>
    </row>
    <row r="120" spans="1:61" x14ac:dyDescent="0.45">
      <c r="A120" s="30">
        <f>step3_validation[[#This Row],[Persona_ID]]</f>
        <v>119</v>
      </c>
      <c r="B120" s="31">
        <f>step3_validation[[#This Row],[Used_Seed]]</f>
        <v>160</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59.646598336121926</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t="str">
        <f t="shared" si="27"/>
        <v>Support</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0</v>
      </c>
      <c r="V120">
        <f>step3_validation[[#This Row],[AI_ENF2]]</f>
        <v>7</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1</v>
      </c>
      <c r="AA120">
        <f>step3_validation[[#This Row],[AI_FAC1]]</f>
        <v>9</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3</v>
      </c>
      <c r="AF120">
        <f>step3_validation[[#This Row],[AI_FAC2]]</f>
        <v>8</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1</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8</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1</v>
      </c>
      <c r="AU120">
        <f>step3_validation[[#This Row],[AI_TRU3]]</f>
        <v>7</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0</v>
      </c>
      <c r="AZ120">
        <f>step3_validation[[#This Row],[AI_TRU4]]</f>
        <v>6</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1</v>
      </c>
      <c r="BE120">
        <f>step3_validation[[#This Row],[AI_OUT1]]</f>
        <v>8</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1</v>
      </c>
    </row>
    <row r="121" spans="1:61" x14ac:dyDescent="0.45">
      <c r="A121" s="30">
        <f>step3_validation[[#This Row],[Persona_ID]]</f>
        <v>120</v>
      </c>
      <c r="B121" s="31">
        <f>step3_validation[[#This Row],[Used_Seed]]</f>
        <v>161</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26.748876849169541</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0</v>
      </c>
      <c r="AA121">
        <f>step3_validation[[#This Row],[AI_FAC1]]</f>
        <v>8</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2</v>
      </c>
      <c r="AF121">
        <f>step3_validation[[#This Row],[AI_FAC2]]</f>
        <v>9</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3</v>
      </c>
      <c r="AK121">
        <f>step3_validation[[#This Row],[AI_TRU1]]</f>
        <v>5</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6</v>
      </c>
      <c r="AQ121" t="str">
        <f t="shared" si="42"/>
        <v>Neutral</v>
      </c>
      <c r="AR121">
        <f>survey_responses[[#This Row],[Tôi thấy mức thuế tôi phải đóng theo phương án mới là công bằng (người thu nhập như tôi đóng mức này là hợp lý). - HUMAN-TRU2]]</f>
        <v>6</v>
      </c>
      <c r="AS121" t="str">
        <f t="shared" si="43"/>
        <v>Neutral</v>
      </c>
      <c r="AT121" s="32">
        <f t="shared" si="44"/>
        <v>0</v>
      </c>
      <c r="AU121">
        <f>step3_validation[[#This Row],[AI_TRU3]]</f>
        <v>7</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1</v>
      </c>
      <c r="AZ121">
        <f>step3_validation[[#This Row],[AI_TRU4]]</f>
        <v>5</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1</v>
      </c>
      <c r="BE121">
        <f>step3_validation[[#This Row],[AI_OUT1]]</f>
        <v>7</v>
      </c>
      <c r="BF121" t="str">
        <f t="shared" si="51"/>
        <v>Neutral</v>
      </c>
      <c r="BG121">
        <f>survey_responses[[#This Row],[Sau khi xem xét các quyền lợi và nghĩa vụ, bạn có ủng hộ và tuân thủ chính sách mới hiện nay? - HUMAN-OUT1]]</f>
        <v>6</v>
      </c>
      <c r="BH121" t="str">
        <f t="shared" si="52"/>
        <v>Neutral</v>
      </c>
      <c r="BI121" s="32">
        <f t="shared" si="53"/>
        <v>1</v>
      </c>
    </row>
    <row r="122" spans="1:61" x14ac:dyDescent="0.45">
      <c r="A122" s="30">
        <f>step3_validation[[#This Row],[Persona_ID]]</f>
        <v>121</v>
      </c>
      <c r="B122" s="31">
        <f>step3_validation[[#This Row],[Used_Seed]]</f>
        <v>162</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112.61423553683534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5</v>
      </c>
      <c r="AA122">
        <f>step3_validation[[#This Row],[AI_FAC1]]</f>
        <v>8</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7</v>
      </c>
      <c r="AF122">
        <f>step3_validation[[#This Row],[AI_FAC2]]</f>
        <v>9</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4</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5</v>
      </c>
      <c r="AQ122" t="str">
        <f t="shared" si="42"/>
        <v>Neutral</v>
      </c>
      <c r="AR122">
        <f>survey_responses[[#This Row],[Tôi thấy mức thuế tôi phải đóng theo phương án mới là công bằng (người thu nhập như tôi đóng mức này là hợp lý). - HUMAN-TRU2]]</f>
        <v>1</v>
      </c>
      <c r="AS122" t="str">
        <f t="shared" si="43"/>
        <v>Oppose</v>
      </c>
      <c r="AT122" s="32">
        <f t="shared" si="44"/>
        <v>4</v>
      </c>
      <c r="AU122">
        <f>step3_validation[[#This Row],[AI_TRU3]]</f>
        <v>6</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5</v>
      </c>
      <c r="AZ122">
        <f>step3_validation[[#This Row],[AI_TRU4]]</f>
        <v>4</v>
      </c>
      <c r="BA122" t="str">
        <f t="shared" si="48"/>
        <v>Oppose</v>
      </c>
      <c r="BB122">
        <f>survey_responses[[#This Row],[Tôi thấy Nhà nước đã giải thích rõ ràng, minh bạch về lý do và mục tiêu của việc sửa đổi thuế lần này. - HUMAN-TRU4]]</f>
        <v>1</v>
      </c>
      <c r="BC122" t="str">
        <f t="shared" si="49"/>
        <v>Oppose</v>
      </c>
      <c r="BD122" s="32">
        <f t="shared" si="50"/>
        <v>3</v>
      </c>
      <c r="BE122">
        <f>step3_validation[[#This Row],[AI_OUT1]]</f>
        <v>7</v>
      </c>
      <c r="BF122" t="str">
        <f t="shared" si="51"/>
        <v>Neutral</v>
      </c>
      <c r="BG122">
        <f>survey_responses[[#This Row],[Sau khi xem xét các quyền lợi và nghĩa vụ, bạn có ủng hộ và tuân thủ chính sách mới hiện nay? - HUMAN-OUT1]]</f>
        <v>5</v>
      </c>
      <c r="BH122" t="str">
        <f t="shared" si="52"/>
        <v>Neutral</v>
      </c>
      <c r="BI122" s="32">
        <f t="shared" si="53"/>
        <v>2</v>
      </c>
    </row>
    <row r="123" spans="1:61" x14ac:dyDescent="0.45">
      <c r="A123" s="30">
        <f>step3_validation[[#This Row],[Persona_ID]]</f>
        <v>122</v>
      </c>
      <c r="B123" s="31">
        <f>step3_validation[[#This Row],[Used_Seed]]</f>
        <v>163</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221.38288474133927</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3</v>
      </c>
      <c r="V123">
        <f>step3_validation[[#This Row],[AI_ENF2]]</f>
        <v>6</v>
      </c>
      <c r="W123" t="str">
        <f t="shared" si="30"/>
        <v>Neutral</v>
      </c>
      <c r="X123">
        <f>survey_responses[[#This Row],[Tôi tin rằng Nhà nước, cơ quan thuế có đủ khả năng và công nghệ để phát hiện, xử lý nghiêm các hành vi trốn thuế. - HUMAN-ENF2]]</f>
        <v>4</v>
      </c>
      <c r="Y123" t="str">
        <f t="shared" si="31"/>
        <v>Oppose</v>
      </c>
      <c r="Z123" s="32">
        <f t="shared" si="32"/>
        <v>2</v>
      </c>
      <c r="AA123">
        <f>step3_validation[[#This Row],[AI_FAC1]]</f>
        <v>8</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6</v>
      </c>
      <c r="AF123">
        <f>step3_validation[[#This Row],[AI_FAC2]]</f>
        <v>9</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4</v>
      </c>
      <c r="AK123">
        <f>step3_validation[[#This Row],[AI_TRU1]]</f>
        <v>5</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4</v>
      </c>
      <c r="AP123">
        <f>step3_validation[[#This Row],[AI_TRU2]]</f>
        <v>7</v>
      </c>
      <c r="AQ123" t="str">
        <f t="shared" si="42"/>
        <v>Neutral</v>
      </c>
      <c r="AR123">
        <f>survey_responses[[#This Row],[Tôi thấy mức thuế tôi phải đóng theo phương án mới là công bằng (người thu nhập như tôi đóng mức này là hợp lý). - HUMAN-TRU2]]</f>
        <v>1</v>
      </c>
      <c r="AS123" t="str">
        <f t="shared" si="43"/>
        <v>Oppose</v>
      </c>
      <c r="AT123" s="32">
        <f t="shared" si="44"/>
        <v>6</v>
      </c>
      <c r="AU123">
        <f>step3_validation[[#This Row],[AI_TRU3]]</f>
        <v>6</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5</v>
      </c>
      <c r="AZ123">
        <f>step3_validation[[#This Row],[AI_TRU4]]</f>
        <v>5</v>
      </c>
      <c r="BA123" t="str">
        <f t="shared" si="48"/>
        <v>Neutral</v>
      </c>
      <c r="BB123">
        <f>survey_responses[[#This Row],[Tôi thấy Nhà nước đã giải thích rõ ràng, minh bạch về lý do và mục tiêu của việc sửa đổi thuế lần này. - HUMAN-TRU4]]</f>
        <v>4</v>
      </c>
      <c r="BC123" t="str">
        <f t="shared" si="49"/>
        <v>Oppose</v>
      </c>
      <c r="BD123" s="32">
        <f t="shared" si="50"/>
        <v>1</v>
      </c>
      <c r="BE123">
        <f>step3_validation[[#This Row],[AI_OUT1]]</f>
        <v>7</v>
      </c>
      <c r="BF123" t="str">
        <f t="shared" si="51"/>
        <v>Neutral</v>
      </c>
      <c r="BG123">
        <f>survey_responses[[#This Row],[Sau khi xem xét các quyền lợi và nghĩa vụ, bạn có ủng hộ và tuân thủ chính sách mới hiện nay? - HUMAN-OUT1]]</f>
        <v>4</v>
      </c>
      <c r="BH123" t="str">
        <f t="shared" si="52"/>
        <v>Oppose</v>
      </c>
      <c r="BI123" s="32">
        <f t="shared" si="53"/>
        <v>3</v>
      </c>
    </row>
    <row r="124" spans="1:61" x14ac:dyDescent="0.45">
      <c r="A124" s="30">
        <f>step3_validation[[#This Row],[Persona_ID]]</f>
        <v>123</v>
      </c>
      <c r="B124" s="31">
        <f>step3_validation[[#This Row],[Used_Seed]]</f>
        <v>164</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8</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1</v>
      </c>
      <c r="AA124">
        <f>step3_validation[[#This Row],[AI_FAC1]]</f>
        <v>7</v>
      </c>
      <c r="AB124" t="str">
        <f t="shared" si="33"/>
        <v>Neutral</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0</v>
      </c>
      <c r="AF124">
        <f>step3_validation[[#This Row],[AI_FAC2]]</f>
        <v>6</v>
      </c>
      <c r="AG124" t="str">
        <f t="shared" si="36"/>
        <v>Neutral</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1</v>
      </c>
      <c r="AK124">
        <f>step3_validation[[#This Row],[AI_TRU1]]</f>
        <v>7</v>
      </c>
      <c r="AL124" t="str">
        <f t="shared" si="39"/>
        <v>Neutral</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0</v>
      </c>
      <c r="AP124">
        <f>step3_validation[[#This Row],[AI_TRU2]]</f>
        <v>5</v>
      </c>
      <c r="AQ124" t="str">
        <f t="shared" si="42"/>
        <v>Neutral</v>
      </c>
      <c r="AR124">
        <f>survey_responses[[#This Row],[Tôi thấy mức thuế tôi phải đóng theo phương án mới là công bằng (người thu nhập như tôi đóng mức này là hợp lý). - HUMAN-TRU2]]</f>
        <v>7</v>
      </c>
      <c r="AS124" t="str">
        <f t="shared" si="43"/>
        <v>Neutral</v>
      </c>
      <c r="AT124" s="32">
        <f t="shared" si="44"/>
        <v>2</v>
      </c>
      <c r="AU124">
        <f>step3_validation[[#This Row],[AI_TRU3]]</f>
        <v>4</v>
      </c>
      <c r="AV124" t="str">
        <f t="shared" si="45"/>
        <v>Oppose</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3</v>
      </c>
      <c r="AZ124">
        <f>step3_validation[[#This Row],[AI_TRU4]]</f>
        <v>6</v>
      </c>
      <c r="BA124" t="str">
        <f t="shared" si="48"/>
        <v>Neutral</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7</v>
      </c>
      <c r="BF124" t="str">
        <f t="shared" si="51"/>
        <v>Neutral</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165</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38.94022557203845</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8</v>
      </c>
      <c r="W125" t="str">
        <f t="shared" si="30"/>
        <v>Support</v>
      </c>
      <c r="X125">
        <f>survey_responses[[#This Row],[Tôi tin rằng Nhà nước, cơ quan thuế có đủ khả năng và công nghệ để phát hiện, xử lý nghiêm các hành vi trốn thuế. - HUMAN-ENF2]]</f>
        <v>9</v>
      </c>
      <c r="Y125" t="str">
        <f t="shared" si="31"/>
        <v>Support</v>
      </c>
      <c r="Z125" s="32">
        <f t="shared" si="32"/>
        <v>1</v>
      </c>
      <c r="AA125">
        <f>step3_validation[[#This Row],[AI_FAC1]]</f>
        <v>6</v>
      </c>
      <c r="AB125" t="str">
        <f t="shared" si="33"/>
        <v>Neutral</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4</v>
      </c>
      <c r="AF125">
        <f>step3_validation[[#This Row],[AI_FAC2]]</f>
        <v>8</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2</v>
      </c>
      <c r="AK125">
        <f>step3_validation[[#This Row],[AI_TRU1]]</f>
        <v>7</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3</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7</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2</v>
      </c>
      <c r="AZ125">
        <f>step3_validation[[#This Row],[AI_TRU4]]</f>
        <v>6</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2">
        <f t="shared" si="50"/>
        <v>3</v>
      </c>
      <c r="BE125">
        <f>step3_validation[[#This Row],[AI_OUT1]]</f>
        <v>8</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1</v>
      </c>
    </row>
    <row r="126" spans="1:61" x14ac:dyDescent="0.45">
      <c r="A126" s="30">
        <f>step3_validation[[#This Row],[Persona_ID]]</f>
        <v>125</v>
      </c>
      <c r="B126" s="31">
        <f>step3_validation[[#This Row],[Used_Seed]]</f>
        <v>166</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15.581206342119826</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4</v>
      </c>
      <c r="V126">
        <f>step3_validation[[#This Row],[AI_ENF2]]</f>
        <v>6</v>
      </c>
      <c r="W126" t="str">
        <f t="shared" si="30"/>
        <v>Neutral</v>
      </c>
      <c r="X126">
        <f>survey_responses[[#This Row],[Tôi tin rằng Nhà nước, cơ quan thuế có đủ khả năng và công nghệ để phát hiện, xử lý nghiêm các hành vi trốn thuế. - HUMAN-ENF2]]</f>
        <v>10</v>
      </c>
      <c r="Y126" t="str">
        <f t="shared" si="31"/>
        <v>Support</v>
      </c>
      <c r="Z126" s="32">
        <f t="shared" si="32"/>
        <v>4</v>
      </c>
      <c r="AA126">
        <f>step3_validation[[#This Row],[AI_FAC1]]</f>
        <v>7</v>
      </c>
      <c r="AB126" t="str">
        <f t="shared" si="33"/>
        <v>Neutral</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3</v>
      </c>
      <c r="AF126">
        <f>step3_validation[[#This Row],[AI_FAC2]]</f>
        <v>8</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2</v>
      </c>
      <c r="AK126">
        <f>step3_validation[[#This Row],[AI_TRU1]]</f>
        <v>7</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3</v>
      </c>
      <c r="AP126">
        <f>step3_validation[[#This Row],[AI_TRU2]]</f>
        <v>7</v>
      </c>
      <c r="AQ126" t="str">
        <f t="shared" si="42"/>
        <v>Neutral</v>
      </c>
      <c r="AR126">
        <f>survey_responses[[#This Row],[Tôi thấy mức thuế tôi phải đóng theo phương án mới là công bằng (người thu nhập như tôi đóng mức này là hợp lý). - HUMAN-TRU2]]</f>
        <v>10</v>
      </c>
      <c r="AS126" t="str">
        <f t="shared" si="43"/>
        <v>Support</v>
      </c>
      <c r="AT126" s="32">
        <f t="shared" si="44"/>
        <v>3</v>
      </c>
      <c r="AU126">
        <f>step3_validation[[#This Row],[AI_TRU3]]</f>
        <v>6</v>
      </c>
      <c r="AV126" t="str">
        <f t="shared" si="45"/>
        <v>Neutral</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4</v>
      </c>
      <c r="AZ126">
        <f>step3_validation[[#This Row],[AI_TRU4]]</f>
        <v>7</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3</v>
      </c>
      <c r="BE126">
        <f>step3_validation[[#This Row],[AI_OUT1]]</f>
        <v>7</v>
      </c>
      <c r="BF126" t="str">
        <f t="shared" si="51"/>
        <v>Neutral</v>
      </c>
      <c r="BG126">
        <f>survey_responses[[#This Row],[Sau khi xem xét các quyền lợi và nghĩa vụ, bạn có ủng hộ và tuân thủ chính sách mới hiện nay? - HUMAN-OUT1]]</f>
        <v>10</v>
      </c>
      <c r="BH126" t="str">
        <f t="shared" si="52"/>
        <v>Support</v>
      </c>
      <c r="BI126" s="32">
        <f t="shared" si="53"/>
        <v>3</v>
      </c>
    </row>
    <row r="127" spans="1:61" x14ac:dyDescent="0.45">
      <c r="A127" s="30">
        <f>step3_validation[[#This Row],[Persona_ID]]</f>
        <v>126</v>
      </c>
      <c r="B127" s="31">
        <f>step3_validation[[#This Row],[Used_Seed]]</f>
        <v>167</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23.925234572528012</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1</v>
      </c>
      <c r="V127">
        <f>step3_validation[[#This Row],[AI_ENF2]]</f>
        <v>8</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0</v>
      </c>
      <c r="AA127">
        <f>step3_validation[[#This Row],[AI_FAC1]]</f>
        <v>6</v>
      </c>
      <c r="AB127" t="str">
        <f t="shared" si="33"/>
        <v>Neutral</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1</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8</v>
      </c>
      <c r="AL127" t="str">
        <f t="shared" si="39"/>
        <v>Support</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0</v>
      </c>
      <c r="AP127">
        <f>step3_validation[[#This Row],[AI_TRU2]]</f>
        <v>9</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1</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8</v>
      </c>
      <c r="BA127" t="str">
        <f t="shared" si="48"/>
        <v>Support</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7</v>
      </c>
      <c r="BF127" t="str">
        <f t="shared" si="51"/>
        <v>Neutral</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168</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141.99323765778593</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6</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5</v>
      </c>
      <c r="AA128">
        <f>step3_validation[[#This Row],[AI_FAC1]]</f>
        <v>8</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7</v>
      </c>
      <c r="AF128">
        <f>step3_validation[[#This Row],[AI_FAC2]]</f>
        <v>7</v>
      </c>
      <c r="AG128" t="str">
        <f t="shared" si="36"/>
        <v>Neutral</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2</v>
      </c>
      <c r="AK128">
        <f>step3_validation[[#This Row],[AI_TRU1]]</f>
        <v>8</v>
      </c>
      <c r="AL128" t="str">
        <f t="shared" si="39"/>
        <v>Support</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7</v>
      </c>
      <c r="AP128">
        <f>step3_validation[[#This Row],[AI_TRU2]]</f>
        <v>7</v>
      </c>
      <c r="AQ128" t="str">
        <f t="shared" si="42"/>
        <v>Neutral</v>
      </c>
      <c r="AR128">
        <f>survey_responses[[#This Row],[Tôi thấy mức thuế tôi phải đóng theo phương án mới là công bằng (người thu nhập như tôi đóng mức này là hợp lý). - HUMAN-TRU2]]</f>
        <v>1</v>
      </c>
      <c r="AS128" t="str">
        <f t="shared" si="43"/>
        <v>Oppose</v>
      </c>
      <c r="AT128" s="32">
        <f t="shared" si="44"/>
        <v>6</v>
      </c>
      <c r="AU128">
        <f>step3_validation[[#This Row],[AI_TRU3]]</f>
        <v>6</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5</v>
      </c>
      <c r="AZ128">
        <f>step3_validation[[#This Row],[AI_TRU4]]</f>
        <v>5</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0</v>
      </c>
      <c r="BE128">
        <f>step3_validation[[#This Row],[AI_OUT1]]</f>
        <v>7</v>
      </c>
      <c r="BF128" t="str">
        <f t="shared" si="51"/>
        <v>Neutral</v>
      </c>
      <c r="BG128">
        <f>survey_responses[[#This Row],[Sau khi xem xét các quyền lợi và nghĩa vụ, bạn có ủng hộ và tuân thủ chính sách mới hiện nay? - HUMAN-OUT1]]</f>
        <v>5</v>
      </c>
      <c r="BH128" t="str">
        <f t="shared" si="52"/>
        <v>Neutral</v>
      </c>
      <c r="BI128" s="32">
        <f t="shared" si="53"/>
        <v>2</v>
      </c>
    </row>
    <row r="129" spans="1:61" x14ac:dyDescent="0.45">
      <c r="A129" s="30">
        <f>step3_validation[[#This Row],[Persona_ID]]</f>
        <v>128</v>
      </c>
      <c r="B129" s="31">
        <f>step3_validation[[#This Row],[Used_Seed]]</f>
        <v>169</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172.52203281731101</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8</v>
      </c>
      <c r="R129" t="str">
        <f t="shared" si="27"/>
        <v>Support</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2</v>
      </c>
      <c r="V129">
        <f>step3_validation[[#This Row],[AI_ENF2]]</f>
        <v>8</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2</v>
      </c>
      <c r="AA129">
        <f>step3_validation[[#This Row],[AI_FAC1]]</f>
        <v>7</v>
      </c>
      <c r="AB129" t="str">
        <f t="shared" si="33"/>
        <v>Neutral</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1</v>
      </c>
      <c r="AF129">
        <f>step3_validation[[#This Row],[AI_FAC2]]</f>
        <v>9</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6</v>
      </c>
      <c r="AL129" t="str">
        <f t="shared" si="39"/>
        <v>Neutral</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0</v>
      </c>
      <c r="AP129">
        <f>step3_validation[[#This Row],[AI_TRU2]]</f>
        <v>7</v>
      </c>
      <c r="AQ129" t="str">
        <f t="shared" si="42"/>
        <v>Neutral</v>
      </c>
      <c r="AR129">
        <f>survey_responses[[#This Row],[Tôi thấy mức thuế tôi phải đóng theo phương án mới là công bằng (người thu nhập như tôi đóng mức này là hợp lý). - HUMAN-TRU2]]</f>
        <v>3</v>
      </c>
      <c r="AS129" t="str">
        <f t="shared" si="43"/>
        <v>Oppose</v>
      </c>
      <c r="AT129" s="32">
        <f t="shared" si="44"/>
        <v>4</v>
      </c>
      <c r="AU129">
        <f>step3_validation[[#This Row],[AI_TRU3]]</f>
        <v>6</v>
      </c>
      <c r="AV129" t="str">
        <f t="shared" si="45"/>
        <v>Neutral</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1</v>
      </c>
      <c r="AZ129">
        <f>step3_validation[[#This Row],[AI_TRU4]]</f>
        <v>5</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0</v>
      </c>
      <c r="BE129">
        <f>step3_validation[[#This Row],[AI_OUT1]]</f>
        <v>7</v>
      </c>
      <c r="BF129" t="str">
        <f t="shared" si="51"/>
        <v>Neutral</v>
      </c>
      <c r="BG129">
        <f>survey_responses[[#This Row],[Sau khi xem xét các quyền lợi và nghĩa vụ, bạn có ủng hộ và tuân thủ chính sách mới hiện nay? - HUMAN-OUT1]]</f>
        <v>4</v>
      </c>
      <c r="BH129" t="str">
        <f t="shared" si="52"/>
        <v>Oppose</v>
      </c>
      <c r="BI129" s="32">
        <f t="shared" si="53"/>
        <v>3</v>
      </c>
    </row>
    <row r="130" spans="1:61" x14ac:dyDescent="0.45">
      <c r="A130" s="30">
        <f>step3_validation[[#This Row],[Persona_ID]]</f>
        <v>129</v>
      </c>
      <c r="B130" s="31">
        <f>step3_validation[[#This Row],[Used_Seed]]</f>
        <v>170</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218.53793831121524</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7</v>
      </c>
      <c r="R130" t="str">
        <f t="shared" si="27"/>
        <v>Neutral</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1</v>
      </c>
      <c r="V130">
        <f>step3_validation[[#This Row],[AI_ENF2]]</f>
        <v>6</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0</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7</v>
      </c>
      <c r="AL130" t="str">
        <f t="shared" si="39"/>
        <v>Neutral</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2</v>
      </c>
      <c r="AP130">
        <f>step3_validation[[#This Row],[AI_TRU2]]</f>
        <v>6</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5</v>
      </c>
      <c r="AU130">
        <f>step3_validation[[#This Row],[AI_TRU3]]</f>
        <v>7</v>
      </c>
      <c r="AV130" t="str">
        <f t="shared" si="45"/>
        <v>Neutral</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2</v>
      </c>
      <c r="AZ130">
        <f>step3_validation[[#This Row],[AI_TRU4]]</f>
        <v>6</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2</v>
      </c>
      <c r="BE130">
        <f>step3_validation[[#This Row],[AI_OUT1]]</f>
        <v>5</v>
      </c>
      <c r="BF130" t="str">
        <f t="shared" si="51"/>
        <v>Neutral</v>
      </c>
      <c r="BG130">
        <f>survey_responses[[#This Row],[Sau khi xem xét các quyền lợi và nghĩa vụ, bạn có ủng hộ và tuân thủ chính sách mới hiện nay? - HUMAN-OUT1]]</f>
        <v>5</v>
      </c>
      <c r="BH130" t="str">
        <f t="shared" si="52"/>
        <v>Neutral</v>
      </c>
      <c r="BI130" s="32">
        <f t="shared" si="53"/>
        <v>0</v>
      </c>
    </row>
    <row r="131" spans="1:61" x14ac:dyDescent="0.45">
      <c r="A131" s="30">
        <f>step3_validation[[#This Row],[Persona_ID]]</f>
        <v>130</v>
      </c>
      <c r="B131" s="31">
        <f>step3_validation[[#This Row],[Used_Seed]]</f>
        <v>171</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73.177324348544801</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4</v>
      </c>
      <c r="R131" t="str">
        <f t="shared" ref="R131:R194" si="54">IF(AND(Q131&gt;=1,Q131&lt;5),"Oppose",IF(AND(Q131&gt;=5,Q131&lt;8),"Neutral",IF(AND(Q131&gt;=8,Q131&lt;=10),"Support","")))</f>
        <v>Oppose</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1</v>
      </c>
      <c r="V131">
        <f>step3_validation[[#This Row],[AI_ENF2]]</f>
        <v>6</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1</v>
      </c>
      <c r="AA131">
        <f>step3_validation[[#This Row],[AI_FAC1]]</f>
        <v>7</v>
      </c>
      <c r="AB131" t="str">
        <f t="shared" ref="AB131:AB194" si="60">IF(AND(AA131&gt;=1,AA131&lt;5),"Oppose",IF(AND(AA131&gt;=5,AA131&lt;8),"Neutral",IF(AND(AA131&gt;=8,AA131&lt;=10),"Support","")))</f>
        <v>Neutral</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6</v>
      </c>
      <c r="AF131">
        <f>step3_validation[[#This Row],[AI_FAC2]]</f>
        <v>8</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4</v>
      </c>
      <c r="AK131">
        <f>step3_validation[[#This Row],[AI_TRU1]]</f>
        <v>6</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4</v>
      </c>
      <c r="AP131">
        <f>step3_validation[[#This Row],[AI_TRU2]]</f>
        <v>5</v>
      </c>
      <c r="AQ131" t="str">
        <f t="shared" ref="AQ131:AQ194" si="69">IF(AND(AP131&gt;=1,AP131&lt;5),"Oppose",IF(AND(AP131&gt;=5,AP131&lt;8),"Neutral",IF(AND(AP131&gt;=8,AP131&lt;=10),"Support","")))</f>
        <v>Neutral</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4</v>
      </c>
      <c r="AU131">
        <f>step3_validation[[#This Row],[AI_TRU3]]</f>
        <v>6</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5</v>
      </c>
      <c r="AZ131">
        <f>step3_validation[[#This Row],[AI_TRU4]]</f>
        <v>4</v>
      </c>
      <c r="BA131" t="str">
        <f t="shared" ref="BA131:BA194" si="75">IF(AND(AZ131&gt;=1,AZ131&lt;5),"Oppose",IF(AND(AZ131&gt;=5,AZ131&lt;8),"Neutral",IF(AND(AZ131&gt;=8,AZ131&lt;=10),"Support","")))</f>
        <v>Oppose</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3</v>
      </c>
      <c r="BE131">
        <f>step3_validation[[#This Row],[AI_OUT1]]</f>
        <v>5</v>
      </c>
      <c r="BF131" t="str">
        <f t="shared" ref="BF131:BF194" si="78">IF(AND(BE131&gt;=1,BE131&lt;5),"Oppose",IF(AND(BE131&gt;=5,BE131&lt;8),"Neutral",IF(AND(BE131&gt;=8,BE131&lt;=10),"Support","")))</f>
        <v>Neutral</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0</v>
      </c>
    </row>
    <row r="132" spans="1:61" x14ac:dyDescent="0.45">
      <c r="A132" s="30">
        <f>step3_validation[[#This Row],[Persona_ID]]</f>
        <v>131</v>
      </c>
      <c r="B132" s="31">
        <f>step3_validation[[#This Row],[Used_Seed]]</f>
        <v>172</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75.277110898485901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8</v>
      </c>
      <c r="R132" t="str">
        <f t="shared" si="54"/>
        <v>Support</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0</v>
      </c>
      <c r="V132">
        <f>step3_validation[[#This Row],[AI_ENF2]]</f>
        <v>7</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2</v>
      </c>
      <c r="AA132">
        <f>step3_validation[[#This Row],[AI_FAC1]]</f>
        <v>9</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4</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7</v>
      </c>
      <c r="AL132" t="str">
        <f t="shared" si="66"/>
        <v>Neutral</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2</v>
      </c>
      <c r="AP132">
        <f>step3_validation[[#This Row],[AI_TRU2]]</f>
        <v>8</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4</v>
      </c>
      <c r="AU132">
        <f>step3_validation[[#This Row],[AI_TRU3]]</f>
        <v>6</v>
      </c>
      <c r="AV132" t="str">
        <f t="shared" si="72"/>
        <v>Neutral</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1</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8</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3</v>
      </c>
    </row>
    <row r="133" spans="1:61" x14ac:dyDescent="0.45">
      <c r="A133" s="30">
        <f>step3_validation[[#This Row],[Persona_ID]]</f>
        <v>132</v>
      </c>
      <c r="B133" s="31">
        <f>step3_validation[[#This Row],[Used_Seed]]</f>
        <v>173</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12.341532050902714</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2</v>
      </c>
      <c r="V133">
        <f>step3_validation[[#This Row],[AI_ENF2]]</f>
        <v>6</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3</v>
      </c>
      <c r="AA133">
        <f>step3_validation[[#This Row],[AI_FAC1]]</f>
        <v>8</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7</v>
      </c>
      <c r="AG133" t="str">
        <f t="shared" si="63"/>
        <v>Neutral</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2</v>
      </c>
      <c r="AK133">
        <f>step3_validation[[#This Row],[AI_TRU1]]</f>
        <v>6</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1</v>
      </c>
      <c r="AP133">
        <f>step3_validation[[#This Row],[AI_TRU2]]</f>
        <v>5</v>
      </c>
      <c r="AQ133" t="str">
        <f t="shared" si="69"/>
        <v>Neutral</v>
      </c>
      <c r="AR133">
        <f>survey_responses[[#This Row],[Tôi thấy mức thuế tôi phải đóng theo phương án mới là công bằng (người thu nhập như tôi đóng mức này là hợp lý). - HUMAN-TRU2]]</f>
        <v>10</v>
      </c>
      <c r="AS133" t="str">
        <f t="shared" si="70"/>
        <v>Support</v>
      </c>
      <c r="AT133" s="32">
        <f t="shared" si="71"/>
        <v>5</v>
      </c>
      <c r="AU133">
        <f>step3_validation[[#This Row],[AI_TRU3]]</f>
        <v>4</v>
      </c>
      <c r="AV133" t="str">
        <f t="shared" si="72"/>
        <v>Oppose</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1</v>
      </c>
      <c r="AZ133">
        <f>step3_validation[[#This Row],[AI_TRU4]]</f>
        <v>3</v>
      </c>
      <c r="BA133" t="str">
        <f t="shared" si="75"/>
        <v>Oppose</v>
      </c>
      <c r="BB133">
        <f>survey_responses[[#This Row],[Tôi thấy Nhà nước đã giải thích rõ ràng, minh bạch về lý do và mục tiêu của việc sửa đổi thuế lần này. - HUMAN-TRU4]]</f>
        <v>5</v>
      </c>
      <c r="BC133" t="str">
        <f t="shared" si="76"/>
        <v>Neutral</v>
      </c>
      <c r="BD133" s="32">
        <f t="shared" si="77"/>
        <v>2</v>
      </c>
      <c r="BE133">
        <f>step3_validation[[#This Row],[AI_OUT1]]</f>
        <v>6</v>
      </c>
      <c r="BF133" t="str">
        <f t="shared" si="78"/>
        <v>Neutral</v>
      </c>
      <c r="BG133">
        <f>survey_responses[[#This Row],[Sau khi xem xét các quyền lợi và nghĩa vụ, bạn có ủng hộ và tuân thủ chính sách mới hiện nay? - HUMAN-OUT1]]</f>
        <v>9</v>
      </c>
      <c r="BH133" t="str">
        <f t="shared" si="79"/>
        <v>Support</v>
      </c>
      <c r="BI133" s="32">
        <f t="shared" si="80"/>
        <v>3</v>
      </c>
    </row>
    <row r="134" spans="1:61" x14ac:dyDescent="0.45">
      <c r="A134" s="30">
        <f>step3_validation[[#This Row],[Persona_ID]]</f>
        <v>133</v>
      </c>
      <c r="B134" s="31">
        <f>step3_validation[[#This Row],[Used_Seed]]</f>
        <v>174</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45.811267624915253</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8</v>
      </c>
      <c r="R134" t="str">
        <f t="shared" si="54"/>
        <v>Support</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3</v>
      </c>
      <c r="V134">
        <f>step3_validation[[#This Row],[AI_ENF2]]</f>
        <v>9</v>
      </c>
      <c r="W134" t="str">
        <f t="shared" si="57"/>
        <v>Support</v>
      </c>
      <c r="X134">
        <f>survey_responses[[#This Row],[Tôi tin rằng Nhà nước, cơ quan thuế có đủ khả năng và công nghệ để phát hiện, xử lý nghiêm các hành vi trốn thuế. - HUMAN-ENF2]]</f>
        <v>5</v>
      </c>
      <c r="Y134" t="str">
        <f t="shared" si="58"/>
        <v>Neutral</v>
      </c>
      <c r="Z134" s="32">
        <f t="shared" si="59"/>
        <v>4</v>
      </c>
      <c r="AA134">
        <f>step3_validation[[#This Row],[AI_FAC1]]</f>
        <v>7</v>
      </c>
      <c r="AB134" t="str">
        <f t="shared" si="60"/>
        <v>Neutral</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2</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9</v>
      </c>
      <c r="AL134" t="str">
        <f t="shared" si="66"/>
        <v>Support</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4</v>
      </c>
      <c r="AP134">
        <f>step3_validation[[#This Row],[AI_TRU2]]</f>
        <v>8</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3</v>
      </c>
      <c r="AU134">
        <f>step3_validation[[#This Row],[AI_TRU3]]</f>
        <v>9</v>
      </c>
      <c r="AV134" t="str">
        <f t="shared" si="72"/>
        <v>Support</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4</v>
      </c>
      <c r="AZ134">
        <f>step3_validation[[#This Row],[AI_TRU4]]</f>
        <v>7</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2</v>
      </c>
      <c r="BE134">
        <f>step3_validation[[#This Row],[AI_OUT1]]</f>
        <v>8</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3</v>
      </c>
    </row>
    <row r="135" spans="1:61" x14ac:dyDescent="0.45">
      <c r="A135" s="30">
        <f>step3_validation[[#This Row],[Persona_ID]]</f>
        <v>134</v>
      </c>
      <c r="B135" s="31">
        <f>step3_validation[[#This Row],[Used_Seed]]</f>
        <v>175</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20.253120039356663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8</v>
      </c>
      <c r="R135" t="str">
        <f t="shared" si="54"/>
        <v>Support</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1</v>
      </c>
      <c r="V135">
        <f>step3_validation[[#This Row],[AI_ENF2]]</f>
        <v>9</v>
      </c>
      <c r="W135" t="str">
        <f t="shared" si="57"/>
        <v>Support</v>
      </c>
      <c r="X135">
        <f>survey_responses[[#This Row],[Tôi tin rằng Nhà nước, cơ quan thuế có đủ khả năng và công nghệ để phát hiện, xử lý nghiêm các hành vi trốn thuế. - HUMAN-ENF2]]</f>
        <v>9</v>
      </c>
      <c r="Y135" t="str">
        <f t="shared" si="58"/>
        <v>Support</v>
      </c>
      <c r="Z135" s="32">
        <f t="shared" si="59"/>
        <v>0</v>
      </c>
      <c r="AA135">
        <f>step3_validation[[#This Row],[AI_FAC1]]</f>
        <v>7</v>
      </c>
      <c r="AB135" t="str">
        <f t="shared" si="60"/>
        <v>Neutral</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2</v>
      </c>
      <c r="AF135">
        <f>step3_validation[[#This Row],[AI_FAC2]]</f>
        <v>6</v>
      </c>
      <c r="AG135" t="str">
        <f t="shared" si="63"/>
        <v>Neutral</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3</v>
      </c>
      <c r="AK135">
        <f>step3_validation[[#This Row],[AI_TRU1]]</f>
        <v>7</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1</v>
      </c>
      <c r="AP135">
        <f>step3_validation[[#This Row],[AI_TRU2]]</f>
        <v>6</v>
      </c>
      <c r="AQ135" t="str">
        <f t="shared" si="69"/>
        <v>Neutral</v>
      </c>
      <c r="AR135">
        <f>survey_responses[[#This Row],[Tôi thấy mức thuế tôi phải đóng theo phương án mới là công bằng (người thu nhập như tôi đóng mức này là hợp lý). - HUMAN-TRU2]]</f>
        <v>10</v>
      </c>
      <c r="AS135" t="str">
        <f t="shared" si="70"/>
        <v>Support</v>
      </c>
      <c r="AT135" s="32">
        <f t="shared" si="71"/>
        <v>4</v>
      </c>
      <c r="AU135">
        <f>step3_validation[[#This Row],[AI_TRU3]]</f>
        <v>7</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2</v>
      </c>
      <c r="AZ135">
        <f>step3_validation[[#This Row],[AI_TRU4]]</f>
        <v>6</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1</v>
      </c>
      <c r="BE135">
        <f>step3_validation[[#This Row],[AI_OUT1]]</f>
        <v>7</v>
      </c>
      <c r="BF135" t="str">
        <f t="shared" si="78"/>
        <v>Neutral</v>
      </c>
      <c r="BG135">
        <f>survey_responses[[#This Row],[Sau khi xem xét các quyền lợi và nghĩa vụ, bạn có ủng hộ và tuân thủ chính sách mới hiện nay? - HUMAN-OUT1]]</f>
        <v>7</v>
      </c>
      <c r="BH135" t="str">
        <f t="shared" si="79"/>
        <v>Neutral</v>
      </c>
      <c r="BI135" s="32">
        <f t="shared" si="80"/>
        <v>0</v>
      </c>
    </row>
    <row r="136" spans="1:61" x14ac:dyDescent="0.45">
      <c r="A136" s="30">
        <f>step3_validation[[#This Row],[Persona_ID]]</f>
        <v>135</v>
      </c>
      <c r="B136" s="31">
        <f>step3_validation[[#This Row],[Used_Seed]]</f>
        <v>176</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16.543982855070325</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8</v>
      </c>
      <c r="R136" t="str">
        <f t="shared" si="54"/>
        <v>Support</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3</v>
      </c>
      <c r="V136">
        <f>step3_validation[[#This Row],[AI_ENF2]]</f>
        <v>8</v>
      </c>
      <c r="W136" t="str">
        <f t="shared" si="57"/>
        <v>Support</v>
      </c>
      <c r="X136">
        <f>survey_responses[[#This Row],[Tôi tin rằng Nhà nước, cơ quan thuế có đủ khả năng và công nghệ để phát hiện, xử lý nghiêm các hành vi trốn thuế. - HUMAN-ENF2]]</f>
        <v>5</v>
      </c>
      <c r="Y136" t="str">
        <f t="shared" si="58"/>
        <v>Neutral</v>
      </c>
      <c r="Z136" s="32">
        <f t="shared" si="59"/>
        <v>3</v>
      </c>
      <c r="AA136">
        <f>step3_validation[[#This Row],[AI_FAC1]]</f>
        <v>7</v>
      </c>
      <c r="AB136" t="str">
        <f t="shared" si="60"/>
        <v>Neutral</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2</v>
      </c>
      <c r="AF136">
        <f>step3_validation[[#This Row],[AI_FAC2]]</f>
        <v>6</v>
      </c>
      <c r="AG136" t="str">
        <f t="shared" si="63"/>
        <v>Neutral</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0</v>
      </c>
      <c r="AK136">
        <f>step3_validation[[#This Row],[AI_TRU1]]</f>
        <v>6</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0</v>
      </c>
      <c r="AP136">
        <f>step3_validation[[#This Row],[AI_TRU2]]</f>
        <v>5</v>
      </c>
      <c r="AQ136" t="str">
        <f t="shared" si="69"/>
        <v>Neutral</v>
      </c>
      <c r="AR136">
        <f>survey_responses[[#This Row],[Tôi thấy mức thuế tôi phải đóng theo phương án mới là công bằng (người thu nhập như tôi đóng mức này là hợp lý). - HUMAN-TRU2]]</f>
        <v>6</v>
      </c>
      <c r="AS136" t="str">
        <f t="shared" si="70"/>
        <v>Neutral</v>
      </c>
      <c r="AT136" s="32">
        <f t="shared" si="71"/>
        <v>1</v>
      </c>
      <c r="AU136">
        <f>step3_validation[[#This Row],[AI_TRU3]]</f>
        <v>4</v>
      </c>
      <c r="AV136" t="str">
        <f t="shared" si="72"/>
        <v>Oppose</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2</v>
      </c>
      <c r="AZ136">
        <f>step3_validation[[#This Row],[AI_TRU4]]</f>
        <v>3</v>
      </c>
      <c r="BA136" t="str">
        <f t="shared" si="75"/>
        <v>Oppose</v>
      </c>
      <c r="BB136">
        <f>survey_responses[[#This Row],[Tôi thấy Nhà nước đã giải thích rõ ràng, minh bạch về lý do và mục tiêu của việc sửa đổi thuế lần này. - HUMAN-TRU4]]</f>
        <v>6</v>
      </c>
      <c r="BC136" t="str">
        <f t="shared" si="76"/>
        <v>Neutral</v>
      </c>
      <c r="BD136" s="32">
        <f t="shared" si="77"/>
        <v>3</v>
      </c>
      <c r="BE136">
        <f>step3_validation[[#This Row],[AI_OUT1]]</f>
        <v>7</v>
      </c>
      <c r="BF136" t="str">
        <f t="shared" si="78"/>
        <v>Neutral</v>
      </c>
      <c r="BG136">
        <f>survey_responses[[#This Row],[Sau khi xem xét các quyền lợi và nghĩa vụ, bạn có ủng hộ và tuân thủ chính sách mới hiện nay? - HUMAN-OUT1]]</f>
        <v>6</v>
      </c>
      <c r="BH136" t="str">
        <f t="shared" si="79"/>
        <v>Neutral</v>
      </c>
      <c r="BI136" s="32">
        <f t="shared" si="80"/>
        <v>1</v>
      </c>
    </row>
    <row r="137" spans="1:61" x14ac:dyDescent="0.45">
      <c r="A137" s="30">
        <f>step3_validation[[#This Row],[Persona_ID]]</f>
        <v>136</v>
      </c>
      <c r="B137" s="31">
        <f>step3_validation[[#This Row],[Used_Seed]]</f>
        <v>177</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7</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1</v>
      </c>
      <c r="V137">
        <f>step3_validation[[#This Row],[AI_ENF2]]</f>
        <v>8</v>
      </c>
      <c r="W137" t="str">
        <f t="shared" si="57"/>
        <v>Support</v>
      </c>
      <c r="X137">
        <f>survey_responses[[#This Row],[Tôi tin rằng Nhà nước, cơ quan thuế có đủ khả năng và công nghệ để phát hiện, xử lý nghiêm các hành vi trốn thuế. - HUMAN-ENF2]]</f>
        <v>8</v>
      </c>
      <c r="Y137" t="str">
        <f t="shared" si="58"/>
        <v>Support</v>
      </c>
      <c r="Z137" s="32">
        <f t="shared" si="59"/>
        <v>0</v>
      </c>
      <c r="AA137">
        <f>step3_validation[[#This Row],[AI_FAC1]]</f>
        <v>8</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0</v>
      </c>
      <c r="AF137">
        <f>step3_validation[[#This Row],[AI_FAC2]]</f>
        <v>7</v>
      </c>
      <c r="AG137" t="str">
        <f t="shared" si="63"/>
        <v>Neutral</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8</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2</v>
      </c>
      <c r="AP137">
        <f>step3_validation[[#This Row],[AI_TRU2]]</f>
        <v>6</v>
      </c>
      <c r="AQ137" t="str">
        <f t="shared" si="69"/>
        <v>Neutral</v>
      </c>
      <c r="AR137">
        <f>survey_responses[[#This Row],[Tôi thấy mức thuế tôi phải đóng theo phương án mới là công bằng (người thu nhập như tôi đóng mức này là hợp lý). - HUMAN-TRU2]]</f>
        <v>10</v>
      </c>
      <c r="AS137" t="str">
        <f t="shared" si="70"/>
        <v>Support</v>
      </c>
      <c r="AT137" s="32">
        <f t="shared" si="71"/>
        <v>4</v>
      </c>
      <c r="AU137">
        <f>step3_validation[[#This Row],[AI_TRU3]]</f>
        <v>7</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3</v>
      </c>
      <c r="AZ137">
        <f>step3_validation[[#This Row],[AI_TRU4]]</f>
        <v>8</v>
      </c>
      <c r="BA137" t="str">
        <f t="shared" si="75"/>
        <v>Support</v>
      </c>
      <c r="BB137">
        <f>survey_responses[[#This Row],[Tôi thấy Nhà nước đã giải thích rõ ràng, minh bạch về lý do và mục tiêu của việc sửa đổi thuế lần này. - HUMAN-TRU4]]</f>
        <v>10</v>
      </c>
      <c r="BC137" t="str">
        <f t="shared" si="76"/>
        <v>Support</v>
      </c>
      <c r="BD137" s="32">
        <f t="shared" si="77"/>
        <v>2</v>
      </c>
      <c r="BE137">
        <f>step3_validation[[#This Row],[AI_OUT1]]</f>
        <v>9</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1</v>
      </c>
    </row>
    <row r="138" spans="1:61" x14ac:dyDescent="0.45">
      <c r="A138" s="30">
        <f>step3_validation[[#This Row],[Persona_ID]]</f>
        <v>137</v>
      </c>
      <c r="B138" s="31">
        <f>step3_validation[[#This Row],[Used_Seed]]</f>
        <v>178</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214.60248023996229</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6</v>
      </c>
      <c r="W138" t="str">
        <f t="shared" si="57"/>
        <v>Neutral</v>
      </c>
      <c r="X138">
        <f>survey_responses[[#This Row],[Tôi tin rằng Nhà nước, cơ quan thuế có đủ khả năng và công nghệ để phát hiện, xử lý nghiêm các hành vi trốn thuế. - HUMAN-ENF2]]</f>
        <v>8</v>
      </c>
      <c r="Y138" t="str">
        <f t="shared" si="58"/>
        <v>Support</v>
      </c>
      <c r="Z138" s="32">
        <f t="shared" si="59"/>
        <v>2</v>
      </c>
      <c r="AA138">
        <f>step3_validation[[#This Row],[AI_FAC1]]</f>
        <v>8</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0</v>
      </c>
      <c r="AF138">
        <f>step3_validation[[#This Row],[AI_FAC2]]</f>
        <v>7</v>
      </c>
      <c r="AG138" t="str">
        <f t="shared" si="63"/>
        <v>Neutral</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9</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6</v>
      </c>
      <c r="AQ138" t="str">
        <f t="shared" si="69"/>
        <v>Neutral</v>
      </c>
      <c r="AR138">
        <f>survey_responses[[#This Row],[Tôi thấy mức thuế tôi phải đóng theo phương án mới là công bằng (người thu nhập như tôi đóng mức này là hợp lý). - HUMAN-TRU2]]</f>
        <v>8</v>
      </c>
      <c r="AS138" t="str">
        <f t="shared" si="70"/>
        <v>Support</v>
      </c>
      <c r="AT138" s="32">
        <f t="shared" si="71"/>
        <v>2</v>
      </c>
      <c r="AU138">
        <f>step3_validation[[#This Row],[AI_TRU3]]</f>
        <v>7</v>
      </c>
      <c r="AV138" t="str">
        <f t="shared" si="72"/>
        <v>Neutral</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2</v>
      </c>
      <c r="AZ138">
        <f>step3_validation[[#This Row],[AI_TRU4]]</f>
        <v>5</v>
      </c>
      <c r="BA138" t="str">
        <f t="shared" si="75"/>
        <v>Neutral</v>
      </c>
      <c r="BB138">
        <f>survey_responses[[#This Row],[Tôi thấy Nhà nước đã giải thích rõ ràng, minh bạch về lý do và mục tiêu của việc sửa đổi thuế lần này. - HUMAN-TRU4]]</f>
        <v>7</v>
      </c>
      <c r="BC138" t="str">
        <f t="shared" si="76"/>
        <v>Neutral</v>
      </c>
      <c r="BD138" s="32">
        <f t="shared" si="77"/>
        <v>2</v>
      </c>
      <c r="BE138">
        <f>step3_validation[[#This Row],[AI_OUT1]]</f>
        <v>6</v>
      </c>
      <c r="BF138" t="str">
        <f t="shared" si="78"/>
        <v>Neutral</v>
      </c>
      <c r="BG138">
        <f>survey_responses[[#This Row],[Sau khi xem xét các quyền lợi và nghĩa vụ, bạn có ủng hộ và tuân thủ chính sách mới hiện nay? - HUMAN-OUT1]]</f>
        <v>8</v>
      </c>
      <c r="BH138" t="str">
        <f t="shared" si="79"/>
        <v>Support</v>
      </c>
      <c r="BI138" s="32">
        <f t="shared" si="80"/>
        <v>2</v>
      </c>
    </row>
    <row r="139" spans="1:61" x14ac:dyDescent="0.45">
      <c r="A139" s="30">
        <f>step3_validation[[#This Row],[Persona_ID]]</f>
        <v>138</v>
      </c>
      <c r="B139" s="31">
        <f>step3_validation[[#This Row],[Used_Seed]]</f>
        <v>179</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16.590347643222596</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8</v>
      </c>
      <c r="R139" t="str">
        <f t="shared" si="54"/>
        <v>Support</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0</v>
      </c>
      <c r="V139">
        <f>step3_validation[[#This Row],[AI_ENF2]]</f>
        <v>7</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2">
        <f t="shared" si="59"/>
        <v>2</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8</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1</v>
      </c>
      <c r="AK139">
        <f>step3_validation[[#This Row],[AI_TRU1]]</f>
        <v>7</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1</v>
      </c>
      <c r="AP139">
        <f>step3_validation[[#This Row],[AI_TRU2]]</f>
        <v>6</v>
      </c>
      <c r="AQ139" t="str">
        <f t="shared" si="69"/>
        <v>Neutral</v>
      </c>
      <c r="AR139">
        <f>survey_responses[[#This Row],[Tôi thấy mức thuế tôi phải đóng theo phương án mới là công bằng (người thu nhập như tôi đóng mức này là hợp lý). - HUMAN-TRU2]]</f>
        <v>6</v>
      </c>
      <c r="AS139" t="str">
        <f t="shared" si="70"/>
        <v>Neutral</v>
      </c>
      <c r="AT139" s="32">
        <f t="shared" si="71"/>
        <v>0</v>
      </c>
      <c r="AU139">
        <f>step3_validation[[#This Row],[AI_TRU3]]</f>
        <v>7</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5</v>
      </c>
      <c r="AZ139">
        <f>step3_validation[[#This Row],[AI_TRU4]]</f>
        <v>6</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1</v>
      </c>
      <c r="BE139">
        <f>step3_validation[[#This Row],[AI_OUT1]]</f>
        <v>5</v>
      </c>
      <c r="BF139" t="str">
        <f t="shared" si="78"/>
        <v>Neutral</v>
      </c>
      <c r="BG139">
        <f>survey_responses[[#This Row],[Sau khi xem xét các quyền lợi và nghĩa vụ, bạn có ủng hộ và tuân thủ chính sách mới hiện nay? - HUMAN-OUT1]]</f>
        <v>6</v>
      </c>
      <c r="BH139" t="str">
        <f t="shared" si="79"/>
        <v>Neutral</v>
      </c>
      <c r="BI139" s="32">
        <f t="shared" si="80"/>
        <v>1</v>
      </c>
    </row>
    <row r="140" spans="1:61" x14ac:dyDescent="0.45">
      <c r="A140" s="30">
        <f>step3_validation[[#This Row],[Persona_ID]]</f>
        <v>139</v>
      </c>
      <c r="B140" s="31">
        <f>step3_validation[[#This Row],[Used_Seed]]</f>
        <v>180</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187.25634005280955</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8</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3</v>
      </c>
      <c r="V140">
        <f>step3_validation[[#This Row],[AI_ENF2]]</f>
        <v>9</v>
      </c>
      <c r="W140" t="str">
        <f t="shared" si="57"/>
        <v>Support</v>
      </c>
      <c r="X140">
        <f>survey_responses[[#This Row],[Tôi tin rằng Nhà nước, cơ quan thuế có đủ khả năng và công nghệ để phát hiện, xử lý nghiêm các hành vi trốn thuế. - HUMAN-ENF2]]</f>
        <v>4</v>
      </c>
      <c r="Y140" t="str">
        <f t="shared" si="58"/>
        <v>Oppose</v>
      </c>
      <c r="Z140" s="32">
        <f t="shared" si="59"/>
        <v>5</v>
      </c>
      <c r="AA140">
        <f>step3_validation[[#This Row],[AI_FAC1]]</f>
        <v>9</v>
      </c>
      <c r="AB140" t="str">
        <f t="shared" si="60"/>
        <v>Support</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2</v>
      </c>
      <c r="AF140">
        <f>step3_validation[[#This Row],[AI_FAC2]]</f>
        <v>8</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2</v>
      </c>
      <c r="AK140">
        <f>step3_validation[[#This Row],[AI_TRU1]]</f>
        <v>9</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6</v>
      </c>
      <c r="AP140">
        <f>step3_validation[[#This Row],[AI_TRU2]]</f>
        <v>8</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4</v>
      </c>
      <c r="AU140">
        <f>step3_validation[[#This Row],[AI_TRU3]]</f>
        <v>9</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5</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8</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3</v>
      </c>
    </row>
    <row r="141" spans="1:61" x14ac:dyDescent="0.45">
      <c r="A141" s="30">
        <f>step3_validation[[#This Row],[Persona_ID]]</f>
        <v>140</v>
      </c>
      <c r="B141" s="31">
        <f>step3_validation[[#This Row],[Used_Seed]]</f>
        <v>181</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29.289834118814394</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8</v>
      </c>
      <c r="R141" t="str">
        <f t="shared" si="54"/>
        <v>Support</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2</v>
      </c>
      <c r="V141">
        <f>step3_validation[[#This Row],[AI_ENF2]]</f>
        <v>7</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2</v>
      </c>
      <c r="AA141">
        <f>step3_validation[[#This Row],[AI_FAC1]]</f>
        <v>9</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0</v>
      </c>
      <c r="AF141">
        <f>step3_validation[[#This Row],[AI_FAC2]]</f>
        <v>8</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1</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7</v>
      </c>
      <c r="AQ141" t="str">
        <f t="shared" si="69"/>
        <v>Neutral</v>
      </c>
      <c r="AR141">
        <f>survey_responses[[#This Row],[Tôi thấy mức thuế tôi phải đóng theo phương án mới là công bằng (người thu nhập như tôi đóng mức này là hợp lý). - HUMAN-TRU2]]</f>
        <v>8</v>
      </c>
      <c r="AS141" t="str">
        <f t="shared" si="70"/>
        <v>Support</v>
      </c>
      <c r="AT141" s="32">
        <f t="shared" si="71"/>
        <v>1</v>
      </c>
      <c r="AU141">
        <f>step3_validation[[#This Row],[AI_TRU3]]</f>
        <v>6</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2</v>
      </c>
      <c r="AZ141">
        <f>step3_validation[[#This Row],[AI_TRU4]]</f>
        <v>5</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3</v>
      </c>
      <c r="BE141">
        <f>step3_validation[[#This Row],[AI_OUT1]]</f>
        <v>0</v>
      </c>
      <c r="BF141" t="str">
        <f t="shared" si="78"/>
        <v/>
      </c>
      <c r="BG141">
        <f>survey_responses[[#This Row],[Sau khi xem xét các quyền lợi và nghĩa vụ, bạn có ủng hộ và tuân thủ chính sách mới hiện nay? - HUMAN-OUT1]]</f>
        <v>10</v>
      </c>
      <c r="BH141" t="str">
        <f t="shared" si="79"/>
        <v>Support</v>
      </c>
      <c r="BI141" s="32">
        <f t="shared" si="80"/>
        <v>10</v>
      </c>
    </row>
    <row r="142" spans="1:61" x14ac:dyDescent="0.45">
      <c r="A142" s="30">
        <f>step3_validation[[#This Row],[Persona_ID]]</f>
        <v>141</v>
      </c>
      <c r="B142" s="31">
        <f>step3_validation[[#This Row],[Used_Seed]]</f>
        <v>182</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24.327818242433288</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t="str">
        <f t="shared" si="54"/>
        <v>Neutral</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7</v>
      </c>
      <c r="W142" t="str">
        <f t="shared" si="57"/>
        <v>Neutral</v>
      </c>
      <c r="X142">
        <f>survey_responses[[#This Row],[Tôi tin rằng Nhà nước, cơ quan thuế có đủ khả năng và công nghệ để phát hiện, xử lý nghiêm các hành vi trốn thuế. - HUMAN-ENF2]]</f>
        <v>7</v>
      </c>
      <c r="Y142" t="str">
        <f t="shared" si="58"/>
        <v>Neutral</v>
      </c>
      <c r="Z142" s="32">
        <f t="shared" si="59"/>
        <v>0</v>
      </c>
      <c r="AA142">
        <f>step3_validation[[#This Row],[AI_FAC1]]</f>
        <v>8</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2</v>
      </c>
      <c r="AF142">
        <f>step3_validation[[#This Row],[AI_FAC2]]</f>
        <v>6</v>
      </c>
      <c r="AG142" t="str">
        <f t="shared" si="63"/>
        <v>Neutral</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0</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8</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3</v>
      </c>
      <c r="AU142">
        <f>step3_validation[[#This Row],[AI_TRU3]]</f>
        <v>7</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4</v>
      </c>
      <c r="AZ142">
        <f>step3_validation[[#This Row],[AI_TRU4]]</f>
        <v>6</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3</v>
      </c>
      <c r="BE142">
        <f>step3_validation[[#This Row],[AI_OUT1]]</f>
        <v>7</v>
      </c>
      <c r="BF142" t="str">
        <f t="shared" si="78"/>
        <v>Neutral</v>
      </c>
      <c r="BG142">
        <f>survey_responses[[#This Row],[Sau khi xem xét các quyền lợi và nghĩa vụ, bạn có ủng hộ và tuân thủ chính sách mới hiện nay? - HUMAN-OUT1]]</f>
        <v>5</v>
      </c>
      <c r="BH142" t="str">
        <f t="shared" si="79"/>
        <v>Neutral</v>
      </c>
      <c r="BI142" s="32">
        <f t="shared" si="80"/>
        <v>2</v>
      </c>
    </row>
    <row r="143" spans="1:61" x14ac:dyDescent="0.45">
      <c r="A143" s="30">
        <f>step3_validation[[#This Row],[Persona_ID]]</f>
        <v>142</v>
      </c>
      <c r="B143" s="31">
        <f>step3_validation[[#This Row],[Used_Seed]]</f>
        <v>183</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8</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2">
        <f t="shared" si="59"/>
        <v>2</v>
      </c>
      <c r="AA143">
        <f>step3_validation[[#This Row],[AI_FAC1]]</f>
        <v>6</v>
      </c>
      <c r="AB143" t="str">
        <f t="shared" si="60"/>
        <v>Neutral</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1</v>
      </c>
      <c r="AF143">
        <f>step3_validation[[#This Row],[AI_FAC2]]</f>
        <v>8</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1</v>
      </c>
      <c r="AK143">
        <f>step3_validation[[#This Row],[AI_TRU1]]</f>
        <v>6</v>
      </c>
      <c r="AL143" t="str">
        <f t="shared" si="66"/>
        <v>Neutral</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0</v>
      </c>
      <c r="AP143">
        <f>step3_validation[[#This Row],[AI_TRU2]]</f>
        <v>7</v>
      </c>
      <c r="AQ143" t="str">
        <f t="shared" si="69"/>
        <v>Neutral</v>
      </c>
      <c r="AR143">
        <f>survey_responses[[#This Row],[Tôi thấy mức thuế tôi phải đóng theo phương án mới là công bằng (người thu nhập như tôi đóng mức này là hợp lý). - HUMAN-TRU2]]</f>
        <v>6</v>
      </c>
      <c r="AS143" t="str">
        <f t="shared" si="70"/>
        <v>Neutral</v>
      </c>
      <c r="AT143" s="32">
        <f t="shared" si="71"/>
        <v>1</v>
      </c>
      <c r="AU143">
        <f>step3_validation[[#This Row],[AI_TRU3]]</f>
        <v>5</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1</v>
      </c>
      <c r="AZ143">
        <f>step3_validation[[#This Row],[AI_TRU4]]</f>
        <v>4</v>
      </c>
      <c r="BA143" t="str">
        <f t="shared" si="75"/>
        <v>Oppose</v>
      </c>
      <c r="BB143">
        <f>survey_responses[[#This Row],[Tôi thấy Nhà nước đã giải thích rõ ràng, minh bạch về lý do và mục tiêu của việc sửa đổi thuế lần này. - HUMAN-TRU4]]</f>
        <v>7</v>
      </c>
      <c r="BC143" t="str">
        <f t="shared" si="76"/>
        <v>Neutral</v>
      </c>
      <c r="BD143" s="32">
        <f t="shared" si="77"/>
        <v>3</v>
      </c>
      <c r="BE143">
        <f>step3_validation[[#This Row],[AI_OUT1]]</f>
        <v>6</v>
      </c>
      <c r="BF143" t="str">
        <f t="shared" si="78"/>
        <v>Neutral</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184</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104.63168558326295</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8</v>
      </c>
      <c r="R144" t="str">
        <f t="shared" si="54"/>
        <v>Support</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7</v>
      </c>
      <c r="V144">
        <f>step3_validation[[#This Row],[AI_ENF2]]</f>
        <v>9</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8</v>
      </c>
      <c r="AA144">
        <f>step3_validation[[#This Row],[AI_FAC1]]</f>
        <v>7</v>
      </c>
      <c r="AB144" t="str">
        <f t="shared" si="60"/>
        <v>Neutral</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8</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0</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7</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6</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2</v>
      </c>
      <c r="BE144">
        <f>step3_validation[[#This Row],[AI_OUT1]]</f>
        <v>7</v>
      </c>
      <c r="BF144" t="str">
        <f t="shared" si="78"/>
        <v>Neutral</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185</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52.611140065117709</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6</v>
      </c>
      <c r="W145" t="str">
        <f t="shared" si="57"/>
        <v>Neutral</v>
      </c>
      <c r="X145">
        <f>survey_responses[[#This Row],[Tôi tin rằng Nhà nước, cơ quan thuế có đủ khả năng và công nghệ để phát hiện, xử lý nghiêm các hành vi trốn thuế. - HUMAN-ENF2]]</f>
        <v>9</v>
      </c>
      <c r="Y145" t="str">
        <f t="shared" si="58"/>
        <v>Support</v>
      </c>
      <c r="Z145" s="32">
        <f t="shared" si="59"/>
        <v>3</v>
      </c>
      <c r="AA145">
        <f>step3_validation[[#This Row],[AI_FAC1]]</f>
        <v>8</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1</v>
      </c>
      <c r="AF145">
        <f>step3_validation[[#This Row],[AI_FAC2]]</f>
        <v>4</v>
      </c>
      <c r="AG145" t="str">
        <f t="shared" si="63"/>
        <v>Oppose</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5</v>
      </c>
      <c r="AK145">
        <f>step3_validation[[#This Row],[AI_TRU1]]</f>
        <v>8</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2</v>
      </c>
      <c r="AP145">
        <f>step3_validation[[#This Row],[AI_TRU2]]</f>
        <v>3</v>
      </c>
      <c r="AQ145" t="str">
        <f t="shared" si="69"/>
        <v>Oppose</v>
      </c>
      <c r="AR145">
        <f>survey_responses[[#This Row],[Tôi thấy mức thuế tôi phải đóng theo phương án mới là công bằng (người thu nhập như tôi đóng mức này là hợp lý). - HUMAN-TRU2]]</f>
        <v>5</v>
      </c>
      <c r="AS145" t="str">
        <f t="shared" si="70"/>
        <v>Neutral</v>
      </c>
      <c r="AT145" s="32">
        <f t="shared" si="71"/>
        <v>2</v>
      </c>
      <c r="AU145">
        <f>step3_validation[[#This Row],[AI_TRU3]]</f>
        <v>6</v>
      </c>
      <c r="AV145" t="str">
        <f t="shared" si="72"/>
        <v>Neutral</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3</v>
      </c>
      <c r="AZ145">
        <f>step3_validation[[#This Row],[AI_TRU4]]</f>
        <v>5</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4</v>
      </c>
      <c r="BE145">
        <f>step3_validation[[#This Row],[AI_OUT1]]</f>
        <v>7</v>
      </c>
      <c r="BF145" t="str">
        <f t="shared" si="78"/>
        <v>Neutral</v>
      </c>
      <c r="BG145">
        <f>survey_responses[[#This Row],[Sau khi xem xét các quyền lợi và nghĩa vụ, bạn có ủng hộ và tuân thủ chính sách mới hiện nay? - HUMAN-OUT1]]</f>
        <v>10</v>
      </c>
      <c r="BH145" t="str">
        <f t="shared" si="79"/>
        <v>Support</v>
      </c>
      <c r="BI145" s="32">
        <f t="shared" si="80"/>
        <v>3</v>
      </c>
    </row>
    <row r="146" spans="1:61" x14ac:dyDescent="0.45">
      <c r="A146" s="30">
        <f>step3_validation[[#This Row],[Persona_ID]]</f>
        <v>145</v>
      </c>
      <c r="B146" s="31">
        <f>step3_validation[[#This Row],[Used_Seed]]</f>
        <v>186</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59.492343091450792</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3</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8</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1</v>
      </c>
      <c r="AF146">
        <f>step3_validation[[#This Row],[AI_FAC2]]</f>
        <v>9</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3</v>
      </c>
      <c r="AK146">
        <f>step3_validation[[#This Row],[AI_TRU1]]</f>
        <v>7</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1</v>
      </c>
      <c r="AP146">
        <f>step3_validation[[#This Row],[AI_TRU2]]</f>
        <v>6</v>
      </c>
      <c r="AQ146" t="str">
        <f t="shared" si="69"/>
        <v>Neutral</v>
      </c>
      <c r="AR146">
        <f>survey_responses[[#This Row],[Tôi thấy mức thuế tôi phải đóng theo phương án mới là công bằng (người thu nhập như tôi đóng mức này là hợp lý). - HUMAN-TRU2]]</f>
        <v>3</v>
      </c>
      <c r="AS146" t="str">
        <f t="shared" si="70"/>
        <v>Oppose</v>
      </c>
      <c r="AT146" s="32">
        <f t="shared" si="71"/>
        <v>3</v>
      </c>
      <c r="AU146">
        <f>step3_validation[[#This Row],[AI_TRU3]]</f>
        <v>5</v>
      </c>
      <c r="AV146" t="str">
        <f t="shared" si="72"/>
        <v>Neutral</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0</v>
      </c>
      <c r="AZ146">
        <f>step3_validation[[#This Row],[AI_TRU4]]</f>
        <v>6</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1</v>
      </c>
      <c r="BE146">
        <f>step3_validation[[#This Row],[AI_OUT1]]</f>
        <v>7</v>
      </c>
      <c r="BF146" t="str">
        <f t="shared" si="78"/>
        <v>Neutral</v>
      </c>
      <c r="BG146">
        <f>survey_responses[[#This Row],[Sau khi xem xét các quyền lợi và nghĩa vụ, bạn có ủng hộ và tuân thủ chính sách mới hiện nay? - HUMAN-OUT1]]</f>
        <v>1</v>
      </c>
      <c r="BH146" t="str">
        <f t="shared" si="79"/>
        <v>Oppose</v>
      </c>
      <c r="BI146" s="32">
        <f t="shared" si="80"/>
        <v>6</v>
      </c>
    </row>
    <row r="147" spans="1:61" x14ac:dyDescent="0.45">
      <c r="A147" s="30">
        <f>step3_validation[[#This Row],[Persona_ID]]</f>
        <v>146</v>
      </c>
      <c r="B147" s="31">
        <f>step3_validation[[#This Row],[Used_Seed]]</f>
        <v>187</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77.880384932686624</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1</v>
      </c>
      <c r="V147">
        <f>step3_validation[[#This Row],[AI_ENF2]]</f>
        <v>8</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0</v>
      </c>
      <c r="AA147">
        <f>step3_validation[[#This Row],[AI_FAC1]]</f>
        <v>6</v>
      </c>
      <c r="AB147" t="str">
        <f t="shared" si="60"/>
        <v>Neutral</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1</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7</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2</v>
      </c>
      <c r="AP147">
        <f>step3_validation[[#This Row],[AI_TRU2]]</f>
        <v>8</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5</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2</v>
      </c>
      <c r="AZ147">
        <f>step3_validation[[#This Row],[AI_TRU4]]</f>
        <v>6</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1</v>
      </c>
      <c r="BE147">
        <f>step3_validation[[#This Row],[AI_OUT1]]</f>
        <v>5</v>
      </c>
      <c r="BF147" t="str">
        <f t="shared" si="78"/>
        <v>Neutral</v>
      </c>
      <c r="BG147">
        <f>survey_responses[[#This Row],[Sau khi xem xét các quyền lợi và nghĩa vụ, bạn có ủng hộ và tuân thủ chính sách mới hiện nay? - HUMAN-OUT1]]</f>
        <v>5</v>
      </c>
      <c r="BH147" t="str">
        <f t="shared" si="79"/>
        <v>Neutral</v>
      </c>
      <c r="BI147" s="32">
        <f t="shared" si="80"/>
        <v>0</v>
      </c>
    </row>
    <row r="148" spans="1:61" x14ac:dyDescent="0.45">
      <c r="A148" s="30">
        <f>step3_validation[[#This Row],[Persona_ID]]</f>
        <v>147</v>
      </c>
      <c r="B148" s="31">
        <f>step3_validation[[#This Row],[Used_Seed]]</f>
        <v>188</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116.22442433499765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6</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1</v>
      </c>
      <c r="V148">
        <f>step3_validation[[#This Row],[AI_ENF2]]</f>
        <v>7</v>
      </c>
      <c r="W148" t="str">
        <f t="shared" si="57"/>
        <v>Neutral</v>
      </c>
      <c r="X148">
        <f>survey_responses[[#This Row],[Tôi tin rằng Nhà nước, cơ quan thuế có đủ khả năng và công nghệ để phát hiện, xử lý nghiêm các hành vi trốn thuế. - HUMAN-ENF2]]</f>
        <v>7</v>
      </c>
      <c r="Y148" t="str">
        <f t="shared" si="58"/>
        <v>Neutral</v>
      </c>
      <c r="Z148" s="32">
        <f t="shared" si="59"/>
        <v>0</v>
      </c>
      <c r="AA148">
        <f>step3_validation[[#This Row],[AI_FAC1]]</f>
        <v>8</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7</v>
      </c>
      <c r="AF148">
        <f>step3_validation[[#This Row],[AI_FAC2]]</f>
        <v>9</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3</v>
      </c>
      <c r="AK148">
        <f>step3_validation[[#This Row],[AI_TRU1]]</f>
        <v>7</v>
      </c>
      <c r="AL148" t="str">
        <f t="shared" si="66"/>
        <v>Neutral</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4</v>
      </c>
      <c r="AP148">
        <f>step3_validation[[#This Row],[AI_TRU2]]</f>
        <v>8</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3</v>
      </c>
      <c r="AU148">
        <f>step3_validation[[#This Row],[AI_TRU3]]</f>
        <v>7</v>
      </c>
      <c r="AV148" t="str">
        <f t="shared" si="72"/>
        <v>Neutral</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6</v>
      </c>
      <c r="AZ148">
        <f>step3_validation[[#This Row],[AI_TRU4]]</f>
        <v>6</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2</v>
      </c>
      <c r="BE148">
        <f>step3_validation[[#This Row],[AI_OUT1]]</f>
        <v>8</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3</v>
      </c>
    </row>
    <row r="149" spans="1:61" x14ac:dyDescent="0.45">
      <c r="A149" s="30">
        <f>step3_validation[[#This Row],[Persona_ID]]</f>
        <v>148</v>
      </c>
      <c r="B149" s="31">
        <f>step3_validation[[#This Row],[Used_Seed]]</f>
        <v>189</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19.947453204914154</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6</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0</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4</v>
      </c>
      <c r="AF149">
        <f>step3_validation[[#This Row],[AI_FAC2]]</f>
        <v>8</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1</v>
      </c>
      <c r="AK149">
        <f>step3_validation[[#This Row],[AI_TRU1]]</f>
        <v>6</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1</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7</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2</v>
      </c>
      <c r="AZ149">
        <f>step3_validation[[#This Row],[AI_TRU4]]</f>
        <v>5</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7</v>
      </c>
      <c r="BF149" t="str">
        <f t="shared" si="78"/>
        <v>Neutral</v>
      </c>
      <c r="BG149">
        <f>survey_responses[[#This Row],[Sau khi xem xét các quyền lợi và nghĩa vụ, bạn có ủng hộ và tuân thủ chính sách mới hiện nay? - HUMAN-OUT1]]</f>
        <v>7</v>
      </c>
      <c r="BH149" t="str">
        <f t="shared" si="79"/>
        <v>Neutral</v>
      </c>
      <c r="BI149" s="32">
        <f t="shared" si="80"/>
        <v>0</v>
      </c>
    </row>
    <row r="150" spans="1:61" x14ac:dyDescent="0.45">
      <c r="A150" s="30">
        <f>step3_validation[[#This Row],[Persona_ID]]</f>
        <v>149</v>
      </c>
      <c r="B150" s="31">
        <f>step3_validation[[#This Row],[Used_Seed]]</f>
        <v>190</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180.68332892577266</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4</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3</v>
      </c>
      <c r="AA150">
        <f>step3_validation[[#This Row],[AI_FAC1]]</f>
        <v>8</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1</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8</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0</v>
      </c>
      <c r="AP150">
        <f>step3_validation[[#This Row],[AI_TRU2]]</f>
        <v>7</v>
      </c>
      <c r="AQ150" t="str">
        <f t="shared" si="69"/>
        <v>Neutral</v>
      </c>
      <c r="AR150">
        <f>survey_responses[[#This Row],[Tôi thấy mức thuế tôi phải đóng theo phương án mới là công bằng (người thu nhập như tôi đóng mức này là hợp lý). - HUMAN-TRU2]]</f>
        <v>4</v>
      </c>
      <c r="AS150" t="str">
        <f t="shared" si="70"/>
        <v>Oppose</v>
      </c>
      <c r="AT150" s="32">
        <f t="shared" si="71"/>
        <v>3</v>
      </c>
      <c r="AU150">
        <f>step3_validation[[#This Row],[AI_TRU3]]</f>
        <v>8</v>
      </c>
      <c r="AV150" t="str">
        <f t="shared" si="72"/>
        <v>Support</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7</v>
      </c>
      <c r="AZ150">
        <f>step3_validation[[#This Row],[AI_TRU4]]</f>
        <v>5</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2</v>
      </c>
      <c r="BE150">
        <f>step3_validation[[#This Row],[AI_OUT1]]</f>
        <v>7</v>
      </c>
      <c r="BF150" t="str">
        <f t="shared" si="78"/>
        <v>Neutral</v>
      </c>
      <c r="BG150">
        <f>survey_responses[[#This Row],[Sau khi xem xét các quyền lợi và nghĩa vụ, bạn có ủng hộ và tuân thủ chính sách mới hiện nay? - HUMAN-OUT1]]</f>
        <v>6</v>
      </c>
      <c r="BH150" t="str">
        <f t="shared" si="79"/>
        <v>Neutral</v>
      </c>
      <c r="BI150" s="32">
        <f t="shared" si="80"/>
        <v>1</v>
      </c>
    </row>
    <row r="151" spans="1:61" x14ac:dyDescent="0.45">
      <c r="A151" s="30">
        <f>step3_validation[[#This Row],[Persona_ID]]</f>
        <v>150</v>
      </c>
      <c r="B151" s="31">
        <f>step3_validation[[#This Row],[Used_Seed]]</f>
        <v>191</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68.424416201008498</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0</v>
      </c>
      <c r="V151">
        <f>step3_validation[[#This Row],[AI_ENF2]]</f>
        <v>6</v>
      </c>
      <c r="W151" t="str">
        <f t="shared" si="57"/>
        <v>Neutral</v>
      </c>
      <c r="X151">
        <f>survey_responses[[#This Row],[Tôi tin rằng Nhà nước, cơ quan thuế có đủ khả năng và công nghệ để phát hiện, xử lý nghiêm các hành vi trốn thuế. - HUMAN-ENF2]]</f>
        <v>10</v>
      </c>
      <c r="Y151" t="str">
        <f t="shared" si="58"/>
        <v>Support</v>
      </c>
      <c r="Z151" s="32">
        <f t="shared" si="59"/>
        <v>4</v>
      </c>
      <c r="AA151">
        <f>step3_validation[[#This Row],[AI_FAC1]]</f>
        <v>8</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3</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5</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2</v>
      </c>
      <c r="AP151">
        <f>step3_validation[[#This Row],[AI_TRU2]]</f>
        <v>6</v>
      </c>
      <c r="AQ151" t="str">
        <f t="shared" si="69"/>
        <v>Neutral</v>
      </c>
      <c r="AR151">
        <f>survey_responses[[#This Row],[Tôi thấy mức thuế tôi phải đóng theo phương án mới là công bằng (người thu nhập như tôi đóng mức này là hợp lý). - HUMAN-TRU2]]</f>
        <v>7</v>
      </c>
      <c r="AS151" t="str">
        <f t="shared" si="70"/>
        <v>Neutral</v>
      </c>
      <c r="AT151" s="32">
        <f t="shared" si="71"/>
        <v>1</v>
      </c>
      <c r="AU151">
        <f>step3_validation[[#This Row],[AI_TRU3]]</f>
        <v>4</v>
      </c>
      <c r="AV151" t="str">
        <f t="shared" si="72"/>
        <v>Oppose</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3</v>
      </c>
      <c r="AZ151">
        <f>step3_validation[[#This Row],[AI_TRU4]]</f>
        <v>5</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2</v>
      </c>
      <c r="BE151">
        <f>step3_validation[[#This Row],[AI_OUT1]]</f>
        <v>8</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2</v>
      </c>
    </row>
    <row r="152" spans="1:61" x14ac:dyDescent="0.45">
      <c r="A152" s="30">
        <f>step3_validation[[#This Row],[Persona_ID]]</f>
        <v>151</v>
      </c>
      <c r="B152" s="31">
        <f>step3_validation[[#This Row],[Used_Seed]]</f>
        <v>192</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90.430353795541563</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t="str">
        <f t="shared" si="54"/>
        <v>Neutral</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7</v>
      </c>
      <c r="W152" t="str">
        <f t="shared" si="57"/>
        <v>Neutral</v>
      </c>
      <c r="X152">
        <f>survey_responses[[#This Row],[Tôi tin rằng Nhà nước, cơ quan thuế có đủ khả năng và công nghệ để phát hiện, xử lý nghiêm các hành vi trốn thuế. - HUMAN-ENF2]]</f>
        <v>8</v>
      </c>
      <c r="Y152" t="str">
        <f t="shared" si="58"/>
        <v>Support</v>
      </c>
      <c r="Z152" s="32">
        <f t="shared" si="59"/>
        <v>1</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6</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2</v>
      </c>
      <c r="AP152">
        <f>step3_validation[[#This Row],[AI_TRU2]]</f>
        <v>7</v>
      </c>
      <c r="AQ152" t="str">
        <f t="shared" si="69"/>
        <v>Neutral</v>
      </c>
      <c r="AR152">
        <f>survey_responses[[#This Row],[Tôi thấy mức thuế tôi phải đóng theo phương án mới là công bằng (người thu nhập như tôi đóng mức này là hợp lý). - HUMAN-TRU2]]</f>
        <v>8</v>
      </c>
      <c r="AS152" t="str">
        <f t="shared" si="70"/>
        <v>Support</v>
      </c>
      <c r="AT152" s="32">
        <f t="shared" si="71"/>
        <v>1</v>
      </c>
      <c r="AU152">
        <f>step3_validation[[#This Row],[AI_TRU3]]</f>
        <v>6</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2</v>
      </c>
      <c r="AZ152">
        <f>step3_validation[[#This Row],[AI_TRU4]]</f>
        <v>7</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8</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0</v>
      </c>
    </row>
    <row r="153" spans="1:61" x14ac:dyDescent="0.45">
      <c r="A153" s="30">
        <f>step3_validation[[#This Row],[Persona_ID]]</f>
        <v>152</v>
      </c>
      <c r="B153" s="31">
        <f>step3_validation[[#This Row],[Used_Seed]]</f>
        <v>193</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85.686306746119271</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8</v>
      </c>
      <c r="R153" t="str">
        <f t="shared" si="54"/>
        <v>Support</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2</v>
      </c>
      <c r="V153">
        <f>step3_validation[[#This Row],[AI_ENF2]]</f>
        <v>7</v>
      </c>
      <c r="W153" t="str">
        <f t="shared" si="57"/>
        <v>Neutral</v>
      </c>
      <c r="X153">
        <f>survey_responses[[#This Row],[Tôi tin rằng Nhà nước, cơ quan thuế có đủ khả năng và công nghệ để phát hiện, xử lý nghiêm các hành vi trốn thuế. - HUMAN-ENF2]]</f>
        <v>10</v>
      </c>
      <c r="Y153" t="str">
        <f t="shared" si="58"/>
        <v>Support</v>
      </c>
      <c r="Z153" s="32">
        <f t="shared" si="59"/>
        <v>3</v>
      </c>
      <c r="AA153">
        <f>step3_validation[[#This Row],[AI_FAC1]]</f>
        <v>9</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1</v>
      </c>
      <c r="AF153">
        <f>step3_validation[[#This Row],[AI_FAC2]]</f>
        <v>8</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2</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8</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2</v>
      </c>
      <c r="AU153">
        <f>step3_validation[[#This Row],[AI_TRU3]]</f>
        <v>7</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3</v>
      </c>
      <c r="AZ153">
        <f>step3_validation[[#This Row],[AI_TRU4]]</f>
        <v>6</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4</v>
      </c>
      <c r="BE153">
        <f>step3_validation[[#This Row],[AI_OUT1]]</f>
        <v>8</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2</v>
      </c>
    </row>
    <row r="154" spans="1:61" x14ac:dyDescent="0.45">
      <c r="A154" s="30">
        <f>step3_validation[[#This Row],[Persona_ID]]</f>
        <v>153</v>
      </c>
      <c r="B154" s="31">
        <f>step3_validation[[#This Row],[Used_Seed]]</f>
        <v>194</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6</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1</v>
      </c>
      <c r="V154">
        <f>step3_validation[[#This Row],[AI_ENF2]]</f>
        <v>8</v>
      </c>
      <c r="W154" t="str">
        <f t="shared" si="57"/>
        <v>Support</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7</v>
      </c>
      <c r="AB154" t="str">
        <f t="shared" si="60"/>
        <v>Neutral</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2</v>
      </c>
      <c r="AF154">
        <f>step3_validation[[#This Row],[AI_FAC2]]</f>
        <v>5</v>
      </c>
      <c r="AG154" t="str">
        <f t="shared" si="63"/>
        <v>Neutral</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2</v>
      </c>
      <c r="AK154">
        <f>step3_validation[[#This Row],[AI_TRU1]]</f>
        <v>4</v>
      </c>
      <c r="AL154" t="str">
        <f t="shared" si="66"/>
        <v>Oppose</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3</v>
      </c>
      <c r="AP154">
        <f>step3_validation[[#This Row],[AI_TRU2]]</f>
        <v>6</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1</v>
      </c>
      <c r="AU154">
        <f>step3_validation[[#This Row],[AI_TRU3]]</f>
        <v>7</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0</v>
      </c>
      <c r="AZ154">
        <f>step3_validation[[#This Row],[AI_TRU4]]</f>
        <v>5</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2</v>
      </c>
      <c r="BE154">
        <f>step3_validation[[#This Row],[AI_OUT1]]</f>
        <v>3</v>
      </c>
      <c r="BF154" t="str">
        <f t="shared" si="78"/>
        <v>Oppose</v>
      </c>
      <c r="BG154">
        <f>survey_responses[[#This Row],[Sau khi xem xét các quyền lợi và nghĩa vụ, bạn có ủng hộ và tuân thủ chính sách mới hiện nay? - HUMAN-OUT1]]</f>
        <v>7</v>
      </c>
      <c r="BH154" t="str">
        <f t="shared" si="79"/>
        <v>Neutral</v>
      </c>
      <c r="BI154" s="32">
        <f t="shared" si="80"/>
        <v>4</v>
      </c>
    </row>
    <row r="155" spans="1:61" x14ac:dyDescent="0.45">
      <c r="A155" s="30">
        <f>step3_validation[[#This Row],[Persona_ID]]</f>
        <v>154</v>
      </c>
      <c r="B155" s="31">
        <f>step3_validation[[#This Row],[Used_Seed]]</f>
        <v>195</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7</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0</v>
      </c>
      <c r="V155">
        <f>step3_validation[[#This Row],[AI_ENF2]]</f>
        <v>6</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2</v>
      </c>
      <c r="AA155">
        <f>step3_validation[[#This Row],[AI_FAC1]]</f>
        <v>8</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0</v>
      </c>
      <c r="AF155">
        <f>step3_validation[[#This Row],[AI_FAC2]]</f>
        <v>9</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1</v>
      </c>
      <c r="AK155">
        <f>step3_validation[[#This Row],[AI_TRU1]]</f>
        <v>8</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2</v>
      </c>
      <c r="AP155">
        <f>step3_validation[[#This Row],[AI_TRU2]]</f>
        <v>7</v>
      </c>
      <c r="AQ155" t="str">
        <f t="shared" si="69"/>
        <v>Neutral</v>
      </c>
      <c r="AR155">
        <f>survey_responses[[#This Row],[Tôi thấy mức thuế tôi phải đóng theo phương án mới là công bằng (người thu nhập như tôi đóng mức này là hợp lý). - HUMAN-TRU2]]</f>
        <v>8</v>
      </c>
      <c r="AS155" t="str">
        <f t="shared" si="70"/>
        <v>Support</v>
      </c>
      <c r="AT155" s="32">
        <f t="shared" si="71"/>
        <v>1</v>
      </c>
      <c r="AU155">
        <f>step3_validation[[#This Row],[AI_TRU3]]</f>
        <v>8</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3</v>
      </c>
      <c r="AZ155">
        <f>step3_validation[[#This Row],[AI_TRU4]]</f>
        <v>6</v>
      </c>
      <c r="BA155" t="str">
        <f t="shared" si="75"/>
        <v>Neutral</v>
      </c>
      <c r="BB155">
        <f>survey_responses[[#This Row],[Tôi thấy Nhà nước đã giải thích rõ ràng, minh bạch về lý do và mục tiêu của việc sửa đổi thuế lần này. - HUMAN-TRU4]]</f>
        <v>8</v>
      </c>
      <c r="BC155" t="str">
        <f t="shared" si="76"/>
        <v>Support</v>
      </c>
      <c r="BD155" s="32">
        <f t="shared" si="77"/>
        <v>2</v>
      </c>
      <c r="BE155">
        <f>step3_validation[[#This Row],[AI_OUT1]]</f>
        <v>8</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0</v>
      </c>
    </row>
    <row r="156" spans="1:61" x14ac:dyDescent="0.45">
      <c r="A156" s="30">
        <f>step3_validation[[#This Row],[Persona_ID]]</f>
        <v>155</v>
      </c>
      <c r="B156" s="31">
        <f>step3_validation[[#This Row],[Used_Seed]]</f>
        <v>196</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66.522883777596462</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6</v>
      </c>
      <c r="AB156" t="str">
        <f t="shared" si="60"/>
        <v>Neutral</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4</v>
      </c>
      <c r="AF156">
        <f>step3_validation[[#This Row],[AI_FAC2]]</f>
        <v>7</v>
      </c>
      <c r="AG156" t="str">
        <f t="shared" si="63"/>
        <v>Neutral</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3</v>
      </c>
      <c r="AK156">
        <f>step3_validation[[#This Row],[AI_TRU1]]</f>
        <v>8</v>
      </c>
      <c r="AL156" t="str">
        <f t="shared" si="66"/>
        <v>Support</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2</v>
      </c>
      <c r="AP156">
        <f>step3_validation[[#This Row],[AI_TRU2]]</f>
        <v>7</v>
      </c>
      <c r="AQ156" t="str">
        <f t="shared" si="69"/>
        <v>Neutral</v>
      </c>
      <c r="AR156">
        <f>survey_responses[[#This Row],[Tôi thấy mức thuế tôi phải đóng theo phương án mới là công bằng (người thu nhập như tôi đóng mức này là hợp lý). - HUMAN-TRU2]]</f>
        <v>10</v>
      </c>
      <c r="AS156" t="str">
        <f t="shared" si="70"/>
        <v>Support</v>
      </c>
      <c r="AT156" s="32">
        <f t="shared" si="71"/>
        <v>3</v>
      </c>
      <c r="AU156">
        <f>step3_validation[[#This Row],[AI_TRU3]]</f>
        <v>6</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4</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8</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2</v>
      </c>
    </row>
    <row r="157" spans="1:61" x14ac:dyDescent="0.45">
      <c r="A157" s="30">
        <f>step3_validation[[#This Row],[Persona_ID]]</f>
        <v>156</v>
      </c>
      <c r="B157" s="31">
        <f>step3_validation[[#This Row],[Used_Seed]]</f>
        <v>197</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30.476529106377374</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5</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5</v>
      </c>
      <c r="V157">
        <f>step3_validation[[#This Row],[AI_ENF2]]</f>
        <v>6</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2">
        <f t="shared" si="59"/>
        <v>4</v>
      </c>
      <c r="AA157">
        <f>step3_validation[[#This Row],[AI_FAC1]]</f>
        <v>8</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2</v>
      </c>
      <c r="AF157">
        <f>step3_validation[[#This Row],[AI_FAC2]]</f>
        <v>9</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1</v>
      </c>
      <c r="AK157">
        <f>step3_validation[[#This Row],[AI_TRU1]]</f>
        <v>7</v>
      </c>
      <c r="AL157" t="str">
        <f t="shared" si="66"/>
        <v>Neutral</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3</v>
      </c>
      <c r="AP157">
        <f>step3_validation[[#This Row],[AI_TRU2]]</f>
        <v>8</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2</v>
      </c>
      <c r="AU157">
        <f>step3_validation[[#This Row],[AI_TRU3]]</f>
        <v>7</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3</v>
      </c>
      <c r="AZ157">
        <f>step3_validation[[#This Row],[AI_TRU4]]</f>
        <v>6</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4</v>
      </c>
      <c r="BE157">
        <f>step3_validation[[#This Row],[AI_OUT1]]</f>
        <v>7</v>
      </c>
      <c r="BF157" t="str">
        <f t="shared" si="78"/>
        <v>Neutral</v>
      </c>
      <c r="BG157">
        <f>survey_responses[[#This Row],[Sau khi xem xét các quyền lợi và nghĩa vụ, bạn có ủng hộ và tuân thủ chính sách mới hiện nay? - HUMAN-OUT1]]</f>
        <v>10</v>
      </c>
      <c r="BH157" t="str">
        <f t="shared" si="79"/>
        <v>Support</v>
      </c>
      <c r="BI157" s="32">
        <f t="shared" si="80"/>
        <v>3</v>
      </c>
    </row>
    <row r="158" spans="1:61" x14ac:dyDescent="0.45">
      <c r="A158" s="30">
        <f>step3_validation[[#This Row],[Persona_ID]]</f>
        <v>157</v>
      </c>
      <c r="B158" s="31">
        <f>step3_validation[[#This Row],[Used_Seed]]</f>
        <v>198</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94.756164046569822</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4</v>
      </c>
      <c r="R158" t="str">
        <f t="shared" si="54"/>
        <v>Oppose</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6</v>
      </c>
      <c r="V158">
        <f>step3_validation[[#This Row],[AI_ENF2]]</f>
        <v>5</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5</v>
      </c>
      <c r="AA158">
        <f>step3_validation[[#This Row],[AI_FAC1]]</f>
        <v>7</v>
      </c>
      <c r="AB158" t="str">
        <f t="shared" si="60"/>
        <v>Neutral</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6</v>
      </c>
      <c r="AF158">
        <f>step3_validation[[#This Row],[AI_FAC2]]</f>
        <v>6</v>
      </c>
      <c r="AG158" t="str">
        <f t="shared" si="63"/>
        <v>Neutral</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4</v>
      </c>
      <c r="AK158">
        <f>step3_validation[[#This Row],[AI_TRU1]]</f>
        <v>4</v>
      </c>
      <c r="AL158" t="str">
        <f t="shared" si="66"/>
        <v>Oppose</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3</v>
      </c>
      <c r="AP158">
        <f>step3_validation[[#This Row],[AI_TRU2]]</f>
        <v>5</v>
      </c>
      <c r="AQ158" t="str">
        <f t="shared" si="69"/>
        <v>Neutral</v>
      </c>
      <c r="AR158">
        <f>survey_responses[[#This Row],[Tôi thấy mức thuế tôi phải đóng theo phương án mới là công bằng (người thu nhập như tôi đóng mức này là hợp lý). - HUMAN-TRU2]]</f>
        <v>1</v>
      </c>
      <c r="AS158" t="str">
        <f t="shared" si="70"/>
        <v>Oppose</v>
      </c>
      <c r="AT158" s="32">
        <f t="shared" si="71"/>
        <v>4</v>
      </c>
      <c r="AU158">
        <f>step3_validation[[#This Row],[AI_TRU3]]</f>
        <v>4</v>
      </c>
      <c r="AV158" t="str">
        <f t="shared" si="72"/>
        <v>Oppose</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3</v>
      </c>
      <c r="AZ158">
        <f>step3_validation[[#This Row],[AI_TRU4]]</f>
        <v>5</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4</v>
      </c>
      <c r="BE158">
        <f>step3_validation[[#This Row],[AI_OUT1]]</f>
        <v>6</v>
      </c>
      <c r="BF158" t="str">
        <f t="shared" si="78"/>
        <v>Neutral</v>
      </c>
      <c r="BG158">
        <f>survey_responses[[#This Row],[Sau khi xem xét các quyền lợi và nghĩa vụ, bạn có ủng hộ và tuân thủ chính sách mới hiện nay? - HUMAN-OUT1]]</f>
        <v>6</v>
      </c>
      <c r="BH158" t="str">
        <f t="shared" si="79"/>
        <v>Neutral</v>
      </c>
      <c r="BI158" s="32">
        <f t="shared" si="80"/>
        <v>0</v>
      </c>
    </row>
    <row r="159" spans="1:61" x14ac:dyDescent="0.45">
      <c r="A159" s="30">
        <f>step3_validation[[#This Row],[Persona_ID]]</f>
        <v>158</v>
      </c>
      <c r="B159" s="31">
        <f>step3_validation[[#This Row],[Used_Seed]]</f>
        <v>199</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90.892097371673231</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0</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0</v>
      </c>
      <c r="AA159">
        <f>step3_validation[[#This Row],[AI_FAC1]]</f>
        <v>5</v>
      </c>
      <c r="AB159" t="str">
        <f t="shared" si="60"/>
        <v>Neutral</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1</v>
      </c>
      <c r="AF159">
        <f>step3_validation[[#This Row],[AI_FAC2]]</f>
        <v>6</v>
      </c>
      <c r="AG159" t="str">
        <f t="shared" si="63"/>
        <v>Neutral</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0</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6</v>
      </c>
      <c r="AQ159" t="str">
        <f t="shared" si="69"/>
        <v>Neutral</v>
      </c>
      <c r="AR159">
        <f>survey_responses[[#This Row],[Tôi thấy mức thuế tôi phải đóng theo phương án mới là công bằng (người thu nhập như tôi đóng mức này là hợp lý). - HUMAN-TRU2]]</f>
        <v>5</v>
      </c>
      <c r="AS159" t="str">
        <f t="shared" si="70"/>
        <v>Neutral</v>
      </c>
      <c r="AT159" s="32">
        <f t="shared" si="71"/>
        <v>1</v>
      </c>
      <c r="AU159">
        <f>step3_validation[[#This Row],[AI_TRU3]]</f>
        <v>7</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1</v>
      </c>
      <c r="AZ159">
        <f>step3_validation[[#This Row],[AI_TRU4]]</f>
        <v>5</v>
      </c>
      <c r="BA159" t="str">
        <f t="shared" si="75"/>
        <v>Neutral</v>
      </c>
      <c r="BB159">
        <f>survey_responses[[#This Row],[Tôi thấy Nhà nước đã giải thích rõ ràng, minh bạch về lý do và mục tiêu của việc sửa đổi thuế lần này. - HUMAN-TRU4]]</f>
        <v>7</v>
      </c>
      <c r="BC159" t="str">
        <f t="shared" si="76"/>
        <v>Neutral</v>
      </c>
      <c r="BD159" s="32">
        <f t="shared" si="77"/>
        <v>2</v>
      </c>
      <c r="BE159">
        <f>step3_validation[[#This Row],[AI_OUT1]]</f>
        <v>4</v>
      </c>
      <c r="BF159" t="str">
        <f t="shared" si="78"/>
        <v>Oppose</v>
      </c>
      <c r="BG159">
        <f>survey_responses[[#This Row],[Sau khi xem xét các quyền lợi và nghĩa vụ, bạn có ủng hộ và tuân thủ chính sách mới hiện nay? - HUMAN-OUT1]]</f>
        <v>7</v>
      </c>
      <c r="BH159" t="str">
        <f t="shared" si="79"/>
        <v>Neutral</v>
      </c>
      <c r="BI159" s="32">
        <f t="shared" si="80"/>
        <v>3</v>
      </c>
    </row>
    <row r="160" spans="1:61" x14ac:dyDescent="0.45">
      <c r="A160" s="30">
        <f>step3_validation[[#This Row],[Persona_ID]]</f>
        <v>159</v>
      </c>
      <c r="B160" s="31">
        <f>step3_validation[[#This Row],[Used_Seed]]</f>
        <v>200</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41.702512155187073</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7</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5</v>
      </c>
      <c r="V160">
        <f>step3_validation[[#This Row],[AI_ENF2]]</f>
        <v>8</v>
      </c>
      <c r="W160" t="str">
        <f t="shared" si="57"/>
        <v>Support</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9</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1</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7</v>
      </c>
      <c r="AL160" t="str">
        <f t="shared" si="66"/>
        <v>Neutral</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3</v>
      </c>
      <c r="AP160">
        <f>step3_validation[[#This Row],[AI_TRU2]]</f>
        <v>6</v>
      </c>
      <c r="AQ160" t="str">
        <f t="shared" si="69"/>
        <v>Neutral</v>
      </c>
      <c r="AR160">
        <f>survey_responses[[#This Row],[Tôi thấy mức thuế tôi phải đóng theo phương án mới là công bằng (người thu nhập như tôi đóng mức này là hợp lý). - HUMAN-TRU2]]</f>
        <v>5</v>
      </c>
      <c r="AS160" t="str">
        <f t="shared" si="70"/>
        <v>Neutral</v>
      </c>
      <c r="AT160" s="32">
        <f t="shared" si="71"/>
        <v>1</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3</v>
      </c>
      <c r="AZ160">
        <f>step3_validation[[#This Row],[AI_TRU4]]</f>
        <v>6</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2">
        <f t="shared" si="77"/>
        <v>3</v>
      </c>
      <c r="BE160">
        <f>step3_validation[[#This Row],[AI_OUT1]]</f>
        <v>7</v>
      </c>
      <c r="BF160" t="str">
        <f t="shared" si="78"/>
        <v>Neutral</v>
      </c>
      <c r="BG160">
        <f>survey_responses[[#This Row],[Sau khi xem xét các quyền lợi và nghĩa vụ, bạn có ủng hộ và tuân thủ chính sách mới hiện nay? - HUMAN-OUT1]]</f>
        <v>3</v>
      </c>
      <c r="BH160" t="str">
        <f t="shared" si="79"/>
        <v>Oppose</v>
      </c>
      <c r="BI160" s="32">
        <f t="shared" si="80"/>
        <v>4</v>
      </c>
    </row>
    <row r="161" spans="1:61" x14ac:dyDescent="0.45">
      <c r="A161" s="30">
        <f>step3_validation[[#This Row],[Persona_ID]]</f>
        <v>160</v>
      </c>
      <c r="B161" s="31">
        <f>step3_validation[[#This Row],[Used_Seed]]</f>
        <v>201</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46.861006173187278</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8</v>
      </c>
      <c r="R161" t="str">
        <f t="shared" si="54"/>
        <v>Support</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1</v>
      </c>
      <c r="V161">
        <f>step3_validation[[#This Row],[AI_ENF2]]</f>
        <v>9</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2">
        <f t="shared" si="59"/>
        <v>0</v>
      </c>
      <c r="AA161">
        <f>step3_validation[[#This Row],[AI_FAC1]]</f>
        <v>7</v>
      </c>
      <c r="AB161" t="str">
        <f t="shared" si="60"/>
        <v>Neutral</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3</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8</v>
      </c>
      <c r="AL161" t="str">
        <f t="shared" si="66"/>
        <v>Support</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1</v>
      </c>
      <c r="AP161">
        <f>step3_validation[[#This Row],[AI_TRU2]]</f>
        <v>7</v>
      </c>
      <c r="AQ161" t="str">
        <f t="shared" si="69"/>
        <v>Neutral</v>
      </c>
      <c r="AR161">
        <f>survey_responses[[#This Row],[Tôi thấy mức thuế tôi phải đóng theo phương án mới là công bằng (người thu nhập như tôi đóng mức này là hợp lý). - HUMAN-TRU2]]</f>
        <v>9</v>
      </c>
      <c r="AS161" t="str">
        <f t="shared" si="70"/>
        <v>Support</v>
      </c>
      <c r="AT161" s="32">
        <f t="shared" si="71"/>
        <v>2</v>
      </c>
      <c r="AU161">
        <f>step3_validation[[#This Row],[AI_TRU3]]</f>
        <v>8</v>
      </c>
      <c r="AV161" t="str">
        <f t="shared" si="72"/>
        <v>Support</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2</v>
      </c>
      <c r="AZ161">
        <f>step3_validation[[#This Row],[AI_TRU4]]</f>
        <v>7</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1</v>
      </c>
      <c r="BE161">
        <f>step3_validation[[#This Row],[AI_OUT1]]</f>
        <v>8</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2</v>
      </c>
    </row>
    <row r="162" spans="1:61" x14ac:dyDescent="0.45">
      <c r="A162" s="30">
        <f>step3_validation[[#This Row],[Persona_ID]]</f>
        <v>161</v>
      </c>
      <c r="B162" s="31">
        <f>step3_validation[[#This Row],[Used_Seed]]</f>
        <v>202</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13.731437499618712</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8</v>
      </c>
      <c r="R162" t="str">
        <f t="shared" si="54"/>
        <v>Support</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1</v>
      </c>
      <c r="V162">
        <f>step3_validation[[#This Row],[AI_ENF2]]</f>
        <v>7</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2</v>
      </c>
      <c r="AA162">
        <f>step3_validation[[#This Row],[AI_FAC1]]</f>
        <v>6</v>
      </c>
      <c r="AB162" t="str">
        <f t="shared" si="60"/>
        <v>Neutral</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1</v>
      </c>
      <c r="AF162">
        <f>step3_validation[[#This Row],[AI_FAC2]]</f>
        <v>8</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3</v>
      </c>
      <c r="AK162">
        <f>step3_validation[[#This Row],[AI_TRU1]]</f>
        <v>7</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4</v>
      </c>
      <c r="AP162">
        <f>step3_validation[[#This Row],[AI_TRU2]]</f>
        <v>6</v>
      </c>
      <c r="AQ162" t="str">
        <f t="shared" si="69"/>
        <v>Neutral</v>
      </c>
      <c r="AR162">
        <f>survey_responses[[#This Row],[Tôi thấy mức thuế tôi phải đóng theo phương án mới là công bằng (người thu nhập như tôi đóng mức này là hợp lý). - HUMAN-TRU2]]</f>
        <v>4</v>
      </c>
      <c r="AS162" t="str">
        <f t="shared" si="70"/>
        <v>Oppose</v>
      </c>
      <c r="AT162" s="32">
        <f t="shared" si="71"/>
        <v>2</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6</v>
      </c>
      <c r="BA162" t="str">
        <f t="shared" si="75"/>
        <v>Neutral</v>
      </c>
      <c r="BB162">
        <f>survey_responses[[#This Row],[Tôi thấy Nhà nước đã giải thích rõ ràng, minh bạch về lý do và mục tiêu của việc sửa đổi thuế lần này. - HUMAN-TRU4]]</f>
        <v>5</v>
      </c>
      <c r="BC162" t="str">
        <f t="shared" si="76"/>
        <v>Neutral</v>
      </c>
      <c r="BD162" s="32">
        <f t="shared" si="77"/>
        <v>1</v>
      </c>
      <c r="BE162">
        <f>step3_validation[[#This Row],[AI_OUT1]]</f>
        <v>7</v>
      </c>
      <c r="BF162" t="str">
        <f t="shared" si="78"/>
        <v>Neutral</v>
      </c>
      <c r="BG162">
        <f>survey_responses[[#This Row],[Sau khi xem xét các quyền lợi và nghĩa vụ, bạn có ủng hộ và tuân thủ chính sách mới hiện nay? - HUMAN-OUT1]]</f>
        <v>5</v>
      </c>
      <c r="BH162" t="str">
        <f t="shared" si="79"/>
        <v>Neutral</v>
      </c>
      <c r="BI162" s="32">
        <f t="shared" si="80"/>
        <v>2</v>
      </c>
    </row>
    <row r="163" spans="1:61" x14ac:dyDescent="0.45">
      <c r="A163" s="30">
        <f>step3_validation[[#This Row],[Persona_ID]]</f>
        <v>162</v>
      </c>
      <c r="B163" s="31">
        <f>step3_validation[[#This Row],[Used_Seed]]</f>
        <v>203</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t="str">
        <f t="shared" si="54"/>
        <v>Support</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5</v>
      </c>
      <c r="V163">
        <f>step3_validation[[#This Row],[AI_ENF2]]</f>
        <v>8</v>
      </c>
      <c r="W163" t="str">
        <f t="shared" si="57"/>
        <v>Support</v>
      </c>
      <c r="X163">
        <f>survey_responses[[#This Row],[Tôi tin rằng Nhà nước, cơ quan thuế có đủ khả năng và công nghệ để phát hiện, xử lý nghiêm các hành vi trốn thuế. - HUMAN-ENF2]]</f>
        <v>8</v>
      </c>
      <c r="Y163" t="str">
        <f t="shared" si="58"/>
        <v>Support</v>
      </c>
      <c r="Z163" s="32">
        <f t="shared" si="59"/>
        <v>0</v>
      </c>
      <c r="AA163">
        <f>step3_validation[[#This Row],[AI_FAC1]]</f>
        <v>9</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5</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8</v>
      </c>
      <c r="BA163" t="str">
        <f t="shared" si="75"/>
        <v>Support</v>
      </c>
      <c r="BB163">
        <f>survey_responses[[#This Row],[Tôi thấy Nhà nước đã giải thích rõ ràng, minh bạch về lý do và mục tiêu của việc sửa đổi thuế lần này. - HUMAN-TRU4]]</f>
        <v>5</v>
      </c>
      <c r="BC163" t="str">
        <f t="shared" si="76"/>
        <v>Neutral</v>
      </c>
      <c r="BD163" s="32">
        <f t="shared" si="77"/>
        <v>3</v>
      </c>
      <c r="BE163">
        <f>step3_validation[[#This Row],[AI_OUT1]]</f>
        <v>9</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4</v>
      </c>
    </row>
    <row r="164" spans="1:61" x14ac:dyDescent="0.45">
      <c r="A164" s="30">
        <f>step3_validation[[#This Row],[Persona_ID]]</f>
        <v>163</v>
      </c>
      <c r="B164" s="31">
        <f>step3_validation[[#This Row],[Used_Seed]]</f>
        <v>204</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14.682175463695915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5</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5</v>
      </c>
      <c r="V164">
        <f>step3_validation[[#This Row],[AI_ENF2]]</f>
        <v>8</v>
      </c>
      <c r="W164" t="str">
        <f t="shared" si="57"/>
        <v>Support</v>
      </c>
      <c r="X164">
        <f>survey_responses[[#This Row],[Tôi tin rằng Nhà nước, cơ quan thuế có đủ khả năng và công nghệ để phát hiện, xử lý nghiêm các hành vi trốn thuế. - HUMAN-ENF2]]</f>
        <v>10</v>
      </c>
      <c r="Y164" t="str">
        <f t="shared" si="58"/>
        <v>Support</v>
      </c>
      <c r="Z164" s="32">
        <f t="shared" si="59"/>
        <v>2</v>
      </c>
      <c r="AA164">
        <f>step3_validation[[#This Row],[AI_FAC1]]</f>
        <v>9</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1</v>
      </c>
      <c r="AF164">
        <f>step3_validation[[#This Row],[AI_FAC2]]</f>
        <v>8</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2</v>
      </c>
      <c r="AK164">
        <f>step3_validation[[#This Row],[AI_TRU1]]</f>
        <v>7</v>
      </c>
      <c r="AL164" t="str">
        <f t="shared" si="66"/>
        <v>Neutral</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3</v>
      </c>
      <c r="AP164">
        <f>step3_validation[[#This Row],[AI_TRU2]]</f>
        <v>4</v>
      </c>
      <c r="AQ164" t="str">
        <f t="shared" si="69"/>
        <v>Oppose</v>
      </c>
      <c r="AR164">
        <f>survey_responses[[#This Row],[Tôi thấy mức thuế tôi phải đóng theo phương án mới là công bằng (người thu nhập như tôi đóng mức này là hợp lý). - HUMAN-TRU2]]</f>
        <v>10</v>
      </c>
      <c r="AS164" t="str">
        <f t="shared" si="70"/>
        <v>Support</v>
      </c>
      <c r="AT164" s="32">
        <f t="shared" si="71"/>
        <v>6</v>
      </c>
      <c r="AU164">
        <f>step3_validation[[#This Row],[AI_TRU3]]</f>
        <v>6</v>
      </c>
      <c r="AV164" t="str">
        <f t="shared" si="72"/>
        <v>Neutral</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4</v>
      </c>
      <c r="AZ164">
        <f>step3_validation[[#This Row],[AI_TRU4]]</f>
        <v>5</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5</v>
      </c>
      <c r="BE164">
        <f>step3_validation[[#This Row],[AI_OUT1]]</f>
        <v>6</v>
      </c>
      <c r="BF164" t="str">
        <f t="shared" si="78"/>
        <v>Neutral</v>
      </c>
      <c r="BG164">
        <f>survey_responses[[#This Row],[Sau khi xem xét các quyền lợi và nghĩa vụ, bạn có ủng hộ và tuân thủ chính sách mới hiện nay? - HUMAN-OUT1]]</f>
        <v>10</v>
      </c>
      <c r="BH164" t="str">
        <f t="shared" si="79"/>
        <v>Support</v>
      </c>
      <c r="BI164" s="32">
        <f t="shared" si="80"/>
        <v>4</v>
      </c>
    </row>
    <row r="165" spans="1:61" x14ac:dyDescent="0.45">
      <c r="A165" s="30">
        <f>step3_validation[[#This Row],[Persona_ID]]</f>
        <v>164</v>
      </c>
      <c r="B165" s="31">
        <f>step3_validation[[#This Row],[Used_Seed]]</f>
        <v>205</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45.622784226454456</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8</v>
      </c>
      <c r="R165" t="str">
        <f t="shared" si="54"/>
        <v>Support</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0</v>
      </c>
      <c r="V165">
        <f>step3_validation[[#This Row],[AI_ENF2]]</f>
        <v>9</v>
      </c>
      <c r="W165" t="str">
        <f t="shared" si="57"/>
        <v>Support</v>
      </c>
      <c r="X165">
        <f>survey_responses[[#This Row],[Tôi tin rằng Nhà nước, cơ quan thuế có đủ khả năng và công nghệ để phát hiện, xử lý nghiêm các hành vi trốn thuế. - HUMAN-ENF2]]</f>
        <v>9</v>
      </c>
      <c r="Y165" t="str">
        <f t="shared" si="58"/>
        <v>Support</v>
      </c>
      <c r="Z165" s="32">
        <f t="shared" si="59"/>
        <v>0</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1</v>
      </c>
      <c r="AF165">
        <f>step3_validation[[#This Row],[AI_FAC2]]</f>
        <v>7</v>
      </c>
      <c r="AG165" t="str">
        <f t="shared" si="63"/>
        <v>Neutral</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2</v>
      </c>
      <c r="AK165">
        <f>step3_validation[[#This Row],[AI_TRU1]]</f>
        <v>8</v>
      </c>
      <c r="AL165" t="str">
        <f t="shared" si="66"/>
        <v>Support</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3</v>
      </c>
      <c r="AP165">
        <f>step3_validation[[#This Row],[AI_TRU2]]</f>
        <v>7</v>
      </c>
      <c r="AQ165" t="str">
        <f t="shared" si="69"/>
        <v>Neutral</v>
      </c>
      <c r="AR165">
        <f>survey_responses[[#This Row],[Tôi thấy mức thuế tôi phải đóng theo phương án mới là công bằng (người thu nhập như tôi đóng mức này là hợp lý). - HUMAN-TRU2]]</f>
        <v>7</v>
      </c>
      <c r="AS165" t="str">
        <f t="shared" si="70"/>
        <v>Neutral</v>
      </c>
      <c r="AT165" s="32">
        <f t="shared" si="71"/>
        <v>0</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7</v>
      </c>
      <c r="BF165" t="str">
        <f t="shared" si="78"/>
        <v>Neutral</v>
      </c>
      <c r="BG165">
        <f>survey_responses[[#This Row],[Sau khi xem xét các quyền lợi và nghĩa vụ, bạn có ủng hộ và tuân thủ chính sách mới hiện nay? - HUMAN-OUT1]]</f>
        <v>7</v>
      </c>
      <c r="BH165" t="str">
        <f t="shared" si="79"/>
        <v>Neutral</v>
      </c>
      <c r="BI165" s="32">
        <f t="shared" si="80"/>
        <v>0</v>
      </c>
    </row>
    <row r="166" spans="1:61" x14ac:dyDescent="0.45">
      <c r="A166" s="30">
        <f>step3_validation[[#This Row],[Persona_ID]]</f>
        <v>165</v>
      </c>
      <c r="B166" s="31">
        <f>step3_validation[[#This Row],[Used_Seed]]</f>
        <v>206</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44.93014113512691</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8</v>
      </c>
      <c r="R166" t="str">
        <f t="shared" si="54"/>
        <v>Support</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3</v>
      </c>
      <c r="V166">
        <f>step3_validation[[#This Row],[AI_ENF2]]</f>
        <v>7</v>
      </c>
      <c r="W166" t="str">
        <f t="shared" si="57"/>
        <v>Neutral</v>
      </c>
      <c r="X166">
        <f>survey_responses[[#This Row],[Tôi tin rằng Nhà nước, cơ quan thuế có đủ khả năng và công nghệ để phát hiện, xử lý nghiêm các hành vi trốn thuế. - HUMAN-ENF2]]</f>
        <v>5</v>
      </c>
      <c r="Y166" t="str">
        <f t="shared" si="58"/>
        <v>Neutral</v>
      </c>
      <c r="Z166" s="32">
        <f t="shared" si="59"/>
        <v>2</v>
      </c>
      <c r="AA166">
        <f>step3_validation[[#This Row],[AI_FAC1]]</f>
        <v>9</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3</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7</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1</v>
      </c>
      <c r="AP166">
        <f>step3_validation[[#This Row],[AI_TRU2]]</f>
        <v>6</v>
      </c>
      <c r="AQ166" t="str">
        <f t="shared" si="69"/>
        <v>Neutral</v>
      </c>
      <c r="AR166">
        <f>survey_responses[[#This Row],[Tôi thấy mức thuế tôi phải đóng theo phương án mới là công bằng (người thu nhập như tôi đóng mức này là hợp lý). - HUMAN-TRU2]]</f>
        <v>6</v>
      </c>
      <c r="AS166" t="str">
        <f t="shared" si="70"/>
        <v>Neutral</v>
      </c>
      <c r="AT166" s="32">
        <f t="shared" si="71"/>
        <v>0</v>
      </c>
      <c r="AU166">
        <f>step3_validation[[#This Row],[AI_TRU3]]</f>
        <v>5</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0</v>
      </c>
      <c r="AZ166">
        <f>step3_validation[[#This Row],[AI_TRU4]]</f>
        <v>6</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7</v>
      </c>
      <c r="BF166" t="str">
        <f t="shared" si="78"/>
        <v>Neutral</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207</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36.1438490062949</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t="str">
        <f t="shared" si="54"/>
        <v>Support</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2</v>
      </c>
      <c r="V167">
        <f>step3_validation[[#This Row],[AI_ENF2]]</f>
        <v>7</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8</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2</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2</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7</v>
      </c>
      <c r="AQ167" t="str">
        <f t="shared" si="69"/>
        <v>Neutral</v>
      </c>
      <c r="AR167">
        <f>survey_responses[[#This Row],[Tôi thấy mức thuế tôi phải đóng theo phương án mới là công bằng (người thu nhập như tôi đóng mức này là hợp lý). - HUMAN-TRU2]]</f>
        <v>10</v>
      </c>
      <c r="AS167" t="str">
        <f t="shared" si="70"/>
        <v>Support</v>
      </c>
      <c r="AT167" s="32">
        <f t="shared" si="71"/>
        <v>3</v>
      </c>
      <c r="AU167">
        <f>step3_validation[[#This Row],[AI_TRU3]]</f>
        <v>7</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3</v>
      </c>
      <c r="AZ167">
        <f>step3_validation[[#This Row],[AI_TRU4]]</f>
        <v>7</v>
      </c>
      <c r="BA167" t="str">
        <f t="shared" si="75"/>
        <v>Neutral</v>
      </c>
      <c r="BB167">
        <f>survey_responses[[#This Row],[Tôi thấy Nhà nước đã giải thích rõ ràng, minh bạch về lý do và mục tiêu của việc sửa đổi thuế lần này. - HUMAN-TRU4]]</f>
        <v>10</v>
      </c>
      <c r="BC167" t="str">
        <f t="shared" si="76"/>
        <v>Support</v>
      </c>
      <c r="BD167" s="32">
        <f t="shared" si="77"/>
        <v>3</v>
      </c>
      <c r="BE167">
        <f>step3_validation[[#This Row],[AI_OUT1]]</f>
        <v>7</v>
      </c>
      <c r="BF167" t="str">
        <f t="shared" si="78"/>
        <v>Neutral</v>
      </c>
      <c r="BG167">
        <f>survey_responses[[#This Row],[Sau khi xem xét các quyền lợi và nghĩa vụ, bạn có ủng hộ và tuân thủ chính sách mới hiện nay? - HUMAN-OUT1]]</f>
        <v>8</v>
      </c>
      <c r="BH167" t="str">
        <f t="shared" si="79"/>
        <v>Support</v>
      </c>
      <c r="BI167" s="32">
        <f t="shared" si="80"/>
        <v>1</v>
      </c>
    </row>
    <row r="168" spans="1:61" x14ac:dyDescent="0.45">
      <c r="A168" s="30">
        <f>step3_validation[[#This Row],[Persona_ID]]</f>
        <v>167</v>
      </c>
      <c r="B168" s="31">
        <f>step3_validation[[#This Row],[Used_Seed]]</f>
        <v>208</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99.580887159011382</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8</v>
      </c>
      <c r="W168" t="str">
        <f t="shared" si="57"/>
        <v>Support</v>
      </c>
      <c r="X168">
        <f>survey_responses[[#This Row],[Tôi tin rằng Nhà nước, cơ quan thuế có đủ khả năng và công nghệ để phát hiện, xử lý nghiêm các hành vi trốn thuế. - HUMAN-ENF2]]</f>
        <v>8</v>
      </c>
      <c r="Y168" t="str">
        <f t="shared" si="58"/>
        <v>Support</v>
      </c>
      <c r="Z168" s="32">
        <f t="shared" si="59"/>
        <v>0</v>
      </c>
      <c r="AA168">
        <f>step3_validation[[#This Row],[AI_FAC1]]</f>
        <v>6</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1</v>
      </c>
      <c r="AF168">
        <f>step3_validation[[#This Row],[AI_FAC2]]</f>
        <v>7</v>
      </c>
      <c r="AG168" t="str">
        <f t="shared" si="63"/>
        <v>Neutral</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6</v>
      </c>
      <c r="AL168" t="str">
        <f t="shared" si="66"/>
        <v>Neutral</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2</v>
      </c>
      <c r="AP168">
        <f>step3_validation[[#This Row],[AI_TRU2]]</f>
        <v>7</v>
      </c>
      <c r="AQ168" t="str">
        <f t="shared" si="69"/>
        <v>Neutral</v>
      </c>
      <c r="AR168">
        <f>survey_responses[[#This Row],[Tôi thấy mức thuế tôi phải đóng theo phương án mới là công bằng (người thu nhập như tôi đóng mức này là hợp lý). - HUMAN-TRU2]]</f>
        <v>5</v>
      </c>
      <c r="AS168" t="str">
        <f t="shared" si="70"/>
        <v>Neutral</v>
      </c>
      <c r="AT168" s="32">
        <f t="shared" si="71"/>
        <v>2</v>
      </c>
      <c r="AU168">
        <f>step3_validation[[#This Row],[AI_TRU3]]</f>
        <v>6</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5</v>
      </c>
      <c r="AZ168">
        <f>step3_validation[[#This Row],[AI_TRU4]]</f>
        <v>5</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0</v>
      </c>
      <c r="BE168">
        <f>step3_validation[[#This Row],[AI_OUT1]]</f>
        <v>6</v>
      </c>
      <c r="BF168" t="str">
        <f t="shared" si="78"/>
        <v>Neutral</v>
      </c>
      <c r="BG168">
        <f>survey_responses[[#This Row],[Sau khi xem xét các quyền lợi và nghĩa vụ, bạn có ủng hộ và tuân thủ chính sách mới hiện nay? - HUMAN-OUT1]]</f>
        <v>5</v>
      </c>
      <c r="BH168" t="str">
        <f t="shared" si="79"/>
        <v>Neutral</v>
      </c>
      <c r="BI168" s="32">
        <f t="shared" si="80"/>
        <v>1</v>
      </c>
    </row>
    <row r="169" spans="1:61" x14ac:dyDescent="0.45">
      <c r="A169" s="30">
        <f>step3_validation[[#This Row],[Persona_ID]]</f>
        <v>168</v>
      </c>
      <c r="B169" s="31">
        <f>step3_validation[[#This Row],[Used_Seed]]</f>
        <v>209</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19.140179993306731</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8</v>
      </c>
      <c r="W169" t="str">
        <f t="shared" si="57"/>
        <v>Support</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6</v>
      </c>
      <c r="AB169" t="str">
        <f t="shared" si="60"/>
        <v>Neutral</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2</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7</v>
      </c>
      <c r="AL169" t="str">
        <f t="shared" si="66"/>
        <v>Neutral</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0</v>
      </c>
      <c r="AP169">
        <f>step3_validation[[#This Row],[AI_TRU2]]</f>
        <v>6</v>
      </c>
      <c r="AQ169" t="str">
        <f t="shared" si="69"/>
        <v>Neutral</v>
      </c>
      <c r="AR169">
        <f>survey_responses[[#This Row],[Tôi thấy mức thuế tôi phải đóng theo phương án mới là công bằng (người thu nhập như tôi đóng mức này là hợp lý). - HUMAN-TRU2]]</f>
        <v>8</v>
      </c>
      <c r="AS169" t="str">
        <f t="shared" si="70"/>
        <v>Support</v>
      </c>
      <c r="AT169" s="32">
        <f t="shared" si="71"/>
        <v>2</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5</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3</v>
      </c>
      <c r="BE169">
        <f>step3_validation[[#This Row],[AI_OUT1]]</f>
        <v>6</v>
      </c>
      <c r="BF169" t="str">
        <f t="shared" si="78"/>
        <v>Neutral</v>
      </c>
      <c r="BG169">
        <f>survey_responses[[#This Row],[Sau khi xem xét các quyền lợi và nghĩa vụ, bạn có ủng hộ và tuân thủ chính sách mới hiện nay? - HUMAN-OUT1]]</f>
        <v>9</v>
      </c>
      <c r="BH169" t="str">
        <f t="shared" si="79"/>
        <v>Support</v>
      </c>
      <c r="BI169" s="32">
        <f t="shared" si="80"/>
        <v>3</v>
      </c>
    </row>
    <row r="170" spans="1:61" x14ac:dyDescent="0.45">
      <c r="A170" s="30">
        <f>step3_validation[[#This Row],[Persona_ID]]</f>
        <v>169</v>
      </c>
      <c r="B170" s="31">
        <f>step3_validation[[#This Row],[Used_Seed]]</f>
        <v>210</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42.828185819331544</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9</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1</v>
      </c>
      <c r="AA170">
        <f>step3_validation[[#This Row],[AI_FAC1]]</f>
        <v>8</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1</v>
      </c>
      <c r="AF170">
        <f>step3_validation[[#This Row],[AI_FAC2]]</f>
        <v>7</v>
      </c>
      <c r="AG170" t="str">
        <f t="shared" si="63"/>
        <v>Neutral</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1</v>
      </c>
      <c r="AK170">
        <f>step3_validation[[#This Row],[AI_TRU1]]</f>
        <v>6</v>
      </c>
      <c r="AL170" t="str">
        <f t="shared" si="66"/>
        <v>Neutral</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1</v>
      </c>
      <c r="AP170">
        <f>step3_validation[[#This Row],[AI_TRU2]]</f>
        <v>7</v>
      </c>
      <c r="AQ170" t="str">
        <f t="shared" si="69"/>
        <v>Neutral</v>
      </c>
      <c r="AR170">
        <f>survey_responses[[#This Row],[Tôi thấy mức thuế tôi phải đóng theo phương án mới là công bằng (người thu nhập như tôi đóng mức này là hợp lý). - HUMAN-TRU2]]</f>
        <v>7</v>
      </c>
      <c r="AS170" t="str">
        <f t="shared" si="70"/>
        <v>Neutral</v>
      </c>
      <c r="AT170" s="32">
        <f t="shared" si="71"/>
        <v>0</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5</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3</v>
      </c>
      <c r="BE170">
        <f>step3_validation[[#This Row],[AI_OUT1]]</f>
        <v>7</v>
      </c>
      <c r="BF170" t="str">
        <f t="shared" si="78"/>
        <v>Neutral</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211</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14.233554275192937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2</v>
      </c>
      <c r="V171">
        <f>step3_validation[[#This Row],[AI_ENF2]]</f>
        <v>8</v>
      </c>
      <c r="W171" t="str">
        <f t="shared" si="57"/>
        <v>Support</v>
      </c>
      <c r="X171">
        <f>survey_responses[[#This Row],[Tôi tin rằng Nhà nước, cơ quan thuế có đủ khả năng và công nghệ để phát hiện, xử lý nghiêm các hành vi trốn thuế. - HUMAN-ENF2]]</f>
        <v>8</v>
      </c>
      <c r="Y171" t="str">
        <f t="shared" si="58"/>
        <v>Support</v>
      </c>
      <c r="Z171" s="32">
        <f t="shared" si="59"/>
        <v>0</v>
      </c>
      <c r="AA171">
        <f>step3_validation[[#This Row],[AI_FAC1]]</f>
        <v>9</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8</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0</v>
      </c>
      <c r="AK171">
        <f>step3_validation[[#This Row],[AI_TRU1]]</f>
        <v>7</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6</v>
      </c>
      <c r="AP171">
        <f>step3_validation[[#This Row],[AI_TRU2]]</f>
        <v>8</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6</v>
      </c>
      <c r="AU171">
        <f>step3_validation[[#This Row],[AI_TRU3]]</f>
        <v>6</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3</v>
      </c>
      <c r="AZ171">
        <f>step3_validation[[#This Row],[AI_TRU4]]</f>
        <v>5</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2</v>
      </c>
      <c r="BE171">
        <f>step3_validation[[#This Row],[AI_OUT1]]</f>
        <v>7</v>
      </c>
      <c r="BF171" t="str">
        <f t="shared" si="78"/>
        <v>Neutral</v>
      </c>
      <c r="BG171">
        <f>survey_responses[[#This Row],[Sau khi xem xét các quyền lợi và nghĩa vụ, bạn có ủng hộ và tuân thủ chính sách mới hiện nay? - HUMAN-OUT1]]</f>
        <v>7</v>
      </c>
      <c r="BH171" t="str">
        <f t="shared" si="79"/>
        <v>Neutral</v>
      </c>
      <c r="BI171" s="32">
        <f t="shared" si="80"/>
        <v>0</v>
      </c>
    </row>
    <row r="172" spans="1:61" x14ac:dyDescent="0.45">
      <c r="A172" s="30">
        <f>step3_validation[[#This Row],[Persona_ID]]</f>
        <v>171</v>
      </c>
      <c r="B172" s="31">
        <f>step3_validation[[#This Row],[Used_Seed]]</f>
        <v>212</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8</v>
      </c>
      <c r="R172" t="str">
        <f t="shared" si="54"/>
        <v>Support</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2</v>
      </c>
      <c r="V172">
        <f>step3_validation[[#This Row],[AI_ENF2]]</f>
        <v>7</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0</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7</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0</v>
      </c>
      <c r="AP172">
        <f>step3_validation[[#This Row],[AI_TRU2]]</f>
        <v>6</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5</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0</v>
      </c>
      <c r="AZ172">
        <f>step3_validation[[#This Row],[AI_TRU4]]</f>
        <v>6</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1</v>
      </c>
      <c r="BE172">
        <f>step3_validation[[#This Row],[AI_OUT1]]</f>
        <v>7</v>
      </c>
      <c r="BF172" t="str">
        <f t="shared" si="78"/>
        <v>Neutral</v>
      </c>
      <c r="BG172">
        <f>survey_responses[[#This Row],[Sau khi xem xét các quyền lợi và nghĩa vụ, bạn có ủng hộ và tuân thủ chính sách mới hiện nay? - HUMAN-OUT1]]</f>
        <v>7</v>
      </c>
      <c r="BH172" t="str">
        <f t="shared" si="79"/>
        <v>Neutral</v>
      </c>
      <c r="BI172" s="32">
        <f t="shared" si="80"/>
        <v>0</v>
      </c>
    </row>
    <row r="173" spans="1:61" x14ac:dyDescent="0.45">
      <c r="A173" s="30">
        <f>step3_validation[[#This Row],[Persona_ID]]</f>
        <v>172</v>
      </c>
      <c r="B173" s="31">
        <f>step3_validation[[#This Row],[Used_Seed]]</f>
        <v>213</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198.32738044433546</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7</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1</v>
      </c>
      <c r="V173">
        <f>step3_validation[[#This Row],[AI_ENF2]]</f>
        <v>8</v>
      </c>
      <c r="W173" t="str">
        <f t="shared" si="57"/>
        <v>Support</v>
      </c>
      <c r="X173">
        <f>survey_responses[[#This Row],[Tôi tin rằng Nhà nước, cơ quan thuế có đủ khả năng và công nghệ để phát hiện, xử lý nghiêm các hành vi trốn thuế. - HUMAN-ENF2]]</f>
        <v>8</v>
      </c>
      <c r="Y173" t="str">
        <f t="shared" si="58"/>
        <v>Support</v>
      </c>
      <c r="Z173" s="32">
        <f t="shared" si="59"/>
        <v>0</v>
      </c>
      <c r="AA173">
        <f>step3_validation[[#This Row],[AI_FAC1]]</f>
        <v>6</v>
      </c>
      <c r="AB173" t="str">
        <f t="shared" si="60"/>
        <v>Neutral</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2</v>
      </c>
      <c r="AF173">
        <f>step3_validation[[#This Row],[AI_FAC2]]</f>
        <v>7</v>
      </c>
      <c r="AG173" t="str">
        <f t="shared" si="63"/>
        <v>Neutral</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2</v>
      </c>
      <c r="AK173">
        <f>step3_validation[[#This Row],[AI_TRU1]]</f>
        <v>8</v>
      </c>
      <c r="AL173" t="str">
        <f t="shared" si="66"/>
        <v>Support</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1</v>
      </c>
      <c r="AP173">
        <f>step3_validation[[#This Row],[AI_TRU2]]</f>
        <v>7</v>
      </c>
      <c r="AQ173" t="str">
        <f t="shared" si="69"/>
        <v>Neutral</v>
      </c>
      <c r="AR173">
        <f>survey_responses[[#This Row],[Tôi thấy mức thuế tôi phải đóng theo phương án mới là công bằng (người thu nhập như tôi đóng mức này là hợp lý). - HUMAN-TRU2]]</f>
        <v>5</v>
      </c>
      <c r="AS173" t="str">
        <f t="shared" si="70"/>
        <v>Neutral</v>
      </c>
      <c r="AT173" s="32">
        <f t="shared" si="71"/>
        <v>2</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6</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2</v>
      </c>
      <c r="BE173">
        <f>step3_validation[[#This Row],[AI_OUT1]]</f>
        <v>7</v>
      </c>
      <c r="BF173" t="str">
        <f t="shared" si="78"/>
        <v>Neutral</v>
      </c>
      <c r="BG173">
        <f>survey_responses[[#This Row],[Sau khi xem xét các quyền lợi và nghĩa vụ, bạn có ủng hộ và tuân thủ chính sách mới hiện nay? - HUMAN-OUT1]]</f>
        <v>6</v>
      </c>
      <c r="BH173" t="str">
        <f t="shared" si="79"/>
        <v>Neutral</v>
      </c>
      <c r="BI173" s="32">
        <f t="shared" si="80"/>
        <v>1</v>
      </c>
    </row>
    <row r="174" spans="1:61" x14ac:dyDescent="0.45">
      <c r="A174" s="30">
        <f>step3_validation[[#This Row],[Persona_ID]]</f>
        <v>173</v>
      </c>
      <c r="B174" s="31">
        <f>step3_validation[[#This Row],[Used_Seed]]</f>
        <v>214</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72.929672789540959</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9</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5</v>
      </c>
      <c r="AF174">
        <f>step3_validation[[#This Row],[AI_FAC2]]</f>
        <v>8</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2</v>
      </c>
      <c r="AK174">
        <f>step3_validation[[#This Row],[AI_TRU1]]</f>
        <v>6</v>
      </c>
      <c r="AL174" t="str">
        <f t="shared" si="66"/>
        <v>Neutral</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1</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5</v>
      </c>
      <c r="AU174">
        <f>step3_validation[[#This Row],[AI_TRU3]]</f>
        <v>8</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4</v>
      </c>
      <c r="AZ174">
        <f>step3_validation[[#This Row],[AI_TRU4]]</f>
        <v>7</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2</v>
      </c>
      <c r="BE174">
        <f>step3_validation[[#This Row],[AI_OUT1]]</f>
        <v>8</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3</v>
      </c>
    </row>
    <row r="175" spans="1:61" x14ac:dyDescent="0.45">
      <c r="A175" s="30">
        <f>step3_validation[[#This Row],[Persona_ID]]</f>
        <v>174</v>
      </c>
      <c r="B175" s="31">
        <f>step3_validation[[#This Row],[Used_Seed]]</f>
        <v>215</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45.664379973896395</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6</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0</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7</v>
      </c>
      <c r="AG175" t="str">
        <f t="shared" si="63"/>
        <v>Neutral</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1</v>
      </c>
      <c r="AK175">
        <f>step3_validation[[#This Row],[AI_TRU1]]</f>
        <v>8</v>
      </c>
      <c r="AL175" t="str">
        <f t="shared" si="66"/>
        <v>Support</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1</v>
      </c>
      <c r="AP175">
        <f>step3_validation[[#This Row],[AI_TRU2]]</f>
        <v>6</v>
      </c>
      <c r="AQ175" t="str">
        <f t="shared" si="69"/>
        <v>Neutral</v>
      </c>
      <c r="AR175">
        <f>survey_responses[[#This Row],[Tôi thấy mức thuế tôi phải đóng theo phương án mới là công bằng (người thu nhập như tôi đóng mức này là hợp lý). - HUMAN-TRU2]]</f>
        <v>7</v>
      </c>
      <c r="AS175" t="str">
        <f t="shared" si="70"/>
        <v>Neutral</v>
      </c>
      <c r="AT175" s="32">
        <f t="shared" si="71"/>
        <v>1</v>
      </c>
      <c r="AU175">
        <f>step3_validation[[#This Row],[AI_TRU3]]</f>
        <v>7</v>
      </c>
      <c r="AV175" t="str">
        <f t="shared" si="72"/>
        <v>Neutral</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2</v>
      </c>
      <c r="AZ175">
        <f>step3_validation[[#This Row],[AI_TRU4]]</f>
        <v>5</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2</v>
      </c>
      <c r="BE175">
        <f>step3_validation[[#This Row],[AI_OUT1]]</f>
        <v>8</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216</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238.12110653264278</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t="str">
        <f t="shared" si="54"/>
        <v>Neutral</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2</v>
      </c>
      <c r="V176">
        <f>step3_validation[[#This Row],[AI_ENF2]]</f>
        <v>5</v>
      </c>
      <c r="W176" t="str">
        <f t="shared" si="57"/>
        <v>Neutral</v>
      </c>
      <c r="X176">
        <f>survey_responses[[#This Row],[Tôi tin rằng Nhà nước, cơ quan thuế có đủ khả năng và công nghệ để phát hiện, xử lý nghiêm các hành vi trốn thuế. - HUMAN-ENF2]]</f>
        <v>5</v>
      </c>
      <c r="Y176" t="str">
        <f t="shared" si="58"/>
        <v>Neutral</v>
      </c>
      <c r="Z176" s="32">
        <f t="shared" si="59"/>
        <v>0</v>
      </c>
      <c r="AA176">
        <f>step3_validation[[#This Row],[AI_FAC1]]</f>
        <v>8</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4</v>
      </c>
      <c r="AF176">
        <f>step3_validation[[#This Row],[AI_FAC2]]</f>
        <v>7</v>
      </c>
      <c r="AG176" t="str">
        <f t="shared" si="63"/>
        <v>Neutral</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1</v>
      </c>
      <c r="AK176">
        <f>step3_validation[[#This Row],[AI_TRU1]]</f>
        <v>6</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2</v>
      </c>
      <c r="AP176">
        <f>step3_validation[[#This Row],[AI_TRU2]]</f>
        <v>5</v>
      </c>
      <c r="AQ176" t="str">
        <f t="shared" si="69"/>
        <v>Neutral</v>
      </c>
      <c r="AR176">
        <f>survey_responses[[#This Row],[Tôi thấy mức thuế tôi phải đóng theo phương án mới là công bằng (người thu nhập như tôi đóng mức này là hợp lý). - HUMAN-TRU2]]</f>
        <v>4</v>
      </c>
      <c r="AS176" t="str">
        <f t="shared" si="70"/>
        <v>Oppose</v>
      </c>
      <c r="AT176" s="32">
        <f t="shared" si="71"/>
        <v>1</v>
      </c>
      <c r="AU176">
        <f>step3_validation[[#This Row],[AI_TRU3]]</f>
        <v>6</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2</v>
      </c>
      <c r="AZ176">
        <f>step3_validation[[#This Row],[AI_TRU4]]</f>
        <v>4</v>
      </c>
      <c r="BA176" t="str">
        <f t="shared" si="75"/>
        <v>Oppose</v>
      </c>
      <c r="BB176">
        <f>survey_responses[[#This Row],[Tôi thấy Nhà nước đã giải thích rõ ràng, minh bạch về lý do và mục tiêu của việc sửa đổi thuế lần này. - HUMAN-TRU4]]</f>
        <v>5</v>
      </c>
      <c r="BC176" t="str">
        <f t="shared" si="76"/>
        <v>Neutral</v>
      </c>
      <c r="BD176" s="32">
        <f t="shared" si="77"/>
        <v>1</v>
      </c>
      <c r="BE176">
        <f>step3_validation[[#This Row],[AI_OUT1]]</f>
        <v>5</v>
      </c>
      <c r="BF176" t="str">
        <f t="shared" si="78"/>
        <v>Neutral</v>
      </c>
      <c r="BG176">
        <f>survey_responses[[#This Row],[Sau khi xem xét các quyền lợi và nghĩa vụ, bạn có ủng hộ và tuân thủ chính sách mới hiện nay? - HUMAN-OUT1]]</f>
        <v>4</v>
      </c>
      <c r="BH176" t="str">
        <f t="shared" si="79"/>
        <v>Oppose</v>
      </c>
      <c r="BI176" s="32">
        <f t="shared" si="80"/>
        <v>1</v>
      </c>
    </row>
    <row r="177" spans="1:61" x14ac:dyDescent="0.45">
      <c r="A177" s="30">
        <f>step3_validation[[#This Row],[Persona_ID]]</f>
        <v>176</v>
      </c>
      <c r="B177" s="31">
        <f>step3_validation[[#This Row],[Used_Seed]]</f>
        <v>217</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229.06959643527281</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8</v>
      </c>
      <c r="R177" t="str">
        <f t="shared" si="54"/>
        <v>Support</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6</v>
      </c>
      <c r="V177">
        <f>step3_validation[[#This Row],[AI_ENF2]]</f>
        <v>7</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2">
        <f t="shared" si="59"/>
        <v>3</v>
      </c>
      <c r="AA177">
        <f>step3_validation[[#This Row],[AI_FAC1]]</f>
        <v>6</v>
      </c>
      <c r="AB177" t="str">
        <f t="shared" si="60"/>
        <v>Neutral</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3</v>
      </c>
      <c r="AF177">
        <f>step3_validation[[#This Row],[AI_FAC2]]</f>
        <v>7</v>
      </c>
      <c r="AG177" t="str">
        <f t="shared" si="63"/>
        <v>Neutral</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2</v>
      </c>
      <c r="AK177">
        <f>step3_validation[[#This Row],[AI_TRU1]]</f>
        <v>6</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2</v>
      </c>
      <c r="AP177">
        <f>step3_validation[[#This Row],[AI_TRU2]]</f>
        <v>7</v>
      </c>
      <c r="AQ177" t="str">
        <f t="shared" si="69"/>
        <v>Neutral</v>
      </c>
      <c r="AR177">
        <f>survey_responses[[#This Row],[Tôi thấy mức thuế tôi phải đóng theo phương án mới là công bằng (người thu nhập như tôi đóng mức này là hợp lý). - HUMAN-TRU2]]</f>
        <v>1</v>
      </c>
      <c r="AS177" t="str">
        <f t="shared" si="70"/>
        <v>Oppose</v>
      </c>
      <c r="AT177" s="32">
        <f t="shared" si="71"/>
        <v>6</v>
      </c>
      <c r="AU177">
        <f>step3_validation[[#This Row],[AI_TRU3]]</f>
        <v>6</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5</v>
      </c>
      <c r="AZ177">
        <f>step3_validation[[#This Row],[AI_TRU4]]</f>
        <v>5</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1</v>
      </c>
      <c r="BE177">
        <f>step3_validation[[#This Row],[AI_OUT1]]</f>
        <v>7</v>
      </c>
      <c r="BF177" t="str">
        <f t="shared" si="78"/>
        <v>Neutral</v>
      </c>
      <c r="BG177">
        <f>survey_responses[[#This Row],[Sau khi xem xét các quyền lợi và nghĩa vụ, bạn có ủng hộ và tuân thủ chính sách mới hiện nay? - HUMAN-OUT1]]</f>
        <v>4</v>
      </c>
      <c r="BH177" t="str">
        <f t="shared" si="79"/>
        <v>Oppose</v>
      </c>
      <c r="BI177" s="32">
        <f t="shared" si="80"/>
        <v>3</v>
      </c>
    </row>
    <row r="178" spans="1:61" x14ac:dyDescent="0.45">
      <c r="A178" s="30">
        <f>step3_validation[[#This Row],[Persona_ID]]</f>
        <v>177</v>
      </c>
      <c r="B178" s="31">
        <f>step3_validation[[#This Row],[Used_Seed]]</f>
        <v>218</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100.39531150742083</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8</v>
      </c>
      <c r="R178" t="str">
        <f t="shared" si="54"/>
        <v>Support</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4</v>
      </c>
      <c r="V178">
        <f>step3_validation[[#This Row],[AI_ENF2]]</f>
        <v>9</v>
      </c>
      <c r="W178" t="str">
        <f t="shared" si="57"/>
        <v>Support</v>
      </c>
      <c r="X178">
        <f>survey_responses[[#This Row],[Tôi tin rằng Nhà nước, cơ quan thuế có đủ khả năng và công nghệ để phát hiện, xử lý nghiêm các hành vi trốn thuế. - HUMAN-ENF2]]</f>
        <v>4</v>
      </c>
      <c r="Y178" t="str">
        <f t="shared" si="58"/>
        <v>Oppose</v>
      </c>
      <c r="Z178" s="32">
        <f t="shared" si="59"/>
        <v>5</v>
      </c>
      <c r="AA178">
        <f>step3_validation[[#This Row],[AI_FAC1]]</f>
        <v>7</v>
      </c>
      <c r="AB178" t="str">
        <f t="shared" si="60"/>
        <v>Neutral</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4</v>
      </c>
      <c r="AF178">
        <f>step3_validation[[#This Row],[AI_FAC2]]</f>
        <v>8</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3</v>
      </c>
      <c r="AK178">
        <f>step3_validation[[#This Row],[AI_TRU1]]</f>
        <v>7</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4</v>
      </c>
      <c r="AP178">
        <f>step3_validation[[#This Row],[AI_TRU2]]</f>
        <v>8</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6</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8</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7</v>
      </c>
      <c r="BE178">
        <f>step3_validation[[#This Row],[AI_OUT1]]</f>
        <v>7</v>
      </c>
      <c r="BF178" t="str">
        <f t="shared" si="78"/>
        <v>Neutral</v>
      </c>
      <c r="BG178">
        <f>survey_responses[[#This Row],[Sau khi xem xét các quyền lợi và nghĩa vụ, bạn có ủng hộ và tuân thủ chính sách mới hiện nay? - HUMAN-OUT1]]</f>
        <v>1</v>
      </c>
      <c r="BH178" t="str">
        <f t="shared" si="79"/>
        <v>Oppose</v>
      </c>
      <c r="BI178" s="32">
        <f t="shared" si="80"/>
        <v>6</v>
      </c>
    </row>
    <row r="179" spans="1:61" x14ac:dyDescent="0.45">
      <c r="A179" s="30">
        <f>step3_validation[[#This Row],[Persona_ID]]</f>
        <v>178</v>
      </c>
      <c r="B179" s="31">
        <f>step3_validation[[#This Row],[Used_Seed]]</f>
        <v>219</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42.321397568852575</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t="str">
        <f t="shared" si="54"/>
        <v>Support</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2</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0</v>
      </c>
      <c r="AA179">
        <f>step3_validation[[#This Row],[AI_FAC1]]</f>
        <v>9</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3</v>
      </c>
      <c r="AF179">
        <f>step3_validation[[#This Row],[AI_FAC2]]</f>
        <v>8</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2</v>
      </c>
      <c r="AK179">
        <f>step3_validation[[#This Row],[AI_TRU1]]</f>
        <v>8</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2</v>
      </c>
      <c r="AP179">
        <f>step3_validation[[#This Row],[AI_TRU2]]</f>
        <v>6</v>
      </c>
      <c r="AQ179" t="str">
        <f t="shared" si="69"/>
        <v>Neutral</v>
      </c>
      <c r="AR179">
        <f>survey_responses[[#This Row],[Tôi thấy mức thuế tôi phải đóng theo phương án mới là công bằng (người thu nhập như tôi đóng mức này là hợp lý). - HUMAN-TRU2]]</f>
        <v>7</v>
      </c>
      <c r="AS179" t="str">
        <f t="shared" si="70"/>
        <v>Neutral</v>
      </c>
      <c r="AT179" s="32">
        <f t="shared" si="71"/>
        <v>1</v>
      </c>
      <c r="AU179">
        <f>step3_validation[[#This Row],[AI_TRU3]]</f>
        <v>7</v>
      </c>
      <c r="AV179" t="str">
        <f t="shared" si="72"/>
        <v>Neutral</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2</v>
      </c>
      <c r="AZ179">
        <f>step3_validation[[#This Row],[AI_TRU4]]</f>
        <v>5</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1</v>
      </c>
      <c r="BE179">
        <f>step3_validation[[#This Row],[AI_OUT1]]</f>
        <v>7</v>
      </c>
      <c r="BF179" t="str">
        <f t="shared" si="78"/>
        <v>Neutral</v>
      </c>
      <c r="BG179">
        <f>survey_responses[[#This Row],[Sau khi xem xét các quyền lợi và nghĩa vụ, bạn có ủng hộ và tuân thủ chính sách mới hiện nay? - HUMAN-OUT1]]</f>
        <v>7</v>
      </c>
      <c r="BH179" t="str">
        <f t="shared" si="79"/>
        <v>Neutral</v>
      </c>
      <c r="BI179" s="32">
        <f t="shared" si="80"/>
        <v>0</v>
      </c>
    </row>
    <row r="180" spans="1:61" x14ac:dyDescent="0.45">
      <c r="A180" s="30">
        <f>step3_validation[[#This Row],[Persona_ID]]</f>
        <v>179</v>
      </c>
      <c r="B180" s="31">
        <f>step3_validation[[#This Row],[Used_Seed]]</f>
        <v>220</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30.125137604380956</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6</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1</v>
      </c>
      <c r="V180">
        <f>step3_validation[[#This Row],[AI_ENF2]]</f>
        <v>5</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2</v>
      </c>
      <c r="AA180">
        <f>step3_validation[[#This Row],[AI_FAC1]]</f>
        <v>7</v>
      </c>
      <c r="AB180" t="str">
        <f t="shared" si="60"/>
        <v>Neutral</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0</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6</v>
      </c>
      <c r="AQ180" t="str">
        <f t="shared" si="69"/>
        <v>Neutral</v>
      </c>
      <c r="AR180">
        <f>survey_responses[[#This Row],[Tôi thấy mức thuế tôi phải đóng theo phương án mới là công bằng (người thu nhập như tôi đóng mức này là hợp lý). - HUMAN-TRU2]]</f>
        <v>8</v>
      </c>
      <c r="AS180" t="str">
        <f t="shared" si="70"/>
        <v>Support</v>
      </c>
      <c r="AT180" s="32">
        <f t="shared" si="71"/>
        <v>2</v>
      </c>
      <c r="AU180">
        <f>step3_validation[[#This Row],[AI_TRU3]]</f>
        <v>7</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0</v>
      </c>
      <c r="AZ180">
        <f>step3_validation[[#This Row],[AI_TRU4]]</f>
        <v>5</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2</v>
      </c>
      <c r="BE180">
        <f>step3_validation[[#This Row],[AI_OUT1]]</f>
        <v>6</v>
      </c>
      <c r="BF180" t="str">
        <f t="shared" si="78"/>
        <v>Neutral</v>
      </c>
      <c r="BG180">
        <f>survey_responses[[#This Row],[Sau khi xem xét các quyền lợi và nghĩa vụ, bạn có ủng hộ và tuân thủ chính sách mới hiện nay? - HUMAN-OUT1]]</f>
        <v>8</v>
      </c>
      <c r="BH180" t="str">
        <f t="shared" si="79"/>
        <v>Support</v>
      </c>
      <c r="BI180" s="32">
        <f t="shared" si="80"/>
        <v>2</v>
      </c>
    </row>
    <row r="181" spans="1:61" x14ac:dyDescent="0.45">
      <c r="A181" s="30">
        <f>step3_validation[[#This Row],[Persona_ID]]</f>
        <v>180</v>
      </c>
      <c r="B181" s="31">
        <f>step3_validation[[#This Row],[Used_Seed]]</f>
        <v>221</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57.553725956128737</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7</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2</v>
      </c>
      <c r="V181">
        <f>step3_validation[[#This Row],[AI_ENF2]]</f>
        <v>8</v>
      </c>
      <c r="W181" t="str">
        <f t="shared" si="57"/>
        <v>Support</v>
      </c>
      <c r="X181">
        <f>survey_responses[[#This Row],[Tôi tin rằng Nhà nước, cơ quan thuế có đủ khả năng và công nghệ để phát hiện, xử lý nghiêm các hành vi trốn thuế. - HUMAN-ENF2]]</f>
        <v>5</v>
      </c>
      <c r="Y181" t="str">
        <f t="shared" si="58"/>
        <v>Neutral</v>
      </c>
      <c r="Z181" s="32">
        <f t="shared" si="59"/>
        <v>3</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6</v>
      </c>
      <c r="AG181" t="str">
        <f t="shared" si="63"/>
        <v>Neutral</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6</v>
      </c>
      <c r="AL181" t="str">
        <f t="shared" si="66"/>
        <v>Neutral</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1</v>
      </c>
      <c r="AP181">
        <f>step3_validation[[#This Row],[AI_TRU2]]</f>
        <v>6</v>
      </c>
      <c r="AQ181" t="str">
        <f t="shared" si="69"/>
        <v>Neutral</v>
      </c>
      <c r="AR181">
        <f>survey_responses[[#This Row],[Tôi thấy mức thuế tôi phải đóng theo phương án mới là công bằng (người thu nhập như tôi đóng mức này là hợp lý). - HUMAN-TRU2]]</f>
        <v>6</v>
      </c>
      <c r="AS181" t="str">
        <f t="shared" si="70"/>
        <v>Neutral</v>
      </c>
      <c r="AT181" s="32">
        <f t="shared" si="71"/>
        <v>0</v>
      </c>
      <c r="AU181">
        <f>step3_validation[[#This Row],[AI_TRU3]]</f>
        <v>6</v>
      </c>
      <c r="AV181" t="str">
        <f t="shared" si="72"/>
        <v>Neutral</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1</v>
      </c>
      <c r="AZ181">
        <f>step3_validation[[#This Row],[AI_TRU4]]</f>
        <v>5</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2</v>
      </c>
      <c r="BE181">
        <f>step3_validation[[#This Row],[AI_OUT1]]</f>
        <v>7</v>
      </c>
      <c r="BF181" t="str">
        <f t="shared" si="78"/>
        <v>Neutral</v>
      </c>
      <c r="BG181">
        <f>survey_responses[[#This Row],[Sau khi xem xét các quyền lợi và nghĩa vụ, bạn có ủng hộ và tuân thủ chính sách mới hiện nay? - HUMAN-OUT1]]</f>
        <v>7</v>
      </c>
      <c r="BH181" t="str">
        <f t="shared" si="79"/>
        <v>Neutral</v>
      </c>
      <c r="BI181" s="32">
        <f t="shared" si="80"/>
        <v>0</v>
      </c>
    </row>
    <row r="182" spans="1:61" x14ac:dyDescent="0.45">
      <c r="A182" s="30">
        <f>step3_validation[[#This Row],[Persona_ID]]</f>
        <v>181</v>
      </c>
      <c r="B182" s="31">
        <f>step3_validation[[#This Row],[Used_Seed]]</f>
        <v>222</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55.921388157311412</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7</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1</v>
      </c>
      <c r="V182">
        <f>step3_validation[[#This Row],[AI_ENF2]]</f>
        <v>6</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8</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1</v>
      </c>
      <c r="AF182">
        <f>step3_validation[[#This Row],[AI_FAC2]]</f>
        <v>9</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7</v>
      </c>
      <c r="AL182" t="str">
        <f t="shared" si="66"/>
        <v>Neutral</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1</v>
      </c>
      <c r="AP182">
        <f>step3_validation[[#This Row],[AI_TRU2]]</f>
        <v>7</v>
      </c>
      <c r="AQ182" t="str">
        <f t="shared" si="69"/>
        <v>Neutral</v>
      </c>
      <c r="AR182">
        <f>survey_responses[[#This Row],[Tôi thấy mức thuế tôi phải đóng theo phương án mới là công bằng (người thu nhập như tôi đóng mức này là hợp lý). - HUMAN-TRU2]]</f>
        <v>7</v>
      </c>
      <c r="AS182" t="str">
        <f t="shared" si="70"/>
        <v>Neutral</v>
      </c>
      <c r="AT182" s="32">
        <f t="shared" si="71"/>
        <v>0</v>
      </c>
      <c r="AU182">
        <f>step3_validation[[#This Row],[AI_TRU3]]</f>
        <v>6</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1</v>
      </c>
      <c r="AZ182">
        <f>step3_validation[[#This Row],[AI_TRU4]]</f>
        <v>5</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2</v>
      </c>
      <c r="BE182">
        <f>step3_validation[[#This Row],[AI_OUT1]]</f>
        <v>8</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1</v>
      </c>
    </row>
    <row r="183" spans="1:61" x14ac:dyDescent="0.45">
      <c r="A183" s="30">
        <f>step3_validation[[#This Row],[Persona_ID]]</f>
        <v>182</v>
      </c>
      <c r="B183" s="31">
        <f>step3_validation[[#This Row],[Used_Seed]]</f>
        <v>223</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30.093899828086208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8</v>
      </c>
      <c r="R183" t="str">
        <f t="shared" si="54"/>
        <v>Support</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0</v>
      </c>
      <c r="V183">
        <f>step3_validation[[#This Row],[AI_ENF2]]</f>
        <v>7</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1</v>
      </c>
      <c r="AA183">
        <f>step3_validation[[#This Row],[AI_FAC1]]</f>
        <v>9</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4</v>
      </c>
      <c r="AF183">
        <f>step3_validation[[#This Row],[AI_FAC2]]</f>
        <v>8</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0</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8</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0</v>
      </c>
      <c r="AU183">
        <f>step3_validation[[#This Row],[AI_TRU3]]</f>
        <v>6</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0</v>
      </c>
      <c r="AZ183">
        <f>step3_validation[[#This Row],[AI_TRU4]]</f>
        <v>7</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0</v>
      </c>
      <c r="BE183">
        <f>step3_validation[[#This Row],[AI_OUT1]]</f>
        <v>8</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1</v>
      </c>
    </row>
    <row r="184" spans="1:61" x14ac:dyDescent="0.45">
      <c r="A184" s="30">
        <f>step3_validation[[#This Row],[Persona_ID]]</f>
        <v>183</v>
      </c>
      <c r="B184" s="31">
        <f>step3_validation[[#This Row],[Used_Seed]]</f>
        <v>224</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182.04701246472183</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6</v>
      </c>
      <c r="AB184" t="str">
        <f t="shared" si="60"/>
        <v>Neutral</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3</v>
      </c>
      <c r="AF184">
        <f>step3_validation[[#This Row],[AI_FAC2]]</f>
        <v>7</v>
      </c>
      <c r="AG184" t="str">
        <f t="shared" si="63"/>
        <v>Neutral</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2</v>
      </c>
      <c r="AK184">
        <f>step3_validation[[#This Row],[AI_TRU1]]</f>
        <v>8</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5</v>
      </c>
      <c r="AP184">
        <f>step3_validation[[#This Row],[AI_TRU2]]</f>
        <v>6</v>
      </c>
      <c r="AQ184" t="str">
        <f t="shared" si="69"/>
        <v>Neutral</v>
      </c>
      <c r="AR184">
        <f>survey_responses[[#This Row],[Tôi thấy mức thuế tôi phải đóng theo phương án mới là công bằng (người thu nhập như tôi đóng mức này là hợp lý). - HUMAN-TRU2]]</f>
        <v>2</v>
      </c>
      <c r="AS184" t="str">
        <f t="shared" si="70"/>
        <v>Oppose</v>
      </c>
      <c r="AT184" s="32">
        <f t="shared" si="71"/>
        <v>4</v>
      </c>
      <c r="AU184">
        <f>step3_validation[[#This Row],[AI_TRU3]]</f>
        <v>7</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6</v>
      </c>
      <c r="AZ184">
        <f>step3_validation[[#This Row],[AI_TRU4]]</f>
        <v>7</v>
      </c>
      <c r="BA184" t="str">
        <f t="shared" si="75"/>
        <v>Neutral</v>
      </c>
      <c r="BB184">
        <f>survey_responses[[#This Row],[Tôi thấy Nhà nước đã giải thích rõ ràng, minh bạch về lý do và mục tiêu của việc sửa đổi thuế lần này. - HUMAN-TRU4]]</f>
        <v>5</v>
      </c>
      <c r="BC184" t="str">
        <f t="shared" si="76"/>
        <v>Neutral</v>
      </c>
      <c r="BD184" s="32">
        <f t="shared" si="77"/>
        <v>2</v>
      </c>
      <c r="BE184">
        <f>step3_validation[[#This Row],[AI_OUT1]]</f>
        <v>8</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3</v>
      </c>
    </row>
    <row r="185" spans="1:61" x14ac:dyDescent="0.45">
      <c r="A185" s="30">
        <f>step3_validation[[#This Row],[Persona_ID]]</f>
        <v>184</v>
      </c>
      <c r="B185" s="31">
        <f>step3_validation[[#This Row],[Used_Seed]]</f>
        <v>225</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15.012643056992911</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6</v>
      </c>
      <c r="R185" t="str">
        <f t="shared" si="54"/>
        <v>Neutral</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0</v>
      </c>
      <c r="V185">
        <f>step3_validation[[#This Row],[AI_ENF2]]</f>
        <v>7</v>
      </c>
      <c r="W185" t="str">
        <f t="shared" si="57"/>
        <v>Neutral</v>
      </c>
      <c r="X185">
        <f>survey_responses[[#This Row],[Tôi tin rằng Nhà nước, cơ quan thuế có đủ khả năng và công nghệ để phát hiện, xử lý nghiêm các hành vi trốn thuế. - HUMAN-ENF2]]</f>
        <v>6</v>
      </c>
      <c r="Y185" t="str">
        <f t="shared" si="58"/>
        <v>Neutral</v>
      </c>
      <c r="Z185" s="32">
        <f t="shared" si="59"/>
        <v>1</v>
      </c>
      <c r="AA185">
        <f>step3_validation[[#This Row],[AI_FAC1]]</f>
        <v>8</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3</v>
      </c>
      <c r="AF185">
        <f>step3_validation[[#This Row],[AI_FAC2]]</f>
        <v>9</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0</v>
      </c>
      <c r="AK185">
        <f>step3_validation[[#This Row],[AI_TRU1]]</f>
        <v>7</v>
      </c>
      <c r="AL185" t="str">
        <f t="shared" si="66"/>
        <v>Neutral</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0</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0</v>
      </c>
      <c r="AU185">
        <f>step3_validation[[#This Row],[AI_TRU3]]</f>
        <v>7</v>
      </c>
      <c r="AV185" t="str">
        <f t="shared" si="72"/>
        <v>Neutral</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2</v>
      </c>
      <c r="AZ185">
        <f>step3_validation[[#This Row],[AI_TRU4]]</f>
        <v>9</v>
      </c>
      <c r="BA185" t="str">
        <f t="shared" si="75"/>
        <v>Support</v>
      </c>
      <c r="BB185">
        <f>survey_responses[[#This Row],[Tôi thấy Nhà nước đã giải thích rõ ràng, minh bạch về lý do và mục tiêu của việc sửa đổi thuế lần này. - HUMAN-TRU4]]</f>
        <v>7</v>
      </c>
      <c r="BC185" t="str">
        <f t="shared" si="76"/>
        <v>Neutral</v>
      </c>
      <c r="BD185" s="32">
        <f t="shared" si="77"/>
        <v>2</v>
      </c>
      <c r="BE185">
        <f>step3_validation[[#This Row],[AI_OUT1]]</f>
        <v>8</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1</v>
      </c>
    </row>
    <row r="186" spans="1:61" x14ac:dyDescent="0.45">
      <c r="A186" s="30">
        <f>step3_validation[[#This Row],[Persona_ID]]</f>
        <v>185</v>
      </c>
      <c r="B186" s="31">
        <f>step3_validation[[#This Row],[Used_Seed]]</f>
        <v>226</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42.080401541989907</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7</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0</v>
      </c>
      <c r="V186">
        <f>step3_validation[[#This Row],[AI_ENF2]]</f>
        <v>8</v>
      </c>
      <c r="W186" t="str">
        <f t="shared" si="57"/>
        <v>Support</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9</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3</v>
      </c>
      <c r="AF186">
        <f>step3_validation[[#This Row],[AI_FAC2]]</f>
        <v>8</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0</v>
      </c>
      <c r="AK186">
        <f>step3_validation[[#This Row],[AI_TRU1]]</f>
        <v>7</v>
      </c>
      <c r="AL186" t="str">
        <f t="shared" si="66"/>
        <v>Neutral</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2</v>
      </c>
      <c r="AP186">
        <f>step3_validation[[#This Row],[AI_TRU2]]</f>
        <v>8</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3</v>
      </c>
      <c r="AU186">
        <f>step3_validation[[#This Row],[AI_TRU3]]</f>
        <v>7</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2</v>
      </c>
      <c r="AZ186">
        <f>step3_validation[[#This Row],[AI_TRU4]]</f>
        <v>6</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0</v>
      </c>
      <c r="BE186">
        <f>step3_validation[[#This Row],[AI_OUT1]]</f>
        <v>8</v>
      </c>
      <c r="BF186" t="str">
        <f t="shared" si="78"/>
        <v>Support</v>
      </c>
      <c r="BG186">
        <f>survey_responses[[#This Row],[Sau khi xem xét các quyền lợi và nghĩa vụ, bạn có ủng hộ và tuân thủ chính sách mới hiện nay? - HUMAN-OUT1]]</f>
        <v>5</v>
      </c>
      <c r="BH186" t="str">
        <f t="shared" si="79"/>
        <v>Neutral</v>
      </c>
      <c r="BI186" s="32">
        <f t="shared" si="80"/>
        <v>3</v>
      </c>
    </row>
    <row r="187" spans="1:61" x14ac:dyDescent="0.45">
      <c r="A187" s="30">
        <f>step3_validation[[#This Row],[Persona_ID]]</f>
        <v>186</v>
      </c>
      <c r="B187" s="31">
        <f>step3_validation[[#This Row],[Used_Seed]]</f>
        <v>227</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14.484309154571465</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6</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1</v>
      </c>
      <c r="V187">
        <f>step3_validation[[#This Row],[AI_ENF2]]</f>
        <v>7</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0</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9</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2</v>
      </c>
      <c r="AK187">
        <f>step3_validation[[#This Row],[AI_TRU1]]</f>
        <v>7</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2</v>
      </c>
      <c r="AP187">
        <f>step3_validation[[#This Row],[AI_TRU2]]</f>
        <v>8</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3</v>
      </c>
      <c r="AU187">
        <f>step3_validation[[#This Row],[AI_TRU3]]</f>
        <v>6</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1</v>
      </c>
      <c r="AZ187">
        <f>step3_validation[[#This Row],[AI_TRU4]]</f>
        <v>7</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2</v>
      </c>
      <c r="BE187">
        <f>step3_validation[[#This Row],[AI_OUT1]]</f>
        <v>8</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2</v>
      </c>
    </row>
    <row r="188" spans="1:61" x14ac:dyDescent="0.45">
      <c r="A188" s="30">
        <f>step3_validation[[#This Row],[Persona_ID]]</f>
        <v>187</v>
      </c>
      <c r="B188" s="31">
        <f>step3_validation[[#This Row],[Used_Seed]]</f>
        <v>228</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41.921140187625873</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6</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8</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2</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8</v>
      </c>
      <c r="AL188" t="str">
        <f t="shared" si="66"/>
        <v>Support</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2</v>
      </c>
      <c r="AP188">
        <f>step3_validation[[#This Row],[AI_TRU2]]</f>
        <v>7</v>
      </c>
      <c r="AQ188" t="str">
        <f t="shared" si="69"/>
        <v>Neutral</v>
      </c>
      <c r="AR188">
        <f>survey_responses[[#This Row],[Tôi thấy mức thuế tôi phải đóng theo phương án mới là công bằng (người thu nhập như tôi đóng mức này là hợp lý). - HUMAN-TRU2]]</f>
        <v>6</v>
      </c>
      <c r="AS188" t="str">
        <f t="shared" si="70"/>
        <v>Neutral</v>
      </c>
      <c r="AT188" s="32">
        <f t="shared" si="71"/>
        <v>1</v>
      </c>
      <c r="AU188">
        <f>step3_validation[[#This Row],[AI_TRU3]]</f>
        <v>8</v>
      </c>
      <c r="AV188" t="str">
        <f t="shared" si="72"/>
        <v>Support</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3</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8</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2</v>
      </c>
    </row>
    <row r="189" spans="1:61" x14ac:dyDescent="0.45">
      <c r="A189" s="30">
        <f>step3_validation[[#This Row],[Persona_ID]]</f>
        <v>188</v>
      </c>
      <c r="B189" s="31">
        <f>step3_validation[[#This Row],[Used_Seed]]</f>
        <v>229</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30.050396378220924</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8</v>
      </c>
      <c r="R189" t="str">
        <f t="shared" si="54"/>
        <v>Support</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3</v>
      </c>
      <c r="V189">
        <f>step3_validation[[#This Row],[AI_ENF2]]</f>
        <v>9</v>
      </c>
      <c r="W189" t="str">
        <f t="shared" si="57"/>
        <v>Support</v>
      </c>
      <c r="X189">
        <f>survey_responses[[#This Row],[Tôi tin rằng Nhà nước, cơ quan thuế có đủ khả năng và công nghệ để phát hiện, xử lý nghiêm các hành vi trốn thuế. - HUMAN-ENF2]]</f>
        <v>5</v>
      </c>
      <c r="Y189" t="str">
        <f t="shared" si="58"/>
        <v>Neutral</v>
      </c>
      <c r="Z189" s="32">
        <f t="shared" si="59"/>
        <v>4</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3</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8</v>
      </c>
      <c r="AV189" t="str">
        <f t="shared" si="72"/>
        <v>Support</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3</v>
      </c>
      <c r="AZ189">
        <f>step3_validation[[#This Row],[AI_TRU4]]</f>
        <v>7</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2</v>
      </c>
      <c r="BE189">
        <f>step3_validation[[#This Row],[AI_OUT1]]</f>
        <v>8</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3</v>
      </c>
    </row>
    <row r="190" spans="1:61" x14ac:dyDescent="0.45">
      <c r="A190" s="30">
        <f>step3_validation[[#This Row],[Persona_ID]]</f>
        <v>189</v>
      </c>
      <c r="B190" s="31">
        <f>step3_validation[[#This Row],[Used_Seed]]</f>
        <v>230</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48.173458996346668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8</v>
      </c>
      <c r="W190" t="str">
        <f t="shared" si="57"/>
        <v>Support</v>
      </c>
      <c r="X190">
        <f>survey_responses[[#This Row],[Tôi tin rằng Nhà nước, cơ quan thuế có đủ khả năng và công nghệ để phát hiện, xử lý nghiêm các hành vi trốn thuế. - HUMAN-ENF2]]</f>
        <v>8</v>
      </c>
      <c r="Y190" t="str">
        <f t="shared" si="58"/>
        <v>Support</v>
      </c>
      <c r="Z190" s="32">
        <f t="shared" si="59"/>
        <v>0</v>
      </c>
      <c r="AA190">
        <f>step3_validation[[#This Row],[AI_FAC1]]</f>
        <v>6</v>
      </c>
      <c r="AB190" t="str">
        <f t="shared" si="60"/>
        <v>Neutral</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1</v>
      </c>
      <c r="AF190">
        <f>step3_validation[[#This Row],[AI_FAC2]]</f>
        <v>8</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1</v>
      </c>
      <c r="AK190">
        <f>step3_validation[[#This Row],[AI_TRU1]]</f>
        <v>7</v>
      </c>
      <c r="AL190" t="str">
        <f t="shared" si="66"/>
        <v>Neutral</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1</v>
      </c>
      <c r="AP190">
        <f>step3_validation[[#This Row],[AI_TRU2]]</f>
        <v>8</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0</v>
      </c>
      <c r="AU190">
        <f>step3_validation[[#This Row],[AI_TRU3]]</f>
        <v>7</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2</v>
      </c>
      <c r="AZ190">
        <f>step3_validation[[#This Row],[AI_TRU4]]</f>
        <v>8</v>
      </c>
      <c r="BA190" t="str">
        <f t="shared" si="75"/>
        <v>Support</v>
      </c>
      <c r="BB190">
        <f>survey_responses[[#This Row],[Tôi thấy Nhà nước đã giải thích rõ ràng, minh bạch về lý do và mục tiêu của việc sửa đổi thuế lần này. - HUMAN-TRU4]]</f>
        <v>7</v>
      </c>
      <c r="BC190" t="str">
        <f t="shared" si="76"/>
        <v>Neutral</v>
      </c>
      <c r="BD190" s="32">
        <f t="shared" si="77"/>
        <v>1</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231</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27.38214382940086</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0</v>
      </c>
      <c r="V191">
        <f>step3_validation[[#This Row],[AI_ENF2]]</f>
        <v>6</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9</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7</v>
      </c>
      <c r="AL191" t="str">
        <f t="shared" si="66"/>
        <v>Neutral</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4</v>
      </c>
      <c r="AP191">
        <f>step3_validation[[#This Row],[AI_TRU2]]</f>
        <v>8</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2">
        <f t="shared" si="71"/>
        <v>5</v>
      </c>
      <c r="AU191">
        <f>step3_validation[[#This Row],[AI_TRU3]]</f>
        <v>7</v>
      </c>
      <c r="AV191" t="str">
        <f t="shared" si="72"/>
        <v>Neutral</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5</v>
      </c>
      <c r="AZ191">
        <f>step3_validation[[#This Row],[AI_TRU4]]</f>
        <v>6</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3</v>
      </c>
      <c r="BE191">
        <f>step3_validation[[#This Row],[AI_OUT1]]</f>
        <v>7</v>
      </c>
      <c r="BF191" t="str">
        <f t="shared" si="78"/>
        <v>Neutral</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232</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60.170666301539462</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7</v>
      </c>
      <c r="AB192" t="str">
        <f t="shared" si="60"/>
        <v>Neutral</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1</v>
      </c>
      <c r="AF192">
        <f>step3_validation[[#This Row],[AI_FAC2]]</f>
        <v>9</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1</v>
      </c>
      <c r="AK192">
        <f>step3_validation[[#This Row],[AI_TRU1]]</f>
        <v>6</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1</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6</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1</v>
      </c>
      <c r="AZ192">
        <f>step3_validation[[#This Row],[AI_TRU4]]</f>
        <v>7</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0</v>
      </c>
      <c r="BE192">
        <f>step3_validation[[#This Row],[AI_OUT1]]</f>
        <v>6</v>
      </c>
      <c r="BF192" t="str">
        <f t="shared" si="78"/>
        <v>Neutral</v>
      </c>
      <c r="BG192">
        <f>survey_responses[[#This Row],[Sau khi xem xét các quyền lợi và nghĩa vụ, bạn có ủng hộ và tuân thủ chính sách mới hiện nay? - HUMAN-OUT1]]</f>
        <v>7</v>
      </c>
      <c r="BH192" t="str">
        <f t="shared" si="79"/>
        <v>Neutral</v>
      </c>
      <c r="BI192" s="32">
        <f t="shared" si="80"/>
        <v>1</v>
      </c>
    </row>
    <row r="193" spans="1:61" x14ac:dyDescent="0.45">
      <c r="A193" s="30">
        <f>step3_validation[[#This Row],[Persona_ID]]</f>
        <v>192</v>
      </c>
      <c r="B193" s="31">
        <f>step3_validation[[#This Row],[Used_Seed]]</f>
        <v>233</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18.378055569808161</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1</v>
      </c>
      <c r="V193">
        <f>step3_validation[[#This Row],[AI_ENF2]]</f>
        <v>8</v>
      </c>
      <c r="W193" t="str">
        <f t="shared" si="57"/>
        <v>Support</v>
      </c>
      <c r="X193">
        <f>survey_responses[[#This Row],[Tôi tin rằng Nhà nước, cơ quan thuế có đủ khả năng và công nghệ để phát hiện, xử lý nghiêm các hành vi trốn thuế. - HUMAN-ENF2]]</f>
        <v>8</v>
      </c>
      <c r="Y193" t="str">
        <f t="shared" si="58"/>
        <v>Support</v>
      </c>
      <c r="Z193" s="32">
        <f t="shared" si="59"/>
        <v>0</v>
      </c>
      <c r="AA193">
        <f>step3_validation[[#This Row],[AI_FAC1]]</f>
        <v>5</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4</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1</v>
      </c>
      <c r="AK193">
        <f>step3_validation[[#This Row],[AI_TRU1]]</f>
        <v>7</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2</v>
      </c>
      <c r="AP193">
        <f>step3_validation[[#This Row],[AI_TRU2]]</f>
        <v>6</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3</v>
      </c>
      <c r="AU193">
        <f>step3_validation[[#This Row],[AI_TRU3]]</f>
        <v>7</v>
      </c>
      <c r="AV193" t="str">
        <f t="shared" si="72"/>
        <v>Neutral</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1</v>
      </c>
      <c r="AZ193">
        <f>step3_validation[[#This Row],[AI_TRU4]]</f>
        <v>6</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2</v>
      </c>
      <c r="BE193">
        <f>step3_validation[[#This Row],[AI_OUT1]]</f>
        <v>5</v>
      </c>
      <c r="BF193" t="str">
        <f t="shared" si="78"/>
        <v>Neutral</v>
      </c>
      <c r="BG193">
        <f>survey_responses[[#This Row],[Sau khi xem xét các quyền lợi và nghĩa vụ, bạn có ủng hộ và tuân thủ chính sách mới hiện nay? - HUMAN-OUT1]]</f>
        <v>9</v>
      </c>
      <c r="BH193" t="str">
        <f t="shared" si="79"/>
        <v>Support</v>
      </c>
      <c r="BI193" s="32">
        <f t="shared" si="80"/>
        <v>4</v>
      </c>
    </row>
    <row r="194" spans="1:61" x14ac:dyDescent="0.45">
      <c r="A194" s="30">
        <f>step3_validation[[#This Row],[Persona_ID]]</f>
        <v>193</v>
      </c>
      <c r="B194" s="31">
        <f>step3_validation[[#This Row],[Used_Seed]]</f>
        <v>234</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29.40336277047918</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t="str">
        <f t="shared" si="54"/>
        <v>Support</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7</v>
      </c>
      <c r="V194">
        <f>step3_validation[[#This Row],[AI_ENF2]]</f>
        <v>9</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2">
        <f t="shared" si="59"/>
        <v>8</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7</v>
      </c>
      <c r="AG194" t="str">
        <f t="shared" si="63"/>
        <v>Neutral</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2</v>
      </c>
      <c r="AK194">
        <f>step3_validation[[#This Row],[AI_TRU1]]</f>
        <v>8</v>
      </c>
      <c r="AL194" t="str">
        <f t="shared" si="66"/>
        <v>Support</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3</v>
      </c>
      <c r="AP194">
        <f>step3_validation[[#This Row],[AI_TRU2]]</f>
        <v>7</v>
      </c>
      <c r="AQ194" t="str">
        <f t="shared" si="69"/>
        <v>Neutral</v>
      </c>
      <c r="AR194">
        <f>survey_responses[[#This Row],[Tôi thấy mức thuế tôi phải đóng theo phương án mới là công bằng (người thu nhập như tôi đóng mức này là hợp lý). - HUMAN-TRU2]]</f>
        <v>7</v>
      </c>
      <c r="AS194" t="str">
        <f t="shared" si="70"/>
        <v>Neutral</v>
      </c>
      <c r="AT194" s="32">
        <f t="shared" si="71"/>
        <v>0</v>
      </c>
      <c r="AU194">
        <f>step3_validation[[#This Row],[AI_TRU3]]</f>
        <v>8</v>
      </c>
      <c r="AV194" t="str">
        <f t="shared" si="72"/>
        <v>Support</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6</v>
      </c>
      <c r="AZ194">
        <f>step3_validation[[#This Row],[AI_TRU4]]</f>
        <v>6</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1</v>
      </c>
      <c r="BE194">
        <f>step3_validation[[#This Row],[AI_OUT1]]</f>
        <v>8</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3</v>
      </c>
    </row>
    <row r="195" spans="1:61" x14ac:dyDescent="0.45">
      <c r="A195" s="30">
        <f>step3_validation[[#This Row],[Persona_ID]]</f>
        <v>194</v>
      </c>
      <c r="B195" s="31">
        <f>step3_validation[[#This Row],[Used_Seed]]</f>
        <v>235</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19.995689780148481</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3</v>
      </c>
      <c r="V195">
        <f>step3_validation[[#This Row],[AI_ENF2]]</f>
        <v>6</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4</v>
      </c>
      <c r="AA195">
        <f>step3_validation[[#This Row],[AI_FAC1]]</f>
        <v>8</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2</v>
      </c>
      <c r="AF195">
        <f>step3_validation[[#This Row],[AI_FAC2]]</f>
        <v>9</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5</v>
      </c>
      <c r="AK195">
        <f>step3_validation[[#This Row],[AI_TRU1]]</f>
        <v>8</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0</v>
      </c>
      <c r="AP195">
        <f>step3_validation[[#This Row],[AI_TRU2]]</f>
        <v>7</v>
      </c>
      <c r="AQ195" t="str">
        <f t="shared" ref="AQ195:AQ258" si="96">IF(AND(AP195&gt;=1,AP195&lt;5),"Oppose",IF(AND(AP195&gt;=5,AP195&lt;8),"Neutral",IF(AND(AP195&gt;=8,AP195&lt;=10),"Support","")))</f>
        <v>Neutral</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4</v>
      </c>
      <c r="AU195">
        <f>step3_validation[[#This Row],[AI_TRU3]]</f>
        <v>8</v>
      </c>
      <c r="AV195" t="str">
        <f t="shared" ref="AV195:AV258" si="99">IF(AND(AU195&gt;=1,AU195&lt;5),"Oppose",IF(AND(AU195&gt;=5,AU195&lt;8),"Neutral",IF(AND(AU195&gt;=8,AU195&lt;=10),"Support","")))</f>
        <v>Support</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2</v>
      </c>
      <c r="AZ195">
        <f>step3_validation[[#This Row],[AI_TRU4]]</f>
        <v>5</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5</v>
      </c>
      <c r="BE195">
        <f>step3_validation[[#This Row],[AI_OUT1]]</f>
        <v>7</v>
      </c>
      <c r="BF195" t="str">
        <f t="shared" ref="BF195:BF258" si="105">IF(AND(BE195&gt;=1,BE195&lt;5),"Oppose",IF(AND(BE195&gt;=5,BE195&lt;8),"Neutral",IF(AND(BE195&gt;=8,BE195&lt;=10),"Support","")))</f>
        <v>Neutral</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3</v>
      </c>
    </row>
    <row r="196" spans="1:61" x14ac:dyDescent="0.45">
      <c r="A196" s="30">
        <f>step3_validation[[#This Row],[Persona_ID]]</f>
        <v>195</v>
      </c>
      <c r="B196" s="31">
        <f>step3_validation[[#This Row],[Used_Seed]]</f>
        <v>236</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16.13816392833397</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t="str">
        <f t="shared" si="81"/>
        <v>Support</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1</v>
      </c>
      <c r="V196">
        <f>step3_validation[[#This Row],[AI_ENF2]]</f>
        <v>7</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2">
        <f t="shared" si="86"/>
        <v>2</v>
      </c>
      <c r="AA196">
        <f>step3_validation[[#This Row],[AI_FAC1]]</f>
        <v>8</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3</v>
      </c>
      <c r="AF196">
        <f>step3_validation[[#This Row],[AI_FAC2]]</f>
        <v>7</v>
      </c>
      <c r="AG196" t="str">
        <f t="shared" si="90"/>
        <v>Neutral</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2</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6</v>
      </c>
      <c r="AQ196" t="str">
        <f t="shared" si="96"/>
        <v>Neutral</v>
      </c>
      <c r="AR196">
        <f>survey_responses[[#This Row],[Tôi thấy mức thuế tôi phải đóng theo phương án mới là công bằng (người thu nhập như tôi đóng mức này là hợp lý). - HUMAN-TRU2]]</f>
        <v>7</v>
      </c>
      <c r="AS196" t="str">
        <f t="shared" si="97"/>
        <v>Neutral</v>
      </c>
      <c r="AT196" s="32">
        <f t="shared" si="98"/>
        <v>1</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7</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8</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0</v>
      </c>
    </row>
    <row r="197" spans="1:61" x14ac:dyDescent="0.45">
      <c r="A197" s="30">
        <f>step3_validation[[#This Row],[Persona_ID]]</f>
        <v>196</v>
      </c>
      <c r="B197" s="31">
        <f>step3_validation[[#This Row],[Used_Seed]]</f>
        <v>237</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14.388269521510457</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8</v>
      </c>
      <c r="R197" t="str">
        <f t="shared" si="81"/>
        <v>Support</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1</v>
      </c>
      <c r="V197">
        <f>step3_validation[[#This Row],[AI_ENF2]]</f>
        <v>7</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2</v>
      </c>
      <c r="AA197">
        <f>step3_validation[[#This Row],[AI_FAC1]]</f>
        <v>9</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0</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7</v>
      </c>
      <c r="AL197" t="str">
        <f t="shared" si="93"/>
        <v>Neutral</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2</v>
      </c>
      <c r="AP197">
        <f>step3_validation[[#This Row],[AI_TRU2]]</f>
        <v>6</v>
      </c>
      <c r="AQ197" t="str">
        <f t="shared" si="96"/>
        <v>Neutral</v>
      </c>
      <c r="AR197">
        <f>survey_responses[[#This Row],[Tôi thấy mức thuế tôi phải đóng theo phương án mới là công bằng (người thu nhập như tôi đóng mức này là hợp lý). - HUMAN-TRU2]]</f>
        <v>9</v>
      </c>
      <c r="AS197" t="str">
        <f t="shared" si="97"/>
        <v>Support</v>
      </c>
      <c r="AT197" s="32">
        <f t="shared" si="98"/>
        <v>3</v>
      </c>
      <c r="AU197">
        <f>step3_validation[[#This Row],[AI_TRU3]]</f>
        <v>7</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2</v>
      </c>
      <c r="AZ197">
        <f>step3_validation[[#This Row],[AI_TRU4]]</f>
        <v>5</v>
      </c>
      <c r="BA197" t="str">
        <f t="shared" si="102"/>
        <v>Neutral</v>
      </c>
      <c r="BB197">
        <f>survey_responses[[#This Row],[Tôi thấy Nhà nước đã giải thích rõ ràng, minh bạch về lý do và mục tiêu của việc sửa đổi thuế lần này. - HUMAN-TRU4]]</f>
        <v>9</v>
      </c>
      <c r="BC197" t="str">
        <f t="shared" si="103"/>
        <v>Support</v>
      </c>
      <c r="BD197" s="32">
        <f t="shared" si="104"/>
        <v>4</v>
      </c>
      <c r="BE197">
        <f>step3_validation[[#This Row],[AI_OUT1]]</f>
        <v>7</v>
      </c>
      <c r="BF197" t="str">
        <f t="shared" si="105"/>
        <v>Neutral</v>
      </c>
      <c r="BG197">
        <f>survey_responses[[#This Row],[Sau khi xem xét các quyền lợi và nghĩa vụ, bạn có ủng hộ và tuân thủ chính sách mới hiện nay? - HUMAN-OUT1]]</f>
        <v>9</v>
      </c>
      <c r="BH197" t="str">
        <f t="shared" si="106"/>
        <v>Support</v>
      </c>
      <c r="BI197" s="32">
        <f t="shared" si="107"/>
        <v>2</v>
      </c>
    </row>
    <row r="198" spans="1:61" x14ac:dyDescent="0.45">
      <c r="A198" s="30">
        <f>step3_validation[[#This Row],[Persona_ID]]</f>
        <v>197</v>
      </c>
      <c r="B198" s="31">
        <f>step3_validation[[#This Row],[Used_Seed]]</f>
        <v>238</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14.059460061894319</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7</v>
      </c>
      <c r="R198" t="str">
        <f t="shared" si="81"/>
        <v>Neutral</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2</v>
      </c>
      <c r="V198">
        <f>step3_validation[[#This Row],[AI_ENF2]]</f>
        <v>8</v>
      </c>
      <c r="W198" t="str">
        <f t="shared" si="84"/>
        <v>Support</v>
      </c>
      <c r="X198">
        <f>survey_responses[[#This Row],[Tôi tin rằng Nhà nước, cơ quan thuế có đủ khả năng và công nghệ để phát hiện, xử lý nghiêm các hành vi trốn thuế. - HUMAN-ENF2]]</f>
        <v>10</v>
      </c>
      <c r="Y198" t="str">
        <f t="shared" si="85"/>
        <v>Support</v>
      </c>
      <c r="Z198" s="32">
        <f t="shared" si="86"/>
        <v>2</v>
      </c>
      <c r="AA198">
        <f>step3_validation[[#This Row],[AI_FAC1]]</f>
        <v>9</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1</v>
      </c>
      <c r="AF198">
        <f>step3_validation[[#This Row],[AI_FAC2]]</f>
        <v>8</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1</v>
      </c>
      <c r="AK198">
        <f>step3_validation[[#This Row],[AI_TRU1]]</f>
        <v>7</v>
      </c>
      <c r="AL198" t="str">
        <f t="shared" si="93"/>
        <v>Neutral</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3</v>
      </c>
      <c r="AP198">
        <f>step3_validation[[#This Row],[AI_TRU2]]</f>
        <v>8</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2</v>
      </c>
      <c r="AU198">
        <f>step3_validation[[#This Row],[AI_TRU3]]</f>
        <v>7</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3</v>
      </c>
      <c r="AZ198">
        <f>step3_validation[[#This Row],[AI_TRU4]]</f>
        <v>6</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3</v>
      </c>
      <c r="BE198">
        <f>step3_validation[[#This Row],[AI_OUT1]]</f>
        <v>8</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2</v>
      </c>
    </row>
    <row r="199" spans="1:61" x14ac:dyDescent="0.45">
      <c r="A199" s="30">
        <f>step3_validation[[#This Row],[Persona_ID]]</f>
        <v>198</v>
      </c>
      <c r="B199" s="31">
        <f>step3_validation[[#This Row],[Used_Seed]]</f>
        <v>239</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12.075831763481782</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7</v>
      </c>
      <c r="R199" t="str">
        <f t="shared" si="81"/>
        <v>Neutral</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2</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2">
        <f t="shared" si="86"/>
        <v>3</v>
      </c>
      <c r="AA199">
        <f>step3_validation[[#This Row],[AI_FAC1]]</f>
        <v>9</v>
      </c>
      <c r="AB199" t="str">
        <f t="shared" si="87"/>
        <v>Support</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4</v>
      </c>
      <c r="AF199">
        <f>step3_validation[[#This Row],[AI_FAC2]]</f>
        <v>9</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4</v>
      </c>
      <c r="AK199">
        <f>step3_validation[[#This Row],[AI_TRU1]]</f>
        <v>8</v>
      </c>
      <c r="AL199" t="str">
        <f t="shared" si="93"/>
        <v>Support</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3</v>
      </c>
      <c r="AP199">
        <f>step3_validation[[#This Row],[AI_TRU2]]</f>
        <v>7</v>
      </c>
      <c r="AQ199" t="str">
        <f t="shared" si="96"/>
        <v>Neutral</v>
      </c>
      <c r="AR199">
        <f>survey_responses[[#This Row],[Tôi thấy mức thuế tôi phải đóng theo phương án mới là công bằng (người thu nhập như tôi đóng mức này là hợp lý). - HUMAN-TRU2]]</f>
        <v>5</v>
      </c>
      <c r="AS199" t="str">
        <f t="shared" si="97"/>
        <v>Neutral</v>
      </c>
      <c r="AT199" s="32">
        <f t="shared" si="98"/>
        <v>2</v>
      </c>
      <c r="AU199">
        <f>step3_validation[[#This Row],[AI_TRU3]]</f>
        <v>8</v>
      </c>
      <c r="AV199" t="str">
        <f t="shared" si="99"/>
        <v>Support</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3</v>
      </c>
      <c r="AZ199">
        <f>step3_validation[[#This Row],[AI_TRU4]]</f>
        <v>6</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2</v>
      </c>
      <c r="BE199">
        <f>step3_validation[[#This Row],[AI_OUT1]]</f>
        <v>7</v>
      </c>
      <c r="BF199" t="str">
        <f t="shared" si="105"/>
        <v>Neutral</v>
      </c>
      <c r="BG199">
        <f>survey_responses[[#This Row],[Sau khi xem xét các quyền lợi và nghĩa vụ, bạn có ủng hộ và tuân thủ chính sách mới hiện nay? - HUMAN-OUT1]]</f>
        <v>5</v>
      </c>
      <c r="BH199" t="str">
        <f t="shared" si="106"/>
        <v>Neutral</v>
      </c>
      <c r="BI199" s="32">
        <f t="shared" si="107"/>
        <v>2</v>
      </c>
    </row>
    <row r="200" spans="1:61" x14ac:dyDescent="0.45">
      <c r="A200" s="30">
        <f>step3_validation[[#This Row],[Persona_ID]]</f>
        <v>199</v>
      </c>
      <c r="B200" s="31">
        <f>step3_validation[[#This Row],[Used_Seed]]</f>
        <v>240</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t="str">
        <f t="shared" si="81"/>
        <v>Support</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1</v>
      </c>
      <c r="V200">
        <f>step3_validation[[#This Row],[AI_ENF2]]</f>
        <v>9</v>
      </c>
      <c r="W200" t="str">
        <f t="shared" si="84"/>
        <v>Support</v>
      </c>
      <c r="X200">
        <f>survey_responses[[#This Row],[Tôi tin rằng Nhà nước, cơ quan thuế có đủ khả năng và công nghệ để phát hiện, xử lý nghiêm các hành vi trốn thuế. - HUMAN-ENF2]]</f>
        <v>8</v>
      </c>
      <c r="Y200" t="str">
        <f t="shared" si="85"/>
        <v>Support</v>
      </c>
      <c r="Z200" s="32">
        <f t="shared" si="86"/>
        <v>1</v>
      </c>
      <c r="AA200">
        <f>step3_validation[[#This Row],[AI_FAC1]]</f>
        <v>8</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1</v>
      </c>
      <c r="AF200">
        <f>step3_validation[[#This Row],[AI_FAC2]]</f>
        <v>7</v>
      </c>
      <c r="AG200" t="str">
        <f t="shared" si="90"/>
        <v>Neutral</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2</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6</v>
      </c>
      <c r="AQ200" t="str">
        <f t="shared" si="96"/>
        <v>Neutral</v>
      </c>
      <c r="AR200">
        <f>survey_responses[[#This Row],[Tôi thấy mức thuế tôi phải đóng theo phương án mới là công bằng (người thu nhập như tôi đóng mức này là hợp lý). - HUMAN-TRU2]]</f>
        <v>9</v>
      </c>
      <c r="AS200" t="str">
        <f t="shared" si="97"/>
        <v>Support</v>
      </c>
      <c r="AT200" s="32">
        <f t="shared" si="98"/>
        <v>3</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3</v>
      </c>
      <c r="BE200">
        <f>step3_validation[[#This Row],[AI_OUT1]]</f>
        <v>7</v>
      </c>
      <c r="BF200" t="str">
        <f t="shared" si="105"/>
        <v>Neutral</v>
      </c>
      <c r="BG200">
        <f>survey_responses[[#This Row],[Sau khi xem xét các quyền lợi và nghĩa vụ, bạn có ủng hộ và tuân thủ chính sách mới hiện nay? - HUMAN-OUT1]]</f>
        <v>10</v>
      </c>
      <c r="BH200" t="str">
        <f t="shared" si="106"/>
        <v>Support</v>
      </c>
      <c r="BI200" s="32">
        <f t="shared" si="107"/>
        <v>3</v>
      </c>
    </row>
    <row r="201" spans="1:61" x14ac:dyDescent="0.45">
      <c r="A201" s="30">
        <f>step3_validation[[#This Row],[Persona_ID]]</f>
        <v>200</v>
      </c>
      <c r="B201" s="31">
        <f>step3_validation[[#This Row],[Used_Seed]]</f>
        <v>241</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76.836958914277432</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8</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4</v>
      </c>
      <c r="V201">
        <f>step3_validation[[#This Row],[AI_ENF2]]</f>
        <v>7</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2">
        <f t="shared" si="86"/>
        <v>3</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7</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3</v>
      </c>
      <c r="AP201">
        <f>step3_validation[[#This Row],[AI_TRU2]]</f>
        <v>8</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3</v>
      </c>
      <c r="AU201">
        <f>step3_validation[[#This Row],[AI_TRU3]]</f>
        <v>6</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5</v>
      </c>
      <c r="AZ201">
        <f>step3_validation[[#This Row],[AI_TRU4]]</f>
        <v>7</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2</v>
      </c>
      <c r="BE201">
        <f>step3_validation[[#This Row],[AI_OUT1]]</f>
        <v>6</v>
      </c>
      <c r="BF201" t="str">
        <f t="shared" si="105"/>
        <v>Neutral</v>
      </c>
      <c r="BG201">
        <f>survey_responses[[#This Row],[Sau khi xem xét các quyền lợi và nghĩa vụ, bạn có ủng hộ và tuân thủ chính sách mới hiện nay? - HUMAN-OUT1]]</f>
        <v>5</v>
      </c>
      <c r="BH201" t="str">
        <f t="shared" si="106"/>
        <v>Neutral</v>
      </c>
      <c r="BI201" s="32">
        <f t="shared" si="107"/>
        <v>1</v>
      </c>
    </row>
    <row r="202" spans="1:61" x14ac:dyDescent="0.45">
      <c r="A202" s="30">
        <f>step3_validation[[#This Row],[Persona_ID]]</f>
        <v>201</v>
      </c>
      <c r="B202" s="31">
        <f>step3_validation[[#This Row],[Used_Seed]]</f>
        <v>242</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49.814620100080369</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7</v>
      </c>
      <c r="R202" t="str">
        <f t="shared" si="81"/>
        <v>Neutral</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2</v>
      </c>
      <c r="V202">
        <f>step3_validation[[#This Row],[AI_ENF2]]</f>
        <v>8</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3</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10</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5</v>
      </c>
      <c r="AK202">
        <f>step3_validation[[#This Row],[AI_TRU1]]</f>
        <v>8</v>
      </c>
      <c r="AL202" t="str">
        <f t="shared" si="93"/>
        <v>Support</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4</v>
      </c>
      <c r="AP202">
        <f>step3_validation[[#This Row],[AI_TRU2]]</f>
        <v>7</v>
      </c>
      <c r="AQ202" t="str">
        <f t="shared" si="96"/>
        <v>Neutral</v>
      </c>
      <c r="AR202">
        <f>survey_responses[[#This Row],[Tôi thấy mức thuế tôi phải đóng theo phương án mới là công bằng (người thu nhập như tôi đóng mức này là hợp lý). - HUMAN-TRU2]]</f>
        <v>2</v>
      </c>
      <c r="AS202" t="str">
        <f t="shared" si="97"/>
        <v>Oppose</v>
      </c>
      <c r="AT202" s="32">
        <f t="shared" si="98"/>
        <v>5</v>
      </c>
      <c r="AU202">
        <f>step3_validation[[#This Row],[AI_TRU3]]</f>
        <v>8</v>
      </c>
      <c r="AV202" t="str">
        <f t="shared" si="99"/>
        <v>Support</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6</v>
      </c>
      <c r="AZ202">
        <f>step3_validation[[#This Row],[AI_TRU4]]</f>
        <v>6</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1</v>
      </c>
      <c r="BE202">
        <f>step3_validation[[#This Row],[AI_OUT1]]</f>
        <v>8</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4</v>
      </c>
    </row>
    <row r="203" spans="1:61" x14ac:dyDescent="0.45">
      <c r="A203" s="30">
        <f>step3_validation[[#This Row],[Persona_ID]]</f>
        <v>202</v>
      </c>
      <c r="B203" s="31">
        <f>step3_validation[[#This Row],[Used_Seed]]</f>
        <v>243</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84.584914020711025</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8</v>
      </c>
      <c r="W203" t="str">
        <f t="shared" si="84"/>
        <v>Support</v>
      </c>
      <c r="X203">
        <f>survey_responses[[#This Row],[Tôi tin rằng Nhà nước, cơ quan thuế có đủ khả năng và công nghệ để phát hiện, xử lý nghiêm các hành vi trốn thuế. - HUMAN-ENF2]]</f>
        <v>8</v>
      </c>
      <c r="Y203" t="str">
        <f t="shared" si="85"/>
        <v>Support</v>
      </c>
      <c r="Z203" s="32">
        <f t="shared" si="86"/>
        <v>0</v>
      </c>
      <c r="AA203">
        <f>step3_validation[[#This Row],[AI_FAC1]]</f>
        <v>9</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1</v>
      </c>
      <c r="AF203">
        <f>step3_validation[[#This Row],[AI_FAC2]]</f>
        <v>8</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7</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0</v>
      </c>
      <c r="AP203">
        <f>step3_validation[[#This Row],[AI_TRU2]]</f>
        <v>6</v>
      </c>
      <c r="AQ203" t="str">
        <f t="shared" si="96"/>
        <v>Neutral</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5</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2</v>
      </c>
      <c r="AZ203">
        <f>step3_validation[[#This Row],[AI_TRU4]]</f>
        <v>6</v>
      </c>
      <c r="BA203" t="str">
        <f t="shared" si="102"/>
        <v>Neutral</v>
      </c>
      <c r="BB203">
        <f>survey_responses[[#This Row],[Tôi thấy Nhà nước đã giải thích rõ ràng, minh bạch về lý do và mục tiêu của việc sửa đổi thuế lần này. - HUMAN-TRU4]]</f>
        <v>8</v>
      </c>
      <c r="BC203" t="str">
        <f t="shared" si="103"/>
        <v>Support</v>
      </c>
      <c r="BD203" s="32">
        <f t="shared" si="104"/>
        <v>2</v>
      </c>
      <c r="BE203">
        <f>step3_validation[[#This Row],[AI_OUT1]]</f>
        <v>7</v>
      </c>
      <c r="BF203" t="str">
        <f t="shared" si="105"/>
        <v>Neutral</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244</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115.63906290880351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5</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0</v>
      </c>
      <c r="V204">
        <f>step3_validation[[#This Row],[AI_ENF2]]</f>
        <v>5</v>
      </c>
      <c r="W204" t="str">
        <f t="shared" si="84"/>
        <v>Neutral</v>
      </c>
      <c r="X204">
        <f>survey_responses[[#This Row],[Tôi tin rằng Nhà nước, cơ quan thuế có đủ khả năng và công nghệ để phát hiện, xử lý nghiêm các hành vi trốn thuế. - HUMAN-ENF2]]</f>
        <v>5</v>
      </c>
      <c r="Y204" t="str">
        <f t="shared" si="85"/>
        <v>Neutral</v>
      </c>
      <c r="Z204" s="32">
        <f t="shared" si="86"/>
        <v>0</v>
      </c>
      <c r="AA204">
        <f>step3_validation[[#This Row],[AI_FAC1]]</f>
        <v>6</v>
      </c>
      <c r="AB204" t="str">
        <f t="shared" si="87"/>
        <v>Neutral</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1</v>
      </c>
      <c r="AF204">
        <f>step3_validation[[#This Row],[AI_FAC2]]</f>
        <v>4</v>
      </c>
      <c r="AG204" t="str">
        <f t="shared" si="90"/>
        <v>Oppose</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1</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2</v>
      </c>
      <c r="AP204">
        <f>step3_validation[[#This Row],[AI_TRU2]]</f>
        <v>6</v>
      </c>
      <c r="AQ204" t="str">
        <f t="shared" si="96"/>
        <v>Neutral</v>
      </c>
      <c r="AR204">
        <f>survey_responses[[#This Row],[Tôi thấy mức thuế tôi phải đóng theo phương án mới là công bằng (người thu nhập như tôi đóng mức này là hợp lý). - HUMAN-TRU2]]</f>
        <v>5</v>
      </c>
      <c r="AS204" t="str">
        <f t="shared" si="97"/>
        <v>Neutral</v>
      </c>
      <c r="AT204" s="32">
        <f t="shared" si="98"/>
        <v>1</v>
      </c>
      <c r="AU204">
        <f>step3_validation[[#This Row],[AI_TRU3]]</f>
        <v>6</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1</v>
      </c>
      <c r="AZ204">
        <f>step3_validation[[#This Row],[AI_TRU4]]</f>
        <v>5</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0</v>
      </c>
      <c r="BE204">
        <f>step3_validation[[#This Row],[AI_OUT1]]</f>
        <v>6</v>
      </c>
      <c r="BF204" t="str">
        <f t="shared" si="105"/>
        <v>Neutral</v>
      </c>
      <c r="BG204">
        <f>survey_responses[[#This Row],[Sau khi xem xét các quyền lợi và nghĩa vụ, bạn có ủng hộ và tuân thủ chính sách mới hiện nay? - HUMAN-OUT1]]</f>
        <v>5</v>
      </c>
      <c r="BH204" t="str">
        <f t="shared" si="106"/>
        <v>Neutral</v>
      </c>
      <c r="BI204" s="32">
        <f t="shared" si="107"/>
        <v>1</v>
      </c>
    </row>
    <row r="205" spans="1:61" x14ac:dyDescent="0.45">
      <c r="A205" s="30">
        <f>step3_validation[[#This Row],[Persona_ID]]</f>
        <v>204</v>
      </c>
      <c r="B205" s="31">
        <f>step3_validation[[#This Row],[Used_Seed]]</f>
        <v>245</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38.112983265146859</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8</v>
      </c>
      <c r="R205" t="str">
        <f t="shared" si="81"/>
        <v>Support</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1</v>
      </c>
      <c r="V205">
        <f>step3_validation[[#This Row],[AI_ENF2]]</f>
        <v>9</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2</v>
      </c>
      <c r="AA205">
        <f>step3_validation[[#This Row],[AI_FAC1]]</f>
        <v>7</v>
      </c>
      <c r="AB205" t="str">
        <f t="shared" si="87"/>
        <v>Neutral</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0</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0</v>
      </c>
      <c r="AK205">
        <f>step3_validation[[#This Row],[AI_TRU1]]</f>
        <v>9</v>
      </c>
      <c r="AL205" t="str">
        <f t="shared" si="93"/>
        <v>Support</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2</v>
      </c>
      <c r="AP205">
        <f>step3_validation[[#This Row],[AI_TRU2]]</f>
        <v>7</v>
      </c>
      <c r="AQ205" t="str">
        <f t="shared" si="96"/>
        <v>Neutral</v>
      </c>
      <c r="AR205">
        <f>survey_responses[[#This Row],[Tôi thấy mức thuế tôi phải đóng theo phương án mới là công bằng (người thu nhập như tôi đóng mức này là hợp lý). - HUMAN-TRU2]]</f>
        <v>7</v>
      </c>
      <c r="AS205" t="str">
        <f t="shared" si="97"/>
        <v>Neutral</v>
      </c>
      <c r="AT205" s="32">
        <f t="shared" si="98"/>
        <v>0</v>
      </c>
      <c r="AU205">
        <f>step3_validation[[#This Row],[AI_TRU3]]</f>
        <v>6</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1</v>
      </c>
      <c r="AZ205">
        <f>step3_validation[[#This Row],[AI_TRU4]]</f>
        <v>7</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0</v>
      </c>
      <c r="BE205">
        <f>step3_validation[[#This Row],[AI_OUT1]]</f>
        <v>8</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246</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25.019283739312534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9</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6</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7</v>
      </c>
      <c r="AA206">
        <f>step3_validation[[#This Row],[AI_FAC1]]</f>
        <v>8</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7</v>
      </c>
      <c r="AF206">
        <f>step3_validation[[#This Row],[AI_FAC2]]</f>
        <v>7</v>
      </c>
      <c r="AG206" t="str">
        <f t="shared" si="90"/>
        <v>Neutral</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2</v>
      </c>
      <c r="AK206">
        <f>step3_validation[[#This Row],[AI_TRU1]]</f>
        <v>8</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7</v>
      </c>
      <c r="AP206">
        <f>step3_validation[[#This Row],[AI_TRU2]]</f>
        <v>8</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7</v>
      </c>
      <c r="AU206">
        <f>step3_validation[[#This Row],[AI_TRU3]]</f>
        <v>9</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8</v>
      </c>
      <c r="AZ206">
        <f>step3_validation[[#This Row],[AI_TRU4]]</f>
        <v>8</v>
      </c>
      <c r="BA206" t="str">
        <f t="shared" si="102"/>
        <v>Support</v>
      </c>
      <c r="BB206">
        <f>survey_responses[[#This Row],[Tôi thấy Nhà nước đã giải thích rõ ràng, minh bạch về lý do và mục tiêu của việc sửa đổi thuế lần này. - HUMAN-TRU4]]</f>
        <v>4</v>
      </c>
      <c r="BC206" t="str">
        <f t="shared" si="103"/>
        <v>Oppose</v>
      </c>
      <c r="BD206" s="32">
        <f t="shared" si="104"/>
        <v>4</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247</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63.930872936395865</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t="str">
        <f t="shared" si="81"/>
        <v>Support</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0</v>
      </c>
      <c r="V207">
        <f>step3_validation[[#This Row],[AI_ENF2]]</f>
        <v>9</v>
      </c>
      <c r="W207" t="str">
        <f t="shared" si="84"/>
        <v>Support</v>
      </c>
      <c r="X207">
        <f>survey_responses[[#This Row],[Tôi tin rằng Nhà nước, cơ quan thuế có đủ khả năng và công nghệ để phát hiện, xử lý nghiêm các hành vi trốn thuế. - HUMAN-ENF2]]</f>
        <v>8</v>
      </c>
      <c r="Y207" t="str">
        <f t="shared" si="85"/>
        <v>Support</v>
      </c>
      <c r="Z207" s="32">
        <f t="shared" si="86"/>
        <v>1</v>
      </c>
      <c r="AA207">
        <f>step3_validation[[#This Row],[AI_FAC1]]</f>
        <v>7</v>
      </c>
      <c r="AB207" t="str">
        <f t="shared" si="87"/>
        <v>Neutral</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2</v>
      </c>
      <c r="AF207">
        <f>step3_validation[[#This Row],[AI_FAC2]]</f>
        <v>8</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1</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8</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2</v>
      </c>
      <c r="AU207">
        <f>step3_validation[[#This Row],[AI_TRU3]]</f>
        <v>7</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1</v>
      </c>
      <c r="AZ207">
        <f>step3_validation[[#This Row],[AI_TRU4]]</f>
        <v>8</v>
      </c>
      <c r="BA207" t="str">
        <f t="shared" si="102"/>
        <v>Support</v>
      </c>
      <c r="BB207">
        <f>survey_responses[[#This Row],[Tôi thấy Nhà nước đã giải thích rõ ràng, minh bạch về lý do và mục tiêu của việc sửa đổi thuế lần này. - HUMAN-TRU4]]</f>
        <v>7</v>
      </c>
      <c r="BC207" t="str">
        <f t="shared" si="103"/>
        <v>Neutral</v>
      </c>
      <c r="BD207" s="32">
        <f t="shared" si="104"/>
        <v>1</v>
      </c>
      <c r="BE207">
        <f>step3_validation[[#This Row],[AI_OUT1]]</f>
        <v>9</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2</v>
      </c>
    </row>
    <row r="208" spans="1:61" x14ac:dyDescent="0.45">
      <c r="A208" s="30">
        <f>step3_validation[[#This Row],[Persona_ID]]</f>
        <v>207</v>
      </c>
      <c r="B208" s="31">
        <f>step3_validation[[#This Row],[Used_Seed]]</f>
        <v>248</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61.72832185961984</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7</v>
      </c>
      <c r="R208" t="str">
        <f t="shared" si="81"/>
        <v>Neutral</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3</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4</v>
      </c>
      <c r="AA208">
        <f>step3_validation[[#This Row],[AI_FAC1]]</f>
        <v>6</v>
      </c>
      <c r="AB208" t="str">
        <f t="shared" si="87"/>
        <v>Neutral</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5</v>
      </c>
      <c r="AF208">
        <f>step3_validation[[#This Row],[AI_FAC2]]</f>
        <v>7</v>
      </c>
      <c r="AG208" t="str">
        <f t="shared" si="90"/>
        <v>Neutral</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5</v>
      </c>
      <c r="AK208">
        <f>step3_validation[[#This Row],[AI_TRU1]]</f>
        <v>8</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7</v>
      </c>
      <c r="AP208">
        <f>step3_validation[[#This Row],[AI_TRU2]]</f>
        <v>7</v>
      </c>
      <c r="AQ208" t="str">
        <f t="shared" si="96"/>
        <v>Neutral</v>
      </c>
      <c r="AR208">
        <f>survey_responses[[#This Row],[Tôi thấy mức thuế tôi phải đóng theo phương án mới là công bằng (người thu nhập như tôi đóng mức này là hợp lý). - HUMAN-TRU2]]</f>
        <v>1</v>
      </c>
      <c r="AS208" t="str">
        <f t="shared" si="97"/>
        <v>Oppose</v>
      </c>
      <c r="AT208" s="32">
        <f t="shared" si="98"/>
        <v>6</v>
      </c>
      <c r="AU208">
        <f>step3_validation[[#This Row],[AI_TRU3]]</f>
        <v>6</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5</v>
      </c>
      <c r="AZ208">
        <f>step3_validation[[#This Row],[AI_TRU4]]</f>
        <v>5</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1</v>
      </c>
      <c r="BE208">
        <f>step3_validation[[#This Row],[AI_OUT1]]</f>
        <v>6</v>
      </c>
      <c r="BF208" t="str">
        <f t="shared" si="105"/>
        <v>Neutral</v>
      </c>
      <c r="BG208">
        <f>survey_responses[[#This Row],[Sau khi xem xét các quyền lợi và nghĩa vụ, bạn có ủng hộ và tuân thủ chính sách mới hiện nay? - HUMAN-OUT1]]</f>
        <v>2</v>
      </c>
      <c r="BH208" t="str">
        <f t="shared" si="106"/>
        <v>Oppose</v>
      </c>
      <c r="BI208" s="32">
        <f t="shared" si="107"/>
        <v>4</v>
      </c>
    </row>
    <row r="209" spans="1:61" x14ac:dyDescent="0.45">
      <c r="A209" s="30">
        <f>step3_validation[[#This Row],[Persona_ID]]</f>
        <v>208</v>
      </c>
      <c r="B209" s="31">
        <f>step3_validation[[#This Row],[Used_Seed]]</f>
        <v>249</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46.236748638937577</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8</v>
      </c>
      <c r="R209" t="str">
        <f t="shared" si="81"/>
        <v>Support</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1</v>
      </c>
      <c r="V209">
        <f>step3_validation[[#This Row],[AI_ENF2]]</f>
        <v>8</v>
      </c>
      <c r="W209" t="str">
        <f t="shared" si="84"/>
        <v>Support</v>
      </c>
      <c r="X209">
        <f>survey_responses[[#This Row],[Tôi tin rằng Nhà nước, cơ quan thuế có đủ khả năng và công nghệ để phát hiện, xử lý nghiêm các hành vi trốn thuế. - HUMAN-ENF2]]</f>
        <v>8</v>
      </c>
      <c r="Y209" t="str">
        <f t="shared" si="85"/>
        <v>Support</v>
      </c>
      <c r="Z209" s="32">
        <f t="shared" si="86"/>
        <v>0</v>
      </c>
      <c r="AA209">
        <f>step3_validation[[#This Row],[AI_FAC1]]</f>
        <v>7</v>
      </c>
      <c r="AB209" t="str">
        <f t="shared" si="87"/>
        <v>Neutral</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1</v>
      </c>
      <c r="AF209">
        <f>step3_validation[[#This Row],[AI_FAC2]]</f>
        <v>7</v>
      </c>
      <c r="AG209" t="str">
        <f t="shared" si="90"/>
        <v>Neutral</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0</v>
      </c>
      <c r="AK209">
        <f>step3_validation[[#This Row],[AI_TRU1]]</f>
        <v>8</v>
      </c>
      <c r="AL209" t="str">
        <f t="shared" si="93"/>
        <v>Support</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2</v>
      </c>
      <c r="AP209">
        <f>step3_validation[[#This Row],[AI_TRU2]]</f>
        <v>7</v>
      </c>
      <c r="AQ209" t="str">
        <f t="shared" si="96"/>
        <v>Neutral</v>
      </c>
      <c r="AR209">
        <f>survey_responses[[#This Row],[Tôi thấy mức thuế tôi phải đóng theo phương án mới là công bằng (người thu nhập như tôi đóng mức này là hợp lý). - HUMAN-TRU2]]</f>
        <v>7</v>
      </c>
      <c r="AS209" t="str">
        <f t="shared" si="97"/>
        <v>Neutral</v>
      </c>
      <c r="AT209" s="32">
        <f t="shared" si="98"/>
        <v>0</v>
      </c>
      <c r="AU209">
        <f>step3_validation[[#This Row],[AI_TRU3]]</f>
        <v>8</v>
      </c>
      <c r="AV209" t="str">
        <f t="shared" si="99"/>
        <v>Support</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2</v>
      </c>
      <c r="AZ209">
        <f>step3_validation[[#This Row],[AI_TRU4]]</f>
        <v>6</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0</v>
      </c>
      <c r="BE209">
        <f>step3_validation[[#This Row],[AI_OUT1]]</f>
        <v>7</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1</v>
      </c>
    </row>
    <row r="210" spans="1:61" x14ac:dyDescent="0.45">
      <c r="A210" s="30">
        <f>step3_validation[[#This Row],[Persona_ID]]</f>
        <v>209</v>
      </c>
      <c r="B210" s="31">
        <f>step3_validation[[#This Row],[Used_Seed]]</f>
        <v>250</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35.059361449202029</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6</v>
      </c>
      <c r="W210" t="str">
        <f t="shared" si="84"/>
        <v>Neutral</v>
      </c>
      <c r="X210">
        <f>survey_responses[[#This Row],[Tôi tin rằng Nhà nước, cơ quan thuế có đủ khả năng và công nghệ để phát hiện, xử lý nghiêm các hành vi trốn thuế. - HUMAN-ENF2]]</f>
        <v>6</v>
      </c>
      <c r="Y210" t="str">
        <f t="shared" si="85"/>
        <v>Neutral</v>
      </c>
      <c r="Z210" s="32">
        <f t="shared" si="86"/>
        <v>0</v>
      </c>
      <c r="AA210">
        <f>step3_validation[[#This Row],[AI_FAC1]]</f>
        <v>8</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2</v>
      </c>
      <c r="AF210">
        <f>step3_validation[[#This Row],[AI_FAC2]]</f>
        <v>7</v>
      </c>
      <c r="AG210" t="str">
        <f t="shared" si="90"/>
        <v>Neutral</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1</v>
      </c>
      <c r="AK210">
        <f>step3_validation[[#This Row],[AI_TRU1]]</f>
        <v>6</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0</v>
      </c>
      <c r="AP210">
        <f>step3_validation[[#This Row],[AI_TRU2]]</f>
        <v>7</v>
      </c>
      <c r="AQ210" t="str">
        <f t="shared" si="96"/>
        <v>Neutral</v>
      </c>
      <c r="AR210">
        <f>survey_responses[[#This Row],[Tôi thấy mức thuế tôi phải đóng theo phương án mới là công bằng (người thu nhập như tôi đóng mức này là hợp lý). - HUMAN-TRU2]]</f>
        <v>5</v>
      </c>
      <c r="AS210" t="str">
        <f t="shared" si="97"/>
        <v>Neutral</v>
      </c>
      <c r="AT210" s="32">
        <f t="shared" si="98"/>
        <v>2</v>
      </c>
      <c r="AU210">
        <f>step3_validation[[#This Row],[AI_TRU3]]</f>
        <v>6</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0</v>
      </c>
      <c r="AZ210">
        <f>step3_validation[[#This Row],[AI_TRU4]]</f>
        <v>7</v>
      </c>
      <c r="BA210" t="str">
        <f t="shared" si="102"/>
        <v>Neutral</v>
      </c>
      <c r="BB210">
        <f>survey_responses[[#This Row],[Tôi thấy Nhà nước đã giải thích rõ ràng, minh bạch về lý do và mục tiêu của việc sửa đổi thuế lần này. - HUMAN-TRU4]]</f>
        <v>6</v>
      </c>
      <c r="BC210" t="str">
        <f t="shared" si="103"/>
        <v>Neutral</v>
      </c>
      <c r="BD210" s="32">
        <f t="shared" si="104"/>
        <v>1</v>
      </c>
      <c r="BE210">
        <f>step3_validation[[#This Row],[AI_OUT1]]</f>
        <v>8</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2</v>
      </c>
    </row>
    <row r="211" spans="1:61" x14ac:dyDescent="0.45">
      <c r="A211" s="30">
        <f>step3_validation[[#This Row],[Persona_ID]]</f>
        <v>210</v>
      </c>
      <c r="B211" s="31">
        <f>step3_validation[[#This Row],[Used_Seed]]</f>
        <v>251</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27.408284809620906</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t="str">
        <f t="shared" si="81"/>
        <v>Support</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1</v>
      </c>
      <c r="V211">
        <f>step3_validation[[#This Row],[AI_ENF2]]</f>
        <v>7</v>
      </c>
      <c r="W211" t="str">
        <f t="shared" si="84"/>
        <v>Neutral</v>
      </c>
      <c r="X211">
        <f>survey_responses[[#This Row],[Tôi tin rằng Nhà nước, cơ quan thuế có đủ khả năng và công nghệ để phát hiện, xử lý nghiêm các hành vi trốn thuế. - HUMAN-ENF2]]</f>
        <v>7</v>
      </c>
      <c r="Y211" t="str">
        <f t="shared" si="85"/>
        <v>Neutral</v>
      </c>
      <c r="Z211" s="32">
        <f t="shared" si="86"/>
        <v>0</v>
      </c>
      <c r="AA211">
        <f>step3_validation[[#This Row],[AI_FAC1]]</f>
        <v>9</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1</v>
      </c>
      <c r="AF211">
        <f>step3_validation[[#This Row],[AI_FAC2]]</f>
        <v>8</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0</v>
      </c>
      <c r="AK211">
        <f>step3_validation[[#This Row],[AI_TRU1]]</f>
        <v>7</v>
      </c>
      <c r="AL211" t="str">
        <f t="shared" si="93"/>
        <v>Neutral</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1</v>
      </c>
      <c r="AP211">
        <f>step3_validation[[#This Row],[AI_TRU2]]</f>
        <v>6</v>
      </c>
      <c r="AQ211" t="str">
        <f t="shared" si="96"/>
        <v>Neutral</v>
      </c>
      <c r="AR211">
        <f>survey_responses[[#This Row],[Tôi thấy mức thuế tôi phải đóng theo phương án mới là công bằng (người thu nhập như tôi đóng mức này là hợp lý). - HUMAN-TRU2]]</f>
        <v>9</v>
      </c>
      <c r="AS211" t="str">
        <f t="shared" si="97"/>
        <v>Support</v>
      </c>
      <c r="AT211" s="32">
        <f t="shared" si="98"/>
        <v>3</v>
      </c>
      <c r="AU211">
        <f>step3_validation[[#This Row],[AI_TRU3]]</f>
        <v>7</v>
      </c>
      <c r="AV211" t="str">
        <f t="shared" si="99"/>
        <v>Neutral</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5</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3</v>
      </c>
      <c r="BE211">
        <f>step3_validation[[#This Row],[AI_OUT1]]</f>
        <v>7</v>
      </c>
      <c r="BF211" t="str">
        <f t="shared" si="105"/>
        <v>Neutral</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252</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59.815604243370466</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7</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0</v>
      </c>
      <c r="V212">
        <f>step3_validation[[#This Row],[AI_ENF2]]</f>
        <v>6</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6</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1</v>
      </c>
      <c r="AP212">
        <f>step3_validation[[#This Row],[AI_TRU2]]</f>
        <v>7</v>
      </c>
      <c r="AQ212" t="str">
        <f t="shared" si="96"/>
        <v>Neutral</v>
      </c>
      <c r="AR212">
        <f>survey_responses[[#This Row],[Tôi thấy mức thuế tôi phải đóng theo phương án mới là công bằng (người thu nhập như tôi đóng mức này là hợp lý). - HUMAN-TRU2]]</f>
        <v>7</v>
      </c>
      <c r="AS212" t="str">
        <f t="shared" si="97"/>
        <v>Neutral</v>
      </c>
      <c r="AT212" s="32">
        <f t="shared" si="98"/>
        <v>0</v>
      </c>
      <c r="AU212">
        <f>step3_validation[[#This Row],[AI_TRU3]]</f>
        <v>5</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2</v>
      </c>
      <c r="AZ212">
        <f>step3_validation[[#This Row],[AI_TRU4]]</f>
        <v>6</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1</v>
      </c>
      <c r="BE212">
        <f>step3_validation[[#This Row],[AI_OUT1]]</f>
        <v>7</v>
      </c>
      <c r="BF212" t="str">
        <f t="shared" si="105"/>
        <v>Neutral</v>
      </c>
      <c r="BG212">
        <f>survey_responses[[#This Row],[Sau khi xem xét các quyền lợi và nghĩa vụ, bạn có ủng hộ và tuân thủ chính sách mới hiện nay? - HUMAN-OUT1]]</f>
        <v>7</v>
      </c>
      <c r="BH212" t="str">
        <f t="shared" si="106"/>
        <v>Neutral</v>
      </c>
      <c r="BI212" s="32">
        <f t="shared" si="107"/>
        <v>0</v>
      </c>
    </row>
    <row r="213" spans="1:61" x14ac:dyDescent="0.45">
      <c r="A213" s="30">
        <f>step3_validation[[#This Row],[Persona_ID]]</f>
        <v>212</v>
      </c>
      <c r="B213" s="31">
        <f>step3_validation[[#This Row],[Used_Seed]]</f>
        <v>253</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53.356577828829899</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2</v>
      </c>
      <c r="V213">
        <f>step3_validation[[#This Row],[AI_ENF2]]</f>
        <v>6</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1</v>
      </c>
      <c r="AA213">
        <f>step3_validation[[#This Row],[AI_FAC1]]</f>
        <v>8</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7</v>
      </c>
      <c r="AF213">
        <f>step3_validation[[#This Row],[AI_FAC2]]</f>
        <v>9</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4</v>
      </c>
      <c r="AK213">
        <f>step3_validation[[#This Row],[AI_TRU1]]</f>
        <v>7</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2</v>
      </c>
      <c r="AP213">
        <f>step3_validation[[#This Row],[AI_TRU2]]</f>
        <v>6</v>
      </c>
      <c r="AQ213" t="str">
        <f t="shared" si="96"/>
        <v>Neutral</v>
      </c>
      <c r="AR213">
        <f>survey_responses[[#This Row],[Tôi thấy mức thuế tôi phải đóng theo phương án mới là công bằng (người thu nhập như tôi đóng mức này là hợp lý). - HUMAN-TRU2]]</f>
        <v>5</v>
      </c>
      <c r="AS213" t="str">
        <f t="shared" si="97"/>
        <v>Neutral</v>
      </c>
      <c r="AT213" s="32">
        <f t="shared" si="98"/>
        <v>1</v>
      </c>
      <c r="AU213">
        <f>step3_validation[[#This Row],[AI_TRU3]]</f>
        <v>4</v>
      </c>
      <c r="AV213" t="str">
        <f t="shared" si="99"/>
        <v>Oppose</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0</v>
      </c>
      <c r="AZ213">
        <f>step3_validation[[#This Row],[AI_TRU4]]</f>
        <v>5</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0</v>
      </c>
      <c r="BE213">
        <f>step3_validation[[#This Row],[AI_OUT1]]</f>
        <v>6</v>
      </c>
      <c r="BF213" t="str">
        <f t="shared" si="105"/>
        <v>Neutral</v>
      </c>
      <c r="BG213">
        <f>survey_responses[[#This Row],[Sau khi xem xét các quyền lợi và nghĩa vụ, bạn có ủng hộ và tuân thủ chính sách mới hiện nay? - HUMAN-OUT1]]</f>
        <v>5</v>
      </c>
      <c r="BH213" t="str">
        <f t="shared" si="106"/>
        <v>Neutral</v>
      </c>
      <c r="BI213" s="32">
        <f t="shared" si="107"/>
        <v>1</v>
      </c>
    </row>
    <row r="214" spans="1:61" x14ac:dyDescent="0.45">
      <c r="A214" s="30">
        <f>step3_validation[[#This Row],[Persona_ID]]</f>
        <v>213</v>
      </c>
      <c r="B214" s="31">
        <f>step3_validation[[#This Row],[Used_Seed]]</f>
        <v>254</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57.333918856481553</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7</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0</v>
      </c>
      <c r="V214">
        <f>step3_validation[[#This Row],[AI_ENF2]]</f>
        <v>8</v>
      </c>
      <c r="W214" t="str">
        <f t="shared" si="84"/>
        <v>Support</v>
      </c>
      <c r="X214">
        <f>survey_responses[[#This Row],[Tôi tin rằng Nhà nước, cơ quan thuế có đủ khả năng và công nghệ để phát hiện, xử lý nghiêm các hành vi trốn thuế. - HUMAN-ENF2]]</f>
        <v>8</v>
      </c>
      <c r="Y214" t="str">
        <f t="shared" si="85"/>
        <v>Support</v>
      </c>
      <c r="Z214" s="32">
        <f t="shared" si="86"/>
        <v>0</v>
      </c>
      <c r="AA214">
        <f>step3_validation[[#This Row],[AI_FAC1]]</f>
        <v>9</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1</v>
      </c>
      <c r="AF214">
        <f>step3_validation[[#This Row],[AI_FAC2]]</f>
        <v>7</v>
      </c>
      <c r="AG214" t="str">
        <f t="shared" si="90"/>
        <v>Neutral</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6</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2</v>
      </c>
      <c r="AP214">
        <f>step3_validation[[#This Row],[AI_TRU2]]</f>
        <v>8</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0</v>
      </c>
      <c r="AU214">
        <f>step3_validation[[#This Row],[AI_TRU3]]</f>
        <v>7</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5</v>
      </c>
      <c r="BA214" t="str">
        <f t="shared" si="102"/>
        <v>Neutral</v>
      </c>
      <c r="BB214">
        <f>survey_responses[[#This Row],[Tôi thấy Nhà nước đã giải thích rõ ràng, minh bạch về lý do và mục tiêu của việc sửa đổi thuế lần này. - HUMAN-TRU4]]</f>
        <v>8</v>
      </c>
      <c r="BC214" t="str">
        <f t="shared" si="103"/>
        <v>Support</v>
      </c>
      <c r="BD214" s="32">
        <f t="shared" si="104"/>
        <v>3</v>
      </c>
      <c r="BE214">
        <f>step3_validation[[#This Row],[AI_OUT1]]</f>
        <v>8</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0</v>
      </c>
    </row>
    <row r="215" spans="1:61" x14ac:dyDescent="0.45">
      <c r="A215" s="30">
        <f>step3_validation[[#This Row],[Persona_ID]]</f>
        <v>214</v>
      </c>
      <c r="B215" s="31">
        <f>step3_validation[[#This Row],[Used_Seed]]</f>
        <v>255</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64.979775667352939</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7</v>
      </c>
      <c r="AG215" t="str">
        <f t="shared" si="90"/>
        <v>Neutral</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2</v>
      </c>
      <c r="AK215">
        <f>step3_validation[[#This Row],[AI_TRU1]]</f>
        <v>8</v>
      </c>
      <c r="AL215" t="str">
        <f t="shared" si="93"/>
        <v>Support</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1</v>
      </c>
      <c r="AP215">
        <f>step3_validation[[#This Row],[AI_TRU2]]</f>
        <v>6</v>
      </c>
      <c r="AQ215" t="str">
        <f t="shared" si="96"/>
        <v>Neutral</v>
      </c>
      <c r="AR215">
        <f>survey_responses[[#This Row],[Tôi thấy mức thuế tôi phải đóng theo phương án mới là công bằng (người thu nhập như tôi đóng mức này là hợp lý). - HUMAN-TRU2]]</f>
        <v>9</v>
      </c>
      <c r="AS215" t="str">
        <f t="shared" si="97"/>
        <v>Support</v>
      </c>
      <c r="AT215" s="32">
        <f t="shared" si="98"/>
        <v>3</v>
      </c>
      <c r="AU215">
        <f>step3_validation[[#This Row],[AI_TRU3]]</f>
        <v>7</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2</v>
      </c>
      <c r="AZ215">
        <f>step3_validation[[#This Row],[AI_TRU4]]</f>
        <v>5</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4</v>
      </c>
      <c r="BE215">
        <f>step3_validation[[#This Row],[AI_OUT1]]</f>
        <v>8</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1</v>
      </c>
    </row>
    <row r="216" spans="1:61" x14ac:dyDescent="0.45">
      <c r="A216" s="30">
        <f>step3_validation[[#This Row],[Persona_ID]]</f>
        <v>215</v>
      </c>
      <c r="B216" s="31">
        <f>step3_validation[[#This Row],[Used_Seed]]</f>
        <v>256</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20.863929644639654</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6</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1</v>
      </c>
      <c r="V216">
        <f>step3_validation[[#This Row],[AI_ENF2]]</f>
        <v>7</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2</v>
      </c>
      <c r="AA216">
        <f>step3_validation[[#This Row],[AI_FAC1]]</f>
        <v>8</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3</v>
      </c>
      <c r="AF216">
        <f>step3_validation[[#This Row],[AI_FAC2]]</f>
        <v>9</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4</v>
      </c>
      <c r="AK216">
        <f>step3_validation[[#This Row],[AI_TRU1]]</f>
        <v>8</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3</v>
      </c>
      <c r="AP216">
        <f>step3_validation[[#This Row],[AI_TRU2]]</f>
        <v>6</v>
      </c>
      <c r="AQ216" t="str">
        <f t="shared" si="96"/>
        <v>Neutral</v>
      </c>
      <c r="AR216">
        <f>survey_responses[[#This Row],[Tôi thấy mức thuế tôi phải đóng theo phương án mới là công bằng (người thu nhập như tôi đóng mức này là hợp lý). - HUMAN-TRU2]]</f>
        <v>5</v>
      </c>
      <c r="AS216" t="str">
        <f t="shared" si="97"/>
        <v>Neutral</v>
      </c>
      <c r="AT216" s="32">
        <f t="shared" si="98"/>
        <v>1</v>
      </c>
      <c r="AU216">
        <f>step3_validation[[#This Row],[AI_TRU3]]</f>
        <v>7</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2</v>
      </c>
      <c r="AZ216">
        <f>step3_validation[[#This Row],[AI_TRU4]]</f>
        <v>5</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0</v>
      </c>
      <c r="BE216">
        <f>step3_validation[[#This Row],[AI_OUT1]]</f>
        <v>6</v>
      </c>
      <c r="BF216" t="str">
        <f t="shared" si="105"/>
        <v>Neutral</v>
      </c>
      <c r="BG216">
        <f>survey_responses[[#This Row],[Sau khi xem xét các quyền lợi và nghĩa vụ, bạn có ủng hộ và tuân thủ chính sách mới hiện nay? - HUMAN-OUT1]]</f>
        <v>5</v>
      </c>
      <c r="BH216" t="str">
        <f t="shared" si="106"/>
        <v>Neutral</v>
      </c>
      <c r="BI216" s="32">
        <f t="shared" si="107"/>
        <v>1</v>
      </c>
    </row>
    <row r="217" spans="1:61" x14ac:dyDescent="0.45">
      <c r="A217" s="30">
        <f>step3_validation[[#This Row],[Persona_ID]]</f>
        <v>216</v>
      </c>
      <c r="B217" s="31">
        <f>step3_validation[[#This Row],[Used_Seed]]</f>
        <v>257</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43.203266373214916</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0</v>
      </c>
      <c r="V217">
        <f>step3_validation[[#This Row],[AI_ENF2]]</f>
        <v>7</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0</v>
      </c>
      <c r="AA217">
        <f>step3_validation[[#This Row],[AI_FAC1]]</f>
        <v>8</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1</v>
      </c>
      <c r="AF217">
        <f>step3_validation[[#This Row],[AI_FAC2]]</f>
        <v>9</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2</v>
      </c>
      <c r="AK217">
        <f>step3_validation[[#This Row],[AI_TRU1]]</f>
        <v>7</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1</v>
      </c>
      <c r="AP217">
        <f>step3_validation[[#This Row],[AI_TRU2]]</f>
        <v>6</v>
      </c>
      <c r="AQ217" t="str">
        <f t="shared" si="96"/>
        <v>Neutral</v>
      </c>
      <c r="AR217">
        <f>survey_responses[[#This Row],[Tôi thấy mức thuế tôi phải đóng theo phương án mới là công bằng (người thu nhập như tôi đóng mức này là hợp lý). - HUMAN-TRU2]]</f>
        <v>7</v>
      </c>
      <c r="AS217" t="str">
        <f t="shared" si="97"/>
        <v>Neutral</v>
      </c>
      <c r="AT217" s="32">
        <f t="shared" si="98"/>
        <v>1</v>
      </c>
      <c r="AU217">
        <f>step3_validation[[#This Row],[AI_TRU3]]</f>
        <v>5</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2</v>
      </c>
      <c r="AZ217">
        <f>step3_validation[[#This Row],[AI_TRU4]]</f>
        <v>7</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0</v>
      </c>
      <c r="BE217">
        <f>step3_validation[[#This Row],[AI_OUT1]]</f>
        <v>6</v>
      </c>
      <c r="BF217" t="str">
        <f t="shared" si="105"/>
        <v>Neutral</v>
      </c>
      <c r="BG217">
        <f>survey_responses[[#This Row],[Sau khi xem xét các quyền lợi và nghĩa vụ, bạn có ủng hộ và tuân thủ chính sách mới hiện nay? - HUMAN-OUT1]]</f>
        <v>7</v>
      </c>
      <c r="BH217" t="str">
        <f t="shared" si="106"/>
        <v>Neutral</v>
      </c>
      <c r="BI217" s="32">
        <f t="shared" si="107"/>
        <v>1</v>
      </c>
    </row>
    <row r="218" spans="1:61" x14ac:dyDescent="0.45">
      <c r="A218" s="30">
        <f>step3_validation[[#This Row],[Persona_ID]]</f>
        <v>217</v>
      </c>
      <c r="B218" s="31">
        <f>step3_validation[[#This Row],[Used_Seed]]</f>
        <v>258</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37.268993067452101</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2</v>
      </c>
      <c r="V218">
        <f>step3_validation[[#This Row],[AI_ENF2]]</f>
        <v>8</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3</v>
      </c>
      <c r="AA218">
        <f>step3_validation[[#This Row],[AI_FAC1]]</f>
        <v>9</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4</v>
      </c>
      <c r="AF218">
        <f>step3_validation[[#This Row],[AI_FAC2]]</f>
        <v>9</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3</v>
      </c>
      <c r="AK218">
        <f>step3_validation[[#This Row],[AI_TRU1]]</f>
        <v>8</v>
      </c>
      <c r="AL218" t="str">
        <f t="shared" si="93"/>
        <v>Support</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3</v>
      </c>
      <c r="AP218">
        <f>step3_validation[[#This Row],[AI_TRU2]]</f>
        <v>7</v>
      </c>
      <c r="AQ218" t="str">
        <f t="shared" si="96"/>
        <v>Neutral</v>
      </c>
      <c r="AR218">
        <f>survey_responses[[#This Row],[Tôi thấy mức thuế tôi phải đóng theo phương án mới là công bằng (người thu nhập như tôi đóng mức này là hợp lý). - HUMAN-TRU2]]</f>
        <v>5</v>
      </c>
      <c r="AS218" t="str">
        <f t="shared" si="97"/>
        <v>Neutral</v>
      </c>
      <c r="AT218" s="32">
        <f t="shared" si="98"/>
        <v>2</v>
      </c>
      <c r="AU218">
        <f>step3_validation[[#This Row],[AI_TRU3]]</f>
        <v>8</v>
      </c>
      <c r="AV218" t="str">
        <f t="shared" si="99"/>
        <v>Support</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3</v>
      </c>
      <c r="AZ218">
        <f>step3_validation[[#This Row],[AI_TRU4]]</f>
        <v>7</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2</v>
      </c>
      <c r="BE218">
        <f>step3_validation[[#This Row],[AI_OUT1]]</f>
        <v>8</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3</v>
      </c>
    </row>
    <row r="219" spans="1:61" x14ac:dyDescent="0.45">
      <c r="A219" s="30">
        <f>step3_validation[[#This Row],[Persona_ID]]</f>
        <v>218</v>
      </c>
      <c r="B219" s="31">
        <f>step3_validation[[#This Row],[Used_Seed]]</f>
        <v>259</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60.59434151841738</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6</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0</v>
      </c>
      <c r="V219">
        <f>step3_validation[[#This Row],[AI_ENF2]]</f>
        <v>7</v>
      </c>
      <c r="W219" t="str">
        <f t="shared" si="84"/>
        <v>Neutral</v>
      </c>
      <c r="X219">
        <f>survey_responses[[#This Row],[Tôi tin rằng Nhà nước, cơ quan thuế có đủ khả năng và công nghệ để phát hiện, xử lý nghiêm các hành vi trốn thuế. - HUMAN-ENF2]]</f>
        <v>7</v>
      </c>
      <c r="Y219" t="str">
        <f t="shared" si="85"/>
        <v>Neutral</v>
      </c>
      <c r="Z219" s="32">
        <f t="shared" si="86"/>
        <v>0</v>
      </c>
      <c r="AA219">
        <f>step3_validation[[#This Row],[AI_FAC1]]</f>
        <v>8</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1</v>
      </c>
      <c r="AF219">
        <f>step3_validation[[#This Row],[AI_FAC2]]</f>
        <v>9</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2</v>
      </c>
      <c r="AK219">
        <f>step3_validation[[#This Row],[AI_TRU1]]</f>
        <v>5</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2</v>
      </c>
      <c r="AP219">
        <f>step3_validation[[#This Row],[AI_TRU2]]</f>
        <v>7</v>
      </c>
      <c r="AQ219" t="str">
        <f t="shared" si="96"/>
        <v>Neutral</v>
      </c>
      <c r="AR219">
        <f>survey_responses[[#This Row],[Tôi thấy mức thuế tôi phải đóng theo phương án mới là công bằng (người thu nhập như tôi đóng mức này là hợp lý). - HUMAN-TRU2]]</f>
        <v>7</v>
      </c>
      <c r="AS219" t="str">
        <f t="shared" si="97"/>
        <v>Neutral</v>
      </c>
      <c r="AT219" s="32">
        <f t="shared" si="98"/>
        <v>0</v>
      </c>
      <c r="AU219">
        <f>step3_validation[[#This Row],[AI_TRU3]]</f>
        <v>6</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1</v>
      </c>
      <c r="AZ219">
        <f>step3_validation[[#This Row],[AI_TRU4]]</f>
        <v>4</v>
      </c>
      <c r="BA219" t="str">
        <f t="shared" si="102"/>
        <v>Oppose</v>
      </c>
      <c r="BB219">
        <f>survey_responses[[#This Row],[Tôi thấy Nhà nước đã giải thích rõ ràng, minh bạch về lý do và mục tiêu của việc sửa đổi thuế lần này. - HUMAN-TRU4]]</f>
        <v>7</v>
      </c>
      <c r="BC219" t="str">
        <f t="shared" si="103"/>
        <v>Neutral</v>
      </c>
      <c r="BD219" s="32">
        <f t="shared" si="104"/>
        <v>3</v>
      </c>
      <c r="BE219">
        <f>step3_validation[[#This Row],[AI_OUT1]]</f>
        <v>5</v>
      </c>
      <c r="BF219" t="str">
        <f t="shared" si="105"/>
        <v>Neutral</v>
      </c>
      <c r="BG219">
        <f>survey_responses[[#This Row],[Sau khi xem xét các quyền lợi và nghĩa vụ, bạn có ủng hộ và tuân thủ chính sách mới hiện nay? - HUMAN-OUT1]]</f>
        <v>7</v>
      </c>
      <c r="BH219" t="str">
        <f t="shared" si="106"/>
        <v>Neutral</v>
      </c>
      <c r="BI219" s="32">
        <f t="shared" si="107"/>
        <v>2</v>
      </c>
    </row>
    <row r="220" spans="1:61" x14ac:dyDescent="0.45">
      <c r="A220" s="30">
        <f>step3_validation[[#This Row],[Persona_ID]]</f>
        <v>219</v>
      </c>
      <c r="B220" s="31">
        <f>step3_validation[[#This Row],[Used_Seed]]</f>
        <v>260</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239.86845749153417</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8</v>
      </c>
      <c r="R220" t="str">
        <f t="shared" si="81"/>
        <v>Support</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1</v>
      </c>
      <c r="V220">
        <f>step3_validation[[#This Row],[AI_ENF2]]</f>
        <v>7</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1</v>
      </c>
      <c r="AA220">
        <f>step3_validation[[#This Row],[AI_FAC1]]</f>
        <v>9</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1</v>
      </c>
      <c r="AF220">
        <f>step3_validation[[#This Row],[AI_FAC2]]</f>
        <v>8</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0</v>
      </c>
      <c r="AK220">
        <f>step3_validation[[#This Row],[AI_TRU1]]</f>
        <v>7</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1</v>
      </c>
      <c r="AP220">
        <f>step3_validation[[#This Row],[AI_TRU2]]</f>
        <v>8</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3</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6</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9</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3</v>
      </c>
    </row>
    <row r="221" spans="1:61" x14ac:dyDescent="0.45">
      <c r="A221" s="30">
        <f>step3_validation[[#This Row],[Persona_ID]]</f>
        <v>220</v>
      </c>
      <c r="B221" s="31">
        <f>step3_validation[[#This Row],[Used_Seed]]</f>
        <v>261</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152.839981192491</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8</v>
      </c>
      <c r="R221" t="str">
        <f t="shared" si="81"/>
        <v>Support</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2</v>
      </c>
      <c r="V221">
        <f>step3_validation[[#This Row],[AI_ENF2]]</f>
        <v>9</v>
      </c>
      <c r="W221" t="str">
        <f t="shared" si="84"/>
        <v>Support</v>
      </c>
      <c r="X221">
        <f>survey_responses[[#This Row],[Tôi tin rằng Nhà nước, cơ quan thuế có đủ khả năng và công nghệ để phát hiện, xử lý nghiêm các hành vi trốn thuế. - HUMAN-ENF2]]</f>
        <v>10</v>
      </c>
      <c r="Y221" t="str">
        <f t="shared" si="85"/>
        <v>Support</v>
      </c>
      <c r="Z221" s="32">
        <f t="shared" si="86"/>
        <v>1</v>
      </c>
      <c r="AA221">
        <f>step3_validation[[#This Row],[AI_FAC1]]</f>
        <v>7</v>
      </c>
      <c r="AB221" t="str">
        <f t="shared" si="87"/>
        <v>Neutral</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1</v>
      </c>
      <c r="AF221">
        <f>step3_validation[[#This Row],[AI_FAC2]]</f>
        <v>8</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1</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6</v>
      </c>
      <c r="AQ221" t="str">
        <f t="shared" si="96"/>
        <v>Neutral</v>
      </c>
      <c r="AR221">
        <f>survey_responses[[#This Row],[Tôi thấy mức thuế tôi phải đóng theo phương án mới là công bằng (người thu nhập như tôi đóng mức này là hợp lý). - HUMAN-TRU2]]</f>
        <v>9</v>
      </c>
      <c r="AS221" t="str">
        <f t="shared" si="97"/>
        <v>Support</v>
      </c>
      <c r="AT221" s="32">
        <f t="shared" si="98"/>
        <v>3</v>
      </c>
      <c r="AU221">
        <f>step3_validation[[#This Row],[AI_TRU3]]</f>
        <v>7</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2</v>
      </c>
      <c r="AZ221">
        <f>step3_validation[[#This Row],[AI_TRU4]]</f>
        <v>5</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3</v>
      </c>
      <c r="BE221">
        <f>step3_validation[[#This Row],[AI_OUT1]]</f>
        <v>6</v>
      </c>
      <c r="BF221" t="str">
        <f t="shared" si="105"/>
        <v>Neutral</v>
      </c>
      <c r="BG221">
        <f>survey_responses[[#This Row],[Sau khi xem xét các quyền lợi và nghĩa vụ, bạn có ủng hộ và tuân thủ chính sách mới hiện nay? - HUMAN-OUT1]]</f>
        <v>8</v>
      </c>
      <c r="BH221" t="str">
        <f t="shared" si="106"/>
        <v>Support</v>
      </c>
      <c r="BI221" s="32">
        <f t="shared" si="107"/>
        <v>2</v>
      </c>
    </row>
    <row r="222" spans="1:61" x14ac:dyDescent="0.45">
      <c r="A222" s="30">
        <f>step3_validation[[#This Row],[Persona_ID]]</f>
        <v>221</v>
      </c>
      <c r="B222" s="31">
        <f>step3_validation[[#This Row],[Used_Seed]]</f>
        <v>262</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65.651705954147928</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8</v>
      </c>
      <c r="R222" t="str">
        <f t="shared" si="81"/>
        <v>Support</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4</v>
      </c>
      <c r="V222">
        <f>step3_validation[[#This Row],[AI_ENF2]]</f>
        <v>7</v>
      </c>
      <c r="W222" t="str">
        <f t="shared" si="84"/>
        <v>Neutral</v>
      </c>
      <c r="X222">
        <f>survey_responses[[#This Row],[Tôi tin rằng Nhà nước, cơ quan thuế có đủ khả năng và công nghệ để phát hiện, xử lý nghiêm các hành vi trốn thuế. - HUMAN-ENF2]]</f>
        <v>4</v>
      </c>
      <c r="Y222" t="str">
        <f t="shared" si="85"/>
        <v>Oppose</v>
      </c>
      <c r="Z222" s="32">
        <f t="shared" si="86"/>
        <v>3</v>
      </c>
      <c r="AA222">
        <f>step3_validation[[#This Row],[AI_FAC1]]</f>
        <v>6</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2</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6</v>
      </c>
      <c r="AQ222" t="str">
        <f t="shared" si="96"/>
        <v>Neutral</v>
      </c>
      <c r="AR222">
        <f>survey_responses[[#This Row],[Tôi thấy mức thuế tôi phải đóng theo phương án mới là công bằng (người thu nhập như tôi đóng mức này là hợp lý). - HUMAN-TRU2]]</f>
        <v>6</v>
      </c>
      <c r="AS222" t="str">
        <f t="shared" si="97"/>
        <v>Neutral</v>
      </c>
      <c r="AT222" s="32">
        <f t="shared" si="98"/>
        <v>0</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5</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1</v>
      </c>
      <c r="BE222">
        <f>step3_validation[[#This Row],[AI_OUT1]]</f>
        <v>7</v>
      </c>
      <c r="BF222" t="str">
        <f t="shared" si="105"/>
        <v>Neutral</v>
      </c>
      <c r="BG222">
        <f>survey_responses[[#This Row],[Sau khi xem xét các quyền lợi và nghĩa vụ, bạn có ủng hộ và tuân thủ chính sách mới hiện nay? - HUMAN-OUT1]]</f>
        <v>5</v>
      </c>
      <c r="BH222" t="str">
        <f t="shared" si="106"/>
        <v>Neutral</v>
      </c>
      <c r="BI222" s="32">
        <f t="shared" si="107"/>
        <v>2</v>
      </c>
    </row>
    <row r="223" spans="1:61" x14ac:dyDescent="0.45">
      <c r="A223" s="30">
        <f>step3_validation[[#This Row],[Persona_ID]]</f>
        <v>222</v>
      </c>
      <c r="B223" s="31">
        <f>step3_validation[[#This Row],[Used_Seed]]</f>
        <v>263</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55.082815093837773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t="str">
        <f t="shared" si="81"/>
        <v>Support</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4</v>
      </c>
      <c r="V223">
        <f>step3_validation[[#This Row],[AI_ENF2]]</f>
        <v>9</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2">
        <f t="shared" si="86"/>
        <v>4</v>
      </c>
      <c r="AA223">
        <f>step3_validation[[#This Row],[AI_FAC1]]</f>
        <v>7</v>
      </c>
      <c r="AB223" t="str">
        <f t="shared" si="87"/>
        <v>Neutral</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3</v>
      </c>
      <c r="AF223">
        <f>step3_validation[[#This Row],[AI_FAC2]]</f>
        <v>8</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3</v>
      </c>
      <c r="AK223">
        <f>step3_validation[[#This Row],[AI_TRU1]]</f>
        <v>9</v>
      </c>
      <c r="AL223" t="str">
        <f t="shared" si="93"/>
        <v>Support</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4</v>
      </c>
      <c r="AP223">
        <f>step3_validation[[#This Row],[AI_TRU2]]</f>
        <v>7</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2</v>
      </c>
      <c r="AU223">
        <f>step3_validation[[#This Row],[AI_TRU3]]</f>
        <v>6</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1</v>
      </c>
      <c r="AZ223">
        <f>step3_validation[[#This Row],[AI_TRU4]]</f>
        <v>8</v>
      </c>
      <c r="BA223" t="str">
        <f t="shared" si="102"/>
        <v>Support</v>
      </c>
      <c r="BB223">
        <f>survey_responses[[#This Row],[Tôi thấy Nhà nước đã giải thích rõ ràng, minh bạch về lý do và mục tiêu của việc sửa đổi thuế lần này. - HUMAN-TRU4]]</f>
        <v>5</v>
      </c>
      <c r="BC223" t="str">
        <f t="shared" si="103"/>
        <v>Neutral</v>
      </c>
      <c r="BD223" s="32">
        <f t="shared" si="104"/>
        <v>3</v>
      </c>
      <c r="BE223">
        <f>step3_validation[[#This Row],[AI_OUT1]]</f>
        <v>7</v>
      </c>
      <c r="BF223" t="str">
        <f t="shared" si="105"/>
        <v>Neutral</v>
      </c>
      <c r="BG223">
        <f>survey_responses[[#This Row],[Sau khi xem xét các quyền lợi và nghĩa vụ, bạn có ủng hộ và tuân thủ chính sách mới hiện nay? - HUMAN-OUT1]]</f>
        <v>5</v>
      </c>
      <c r="BH223" t="str">
        <f t="shared" si="106"/>
        <v>Neutral</v>
      </c>
      <c r="BI223" s="32">
        <f t="shared" si="107"/>
        <v>2</v>
      </c>
    </row>
    <row r="224" spans="1:61" x14ac:dyDescent="0.45">
      <c r="A224" s="30">
        <f>step3_validation[[#This Row],[Persona_ID]]</f>
        <v>223</v>
      </c>
      <c r="B224" s="31">
        <f>step3_validation[[#This Row],[Used_Seed]]</f>
        <v>264</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55.962228997949907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1</v>
      </c>
      <c r="V224">
        <f>step3_validation[[#This Row],[AI_ENF2]]</f>
        <v>6</v>
      </c>
      <c r="W224" t="str">
        <f t="shared" si="84"/>
        <v>Neutral</v>
      </c>
      <c r="X224">
        <f>survey_responses[[#This Row],[Tôi tin rằng Nhà nước, cơ quan thuế có đủ khả năng và công nghệ để phát hiện, xử lý nghiêm các hành vi trốn thuế. - HUMAN-ENF2]]</f>
        <v>6</v>
      </c>
      <c r="Y224" t="str">
        <f t="shared" si="85"/>
        <v>Neutral</v>
      </c>
      <c r="Z224" s="32">
        <f t="shared" si="86"/>
        <v>0</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7</v>
      </c>
      <c r="AL224" t="str">
        <f t="shared" si="93"/>
        <v>Neutral</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1</v>
      </c>
      <c r="AP224">
        <f>step3_validation[[#This Row],[AI_TRU2]]</f>
        <v>6</v>
      </c>
      <c r="AQ224" t="str">
        <f t="shared" si="96"/>
        <v>Neutral</v>
      </c>
      <c r="AR224">
        <f>survey_responses[[#This Row],[Tôi thấy mức thuế tôi phải đóng theo phương án mới là công bằng (người thu nhập như tôi đóng mức này là hợp lý). - HUMAN-TRU2]]</f>
        <v>6</v>
      </c>
      <c r="AS224" t="str">
        <f t="shared" si="97"/>
        <v>Neutral</v>
      </c>
      <c r="AT224" s="32">
        <f t="shared" si="98"/>
        <v>0</v>
      </c>
      <c r="AU224">
        <f>step3_validation[[#This Row],[AI_TRU3]]</f>
        <v>5</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3</v>
      </c>
      <c r="AZ224">
        <f>step3_validation[[#This Row],[AI_TRU4]]</f>
        <v>6</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2</v>
      </c>
      <c r="BE224">
        <f>step3_validation[[#This Row],[AI_OUT1]]</f>
        <v>7</v>
      </c>
      <c r="BF224" t="str">
        <f t="shared" si="105"/>
        <v>Neutral</v>
      </c>
      <c r="BG224">
        <f>survey_responses[[#This Row],[Sau khi xem xét các quyền lợi và nghĩa vụ, bạn có ủng hộ và tuân thủ chính sách mới hiện nay? - HUMAN-OUT1]]</f>
        <v>7</v>
      </c>
      <c r="BH224" t="str">
        <f t="shared" si="106"/>
        <v>Neutral</v>
      </c>
      <c r="BI224" s="32">
        <f t="shared" si="107"/>
        <v>0</v>
      </c>
    </row>
    <row r="225" spans="1:61" x14ac:dyDescent="0.45">
      <c r="A225" s="30">
        <f>step3_validation[[#This Row],[Persona_ID]]</f>
        <v>224</v>
      </c>
      <c r="B225" s="31">
        <f>step3_validation[[#This Row],[Used_Seed]]</f>
        <v>265</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54.626632937164906</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8</v>
      </c>
      <c r="R225" t="str">
        <f t="shared" si="81"/>
        <v>Support</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1</v>
      </c>
      <c r="V225">
        <f>step3_validation[[#This Row],[AI_ENF2]]</f>
        <v>7</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2">
        <f t="shared" si="86"/>
        <v>0</v>
      </c>
      <c r="AA225">
        <f>step3_validation[[#This Row],[AI_FAC1]]</f>
        <v>9</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1</v>
      </c>
      <c r="AK225">
        <f>step3_validation[[#This Row],[AI_TRU1]]</f>
        <v>9</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2</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9</v>
      </c>
      <c r="AV225" t="str">
        <f t="shared" si="99"/>
        <v>Support</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2</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266</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35.081133652244851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7</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1</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6</v>
      </c>
      <c r="AQ226" t="str">
        <f t="shared" si="96"/>
        <v>Neutral</v>
      </c>
      <c r="AR226">
        <f>survey_responses[[#This Row],[Tôi thấy mức thuế tôi phải đóng theo phương án mới là công bằng (người thu nhập như tôi đóng mức này là hợp lý). - HUMAN-TRU2]]</f>
        <v>6</v>
      </c>
      <c r="AS226" t="str">
        <f t="shared" si="97"/>
        <v>Neutral</v>
      </c>
      <c r="AT226" s="32">
        <f t="shared" si="98"/>
        <v>0</v>
      </c>
      <c r="AU226">
        <f>step3_validation[[#This Row],[AI_TRU3]]</f>
        <v>5</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4</v>
      </c>
      <c r="BA226" t="str">
        <f t="shared" si="102"/>
        <v>Oppose</v>
      </c>
      <c r="BB226">
        <f>survey_responses[[#This Row],[Tôi thấy Nhà nước đã giải thích rõ ràng, minh bạch về lý do và mục tiêu của việc sửa đổi thuế lần này. - HUMAN-TRU4]]</f>
        <v>6</v>
      </c>
      <c r="BC226" t="str">
        <f t="shared" si="103"/>
        <v>Neutral</v>
      </c>
      <c r="BD226" s="32">
        <f t="shared" si="104"/>
        <v>2</v>
      </c>
      <c r="BE226">
        <f>step3_validation[[#This Row],[AI_OUT1]]</f>
        <v>7</v>
      </c>
      <c r="BF226" t="str">
        <f t="shared" si="105"/>
        <v>Neutral</v>
      </c>
      <c r="BG226">
        <f>survey_responses[[#This Row],[Sau khi xem xét các quyền lợi và nghĩa vụ, bạn có ủng hộ và tuân thủ chính sách mới hiện nay? - HUMAN-OUT1]]</f>
        <v>7</v>
      </c>
      <c r="BH226" t="str">
        <f t="shared" si="106"/>
        <v>Neutral</v>
      </c>
      <c r="BI226" s="32">
        <f t="shared" si="107"/>
        <v>0</v>
      </c>
    </row>
    <row r="227" spans="1:61" x14ac:dyDescent="0.45">
      <c r="A227" s="30">
        <f>step3_validation[[#This Row],[Persona_ID]]</f>
        <v>226</v>
      </c>
      <c r="B227" s="31">
        <f>step3_validation[[#This Row],[Used_Seed]]</f>
        <v>267</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87.922904428497816</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8</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2</v>
      </c>
      <c r="AF227">
        <f>step3_validation[[#This Row],[AI_FAC2]]</f>
        <v>9</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2</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8</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7</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0</v>
      </c>
      <c r="AZ227">
        <f>step3_validation[[#This Row],[AI_TRU4]]</f>
        <v>8</v>
      </c>
      <c r="BA227" t="str">
        <f t="shared" si="102"/>
        <v>Support</v>
      </c>
      <c r="BB227">
        <f>survey_responses[[#This Row],[Tôi thấy Nhà nước đã giải thích rõ ràng, minh bạch về lý do và mục tiêu của việc sửa đổi thuế lần này. - HUMAN-TRU4]]</f>
        <v>7</v>
      </c>
      <c r="BC227" t="str">
        <f t="shared" si="103"/>
        <v>Neutral</v>
      </c>
      <c r="BD227" s="32">
        <f t="shared" si="104"/>
        <v>1</v>
      </c>
      <c r="BE227">
        <f>step3_validation[[#This Row],[AI_OUT1]]</f>
        <v>8</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1</v>
      </c>
    </row>
    <row r="228" spans="1:61" x14ac:dyDescent="0.45">
      <c r="A228" s="30">
        <f>step3_validation[[#This Row],[Persona_ID]]</f>
        <v>227</v>
      </c>
      <c r="B228" s="31">
        <f>step3_validation[[#This Row],[Used_Seed]]</f>
        <v>268</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30.701534518360898</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6</v>
      </c>
      <c r="W228" t="str">
        <f t="shared" si="84"/>
        <v>Neutral</v>
      </c>
      <c r="X228">
        <f>survey_responses[[#This Row],[Tôi tin rằng Nhà nước, cơ quan thuế có đủ khả năng và công nghệ để phát hiện, xử lý nghiêm các hành vi trốn thuế. - HUMAN-ENF2]]</f>
        <v>6</v>
      </c>
      <c r="Y228" t="str">
        <f t="shared" si="85"/>
        <v>Neutral</v>
      </c>
      <c r="Z228" s="32">
        <f t="shared" si="86"/>
        <v>0</v>
      </c>
      <c r="AA228">
        <f>step3_validation[[#This Row],[AI_FAC1]]</f>
        <v>8</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2</v>
      </c>
      <c r="AF228">
        <f>step3_validation[[#This Row],[AI_FAC2]]</f>
        <v>7</v>
      </c>
      <c r="AG228" t="str">
        <f t="shared" si="90"/>
        <v>Neutral</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1</v>
      </c>
      <c r="AK228">
        <f>step3_validation[[#This Row],[AI_TRU1]]</f>
        <v>6</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0</v>
      </c>
      <c r="AP228">
        <f>step3_validation[[#This Row],[AI_TRU2]]</f>
        <v>5</v>
      </c>
      <c r="AQ228" t="str">
        <f t="shared" si="96"/>
        <v>Neutral</v>
      </c>
      <c r="AR228">
        <f>survey_responses[[#This Row],[Tôi thấy mức thuế tôi phải đóng theo phương án mới là công bằng (người thu nhập như tôi đóng mức này là hợp lý). - HUMAN-TRU2]]</f>
        <v>6</v>
      </c>
      <c r="AS228" t="str">
        <f t="shared" si="97"/>
        <v>Neutral</v>
      </c>
      <c r="AT228" s="32">
        <f t="shared" si="98"/>
        <v>1</v>
      </c>
      <c r="AU228">
        <f>step3_validation[[#This Row],[AI_TRU3]]</f>
        <v>6</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0</v>
      </c>
      <c r="AZ228">
        <f>step3_validation[[#This Row],[AI_TRU4]]</f>
        <v>5</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1</v>
      </c>
      <c r="BE228">
        <f>step3_validation[[#This Row],[AI_OUT1]]</f>
        <v>7</v>
      </c>
      <c r="BF228" t="str">
        <f t="shared" si="105"/>
        <v>Neutral</v>
      </c>
      <c r="BG228">
        <f>survey_responses[[#This Row],[Sau khi xem xét các quyền lợi và nghĩa vụ, bạn có ủng hộ và tuân thủ chính sách mới hiện nay? - HUMAN-OUT1]]</f>
        <v>6</v>
      </c>
      <c r="BH228" t="str">
        <f t="shared" si="106"/>
        <v>Neutral</v>
      </c>
      <c r="BI228" s="32">
        <f t="shared" si="107"/>
        <v>1</v>
      </c>
    </row>
    <row r="229" spans="1:61" x14ac:dyDescent="0.45">
      <c r="A229" s="30">
        <f>step3_validation[[#This Row],[Persona_ID]]</f>
        <v>228</v>
      </c>
      <c r="B229" s="31">
        <f>step3_validation[[#This Row],[Used_Seed]]</f>
        <v>269</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19.242651811733619</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8</v>
      </c>
      <c r="R229" t="str">
        <f t="shared" si="81"/>
        <v>Support</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0</v>
      </c>
      <c r="V229">
        <f>step3_validation[[#This Row],[AI_ENF2]]</f>
        <v>9</v>
      </c>
      <c r="W229" t="str">
        <f t="shared" si="84"/>
        <v>Support</v>
      </c>
      <c r="X229">
        <f>survey_responses[[#This Row],[Tôi tin rằng Nhà nước, cơ quan thuế có đủ khả năng và công nghệ để phát hiện, xử lý nghiêm các hành vi trốn thuế. - HUMAN-ENF2]]</f>
        <v>9</v>
      </c>
      <c r="Y229" t="str">
        <f t="shared" si="85"/>
        <v>Support</v>
      </c>
      <c r="Z229" s="32">
        <f t="shared" si="86"/>
        <v>0</v>
      </c>
      <c r="AA229">
        <f>step3_validation[[#This Row],[AI_FAC1]]</f>
        <v>8</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1</v>
      </c>
      <c r="AF229">
        <f>step3_validation[[#This Row],[AI_FAC2]]</f>
        <v>7</v>
      </c>
      <c r="AG229" t="str">
        <f t="shared" si="90"/>
        <v>Neutral</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1</v>
      </c>
      <c r="AK229">
        <f>step3_validation[[#This Row],[AI_TRU1]]</f>
        <v>8</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1</v>
      </c>
      <c r="AP229">
        <f>step3_validation[[#This Row],[AI_TRU2]]</f>
        <v>7</v>
      </c>
      <c r="AQ229" t="str">
        <f t="shared" si="96"/>
        <v>Neutral</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8</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0</v>
      </c>
      <c r="AZ229">
        <f>step3_validation[[#This Row],[AI_TRU4]]</f>
        <v>6</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2</v>
      </c>
      <c r="BE229">
        <f>step3_validation[[#This Row],[AI_OUT1]]</f>
        <v>7</v>
      </c>
      <c r="BF229" t="str">
        <f t="shared" si="105"/>
        <v>Neutral</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270</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56.160676013012015</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1</v>
      </c>
      <c r="V230">
        <f>step3_validation[[#This Row],[AI_ENF2]]</f>
        <v>8</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2</v>
      </c>
      <c r="AA230">
        <f>step3_validation[[#This Row],[AI_FAC1]]</f>
        <v>6</v>
      </c>
      <c r="AB230" t="str">
        <f t="shared" si="87"/>
        <v>Neutral</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0</v>
      </c>
      <c r="AF230">
        <f>step3_validation[[#This Row],[AI_FAC2]]</f>
        <v>7</v>
      </c>
      <c r="AG230" t="str">
        <f t="shared" si="90"/>
        <v>Neutral</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1</v>
      </c>
      <c r="AK230">
        <f>step3_validation[[#This Row],[AI_TRU1]]</f>
        <v>8</v>
      </c>
      <c r="AL230" t="str">
        <f t="shared" si="93"/>
        <v>Support</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2</v>
      </c>
      <c r="AP230">
        <f>step3_validation[[#This Row],[AI_TRU2]]</f>
        <v>7</v>
      </c>
      <c r="AQ230" t="str">
        <f t="shared" si="96"/>
        <v>Neutral</v>
      </c>
      <c r="AR230">
        <f>survey_responses[[#This Row],[Tôi thấy mức thuế tôi phải đóng theo phương án mới là công bằng (người thu nhập như tôi đóng mức này là hợp lý). - HUMAN-TRU2]]</f>
        <v>7</v>
      </c>
      <c r="AS230" t="str">
        <f t="shared" si="97"/>
        <v>Neutral</v>
      </c>
      <c r="AT230" s="32">
        <f t="shared" si="98"/>
        <v>0</v>
      </c>
      <c r="AU230">
        <f>step3_validation[[#This Row],[AI_TRU3]]</f>
        <v>6</v>
      </c>
      <c r="AV230" t="str">
        <f t="shared" si="99"/>
        <v>Neutral</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0</v>
      </c>
      <c r="AZ230">
        <f>step3_validation[[#This Row],[AI_TRU4]]</f>
        <v>5</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1</v>
      </c>
      <c r="BE230">
        <f>step3_validation[[#This Row],[AI_OUT1]]</f>
        <v>8</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1</v>
      </c>
    </row>
    <row r="231" spans="1:61" x14ac:dyDescent="0.45">
      <c r="A231" s="30">
        <f>step3_validation[[#This Row],[Persona_ID]]</f>
        <v>230</v>
      </c>
      <c r="B231" s="31">
        <f>step3_validation[[#This Row],[Used_Seed]]</f>
        <v>271</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94.241364690138667</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6</v>
      </c>
      <c r="W231" t="str">
        <f t="shared" si="84"/>
        <v>Neutral</v>
      </c>
      <c r="X231">
        <f>survey_responses[[#This Row],[Tôi tin rằng Nhà nước, cơ quan thuế có đủ khả năng và công nghệ để phát hiện, xử lý nghiêm các hành vi trốn thuế. - HUMAN-ENF2]]</f>
        <v>5</v>
      </c>
      <c r="Y231" t="str">
        <f t="shared" si="85"/>
        <v>Neutral</v>
      </c>
      <c r="Z231" s="32">
        <f t="shared" si="86"/>
        <v>1</v>
      </c>
      <c r="AA231">
        <f>step3_validation[[#This Row],[AI_FAC1]]</f>
        <v>9</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8</v>
      </c>
      <c r="AF231">
        <f>step3_validation[[#This Row],[AI_FAC2]]</f>
        <v>8</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2</v>
      </c>
      <c r="AK231">
        <f>step3_validation[[#This Row],[AI_TRU1]]</f>
        <v>6</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2</v>
      </c>
      <c r="AP231">
        <f>step3_validation[[#This Row],[AI_TRU2]]</f>
        <v>8</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4</v>
      </c>
      <c r="AU231">
        <f>step3_validation[[#This Row],[AI_TRU3]]</f>
        <v>7</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2</v>
      </c>
      <c r="AZ231">
        <f>step3_validation[[#This Row],[AI_TRU4]]</f>
        <v>5</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0</v>
      </c>
      <c r="BE231">
        <f>step3_validation[[#This Row],[AI_OUT1]]</f>
        <v>7</v>
      </c>
      <c r="BF231" t="str">
        <f t="shared" si="105"/>
        <v>Neutral</v>
      </c>
      <c r="BG231">
        <f>survey_responses[[#This Row],[Sau khi xem xét các quyền lợi và nghĩa vụ, bạn có ủng hộ và tuân thủ chính sách mới hiện nay? - HUMAN-OUT1]]</f>
        <v>5</v>
      </c>
      <c r="BH231" t="str">
        <f t="shared" si="106"/>
        <v>Neutral</v>
      </c>
      <c r="BI231" s="32">
        <f t="shared" si="107"/>
        <v>2</v>
      </c>
    </row>
    <row r="232" spans="1:61" x14ac:dyDescent="0.45">
      <c r="A232" s="30">
        <f>step3_validation[[#This Row],[Persona_ID]]</f>
        <v>231</v>
      </c>
      <c r="B232" s="31">
        <f>step3_validation[[#This Row],[Used_Seed]]</f>
        <v>272</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166.25253148273322</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6</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2</v>
      </c>
      <c r="AA232">
        <f>step3_validation[[#This Row],[AI_FAC1]]</f>
        <v>8</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0</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8</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1</v>
      </c>
      <c r="AU232">
        <f>step3_validation[[#This Row],[AI_TRU3]]</f>
        <v>6</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2</v>
      </c>
      <c r="AZ232">
        <f>step3_validation[[#This Row],[AI_TRU4]]</f>
        <v>7</v>
      </c>
      <c r="BA232" t="str">
        <f t="shared" si="102"/>
        <v>Neutral</v>
      </c>
      <c r="BB232">
        <f>survey_responses[[#This Row],[Tôi thấy Nhà nước đã giải thích rõ ràng, minh bạch về lý do và mục tiêu của việc sửa đổi thuế lần này. - HUMAN-TRU4]]</f>
        <v>7</v>
      </c>
      <c r="BC232" t="str">
        <f t="shared" si="103"/>
        <v>Neutral</v>
      </c>
      <c r="BD232" s="32">
        <f t="shared" si="104"/>
        <v>0</v>
      </c>
      <c r="BE232">
        <f>step3_validation[[#This Row],[AI_OUT1]]</f>
        <v>8</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0</v>
      </c>
    </row>
    <row r="233" spans="1:61" x14ac:dyDescent="0.45">
      <c r="A233" s="30">
        <f>step3_validation[[#This Row],[Persona_ID]]</f>
        <v>232</v>
      </c>
      <c r="B233" s="31">
        <f>step3_validation[[#This Row],[Used_Seed]]</f>
        <v>273</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52.03584907900089</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8</v>
      </c>
      <c r="R233" t="str">
        <f t="shared" si="81"/>
        <v>Support</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2</v>
      </c>
      <c r="V233">
        <f>step3_validation[[#This Row],[AI_ENF2]]</f>
        <v>9</v>
      </c>
      <c r="W233" t="str">
        <f t="shared" si="84"/>
        <v>Support</v>
      </c>
      <c r="X233">
        <f>survey_responses[[#This Row],[Tôi tin rằng Nhà nước, cơ quan thuế có đủ khả năng và công nghệ để phát hiện, xử lý nghiêm các hành vi trốn thuế. - HUMAN-ENF2]]</f>
        <v>6</v>
      </c>
      <c r="Y233" t="str">
        <f t="shared" si="85"/>
        <v>Neutral</v>
      </c>
      <c r="Z233" s="32">
        <f t="shared" si="86"/>
        <v>3</v>
      </c>
      <c r="AA233">
        <f>step3_validation[[#This Row],[AI_FAC1]]</f>
        <v>7</v>
      </c>
      <c r="AB233" t="str">
        <f t="shared" si="87"/>
        <v>Neutral</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1</v>
      </c>
      <c r="AF233">
        <f>step3_validation[[#This Row],[AI_FAC2]]</f>
        <v>8</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2</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6</v>
      </c>
      <c r="AQ233" t="str">
        <f t="shared" si="96"/>
        <v>Neutral</v>
      </c>
      <c r="AR233">
        <f>survey_responses[[#This Row],[Tôi thấy mức thuế tôi phải đóng theo phương án mới là công bằng (người thu nhập như tôi đóng mức này là hợp lý). - HUMAN-TRU2]]</f>
        <v>6</v>
      </c>
      <c r="AS233" t="str">
        <f t="shared" si="97"/>
        <v>Neutral</v>
      </c>
      <c r="AT233" s="32">
        <f t="shared" si="98"/>
        <v>0</v>
      </c>
      <c r="AU233">
        <f>step3_validation[[#This Row],[AI_TRU3]]</f>
        <v>7</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1</v>
      </c>
      <c r="AZ233">
        <f>step3_validation[[#This Row],[AI_TRU4]]</f>
        <v>5</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1</v>
      </c>
      <c r="BE233">
        <f>step3_validation[[#This Row],[AI_OUT1]]</f>
        <v>6</v>
      </c>
      <c r="BF233" t="str">
        <f t="shared" si="105"/>
        <v>Neutral</v>
      </c>
      <c r="BG233">
        <f>survey_responses[[#This Row],[Sau khi xem xét các quyền lợi và nghĩa vụ, bạn có ủng hộ và tuân thủ chính sách mới hiện nay? - HUMAN-OUT1]]</f>
        <v>6</v>
      </c>
      <c r="BH233" t="str">
        <f t="shared" si="106"/>
        <v>Neutral</v>
      </c>
      <c r="BI233" s="32">
        <f t="shared" si="107"/>
        <v>0</v>
      </c>
    </row>
    <row r="234" spans="1:61" x14ac:dyDescent="0.45">
      <c r="A234" s="30">
        <f>step3_validation[[#This Row],[Persona_ID]]</f>
        <v>233</v>
      </c>
      <c r="B234" s="31">
        <f>step3_validation[[#This Row],[Used_Seed]]</f>
        <v>274</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16.880498891608681</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7</v>
      </c>
      <c r="R234" t="str">
        <f t="shared" si="81"/>
        <v>Neutral</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1</v>
      </c>
      <c r="V234">
        <f>step3_validation[[#This Row],[AI_ENF2]]</f>
        <v>7</v>
      </c>
      <c r="W234" t="str">
        <f t="shared" si="84"/>
        <v>Neutral</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8</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0</v>
      </c>
      <c r="AF234">
        <f>step3_validation[[#This Row],[AI_FAC2]]</f>
        <v>9</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1</v>
      </c>
      <c r="AK234">
        <f>step3_validation[[#This Row],[AI_TRU1]]</f>
        <v>6</v>
      </c>
      <c r="AL234" t="str">
        <f t="shared" si="93"/>
        <v>Neutral</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3</v>
      </c>
      <c r="AP234">
        <f>step3_validation[[#This Row],[AI_TRU2]]</f>
        <v>5</v>
      </c>
      <c r="AQ234" t="str">
        <f t="shared" si="96"/>
        <v>Neutral</v>
      </c>
      <c r="AR234">
        <f>survey_responses[[#This Row],[Tôi thấy mức thuế tôi phải đóng theo phương án mới là công bằng (người thu nhập như tôi đóng mức này là hợp lý). - HUMAN-TRU2]]</f>
        <v>8</v>
      </c>
      <c r="AS234" t="str">
        <f t="shared" si="97"/>
        <v>Support</v>
      </c>
      <c r="AT234" s="32">
        <f t="shared" si="98"/>
        <v>3</v>
      </c>
      <c r="AU234">
        <f>step3_validation[[#This Row],[AI_TRU3]]</f>
        <v>6</v>
      </c>
      <c r="AV234" t="str">
        <f t="shared" si="99"/>
        <v>Neutral</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2</v>
      </c>
      <c r="AZ234">
        <f>step3_validation[[#This Row],[AI_TRU4]]</f>
        <v>6</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2</v>
      </c>
      <c r="BE234">
        <f>step3_validation[[#This Row],[AI_OUT1]]</f>
        <v>6</v>
      </c>
      <c r="BF234" t="str">
        <f t="shared" si="105"/>
        <v>Neutral</v>
      </c>
      <c r="BG234">
        <f>survey_responses[[#This Row],[Sau khi xem xét các quyền lợi và nghĩa vụ, bạn có ủng hộ và tuân thủ chính sách mới hiện nay? - HUMAN-OUT1]]</f>
        <v>10</v>
      </c>
      <c r="BH234" t="str">
        <f t="shared" si="106"/>
        <v>Support</v>
      </c>
      <c r="BI234" s="32">
        <f t="shared" si="107"/>
        <v>4</v>
      </c>
    </row>
    <row r="235" spans="1:61" x14ac:dyDescent="0.45">
      <c r="A235" s="30">
        <f>step3_validation[[#This Row],[Persona_ID]]</f>
        <v>234</v>
      </c>
      <c r="B235" s="31">
        <f>step3_validation[[#This Row],[Used_Seed]]</f>
        <v>275</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98.672499687844734</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t="str">
        <f t="shared" si="81"/>
        <v>Support</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4</v>
      </c>
      <c r="V235">
        <f>step3_validation[[#This Row],[AI_ENF2]]</f>
        <v>9</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5</v>
      </c>
      <c r="AA235">
        <f>step3_validation[[#This Row],[AI_FAC1]]</f>
        <v>8</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4</v>
      </c>
      <c r="AF235">
        <f>step3_validation[[#This Row],[AI_FAC2]]</f>
        <v>7</v>
      </c>
      <c r="AG235" t="str">
        <f t="shared" si="90"/>
        <v>Neutral</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3</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7</v>
      </c>
      <c r="AQ235" t="str">
        <f t="shared" si="96"/>
        <v>Neutral</v>
      </c>
      <c r="AR235">
        <f>survey_responses[[#This Row],[Tôi thấy mức thuế tôi phải đóng theo phương án mới là công bằng (người thu nhập như tôi đóng mức này là hợp lý). - HUMAN-TRU2]]</f>
        <v>3</v>
      </c>
      <c r="AS235" t="str">
        <f t="shared" si="97"/>
        <v>Oppose</v>
      </c>
      <c r="AT235" s="32">
        <f t="shared" si="98"/>
        <v>4</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7</v>
      </c>
      <c r="AZ235">
        <f>step3_validation[[#This Row],[AI_TRU4]]</f>
        <v>6</v>
      </c>
      <c r="BA235" t="str">
        <f t="shared" si="102"/>
        <v>Neutral</v>
      </c>
      <c r="BB235">
        <f>survey_responses[[#This Row],[Tôi thấy Nhà nước đã giải thích rõ ràng, minh bạch về lý do và mục tiêu của việc sửa đổi thuế lần này. - HUMAN-TRU4]]</f>
        <v>1</v>
      </c>
      <c r="BC235" t="str">
        <f t="shared" si="103"/>
        <v>Oppose</v>
      </c>
      <c r="BD235" s="32">
        <f t="shared" si="104"/>
        <v>5</v>
      </c>
      <c r="BE235">
        <f>step3_validation[[#This Row],[AI_OUT1]]</f>
        <v>7</v>
      </c>
      <c r="BF235" t="str">
        <f t="shared" si="105"/>
        <v>Neutral</v>
      </c>
      <c r="BG235">
        <f>survey_responses[[#This Row],[Sau khi xem xét các quyền lợi và nghĩa vụ, bạn có ủng hộ và tuân thủ chính sách mới hiện nay? - HUMAN-OUT1]]</f>
        <v>1</v>
      </c>
      <c r="BH235" t="str">
        <f t="shared" si="106"/>
        <v>Oppose</v>
      </c>
      <c r="BI235" s="32">
        <f t="shared" si="107"/>
        <v>6</v>
      </c>
    </row>
    <row r="236" spans="1:61" x14ac:dyDescent="0.45">
      <c r="A236" s="30">
        <f>step3_validation[[#This Row],[Persona_ID]]</f>
        <v>235</v>
      </c>
      <c r="B236" s="31">
        <f>step3_validation[[#This Row],[Used_Seed]]</f>
        <v>276</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44.331175625937327</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6</v>
      </c>
      <c r="W236" t="str">
        <f t="shared" si="84"/>
        <v>Neutral</v>
      </c>
      <c r="X236">
        <f>survey_responses[[#This Row],[Tôi tin rằng Nhà nước, cơ quan thuế có đủ khả năng và công nghệ để phát hiện, xử lý nghiêm các hành vi trốn thuế. - HUMAN-ENF2]]</f>
        <v>6</v>
      </c>
      <c r="Y236" t="str">
        <f t="shared" si="85"/>
        <v>Neutral</v>
      </c>
      <c r="Z236" s="32">
        <f t="shared" si="86"/>
        <v>0</v>
      </c>
      <c r="AA236">
        <f>step3_validation[[#This Row],[AI_FAC1]]</f>
        <v>8</v>
      </c>
      <c r="AB236" t="str">
        <f t="shared" si="87"/>
        <v>Support</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7</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3</v>
      </c>
      <c r="AK236">
        <f>step3_validation[[#This Row],[AI_TRU1]]</f>
        <v>8</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3</v>
      </c>
      <c r="AP236">
        <f>step3_validation[[#This Row],[AI_TRU2]]</f>
        <v>9</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3</v>
      </c>
      <c r="AU236">
        <f>step3_validation[[#This Row],[AI_TRU3]]</f>
        <v>7</v>
      </c>
      <c r="AV236" t="str">
        <f t="shared" si="99"/>
        <v>Neutral</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2</v>
      </c>
      <c r="AZ236">
        <f>step3_validation[[#This Row],[AI_TRU4]]</f>
        <v>5</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7</v>
      </c>
      <c r="BF236" t="str">
        <f t="shared" si="105"/>
        <v>Neutral</v>
      </c>
      <c r="BG236">
        <f>survey_responses[[#This Row],[Sau khi xem xét các quyền lợi và nghĩa vụ, bạn có ủng hộ và tuân thủ chính sách mới hiện nay? - HUMAN-OUT1]]</f>
        <v>6</v>
      </c>
      <c r="BH236" t="str">
        <f t="shared" si="106"/>
        <v>Neutral</v>
      </c>
      <c r="BI236" s="32">
        <f t="shared" si="107"/>
        <v>1</v>
      </c>
    </row>
    <row r="237" spans="1:61" x14ac:dyDescent="0.45">
      <c r="A237" s="30">
        <f>step3_validation[[#This Row],[Persona_ID]]</f>
        <v>236</v>
      </c>
      <c r="B237" s="31">
        <f>step3_validation[[#This Row],[Used_Seed]]</f>
        <v>277</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58.780725825648766</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0</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6</v>
      </c>
      <c r="AB237" t="str">
        <f t="shared" si="87"/>
        <v>Neutral</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8</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1</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8</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7</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0</v>
      </c>
      <c r="AZ237">
        <f>step3_validation[[#This Row],[AI_TRU4]]</f>
        <v>7</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0</v>
      </c>
      <c r="BE237">
        <f>step3_validation[[#This Row],[AI_OUT1]]</f>
        <v>6</v>
      </c>
      <c r="BF237" t="str">
        <f t="shared" si="105"/>
        <v>Neutral</v>
      </c>
      <c r="BG237">
        <f>survey_responses[[#This Row],[Sau khi xem xét các quyền lợi và nghĩa vụ, bạn có ủng hộ và tuân thủ chính sách mới hiện nay? - HUMAN-OUT1]]</f>
        <v>7</v>
      </c>
      <c r="BH237" t="str">
        <f t="shared" si="106"/>
        <v>Neutral</v>
      </c>
      <c r="BI237" s="32">
        <f t="shared" si="107"/>
        <v>1</v>
      </c>
    </row>
    <row r="238" spans="1:61" x14ac:dyDescent="0.45">
      <c r="A238" s="30">
        <f>step3_validation[[#This Row],[Persona_ID]]</f>
        <v>237</v>
      </c>
      <c r="B238" s="31">
        <f>step3_validation[[#This Row],[Used_Seed]]</f>
        <v>278</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15.495654569153539</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7</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3</v>
      </c>
      <c r="V238">
        <f>step3_validation[[#This Row],[AI_ENF2]]</f>
        <v>8</v>
      </c>
      <c r="W238" t="str">
        <f t="shared" si="84"/>
        <v>Support</v>
      </c>
      <c r="X238">
        <f>survey_responses[[#This Row],[Tôi tin rằng Nhà nước, cơ quan thuế có đủ khả năng và công nghệ để phát hiện, xử lý nghiêm các hành vi trốn thuế. - HUMAN-ENF2]]</f>
        <v>10</v>
      </c>
      <c r="Y238" t="str">
        <f t="shared" si="85"/>
        <v>Support</v>
      </c>
      <c r="Z238" s="32">
        <f t="shared" si="86"/>
        <v>2</v>
      </c>
      <c r="AA238">
        <f>step3_validation[[#This Row],[AI_FAC1]]</f>
        <v>9</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5</v>
      </c>
      <c r="AF238">
        <f>step3_validation[[#This Row],[AI_FAC2]]</f>
        <v>8</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2</v>
      </c>
      <c r="AK238">
        <f>step3_validation[[#This Row],[AI_TRU1]]</f>
        <v>7</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4</v>
      </c>
      <c r="AP238">
        <f>step3_validation[[#This Row],[AI_TRU2]]</f>
        <v>8</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7</v>
      </c>
      <c r="AU238">
        <f>step3_validation[[#This Row],[AI_TRU3]]</f>
        <v>7</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6</v>
      </c>
      <c r="AZ238">
        <f>step3_validation[[#This Row],[AI_TRU4]]</f>
        <v>6</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3</v>
      </c>
      <c r="BE238">
        <f>step3_validation[[#This Row],[AI_OUT1]]</f>
        <v>8</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7</v>
      </c>
    </row>
    <row r="239" spans="1:61" x14ac:dyDescent="0.45">
      <c r="A239" s="30">
        <f>step3_validation[[#This Row],[Persona_ID]]</f>
        <v>238</v>
      </c>
      <c r="B239" s="31">
        <f>step3_validation[[#This Row],[Used_Seed]]</f>
        <v>279</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23.40408460716592</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8</v>
      </c>
      <c r="R239" t="str">
        <f t="shared" si="81"/>
        <v>Support</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0</v>
      </c>
      <c r="V239">
        <f>step3_validation[[#This Row],[AI_ENF2]]</f>
        <v>7</v>
      </c>
      <c r="W239" t="str">
        <f t="shared" si="84"/>
        <v>Neutral</v>
      </c>
      <c r="X239">
        <f>survey_responses[[#This Row],[Tôi tin rằng Nhà nước, cơ quan thuế có đủ khả năng và công nghệ để phát hiện, xử lý nghiêm các hành vi trốn thuế. - HUMAN-ENF2]]</f>
        <v>10</v>
      </c>
      <c r="Y239" t="str">
        <f t="shared" si="85"/>
        <v>Support</v>
      </c>
      <c r="Z239" s="32">
        <f t="shared" si="86"/>
        <v>3</v>
      </c>
      <c r="AA239">
        <f>step3_validation[[#This Row],[AI_FAC1]]</f>
        <v>9</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7</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2</v>
      </c>
      <c r="AP239">
        <f>step3_validation[[#This Row],[AI_TRU2]]</f>
        <v>6</v>
      </c>
      <c r="AQ239" t="str">
        <f t="shared" si="96"/>
        <v>Neutral</v>
      </c>
      <c r="AR239">
        <f>survey_responses[[#This Row],[Tôi thấy mức thuế tôi phải đóng theo phương án mới là công bằng (người thu nhập như tôi đóng mức này là hợp lý). - HUMAN-TRU2]]</f>
        <v>8</v>
      </c>
      <c r="AS239" t="str">
        <f t="shared" si="97"/>
        <v>Support</v>
      </c>
      <c r="AT239" s="32">
        <f t="shared" si="98"/>
        <v>2</v>
      </c>
      <c r="AU239">
        <f>step3_validation[[#This Row],[AI_TRU3]]</f>
        <v>7</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0</v>
      </c>
      <c r="AZ239">
        <f>step3_validation[[#This Row],[AI_TRU4]]</f>
        <v>5</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4</v>
      </c>
      <c r="BE239">
        <f>step3_validation[[#This Row],[AI_OUT1]]</f>
        <v>6</v>
      </c>
      <c r="BF239" t="str">
        <f t="shared" si="105"/>
        <v>Neutral</v>
      </c>
      <c r="BG239">
        <f>survey_responses[[#This Row],[Sau khi xem xét các quyền lợi và nghĩa vụ, bạn có ủng hộ và tuân thủ chính sách mới hiện nay? - HUMAN-OUT1]]</f>
        <v>9</v>
      </c>
      <c r="BH239" t="str">
        <f t="shared" si="106"/>
        <v>Support</v>
      </c>
      <c r="BI239" s="32">
        <f t="shared" si="107"/>
        <v>3</v>
      </c>
    </row>
    <row r="240" spans="1:61" x14ac:dyDescent="0.45">
      <c r="A240" s="30">
        <f>step3_validation[[#This Row],[Persona_ID]]</f>
        <v>239</v>
      </c>
      <c r="B240" s="31">
        <f>step3_validation[[#This Row],[Used_Seed]]</f>
        <v>280</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100.92429770064602</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8</v>
      </c>
      <c r="R240" t="str">
        <f t="shared" si="81"/>
        <v>Support</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2</v>
      </c>
      <c r="V240">
        <f>step3_validation[[#This Row],[AI_ENF2]]</f>
        <v>7</v>
      </c>
      <c r="W240" t="str">
        <f t="shared" si="84"/>
        <v>Neutral</v>
      </c>
      <c r="X240">
        <f>survey_responses[[#This Row],[Tôi tin rằng Nhà nước, cơ quan thuế có đủ khả năng và công nghệ để phát hiện, xử lý nghiêm các hành vi trốn thuế. - HUMAN-ENF2]]</f>
        <v>6</v>
      </c>
      <c r="Y240" t="str">
        <f t="shared" si="85"/>
        <v>Neutral</v>
      </c>
      <c r="Z240" s="32">
        <f t="shared" si="86"/>
        <v>1</v>
      </c>
      <c r="AA240">
        <f>step3_validation[[#This Row],[AI_FAC1]]</f>
        <v>6</v>
      </c>
      <c r="AB240" t="str">
        <f t="shared" si="87"/>
        <v>Neutral</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0</v>
      </c>
      <c r="AF240">
        <f>step3_validation[[#This Row],[AI_FAC2]]</f>
        <v>8</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2</v>
      </c>
      <c r="AK240">
        <f>step3_validation[[#This Row],[AI_TRU1]]</f>
        <v>9</v>
      </c>
      <c r="AL240" t="str">
        <f t="shared" si="93"/>
        <v>Support</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3</v>
      </c>
      <c r="AP240">
        <f>step3_validation[[#This Row],[AI_TRU2]]</f>
        <v>7</v>
      </c>
      <c r="AQ240" t="str">
        <f t="shared" si="96"/>
        <v>Neutral</v>
      </c>
      <c r="AR240">
        <f>survey_responses[[#This Row],[Tôi thấy mức thuế tôi phải đóng theo phương án mới là công bằng (người thu nhập như tôi đóng mức này là hợp lý). - HUMAN-TRU2]]</f>
        <v>6</v>
      </c>
      <c r="AS240" t="str">
        <f t="shared" si="97"/>
        <v>Neutral</v>
      </c>
      <c r="AT240" s="32">
        <f t="shared" si="98"/>
        <v>1</v>
      </c>
      <c r="AU240">
        <f>step3_validation[[#This Row],[AI_TRU3]]</f>
        <v>8</v>
      </c>
      <c r="AV240" t="str">
        <f t="shared" si="99"/>
        <v>Support</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2</v>
      </c>
      <c r="AZ240">
        <f>step3_validation[[#This Row],[AI_TRU4]]</f>
        <v>7</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0</v>
      </c>
      <c r="BE240">
        <f>step3_validation[[#This Row],[AI_OUT1]]</f>
        <v>9</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3</v>
      </c>
    </row>
    <row r="241" spans="1:61" x14ac:dyDescent="0.45">
      <c r="A241" s="30">
        <f>step3_validation[[#This Row],[Persona_ID]]</f>
        <v>240</v>
      </c>
      <c r="B241" s="31">
        <f>step3_validation[[#This Row],[Used_Seed]]</f>
        <v>281</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57.328311198778366</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9</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1</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7</v>
      </c>
      <c r="AG241" t="str">
        <f t="shared" si="90"/>
        <v>Neutral</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6</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2</v>
      </c>
      <c r="BE241">
        <f>step3_validation[[#This Row],[AI_OUT1]]</f>
        <v>8</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0</v>
      </c>
    </row>
    <row r="242" spans="1:61" x14ac:dyDescent="0.45">
      <c r="A242" s="30">
        <f>step3_validation[[#This Row],[Persona_ID]]</f>
        <v>241</v>
      </c>
      <c r="B242" s="31">
        <f>step3_validation[[#This Row],[Used_Seed]]</f>
        <v>282</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61.115110224158109</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8</v>
      </c>
      <c r="W242" t="str">
        <f t="shared" si="84"/>
        <v>Support</v>
      </c>
      <c r="X242">
        <f>survey_responses[[#This Row],[Tôi tin rằng Nhà nước, cơ quan thuế có đủ khả năng và công nghệ để phát hiện, xử lý nghiêm các hành vi trốn thuế. - HUMAN-ENF2]]</f>
        <v>6</v>
      </c>
      <c r="Y242" t="str">
        <f t="shared" si="85"/>
        <v>Neutral</v>
      </c>
      <c r="Z242" s="32">
        <f t="shared" si="86"/>
        <v>2</v>
      </c>
      <c r="AA242">
        <f>step3_validation[[#This Row],[AI_FAC1]]</f>
        <v>9</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2</v>
      </c>
      <c r="AF242">
        <f>step3_validation[[#This Row],[AI_FAC2]]</f>
        <v>7</v>
      </c>
      <c r="AG242" t="str">
        <f t="shared" si="90"/>
        <v>Neutral</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0</v>
      </c>
      <c r="AK242">
        <f>step3_validation[[#This Row],[AI_TRU1]]</f>
        <v>8</v>
      </c>
      <c r="AL242" t="str">
        <f t="shared" si="93"/>
        <v>Support</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0</v>
      </c>
      <c r="AP242">
        <f>step3_validation[[#This Row],[AI_TRU2]]</f>
        <v>7</v>
      </c>
      <c r="AQ242" t="str">
        <f t="shared" si="96"/>
        <v>Neutral</v>
      </c>
      <c r="AR242">
        <f>survey_responses[[#This Row],[Tôi thấy mức thuế tôi phải đóng theo phương án mới là công bằng (người thu nhập như tôi đóng mức này là hợp lý). - HUMAN-TRU2]]</f>
        <v>8</v>
      </c>
      <c r="AS242" t="str">
        <f t="shared" si="97"/>
        <v>Support</v>
      </c>
      <c r="AT242" s="32">
        <f t="shared" si="98"/>
        <v>1</v>
      </c>
      <c r="AU242">
        <f>step3_validation[[#This Row],[AI_TRU3]]</f>
        <v>8</v>
      </c>
      <c r="AV242" t="str">
        <f t="shared" si="99"/>
        <v>Support</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0</v>
      </c>
      <c r="AZ242">
        <f>step3_validation[[#This Row],[AI_TRU4]]</f>
        <v>7</v>
      </c>
      <c r="BA242" t="str">
        <f t="shared" si="102"/>
        <v>Neutral</v>
      </c>
      <c r="BB242">
        <f>survey_responses[[#This Row],[Tôi thấy Nhà nước đã giải thích rõ ràng, minh bạch về lý do và mục tiêu của việc sửa đổi thuế lần này. - HUMAN-TRU4]]</f>
        <v>8</v>
      </c>
      <c r="BC242" t="str">
        <f t="shared" si="103"/>
        <v>Support</v>
      </c>
      <c r="BD242" s="32">
        <f t="shared" si="104"/>
        <v>1</v>
      </c>
      <c r="BE242">
        <f>step3_validation[[#This Row],[AI_OUT1]]</f>
        <v>8</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0</v>
      </c>
    </row>
    <row r="243" spans="1:61" x14ac:dyDescent="0.45">
      <c r="A243" s="30">
        <f>step3_validation[[#This Row],[Persona_ID]]</f>
        <v>242</v>
      </c>
      <c r="B243" s="31">
        <f>step3_validation[[#This Row],[Used_Seed]]</f>
        <v>283</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63.658553002604641</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6</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0</v>
      </c>
      <c r="V243">
        <f>step3_validation[[#This Row],[AI_ENF2]]</f>
        <v>7</v>
      </c>
      <c r="W243" t="str">
        <f t="shared" si="84"/>
        <v>Neutral</v>
      </c>
      <c r="X243">
        <f>survey_responses[[#This Row],[Tôi tin rằng Nhà nước, cơ quan thuế có đủ khả năng và công nghệ để phát hiện, xử lý nghiêm các hành vi trốn thuế. - HUMAN-ENF2]]</f>
        <v>5</v>
      </c>
      <c r="Y243" t="str">
        <f t="shared" si="85"/>
        <v>Neutral</v>
      </c>
      <c r="Z243" s="32">
        <f t="shared" si="86"/>
        <v>2</v>
      </c>
      <c r="AA243">
        <f>step3_validation[[#This Row],[AI_FAC1]]</f>
        <v>8</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3</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6</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1</v>
      </c>
      <c r="AZ243">
        <f>step3_validation[[#This Row],[AI_TRU4]]</f>
        <v>8</v>
      </c>
      <c r="BA243" t="str">
        <f t="shared" si="102"/>
        <v>Support</v>
      </c>
      <c r="BB243">
        <f>survey_responses[[#This Row],[Tôi thấy Nhà nước đã giải thích rõ ràng, minh bạch về lý do và mục tiêu của việc sửa đổi thuế lần này. - HUMAN-TRU4]]</f>
        <v>8</v>
      </c>
      <c r="BC243" t="str">
        <f t="shared" si="103"/>
        <v>Support</v>
      </c>
      <c r="BD243" s="32">
        <f t="shared" si="104"/>
        <v>0</v>
      </c>
      <c r="BE243">
        <f>step3_validation[[#This Row],[AI_OUT1]]</f>
        <v>9</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284</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89.534629383719221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8</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2</v>
      </c>
      <c r="AA244">
        <f>step3_validation[[#This Row],[AI_FAC1]]</f>
        <v>6</v>
      </c>
      <c r="AB244" t="str">
        <f t="shared" si="87"/>
        <v>Neutral</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0</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9</v>
      </c>
      <c r="AL244" t="str">
        <f t="shared" si="93"/>
        <v>Support</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3</v>
      </c>
      <c r="AP244">
        <f>step3_validation[[#This Row],[AI_TRU2]]</f>
        <v>7</v>
      </c>
      <c r="AQ244" t="str">
        <f t="shared" si="96"/>
        <v>Neutral</v>
      </c>
      <c r="AR244">
        <f>survey_responses[[#This Row],[Tôi thấy mức thuế tôi phải đóng theo phương án mới là công bằng (người thu nhập như tôi đóng mức này là hợp lý). - HUMAN-TRU2]]</f>
        <v>6</v>
      </c>
      <c r="AS244" t="str">
        <f t="shared" si="97"/>
        <v>Neutral</v>
      </c>
      <c r="AT244" s="32">
        <f t="shared" si="98"/>
        <v>1</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2</v>
      </c>
      <c r="AZ244">
        <f>step3_validation[[#This Row],[AI_TRU4]]</f>
        <v>5</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1</v>
      </c>
      <c r="BE244">
        <f>step3_validation[[#This Row],[AI_OUT1]]</f>
        <v>6</v>
      </c>
      <c r="BF244" t="str">
        <f t="shared" si="105"/>
        <v>Neutral</v>
      </c>
      <c r="BG244">
        <f>survey_responses[[#This Row],[Sau khi xem xét các quyền lợi và nghĩa vụ, bạn có ủng hộ và tuân thủ chính sách mới hiện nay? - HUMAN-OUT1]]</f>
        <v>6</v>
      </c>
      <c r="BH244" t="str">
        <f t="shared" si="106"/>
        <v>Neutral</v>
      </c>
      <c r="BI244" s="32">
        <f t="shared" si="107"/>
        <v>0</v>
      </c>
    </row>
    <row r="245" spans="1:61" x14ac:dyDescent="0.45">
      <c r="A245" s="30">
        <f>step3_validation[[#This Row],[Persona_ID]]</f>
        <v>244</v>
      </c>
      <c r="B245" s="31">
        <f>step3_validation[[#This Row],[Used_Seed]]</f>
        <v>285</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48.877277263559897</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t="str">
        <f t="shared" si="81"/>
        <v>Support</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8</v>
      </c>
      <c r="W245" t="str">
        <f t="shared" si="84"/>
        <v>Support</v>
      </c>
      <c r="X245">
        <f>survey_responses[[#This Row],[Tôi tin rằng Nhà nước, cơ quan thuế có đủ khả năng và công nghệ để phát hiện, xử lý nghiêm các hành vi trốn thuế. - HUMAN-ENF2]]</f>
        <v>6</v>
      </c>
      <c r="Y245" t="str">
        <f t="shared" si="85"/>
        <v>Neutral</v>
      </c>
      <c r="Z245" s="32">
        <f t="shared" si="86"/>
        <v>2</v>
      </c>
      <c r="AA245">
        <f>step3_validation[[#This Row],[AI_FAC1]]</f>
        <v>7</v>
      </c>
      <c r="AB245" t="str">
        <f t="shared" si="87"/>
        <v>Neutral</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1</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1</v>
      </c>
      <c r="AK245">
        <f>step3_validation[[#This Row],[AI_TRU1]]</f>
        <v>8</v>
      </c>
      <c r="AL245" t="str">
        <f t="shared" si="93"/>
        <v>Support</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2</v>
      </c>
      <c r="AP245">
        <f>step3_validation[[#This Row],[AI_TRU2]]</f>
        <v>9</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3</v>
      </c>
      <c r="AU245">
        <f>step3_validation[[#This Row],[AI_TRU3]]</f>
        <v>7</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1</v>
      </c>
      <c r="AZ245">
        <f>step3_validation[[#This Row],[AI_TRU4]]</f>
        <v>6</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0</v>
      </c>
      <c r="BE245">
        <f>step3_validation[[#This Row],[AI_OUT1]]</f>
        <v>7</v>
      </c>
      <c r="BF245" t="str">
        <f t="shared" si="105"/>
        <v>Neutral</v>
      </c>
      <c r="BG245">
        <f>survey_responses[[#This Row],[Sau khi xem xét các quyền lợi và nghĩa vụ, bạn có ủng hộ và tuân thủ chính sách mới hiện nay? - HUMAN-OUT1]]</f>
        <v>6</v>
      </c>
      <c r="BH245" t="str">
        <f t="shared" si="106"/>
        <v>Neutral</v>
      </c>
      <c r="BI245" s="32">
        <f t="shared" si="107"/>
        <v>1</v>
      </c>
    </row>
    <row r="246" spans="1:61" x14ac:dyDescent="0.45">
      <c r="A246" s="30">
        <f>step3_validation[[#This Row],[Persona_ID]]</f>
        <v>245</v>
      </c>
      <c r="B246" s="31">
        <f>step3_validation[[#This Row],[Used_Seed]]</f>
        <v>286</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165.26437186565826</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6</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2</v>
      </c>
      <c r="V246">
        <f>step3_validation[[#This Row],[AI_ENF2]]</f>
        <v>7</v>
      </c>
      <c r="W246" t="str">
        <f t="shared" si="84"/>
        <v>Neutral</v>
      </c>
      <c r="X246">
        <f>survey_responses[[#This Row],[Tôi tin rằng Nhà nước, cơ quan thuế có đủ khả năng và công nghệ để phát hiện, xử lý nghiêm các hành vi trốn thuế. - HUMAN-ENF2]]</f>
        <v>4</v>
      </c>
      <c r="Y246" t="str">
        <f t="shared" si="85"/>
        <v>Oppose</v>
      </c>
      <c r="Z246" s="32">
        <f t="shared" si="86"/>
        <v>3</v>
      </c>
      <c r="AA246">
        <f>step3_validation[[#This Row],[AI_FAC1]]</f>
        <v>8</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7</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5</v>
      </c>
      <c r="AK246">
        <f>step3_validation[[#This Row],[AI_TRU1]]</f>
        <v>8</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4</v>
      </c>
      <c r="AP246">
        <f>step3_validation[[#This Row],[AI_TRU2]]</f>
        <v>7</v>
      </c>
      <c r="AQ246" t="str">
        <f t="shared" si="96"/>
        <v>Neutral</v>
      </c>
      <c r="AR246">
        <f>survey_responses[[#This Row],[Tôi thấy mức thuế tôi phải đóng theo phương án mới là công bằng (người thu nhập như tôi đóng mức này là hợp lý). - HUMAN-TRU2]]</f>
        <v>4</v>
      </c>
      <c r="AS246" t="str">
        <f t="shared" si="97"/>
        <v>Oppose</v>
      </c>
      <c r="AT246" s="32">
        <f t="shared" si="98"/>
        <v>3</v>
      </c>
      <c r="AU246">
        <f>step3_validation[[#This Row],[AI_TRU3]]</f>
        <v>8</v>
      </c>
      <c r="AV246" t="str">
        <f t="shared" si="99"/>
        <v>Support</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3</v>
      </c>
      <c r="AZ246">
        <f>step3_validation[[#This Row],[AI_TRU4]]</f>
        <v>6</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1</v>
      </c>
      <c r="BE246">
        <f>step3_validation[[#This Row],[AI_OUT1]]</f>
        <v>8</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3</v>
      </c>
    </row>
    <row r="247" spans="1:61" x14ac:dyDescent="0.45">
      <c r="A247" s="30">
        <f>step3_validation[[#This Row],[Persona_ID]]</f>
        <v>246</v>
      </c>
      <c r="B247" s="31">
        <f>step3_validation[[#This Row],[Used_Seed]]</f>
        <v>287</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29.810391383107362</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6</v>
      </c>
      <c r="R247" t="str">
        <f t="shared" si="81"/>
        <v>Neutral</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0</v>
      </c>
      <c r="V247">
        <f>step3_validation[[#This Row],[AI_ENF2]]</f>
        <v>5</v>
      </c>
      <c r="W247" t="str">
        <f t="shared" si="84"/>
        <v>Neutral</v>
      </c>
      <c r="X247">
        <f>survey_responses[[#This Row],[Tôi tin rằng Nhà nước, cơ quan thuế có đủ khả năng và công nghệ để phát hiện, xử lý nghiêm các hành vi trốn thuế. - HUMAN-ENF2]]</f>
        <v>7</v>
      </c>
      <c r="Y247" t="str">
        <f t="shared" si="85"/>
        <v>Neutral</v>
      </c>
      <c r="Z247" s="32">
        <f t="shared" si="86"/>
        <v>2</v>
      </c>
      <c r="AA247">
        <f>step3_validation[[#This Row],[AI_FAC1]]</f>
        <v>8</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1</v>
      </c>
      <c r="AF247">
        <f>step3_validation[[#This Row],[AI_FAC2]]</f>
        <v>7</v>
      </c>
      <c r="AG247" t="str">
        <f t="shared" si="90"/>
        <v>Neutral</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0</v>
      </c>
      <c r="AK247">
        <f>step3_validation[[#This Row],[AI_TRU1]]</f>
        <v>4</v>
      </c>
      <c r="AL247" t="str">
        <f t="shared" si="93"/>
        <v>Oppose</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3</v>
      </c>
      <c r="AP247">
        <f>step3_validation[[#This Row],[AI_TRU2]]</f>
        <v>6</v>
      </c>
      <c r="AQ247" t="str">
        <f t="shared" si="96"/>
        <v>Neutral</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5</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2</v>
      </c>
      <c r="AZ247">
        <f>step3_validation[[#This Row],[AI_TRU4]]</f>
        <v>4</v>
      </c>
      <c r="BA247" t="str">
        <f t="shared" si="102"/>
        <v>Oppose</v>
      </c>
      <c r="BB247">
        <f>survey_responses[[#This Row],[Tôi thấy Nhà nước đã giải thích rõ ràng, minh bạch về lý do và mục tiêu của việc sửa đổi thuế lần này. - HUMAN-TRU4]]</f>
        <v>7</v>
      </c>
      <c r="BC247" t="str">
        <f t="shared" si="103"/>
        <v>Neutral</v>
      </c>
      <c r="BD247" s="32">
        <f t="shared" si="104"/>
        <v>3</v>
      </c>
      <c r="BE247">
        <f>step3_validation[[#This Row],[AI_OUT1]]</f>
        <v>7</v>
      </c>
      <c r="BF247" t="str">
        <f t="shared" si="105"/>
        <v>Neutral</v>
      </c>
      <c r="BG247">
        <f>survey_responses[[#This Row],[Sau khi xem xét các quyền lợi và nghĩa vụ, bạn có ủng hộ và tuân thủ chính sách mới hiện nay? - HUMAN-OUT1]]</f>
        <v>7</v>
      </c>
      <c r="BH247" t="str">
        <f t="shared" si="106"/>
        <v>Neutral</v>
      </c>
      <c r="BI247" s="32">
        <f t="shared" si="107"/>
        <v>0</v>
      </c>
    </row>
    <row r="248" spans="1:61" x14ac:dyDescent="0.45">
      <c r="A248" s="30">
        <f>step3_validation[[#This Row],[Persona_ID]]</f>
        <v>247</v>
      </c>
      <c r="B248" s="31">
        <f>step3_validation[[#This Row],[Used_Seed]]</f>
        <v>288</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63.401347640607888</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7</v>
      </c>
      <c r="R248" t="str">
        <f t="shared" si="81"/>
        <v>Neutral</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1</v>
      </c>
      <c r="V248">
        <f>step3_validation[[#This Row],[AI_ENF2]]</f>
        <v>6</v>
      </c>
      <c r="W248" t="str">
        <f t="shared" si="84"/>
        <v>Neutral</v>
      </c>
      <c r="X248">
        <f>survey_responses[[#This Row],[Tôi tin rằng Nhà nước, cơ quan thuế có đủ khả năng và công nghệ để phát hiện, xử lý nghiêm các hành vi trốn thuế. - HUMAN-ENF2]]</f>
        <v>8</v>
      </c>
      <c r="Y248" t="str">
        <f t="shared" si="85"/>
        <v>Support</v>
      </c>
      <c r="Z248" s="32">
        <f t="shared" si="86"/>
        <v>2</v>
      </c>
      <c r="AA248">
        <f>step3_validation[[#This Row],[AI_FAC1]]</f>
        <v>5</v>
      </c>
      <c r="AB248" t="str">
        <f t="shared" si="87"/>
        <v>Neutral</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3</v>
      </c>
      <c r="AF248">
        <f>step3_validation[[#This Row],[AI_FAC2]]</f>
        <v>4</v>
      </c>
      <c r="AG248" t="str">
        <f t="shared" si="90"/>
        <v>Oppose</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4</v>
      </c>
      <c r="AK248">
        <f>step3_validation[[#This Row],[AI_TRU1]]</f>
        <v>8</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0</v>
      </c>
      <c r="AP248">
        <f>step3_validation[[#This Row],[AI_TRU2]]</f>
        <v>6</v>
      </c>
      <c r="AQ248" t="str">
        <f t="shared" si="96"/>
        <v>Neutral</v>
      </c>
      <c r="AR248">
        <f>survey_responses[[#This Row],[Tôi thấy mức thuế tôi phải đóng theo phương án mới là công bằng (người thu nhập như tôi đóng mức này là hợp lý). - HUMAN-TRU2]]</f>
        <v>8</v>
      </c>
      <c r="AS248" t="str">
        <f t="shared" si="97"/>
        <v>Support</v>
      </c>
      <c r="AT248" s="32">
        <f t="shared" si="98"/>
        <v>2</v>
      </c>
      <c r="AU248">
        <f>step3_validation[[#This Row],[AI_TRU3]]</f>
        <v>5</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3</v>
      </c>
      <c r="AZ248">
        <f>step3_validation[[#This Row],[AI_TRU4]]</f>
        <v>3</v>
      </c>
      <c r="BA248" t="str">
        <f t="shared" si="102"/>
        <v>Oppose</v>
      </c>
      <c r="BB248">
        <f>survey_responses[[#This Row],[Tôi thấy Nhà nước đã giải thích rõ ràng, minh bạch về lý do và mục tiêu của việc sửa đổi thuế lần này. - HUMAN-TRU4]]</f>
        <v>8</v>
      </c>
      <c r="BC248" t="str">
        <f t="shared" si="103"/>
        <v>Support</v>
      </c>
      <c r="BD248" s="32">
        <f t="shared" si="104"/>
        <v>5</v>
      </c>
      <c r="BE248">
        <f>step3_validation[[#This Row],[AI_OUT1]]</f>
        <v>6</v>
      </c>
      <c r="BF248" t="str">
        <f t="shared" si="105"/>
        <v>Neutral</v>
      </c>
      <c r="BG248">
        <f>survey_responses[[#This Row],[Sau khi xem xét các quyền lợi và nghĩa vụ, bạn có ủng hộ và tuân thủ chính sách mới hiện nay? - HUMAN-OUT1]]</f>
        <v>8</v>
      </c>
      <c r="BH248" t="str">
        <f t="shared" si="106"/>
        <v>Support</v>
      </c>
      <c r="BI248" s="32">
        <f t="shared" si="107"/>
        <v>2</v>
      </c>
    </row>
    <row r="249" spans="1:61" x14ac:dyDescent="0.45">
      <c r="A249" s="30">
        <f>step3_validation[[#This Row],[Persona_ID]]</f>
        <v>248</v>
      </c>
      <c r="B249" s="31">
        <f>step3_validation[[#This Row],[Used_Seed]]</f>
        <v>289</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44.642379143503852</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6</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1</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5</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1</v>
      </c>
      <c r="AK249">
        <f>step3_validation[[#This Row],[AI_TRU1]]</f>
        <v>7</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0</v>
      </c>
      <c r="AP249">
        <f>step3_validation[[#This Row],[AI_TRU2]]</f>
        <v>8</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1</v>
      </c>
      <c r="AU249">
        <f>step3_validation[[#This Row],[AI_TRU3]]</f>
        <v>7</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0</v>
      </c>
      <c r="AZ249">
        <f>step3_validation[[#This Row],[AI_TRU4]]</f>
        <v>6</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8</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1</v>
      </c>
    </row>
    <row r="250" spans="1:61" x14ac:dyDescent="0.45">
      <c r="A250" s="30">
        <f>step3_validation[[#This Row],[Persona_ID]]</f>
        <v>249</v>
      </c>
      <c r="B250" s="31">
        <f>step3_validation[[#This Row],[Used_Seed]]</f>
        <v>290</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82.175623018826684</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9</v>
      </c>
      <c r="R250" t="str">
        <f t="shared" si="81"/>
        <v>Support</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0</v>
      </c>
      <c r="V250">
        <f>step3_validation[[#This Row],[AI_ENF2]]</f>
        <v>8</v>
      </c>
      <c r="W250" t="str">
        <f t="shared" si="84"/>
        <v>Support</v>
      </c>
      <c r="X250">
        <f>survey_responses[[#This Row],[Tôi tin rằng Nhà nước, cơ quan thuế có đủ khả năng và công nghệ để phát hiện, xử lý nghiêm các hành vi trốn thuế. - HUMAN-ENF2]]</f>
        <v>9</v>
      </c>
      <c r="Y250" t="str">
        <f t="shared" si="85"/>
        <v>Support</v>
      </c>
      <c r="Z250" s="32">
        <f t="shared" si="86"/>
        <v>1</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1</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0</v>
      </c>
      <c r="AK250">
        <f>step3_validation[[#This Row],[AI_TRU1]]</f>
        <v>8</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1</v>
      </c>
      <c r="AP250">
        <f>step3_validation[[#This Row],[AI_TRU2]]</f>
        <v>7</v>
      </c>
      <c r="AQ250" t="str">
        <f t="shared" si="96"/>
        <v>Neutral</v>
      </c>
      <c r="AR250">
        <f>survey_responses[[#This Row],[Tôi thấy mức thuế tôi phải đóng theo phương án mới là công bằng (người thu nhập như tôi đóng mức này là hợp lý). - HUMAN-TRU2]]</f>
        <v>9</v>
      </c>
      <c r="AS250" t="str">
        <f t="shared" si="97"/>
        <v>Support</v>
      </c>
      <c r="AT250" s="32">
        <f t="shared" si="98"/>
        <v>2</v>
      </c>
      <c r="AU250">
        <f>step3_validation[[#This Row],[AI_TRU3]]</f>
        <v>8</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1</v>
      </c>
      <c r="AZ250">
        <f>step3_validation[[#This Row],[AI_TRU4]]</f>
        <v>7</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2</v>
      </c>
      <c r="BE250">
        <f>step3_validation[[#This Row],[AI_OUT1]]</f>
        <v>8</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1</v>
      </c>
    </row>
    <row r="251" spans="1:61" x14ac:dyDescent="0.45">
      <c r="A251" s="30">
        <f>step3_validation[[#This Row],[Persona_ID]]</f>
        <v>250</v>
      </c>
      <c r="B251" s="31">
        <f>step3_validation[[#This Row],[Used_Seed]]</f>
        <v>291</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52.054939407172547</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8</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1</v>
      </c>
      <c r="V251">
        <f>step3_validation[[#This Row],[AI_ENF2]]</f>
        <v>7</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1</v>
      </c>
      <c r="AA251">
        <f>step3_validation[[#This Row],[AI_FAC1]]</f>
        <v>9</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4</v>
      </c>
      <c r="AF251">
        <f>step3_validation[[#This Row],[AI_FAC2]]</f>
        <v>8</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2</v>
      </c>
      <c r="AK251">
        <f>step3_validation[[#This Row],[AI_TRU1]]</f>
        <v>7</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1</v>
      </c>
      <c r="AP251">
        <f>step3_validation[[#This Row],[AI_TRU2]]</f>
        <v>8</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2</v>
      </c>
      <c r="AU251">
        <f>step3_validation[[#This Row],[AI_TRU3]]</f>
        <v>7</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1</v>
      </c>
      <c r="AZ251">
        <f>step3_validation[[#This Row],[AI_TRU4]]</f>
        <v>6</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0</v>
      </c>
      <c r="BE251">
        <f>step3_validation[[#This Row],[AI_OUT1]]</f>
        <v>8</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292</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42.978837780399274</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8</v>
      </c>
      <c r="R252" t="str">
        <f t="shared" si="81"/>
        <v>Support</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0</v>
      </c>
      <c r="V252">
        <f>step3_validation[[#This Row],[AI_ENF2]]</f>
        <v>7</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1</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1</v>
      </c>
      <c r="AK252">
        <f>step3_validation[[#This Row],[AI_TRU1]]</f>
        <v>9</v>
      </c>
      <c r="AL252" t="str">
        <f t="shared" si="93"/>
        <v>Support</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8</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2</v>
      </c>
      <c r="AU252">
        <f>step3_validation[[#This Row],[AI_TRU3]]</f>
        <v>9</v>
      </c>
      <c r="AV252" t="str">
        <f t="shared" si="99"/>
        <v>Support</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2</v>
      </c>
      <c r="AZ252">
        <f>step3_validation[[#This Row],[AI_TRU4]]</f>
        <v>8</v>
      </c>
      <c r="BA252" t="str">
        <f t="shared" si="102"/>
        <v>Support</v>
      </c>
      <c r="BB252">
        <f>survey_responses[[#This Row],[Tôi thấy Nhà nước đã giải thích rõ ràng, minh bạch về lý do và mục tiêu của việc sửa đổi thuế lần này. - HUMAN-TRU4]]</f>
        <v>7</v>
      </c>
      <c r="BC252" t="str">
        <f t="shared" si="103"/>
        <v>Neutral</v>
      </c>
      <c r="BD252" s="32">
        <f t="shared" si="104"/>
        <v>1</v>
      </c>
      <c r="BE252">
        <f>step3_validation[[#This Row],[AI_OUT1]]</f>
        <v>9</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1</v>
      </c>
    </row>
    <row r="253" spans="1:61" x14ac:dyDescent="0.45">
      <c r="A253" s="30">
        <f>step3_validation[[#This Row],[Persona_ID]]</f>
        <v>252</v>
      </c>
      <c r="B253" s="31">
        <f>step3_validation[[#This Row],[Used_Seed]]</f>
        <v>293</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62.53740786274534</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8</v>
      </c>
      <c r="R253" t="str">
        <f t="shared" si="81"/>
        <v>Support</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2</v>
      </c>
      <c r="V253">
        <f>step3_validation[[#This Row],[AI_ENF2]]</f>
        <v>9</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3</v>
      </c>
      <c r="AA253">
        <f>step3_validation[[#This Row],[AI_FAC1]]</f>
        <v>7</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6</v>
      </c>
      <c r="AF253">
        <f>step3_validation[[#This Row],[AI_FAC2]]</f>
        <v>8</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2</v>
      </c>
      <c r="AK253">
        <f>step3_validation[[#This Row],[AI_TRU1]]</f>
        <v>9</v>
      </c>
      <c r="AL253" t="str">
        <f t="shared" si="93"/>
        <v>Support</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4</v>
      </c>
      <c r="AP253">
        <f>step3_validation[[#This Row],[AI_TRU2]]</f>
        <v>7</v>
      </c>
      <c r="AQ253" t="str">
        <f t="shared" si="96"/>
        <v>Neutral</v>
      </c>
      <c r="AR253">
        <f>survey_responses[[#This Row],[Tôi thấy mức thuế tôi phải đóng theo phương án mới là công bằng (người thu nhập như tôi đóng mức này là hợp lý). - HUMAN-TRU2]]</f>
        <v>6</v>
      </c>
      <c r="AS253" t="str">
        <f t="shared" si="97"/>
        <v>Neutral</v>
      </c>
      <c r="AT253" s="32">
        <f t="shared" si="98"/>
        <v>1</v>
      </c>
      <c r="AU253">
        <f>step3_validation[[#This Row],[AI_TRU3]]</f>
        <v>8</v>
      </c>
      <c r="AV253" t="str">
        <f t="shared" si="99"/>
        <v>Support</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2</v>
      </c>
      <c r="AZ253">
        <f>step3_validation[[#This Row],[AI_TRU4]]</f>
        <v>7</v>
      </c>
      <c r="BA253" t="str">
        <f t="shared" si="102"/>
        <v>Neutral</v>
      </c>
      <c r="BB253">
        <f>survey_responses[[#This Row],[Tôi thấy Nhà nước đã giải thích rõ ràng, minh bạch về lý do và mục tiêu của việc sửa đổi thuế lần này. - HUMAN-TRU4]]</f>
        <v>6</v>
      </c>
      <c r="BC253" t="str">
        <f t="shared" si="103"/>
        <v>Neutral</v>
      </c>
      <c r="BD253" s="32">
        <f t="shared" si="104"/>
        <v>1</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294</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90.048830341448124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8</v>
      </c>
      <c r="R254" t="str">
        <f t="shared" si="81"/>
        <v>Support</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0</v>
      </c>
      <c r="V254">
        <f>step3_validation[[#This Row],[AI_ENF2]]</f>
        <v>9</v>
      </c>
      <c r="W254" t="str">
        <f t="shared" si="84"/>
        <v>Support</v>
      </c>
      <c r="X254">
        <f>survey_responses[[#This Row],[Tôi tin rằng Nhà nước, cơ quan thuế có đủ khả năng và công nghệ để phát hiện, xử lý nghiêm các hành vi trốn thuế. - HUMAN-ENF2]]</f>
        <v>8</v>
      </c>
      <c r="Y254" t="str">
        <f t="shared" si="85"/>
        <v>Support</v>
      </c>
      <c r="Z254" s="32">
        <f t="shared" si="86"/>
        <v>1</v>
      </c>
      <c r="AA254">
        <f>step3_validation[[#This Row],[AI_FAC1]]</f>
        <v>8</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5</v>
      </c>
      <c r="AF254">
        <f>step3_validation[[#This Row],[AI_FAC2]]</f>
        <v>7</v>
      </c>
      <c r="AG254" t="str">
        <f t="shared" si="90"/>
        <v>Neutral</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2</v>
      </c>
      <c r="AK254">
        <f>step3_validation[[#This Row],[AI_TRU1]]</f>
        <v>8</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0</v>
      </c>
      <c r="AP254">
        <f>step3_validation[[#This Row],[AI_TRU2]]</f>
        <v>7</v>
      </c>
      <c r="AQ254" t="str">
        <f t="shared" si="96"/>
        <v>Neutral</v>
      </c>
      <c r="AR254">
        <f>survey_responses[[#This Row],[Tôi thấy mức thuế tôi phải đóng theo phương án mới là công bằng (người thu nhập như tôi đóng mức này là hợp lý). - HUMAN-TRU2]]</f>
        <v>8</v>
      </c>
      <c r="AS254" t="str">
        <f t="shared" si="97"/>
        <v>Support</v>
      </c>
      <c r="AT254" s="32">
        <f t="shared" si="98"/>
        <v>1</v>
      </c>
      <c r="AU254">
        <f>step3_validation[[#This Row],[AI_TRU3]]</f>
        <v>8</v>
      </c>
      <c r="AV254" t="str">
        <f t="shared" si="99"/>
        <v>Support</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0</v>
      </c>
      <c r="AZ254">
        <f>step3_validation[[#This Row],[AI_TRU4]]</f>
        <v>6</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2</v>
      </c>
      <c r="BE254">
        <f>step3_validation[[#This Row],[AI_OUT1]]</f>
        <v>8</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0</v>
      </c>
    </row>
    <row r="255" spans="1:61" x14ac:dyDescent="0.45">
      <c r="A255" s="30">
        <f>step3_validation[[#This Row],[Persona_ID]]</f>
        <v>254</v>
      </c>
      <c r="B255" s="31">
        <f>step3_validation[[#This Row],[Used_Seed]]</f>
        <v>295</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74.379785722700021</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6</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2</v>
      </c>
      <c r="V255">
        <f>step3_validation[[#This Row],[AI_ENF2]]</f>
        <v>7</v>
      </c>
      <c r="W255" t="str">
        <f t="shared" si="84"/>
        <v>Neutral</v>
      </c>
      <c r="X255">
        <f>survey_responses[[#This Row],[Tôi tin rằng Nhà nước, cơ quan thuế có đủ khả năng và công nghệ để phát hiện, xử lý nghiêm các hành vi trốn thuế. - HUMAN-ENF2]]</f>
        <v>3</v>
      </c>
      <c r="Y255" t="str">
        <f t="shared" si="85"/>
        <v>Oppose</v>
      </c>
      <c r="Z255" s="32">
        <f t="shared" si="86"/>
        <v>4</v>
      </c>
      <c r="AA255">
        <f>step3_validation[[#This Row],[AI_FAC1]]</f>
        <v>8</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7</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2</v>
      </c>
      <c r="AK255">
        <f>step3_validation[[#This Row],[AI_TRU1]]</f>
        <v>7</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4</v>
      </c>
      <c r="AP255">
        <f>step3_validation[[#This Row],[AI_TRU2]]</f>
        <v>8</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2</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2</v>
      </c>
      <c r="AZ255">
        <f>step3_validation[[#This Row],[AI_TRU4]]</f>
        <v>6</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0</v>
      </c>
      <c r="BE255">
        <f>step3_validation[[#This Row],[AI_OUT1]]</f>
        <v>7</v>
      </c>
      <c r="BF255" t="str">
        <f t="shared" si="105"/>
        <v>Neutral</v>
      </c>
      <c r="BG255">
        <f>survey_responses[[#This Row],[Sau khi xem xét các quyền lợi và nghĩa vụ, bạn có ủng hộ và tuân thủ chính sách mới hiện nay? - HUMAN-OUT1]]</f>
        <v>6</v>
      </c>
      <c r="BH255" t="str">
        <f t="shared" si="106"/>
        <v>Neutral</v>
      </c>
      <c r="BI255" s="32">
        <f t="shared" si="107"/>
        <v>1</v>
      </c>
    </row>
    <row r="256" spans="1:61" x14ac:dyDescent="0.45">
      <c r="A256" s="30">
        <f>step3_validation[[#This Row],[Persona_ID]]</f>
        <v>255</v>
      </c>
      <c r="B256" s="31">
        <f>step3_validation[[#This Row],[Used_Seed]]</f>
        <v>296</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61.953258506214127</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8</v>
      </c>
      <c r="W256" t="str">
        <f t="shared" si="84"/>
        <v>Support</v>
      </c>
      <c r="X256">
        <f>survey_responses[[#This Row],[Tôi tin rằng Nhà nước, cơ quan thuế có đủ khả năng và công nghệ để phát hiện, xử lý nghiêm các hành vi trốn thuế. - HUMAN-ENF2]]</f>
        <v>6</v>
      </c>
      <c r="Y256" t="str">
        <f t="shared" si="85"/>
        <v>Neutral</v>
      </c>
      <c r="Z256" s="32">
        <f t="shared" si="86"/>
        <v>2</v>
      </c>
      <c r="AA256">
        <f>step3_validation[[#This Row],[AI_FAC1]]</f>
        <v>6</v>
      </c>
      <c r="AB256" t="str">
        <f t="shared" si="87"/>
        <v>Neutral</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5</v>
      </c>
      <c r="AF256">
        <f>step3_validation[[#This Row],[AI_FAC2]]</f>
        <v>6</v>
      </c>
      <c r="AG256" t="str">
        <f t="shared" si="90"/>
        <v>Neutral</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1</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6</v>
      </c>
      <c r="AQ256" t="str">
        <f t="shared" si="96"/>
        <v>Neutral</v>
      </c>
      <c r="AR256">
        <f>survey_responses[[#This Row],[Tôi thấy mức thuế tôi phải đóng theo phương án mới là công bằng (người thu nhập như tôi đóng mức này là hợp lý). - HUMAN-TRU2]]</f>
        <v>6</v>
      </c>
      <c r="AS256" t="str">
        <f t="shared" si="97"/>
        <v>Neutral</v>
      </c>
      <c r="AT256" s="32">
        <f t="shared" si="98"/>
        <v>0</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6</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0</v>
      </c>
      <c r="BE256">
        <f>step3_validation[[#This Row],[AI_OUT1]]</f>
        <v>6</v>
      </c>
      <c r="BF256" t="str">
        <f t="shared" si="105"/>
        <v>Neutral</v>
      </c>
      <c r="BG256">
        <f>survey_responses[[#This Row],[Sau khi xem xét các quyền lợi và nghĩa vụ, bạn có ủng hộ và tuân thủ chính sách mới hiện nay? - HUMAN-OUT1]]</f>
        <v>6</v>
      </c>
      <c r="BH256" t="str">
        <f t="shared" si="106"/>
        <v>Neutral</v>
      </c>
      <c r="BI256" s="32">
        <f t="shared" si="107"/>
        <v>0</v>
      </c>
    </row>
    <row r="257" spans="1:61" x14ac:dyDescent="0.45">
      <c r="A257" s="30">
        <f>step3_validation[[#This Row],[Persona_ID]]</f>
        <v>256</v>
      </c>
      <c r="B257" s="31">
        <f>step3_validation[[#This Row],[Used_Seed]]</f>
        <v>297</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113.03341630863818</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8</v>
      </c>
      <c r="W257" t="str">
        <f t="shared" si="84"/>
        <v>Support</v>
      </c>
      <c r="X257">
        <f>survey_responses[[#This Row],[Tôi tin rằng Nhà nước, cơ quan thuế có đủ khả năng và công nghệ để phát hiện, xử lý nghiêm các hành vi trốn thuế. - HUMAN-ENF2]]</f>
        <v>8</v>
      </c>
      <c r="Y257" t="str">
        <f t="shared" si="85"/>
        <v>Support</v>
      </c>
      <c r="Z257" s="32">
        <f t="shared" si="86"/>
        <v>0</v>
      </c>
      <c r="AA257">
        <f>step3_validation[[#This Row],[AI_FAC1]]</f>
        <v>6</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1</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7</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6</v>
      </c>
      <c r="AQ257" t="str">
        <f t="shared" si="96"/>
        <v>Neutral</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7</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0</v>
      </c>
      <c r="AZ257">
        <f>step3_validation[[#This Row],[AI_TRU4]]</f>
        <v>5</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2</v>
      </c>
      <c r="BE257">
        <f>step3_validation[[#This Row],[AI_OUT1]]</f>
        <v>6</v>
      </c>
      <c r="BF257" t="str">
        <f t="shared" si="105"/>
        <v>Neutral</v>
      </c>
      <c r="BG257">
        <f>survey_responses[[#This Row],[Sau khi xem xét các quyền lợi và nghĩa vụ, bạn có ủng hộ và tuân thủ chính sách mới hiện nay? - HUMAN-OUT1]]</f>
        <v>7</v>
      </c>
      <c r="BH257" t="str">
        <f t="shared" si="106"/>
        <v>Neutral</v>
      </c>
      <c r="BI257" s="32">
        <f t="shared" si="107"/>
        <v>1</v>
      </c>
    </row>
    <row r="258" spans="1:61" x14ac:dyDescent="0.45">
      <c r="A258" s="30">
        <f>step3_validation[[#This Row],[Persona_ID]]</f>
        <v>257</v>
      </c>
      <c r="B258" s="31">
        <f>step3_validation[[#This Row],[Used_Seed]]</f>
        <v>298</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39.760615265521771</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0</v>
      </c>
      <c r="V258">
        <f>step3_validation[[#This Row],[AI_ENF2]]</f>
        <v>6</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2</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6</v>
      </c>
      <c r="AQ258" t="str">
        <f t="shared" si="96"/>
        <v>Neutral</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2</v>
      </c>
      <c r="AZ258">
        <f>step3_validation[[#This Row],[AI_TRU4]]</f>
        <v>5</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1</v>
      </c>
      <c r="BE258">
        <f>step3_validation[[#This Row],[AI_OUT1]]</f>
        <v>6</v>
      </c>
      <c r="BF258" t="str">
        <f t="shared" si="105"/>
        <v>Neutral</v>
      </c>
      <c r="BG258">
        <f>survey_responses[[#This Row],[Sau khi xem xét các quyền lợi và nghĩa vụ, bạn có ủng hộ và tuân thủ chính sách mới hiện nay? - HUMAN-OUT1]]</f>
        <v>6</v>
      </c>
      <c r="BH258" t="str">
        <f t="shared" si="106"/>
        <v>Neutral</v>
      </c>
      <c r="BI258" s="32">
        <f t="shared" si="107"/>
        <v>0</v>
      </c>
    </row>
    <row r="259" spans="1:61" x14ac:dyDescent="0.45">
      <c r="A259" s="30">
        <f>step3_validation[[#This Row],[Persona_ID]]</f>
        <v>258</v>
      </c>
      <c r="B259" s="31">
        <f>step3_validation[[#This Row],[Used_Seed]]</f>
        <v>299</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62.951761698596449</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1</v>
      </c>
      <c r="V259">
        <f>step3_validation[[#This Row],[AI_ENF2]]</f>
        <v>8</v>
      </c>
      <c r="W259" t="str">
        <f t="shared" ref="W259:W322" si="111">IF(AND(V259&gt;=1,V259&lt;5),"Oppose",IF(AND(V259&gt;=5,V259&lt;8),"Neutral",IF(AND(V259&gt;=8,V259&lt;=10),"Support","")))</f>
        <v>Support</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1</v>
      </c>
      <c r="AA259">
        <f>step3_validation[[#This Row],[AI_FAC1]]</f>
        <v>9</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7</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9</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4</v>
      </c>
      <c r="AP259">
        <f>step3_validation[[#This Row],[AI_TRU2]]</f>
        <v>7</v>
      </c>
      <c r="AQ259" t="str">
        <f t="shared" ref="AQ259:AQ322" si="123">IF(AND(AP259&gt;=1,AP259&lt;5),"Oppose",IF(AND(AP259&gt;=5,AP259&lt;8),"Neutral",IF(AND(AP259&gt;=8,AP259&lt;=10),"Support","")))</f>
        <v>Neutral</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2</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6</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0</v>
      </c>
      <c r="BE259">
        <f>step3_validation[[#This Row],[AI_OUT1]]</f>
        <v>6</v>
      </c>
      <c r="BF259" t="str">
        <f t="shared" ref="BF259:BF322" si="132">IF(AND(BE259&gt;=1,BE259&lt;5),"Oppose",IF(AND(BE259&gt;=5,BE259&lt;8),"Neutral",IF(AND(BE259&gt;=8,BE259&lt;=10),"Support","")))</f>
        <v>Neutral</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1</v>
      </c>
    </row>
    <row r="260" spans="1:61" x14ac:dyDescent="0.45">
      <c r="A260" s="30">
        <f>step3_validation[[#This Row],[Persona_ID]]</f>
        <v>259</v>
      </c>
      <c r="B260" s="31">
        <f>step3_validation[[#This Row],[Used_Seed]]</f>
        <v>300</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201.21477312297552</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6</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2">
        <f t="shared" si="113"/>
        <v>5</v>
      </c>
      <c r="AA260">
        <f>step3_validation[[#This Row],[AI_FAC1]]</f>
        <v>8</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7</v>
      </c>
      <c r="AF260">
        <f>step3_validation[[#This Row],[AI_FAC2]]</f>
        <v>9</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3</v>
      </c>
      <c r="AK260">
        <f>step3_validation[[#This Row],[AI_TRU1]]</f>
        <v>7</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5</v>
      </c>
      <c r="AP260">
        <f>step3_validation[[#This Row],[AI_TRU2]]</f>
        <v>6</v>
      </c>
      <c r="AQ260" t="str">
        <f t="shared" si="123"/>
        <v>Neutral</v>
      </c>
      <c r="AR260">
        <f>survey_responses[[#This Row],[Tôi thấy mức thuế tôi phải đóng theo phương án mới là công bằng (người thu nhập như tôi đóng mức này là hợp lý). - HUMAN-TRU2]]</f>
        <v>3</v>
      </c>
      <c r="AS260" t="str">
        <f t="shared" si="124"/>
        <v>Oppose</v>
      </c>
      <c r="AT260" s="32">
        <f t="shared" si="125"/>
        <v>3</v>
      </c>
      <c r="AU260">
        <f>step3_validation[[#This Row],[AI_TRU3]]</f>
        <v>7</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6</v>
      </c>
      <c r="AZ260">
        <f>step3_validation[[#This Row],[AI_TRU4]]</f>
        <v>5</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0</v>
      </c>
      <c r="BE260">
        <f>step3_validation[[#This Row],[AI_OUT1]]</f>
        <v>6</v>
      </c>
      <c r="BF260" t="str">
        <f t="shared" si="132"/>
        <v>Neutral</v>
      </c>
      <c r="BG260">
        <f>survey_responses[[#This Row],[Sau khi xem xét các quyền lợi và nghĩa vụ, bạn có ủng hộ và tuân thủ chính sách mới hiện nay? - HUMAN-OUT1]]</f>
        <v>4</v>
      </c>
      <c r="BH260" t="str">
        <f t="shared" si="133"/>
        <v>Oppose</v>
      </c>
      <c r="BI260" s="32">
        <f t="shared" si="134"/>
        <v>2</v>
      </c>
    </row>
    <row r="261" spans="1:61" x14ac:dyDescent="0.45">
      <c r="A261" s="30">
        <f>step3_validation[[#This Row],[Persona_ID]]</f>
        <v>260</v>
      </c>
      <c r="B261" s="31">
        <f>step3_validation[[#This Row],[Used_Seed]]</f>
        <v>301</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38.011109922211489</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9</v>
      </c>
      <c r="R261" t="str">
        <f t="shared" si="108"/>
        <v>Support</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3</v>
      </c>
      <c r="V261">
        <f>step3_validation[[#This Row],[AI_ENF2]]</f>
        <v>8</v>
      </c>
      <c r="W261" t="str">
        <f t="shared" si="111"/>
        <v>Support</v>
      </c>
      <c r="X261">
        <f>survey_responses[[#This Row],[Tôi tin rằng Nhà nước, cơ quan thuế có đủ khả năng và công nghệ để phát hiện, xử lý nghiêm các hành vi trốn thuế. - HUMAN-ENF2]]</f>
        <v>6</v>
      </c>
      <c r="Y261" t="str">
        <f t="shared" si="112"/>
        <v>Neutral</v>
      </c>
      <c r="Z261" s="32">
        <f t="shared" si="113"/>
        <v>2</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2</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9</v>
      </c>
      <c r="AL261" t="str">
        <f t="shared" si="120"/>
        <v>Support</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4</v>
      </c>
      <c r="AP261">
        <f>step3_validation[[#This Row],[AI_TRU2]]</f>
        <v>7</v>
      </c>
      <c r="AQ261" t="str">
        <f t="shared" si="123"/>
        <v>Neutral</v>
      </c>
      <c r="AR261">
        <f>survey_responses[[#This Row],[Tôi thấy mức thuế tôi phải đóng theo phương án mới là công bằng (người thu nhập như tôi đóng mức này là hợp lý). - HUMAN-TRU2]]</f>
        <v>6</v>
      </c>
      <c r="AS261" t="str">
        <f t="shared" si="124"/>
        <v>Neutral</v>
      </c>
      <c r="AT261" s="32">
        <f t="shared" si="125"/>
        <v>1</v>
      </c>
      <c r="AU261">
        <f>step3_validation[[#This Row],[AI_TRU3]]</f>
        <v>8</v>
      </c>
      <c r="AV261" t="str">
        <f t="shared" si="126"/>
        <v>Support</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3</v>
      </c>
      <c r="AZ261">
        <f>step3_validation[[#This Row],[AI_TRU4]]</f>
        <v>6</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0</v>
      </c>
      <c r="BE261">
        <f>step3_validation[[#This Row],[AI_OUT1]]</f>
        <v>8</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2</v>
      </c>
    </row>
    <row r="262" spans="1:61" x14ac:dyDescent="0.45">
      <c r="A262" s="30">
        <f>step3_validation[[#This Row],[Persona_ID]]</f>
        <v>261</v>
      </c>
      <c r="B262" s="31">
        <f>step3_validation[[#This Row],[Used_Seed]]</f>
        <v>302</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43.39619440236465</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8</v>
      </c>
      <c r="W262" t="str">
        <f t="shared" si="111"/>
        <v>Support</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7</v>
      </c>
      <c r="AG262" t="str">
        <f t="shared" si="117"/>
        <v>Neutral</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2</v>
      </c>
      <c r="AK262">
        <f>step3_validation[[#This Row],[AI_TRU1]]</f>
        <v>6</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1</v>
      </c>
      <c r="AP262">
        <f>step3_validation[[#This Row],[AI_TRU2]]</f>
        <v>7</v>
      </c>
      <c r="AQ262" t="str">
        <f t="shared" si="123"/>
        <v>Neutral</v>
      </c>
      <c r="AR262">
        <f>survey_responses[[#This Row],[Tôi thấy mức thuế tôi phải đóng theo phương án mới là công bằng (người thu nhập như tôi đóng mức này là hợp lý). - HUMAN-TRU2]]</f>
        <v>4</v>
      </c>
      <c r="AS262" t="str">
        <f t="shared" si="124"/>
        <v>Oppose</v>
      </c>
      <c r="AT262" s="32">
        <f t="shared" si="125"/>
        <v>3</v>
      </c>
      <c r="AU262">
        <f>step3_validation[[#This Row],[AI_TRU3]]</f>
        <v>5</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1</v>
      </c>
      <c r="AZ262">
        <f>step3_validation[[#This Row],[AI_TRU4]]</f>
        <v>6</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1</v>
      </c>
      <c r="BE262">
        <f>step3_validation[[#This Row],[AI_OUT1]]</f>
        <v>7</v>
      </c>
      <c r="BF262" t="str">
        <f t="shared" si="132"/>
        <v>Neutral</v>
      </c>
      <c r="BG262">
        <f>survey_responses[[#This Row],[Sau khi xem xét các quyền lợi và nghĩa vụ, bạn có ủng hộ và tuân thủ chính sách mới hiện nay? - HUMAN-OUT1]]</f>
        <v>5</v>
      </c>
      <c r="BH262" t="str">
        <f t="shared" si="133"/>
        <v>Neutral</v>
      </c>
      <c r="BI262" s="32">
        <f t="shared" si="134"/>
        <v>2</v>
      </c>
    </row>
    <row r="263" spans="1:61" x14ac:dyDescent="0.45">
      <c r="A263" s="30">
        <f>step3_validation[[#This Row],[Persona_ID]]</f>
        <v>262</v>
      </c>
      <c r="B263" s="31">
        <f>step3_validation[[#This Row],[Used_Seed]]</f>
        <v>303</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52.503080801953715</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6</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3</v>
      </c>
      <c r="V263">
        <f>step3_validation[[#This Row],[AI_ENF2]]</f>
        <v>7</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2</v>
      </c>
      <c r="AA263">
        <f>step3_validation[[#This Row],[AI_FAC1]]</f>
        <v>8</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0</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1</v>
      </c>
      <c r="AK263">
        <f>step3_validation[[#This Row],[AI_TRU1]]</f>
        <v>7</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7</v>
      </c>
      <c r="AQ263" t="str">
        <f t="shared" si="123"/>
        <v>Neutral</v>
      </c>
      <c r="AR263">
        <f>survey_responses[[#This Row],[Tôi thấy mức thuế tôi phải đóng theo phương án mới là công bằng (người thu nhập như tôi đóng mức này là hợp lý). - HUMAN-TRU2]]</f>
        <v>9</v>
      </c>
      <c r="AS263" t="str">
        <f t="shared" si="124"/>
        <v>Support</v>
      </c>
      <c r="AT263" s="32">
        <f t="shared" si="125"/>
        <v>2</v>
      </c>
      <c r="AU263">
        <f>step3_validation[[#This Row],[AI_TRU3]]</f>
        <v>7</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2</v>
      </c>
      <c r="AZ263">
        <f>step3_validation[[#This Row],[AI_TRU4]]</f>
        <v>6</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2</v>
      </c>
      <c r="BE263">
        <f>step3_validation[[#This Row],[AI_OUT1]]</f>
        <v>7</v>
      </c>
      <c r="BF263" t="str">
        <f t="shared" si="132"/>
        <v>Neutral</v>
      </c>
      <c r="BG263">
        <f>survey_responses[[#This Row],[Sau khi xem xét các quyền lợi và nghĩa vụ, bạn có ủng hộ và tuân thủ chính sách mới hiện nay? - HUMAN-OUT1]]</f>
        <v>8</v>
      </c>
      <c r="BH263" t="str">
        <f t="shared" si="133"/>
        <v>Support</v>
      </c>
      <c r="BI263" s="32">
        <f t="shared" si="134"/>
        <v>1</v>
      </c>
    </row>
    <row r="264" spans="1:61" x14ac:dyDescent="0.45">
      <c r="A264" s="30">
        <f>step3_validation[[#This Row],[Persona_ID]]</f>
        <v>263</v>
      </c>
      <c r="B264" s="31">
        <f>step3_validation[[#This Row],[Used_Seed]]</f>
        <v>304</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87.421676929285155</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0</v>
      </c>
      <c r="V264">
        <f>step3_validation[[#This Row],[AI_ENF2]]</f>
        <v>7</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9</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4</v>
      </c>
      <c r="AF264">
        <f>step3_validation[[#This Row],[AI_FAC2]]</f>
        <v>8</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1</v>
      </c>
      <c r="AK264">
        <f>step3_validation[[#This Row],[AI_TRU1]]</f>
        <v>7</v>
      </c>
      <c r="AL264" t="str">
        <f t="shared" si="120"/>
        <v>Neutral</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0</v>
      </c>
      <c r="AP264">
        <f>step3_validation[[#This Row],[AI_TRU2]]</f>
        <v>6</v>
      </c>
      <c r="AQ264" t="str">
        <f t="shared" si="123"/>
        <v>Neutral</v>
      </c>
      <c r="AR264">
        <f>survey_responses[[#This Row],[Tôi thấy mức thuế tôi phải đóng theo phương án mới là công bằng (người thu nhập như tôi đóng mức này là hợp lý). - HUMAN-TRU2]]</f>
        <v>5</v>
      </c>
      <c r="AS264" t="str">
        <f t="shared" si="124"/>
        <v>Neutral</v>
      </c>
      <c r="AT264" s="32">
        <f t="shared" si="125"/>
        <v>1</v>
      </c>
      <c r="AU264">
        <f>step3_validation[[#This Row],[AI_TRU3]]</f>
        <v>5</v>
      </c>
      <c r="AV264" t="str">
        <f t="shared" si="126"/>
        <v>Neutral</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0</v>
      </c>
      <c r="AZ264">
        <f>step3_validation[[#This Row],[AI_TRU4]]</f>
        <v>6</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0</v>
      </c>
      <c r="BE264">
        <f>step3_validation[[#This Row],[AI_OUT1]]</f>
        <v>7</v>
      </c>
      <c r="BF264" t="str">
        <f t="shared" si="132"/>
        <v>Neutral</v>
      </c>
      <c r="BG264">
        <f>survey_responses[[#This Row],[Sau khi xem xét các quyền lợi và nghĩa vụ, bạn có ủng hộ và tuân thủ chính sách mới hiện nay? - HUMAN-OUT1]]</f>
        <v>6</v>
      </c>
      <c r="BH264" t="str">
        <f t="shared" si="133"/>
        <v>Neutral</v>
      </c>
      <c r="BI264" s="32">
        <f t="shared" si="134"/>
        <v>1</v>
      </c>
    </row>
    <row r="265" spans="1:61" x14ac:dyDescent="0.45">
      <c r="A265" s="30">
        <f>step3_validation[[#This Row],[Persona_ID]]</f>
        <v>264</v>
      </c>
      <c r="B265" s="31">
        <f>step3_validation[[#This Row],[Used_Seed]]</f>
        <v>305</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207.8535676437989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8</v>
      </c>
      <c r="R265" t="str">
        <f t="shared" si="108"/>
        <v>Support</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1</v>
      </c>
      <c r="V265">
        <f>step3_validation[[#This Row],[AI_ENF2]]</f>
        <v>7</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0</v>
      </c>
      <c r="AA265">
        <f>step3_validation[[#This Row],[AI_FAC1]]</f>
        <v>9</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2</v>
      </c>
      <c r="AF265">
        <f>step3_validation[[#This Row],[AI_FAC2]]</f>
        <v>8</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0</v>
      </c>
      <c r="AK265">
        <f>step3_validation[[#This Row],[AI_TRU1]]</f>
        <v>7</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0</v>
      </c>
      <c r="AP265">
        <f>step3_validation[[#This Row],[AI_TRU2]]</f>
        <v>8</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7</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0</v>
      </c>
      <c r="AZ265">
        <f>step3_validation[[#This Row],[AI_TRU4]]</f>
        <v>6</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1</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1</v>
      </c>
    </row>
    <row r="266" spans="1:61" x14ac:dyDescent="0.45">
      <c r="A266" s="30">
        <f>step3_validation[[#This Row],[Persona_ID]]</f>
        <v>265</v>
      </c>
      <c r="B266" s="31">
        <f>step3_validation[[#This Row],[Used_Seed]]</f>
        <v>306</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23.464725276110865</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7</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1</v>
      </c>
      <c r="V266">
        <f>step3_validation[[#This Row],[AI_ENF2]]</f>
        <v>6</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1</v>
      </c>
      <c r="AA266">
        <f>step3_validation[[#This Row],[AI_FAC1]]</f>
        <v>8</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3</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1</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7</v>
      </c>
      <c r="AQ266" t="str">
        <f t="shared" si="123"/>
        <v>Neutral</v>
      </c>
      <c r="AR266">
        <f>survey_responses[[#This Row],[Tôi thấy mức thuế tôi phải đóng theo phương án mới là công bằng (người thu nhập như tôi đóng mức này là hợp lý). - HUMAN-TRU2]]</f>
        <v>7</v>
      </c>
      <c r="AS266" t="str">
        <f t="shared" si="124"/>
        <v>Neutral</v>
      </c>
      <c r="AT266" s="32">
        <f t="shared" si="125"/>
        <v>0</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6</v>
      </c>
      <c r="BA266" t="str">
        <f t="shared" si="129"/>
        <v>Neutral</v>
      </c>
      <c r="BB266">
        <f>survey_responses[[#This Row],[Tôi thấy Nhà nước đã giải thích rõ ràng, minh bạch về lý do và mục tiêu của việc sửa đổi thuế lần này. - HUMAN-TRU4]]</f>
        <v>6</v>
      </c>
      <c r="BC266" t="str">
        <f t="shared" si="130"/>
        <v>Neutral</v>
      </c>
      <c r="BD266" s="32">
        <f t="shared" si="131"/>
        <v>0</v>
      </c>
      <c r="BE266">
        <f>step3_validation[[#This Row],[AI_OUT1]]</f>
        <v>7</v>
      </c>
      <c r="BF266" t="str">
        <f t="shared" si="132"/>
        <v>Neutral</v>
      </c>
      <c r="BG266">
        <f>survey_responses[[#This Row],[Sau khi xem xét các quyền lợi và nghĩa vụ, bạn có ủng hộ và tuân thủ chính sách mới hiện nay? - HUMAN-OUT1]]</f>
        <v>6</v>
      </c>
      <c r="BH266" t="str">
        <f t="shared" si="133"/>
        <v>Neutral</v>
      </c>
      <c r="BI266" s="32">
        <f t="shared" si="134"/>
        <v>1</v>
      </c>
    </row>
    <row r="267" spans="1:61" x14ac:dyDescent="0.45">
      <c r="A267" s="30">
        <f>step3_validation[[#This Row],[Persona_ID]]</f>
        <v>266</v>
      </c>
      <c r="B267" s="31">
        <f>step3_validation[[#This Row],[Used_Seed]]</f>
        <v>307</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61.291326923379387</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6</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0</v>
      </c>
      <c r="AA267">
        <f>step3_validation[[#This Row],[AI_FAC1]]</f>
        <v>8</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2</v>
      </c>
      <c r="AF267">
        <f>step3_validation[[#This Row],[AI_FAC2]]</f>
        <v>7</v>
      </c>
      <c r="AG267" t="str">
        <f t="shared" si="117"/>
        <v>Neutral</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1</v>
      </c>
      <c r="AK267">
        <f>step3_validation[[#This Row],[AI_TRU1]]</f>
        <v>8</v>
      </c>
      <c r="AL267" t="str">
        <f t="shared" si="120"/>
        <v>Support</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1</v>
      </c>
      <c r="AP267">
        <f>step3_validation[[#This Row],[AI_TRU2]]</f>
        <v>7</v>
      </c>
      <c r="AQ267" t="str">
        <f t="shared" si="123"/>
        <v>Neutral</v>
      </c>
      <c r="AR267">
        <f>survey_responses[[#This Row],[Tôi thấy mức thuế tôi phải đóng theo phương án mới là công bằng (người thu nhập như tôi đóng mức này là hợp lý). - HUMAN-TRU2]]</f>
        <v>7</v>
      </c>
      <c r="AS267" t="str">
        <f t="shared" si="124"/>
        <v>Neutral</v>
      </c>
      <c r="AT267" s="32">
        <f t="shared" si="125"/>
        <v>0</v>
      </c>
      <c r="AU267">
        <f>step3_validation[[#This Row],[AI_TRU3]]</f>
        <v>6</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1</v>
      </c>
      <c r="AZ267">
        <f>step3_validation[[#This Row],[AI_TRU4]]</f>
        <v>5</v>
      </c>
      <c r="BA267" t="str">
        <f t="shared" si="129"/>
        <v>Neutral</v>
      </c>
      <c r="BB267">
        <f>survey_responses[[#This Row],[Tôi thấy Nhà nước đã giải thích rõ ràng, minh bạch về lý do và mục tiêu của việc sửa đổi thuế lần này. - HUMAN-TRU4]]</f>
        <v>7</v>
      </c>
      <c r="BC267" t="str">
        <f t="shared" si="130"/>
        <v>Neutral</v>
      </c>
      <c r="BD267" s="32">
        <f t="shared" si="131"/>
        <v>2</v>
      </c>
      <c r="BE267">
        <f>step3_validation[[#This Row],[AI_OUT1]]</f>
        <v>8</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1</v>
      </c>
    </row>
    <row r="268" spans="1:61" x14ac:dyDescent="0.45">
      <c r="A268" s="30">
        <f>step3_validation[[#This Row],[Persona_ID]]</f>
        <v>267</v>
      </c>
      <c r="B268" s="31">
        <f>step3_validation[[#This Row],[Used_Seed]]</f>
        <v>308</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62.413088429523192</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9</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2</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7</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1</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8</v>
      </c>
      <c r="AV268" t="str">
        <f t="shared" si="126"/>
        <v>Support</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2</v>
      </c>
      <c r="AZ268">
        <f>step3_validation[[#This Row],[AI_TRU4]]</f>
        <v>7</v>
      </c>
      <c r="BA268" t="str">
        <f t="shared" si="129"/>
        <v>Neutral</v>
      </c>
      <c r="BB268">
        <f>survey_responses[[#This Row],[Tôi thấy Nhà nước đã giải thích rõ ràng, minh bạch về lý do và mục tiêu của việc sửa đổi thuế lần này. - HUMAN-TRU4]]</f>
        <v>7</v>
      </c>
      <c r="BC268" t="str">
        <f t="shared" si="130"/>
        <v>Neutral</v>
      </c>
      <c r="BD268" s="32">
        <f t="shared" si="131"/>
        <v>0</v>
      </c>
      <c r="BE268">
        <f>step3_validation[[#This Row],[AI_OUT1]]</f>
        <v>8</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1</v>
      </c>
    </row>
    <row r="269" spans="1:61" x14ac:dyDescent="0.45">
      <c r="A269" s="30">
        <f>step3_validation[[#This Row],[Persona_ID]]</f>
        <v>268</v>
      </c>
      <c r="B269" s="31">
        <f>step3_validation[[#This Row],[Used_Seed]]</f>
        <v>309</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24.868365897966566</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6</v>
      </c>
      <c r="AB269" t="str">
        <f t="shared" si="114"/>
        <v>Neutral</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4</v>
      </c>
      <c r="AF269">
        <f>step3_validation[[#This Row],[AI_FAC2]]</f>
        <v>5</v>
      </c>
      <c r="AG269" t="str">
        <f t="shared" si="117"/>
        <v>Neutral</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2</v>
      </c>
      <c r="AK269">
        <f>step3_validation[[#This Row],[AI_TRU1]]</f>
        <v>7</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0</v>
      </c>
      <c r="AP269">
        <f>step3_validation[[#This Row],[AI_TRU2]]</f>
        <v>6</v>
      </c>
      <c r="AQ269" t="str">
        <f t="shared" si="123"/>
        <v>Neutral</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7</v>
      </c>
      <c r="AV269" t="str">
        <f t="shared" si="126"/>
        <v>Neutral</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0</v>
      </c>
      <c r="AZ269">
        <f>step3_validation[[#This Row],[AI_TRU4]]</f>
        <v>4</v>
      </c>
      <c r="BA269" t="str">
        <f t="shared" si="129"/>
        <v>Oppose</v>
      </c>
      <c r="BB269">
        <f>survey_responses[[#This Row],[Tôi thấy Nhà nước đã giải thích rõ ràng, minh bạch về lý do và mục tiêu của việc sửa đổi thuế lần này. - HUMAN-TRU4]]</f>
        <v>7</v>
      </c>
      <c r="BC269" t="str">
        <f t="shared" si="130"/>
        <v>Neutral</v>
      </c>
      <c r="BD269" s="32">
        <f t="shared" si="131"/>
        <v>3</v>
      </c>
      <c r="BE269">
        <f>step3_validation[[#This Row],[AI_OUT1]]</f>
        <v>6</v>
      </c>
      <c r="BF269" t="str">
        <f t="shared" si="132"/>
        <v>Neutral</v>
      </c>
      <c r="BG269">
        <f>survey_responses[[#This Row],[Sau khi xem xét các quyền lợi và nghĩa vụ, bạn có ủng hộ và tuân thủ chính sách mới hiện nay? - HUMAN-OUT1]]</f>
        <v>7</v>
      </c>
      <c r="BH269" t="str">
        <f t="shared" si="133"/>
        <v>Neutral</v>
      </c>
      <c r="BI269" s="32">
        <f t="shared" si="134"/>
        <v>1</v>
      </c>
    </row>
    <row r="270" spans="1:61" x14ac:dyDescent="0.45">
      <c r="A270" s="30">
        <f>step3_validation[[#This Row],[Persona_ID]]</f>
        <v>269</v>
      </c>
      <c r="B270" s="31">
        <f>step3_validation[[#This Row],[Used_Seed]]</f>
        <v>310</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86.076379103852986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7</v>
      </c>
      <c r="R270" t="str">
        <f t="shared" si="108"/>
        <v>Neutral</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3</v>
      </c>
      <c r="V270">
        <f>step3_validation[[#This Row],[AI_ENF2]]</f>
        <v>8</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3</v>
      </c>
      <c r="AA270">
        <f>step3_validation[[#This Row],[AI_FAC1]]</f>
        <v>9</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7</v>
      </c>
      <c r="AF270">
        <f>step3_validation[[#This Row],[AI_FAC2]]</f>
        <v>8</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2</v>
      </c>
      <c r="AK270">
        <f>step3_validation[[#This Row],[AI_TRU1]]</f>
        <v>7</v>
      </c>
      <c r="AL270" t="str">
        <f t="shared" si="120"/>
        <v>Neutral</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4</v>
      </c>
      <c r="AP270">
        <f>step3_validation[[#This Row],[AI_TRU2]]</f>
        <v>8</v>
      </c>
      <c r="AQ270" t="str">
        <f t="shared" si="123"/>
        <v>Support</v>
      </c>
      <c r="AR270">
        <f>survey_responses[[#This Row],[Tôi thấy mức thuế tôi phải đóng theo phương án mới là công bằng (người thu nhập như tôi đóng mức này là hợp lý). - HUMAN-TRU2]]</f>
        <v>3</v>
      </c>
      <c r="AS270" t="str">
        <f t="shared" si="124"/>
        <v>Oppose</v>
      </c>
      <c r="AT270" s="32">
        <f t="shared" si="125"/>
        <v>5</v>
      </c>
      <c r="AU270">
        <f>step3_validation[[#This Row],[AI_TRU3]]</f>
        <v>7</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6</v>
      </c>
      <c r="AZ270">
        <f>step3_validation[[#This Row],[AI_TRU4]]</f>
        <v>6</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3</v>
      </c>
      <c r="BE270">
        <f>step3_validation[[#This Row],[AI_OUT1]]</f>
        <v>8</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7</v>
      </c>
    </row>
    <row r="271" spans="1:61" x14ac:dyDescent="0.45">
      <c r="A271" s="30">
        <f>step3_validation[[#This Row],[Persona_ID]]</f>
        <v>270</v>
      </c>
      <c r="B271" s="31">
        <f>step3_validation[[#This Row],[Used_Seed]]</f>
        <v>311</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51.163827287340645</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4</v>
      </c>
      <c r="R271" t="str">
        <f t="shared" si="108"/>
        <v>Oppose</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4</v>
      </c>
      <c r="V271">
        <f>step3_validation[[#This Row],[AI_ENF2]]</f>
        <v>5</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3</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8</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0</v>
      </c>
      <c r="AK271">
        <f>step3_validation[[#This Row],[AI_TRU1]]</f>
        <v>6</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3</v>
      </c>
      <c r="AP271">
        <f>step3_validation[[#This Row],[AI_TRU2]]</f>
        <v>7</v>
      </c>
      <c r="AQ271" t="str">
        <f t="shared" si="123"/>
        <v>Neutral</v>
      </c>
      <c r="AR271">
        <f>survey_responses[[#This Row],[Tôi thấy mức thuế tôi phải đóng theo phương án mới là công bằng (người thu nhập như tôi đóng mức này là hợp lý). - HUMAN-TRU2]]</f>
        <v>1</v>
      </c>
      <c r="AS271" t="str">
        <f t="shared" si="124"/>
        <v>Oppose</v>
      </c>
      <c r="AT271" s="32">
        <f t="shared" si="125"/>
        <v>6</v>
      </c>
      <c r="AU271">
        <f>step3_validation[[#This Row],[AI_TRU3]]</f>
        <v>6</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2</v>
      </c>
      <c r="AZ271">
        <f>step3_validation[[#This Row],[AI_TRU4]]</f>
        <v>7</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1</v>
      </c>
      <c r="BE271">
        <f>step3_validation[[#This Row],[AI_OUT1]]</f>
        <v>7</v>
      </c>
      <c r="BF271" t="str">
        <f t="shared" si="132"/>
        <v>Neutral</v>
      </c>
      <c r="BG271">
        <f>survey_responses[[#This Row],[Sau khi xem xét các quyền lợi và nghĩa vụ, bạn có ủng hộ và tuân thủ chính sách mới hiện nay? - HUMAN-OUT1]]</f>
        <v>7</v>
      </c>
      <c r="BH271" t="str">
        <f t="shared" si="133"/>
        <v>Neutral</v>
      </c>
      <c r="BI271" s="32">
        <f t="shared" si="134"/>
        <v>0</v>
      </c>
    </row>
    <row r="272" spans="1:61" x14ac:dyDescent="0.45">
      <c r="A272" s="30">
        <f>step3_validation[[#This Row],[Persona_ID]]</f>
        <v>271</v>
      </c>
      <c r="B272" s="31">
        <f>step3_validation[[#This Row],[Used_Seed]]</f>
        <v>312</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59.536534781641741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0</v>
      </c>
      <c r="V272">
        <f>step3_validation[[#This Row],[AI_ENF2]]</f>
        <v>6</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5</v>
      </c>
      <c r="AB272" t="str">
        <f t="shared" si="114"/>
        <v>Neutral</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1</v>
      </c>
      <c r="AF272">
        <f>step3_validation[[#This Row],[AI_FAC2]]</f>
        <v>4</v>
      </c>
      <c r="AG272" t="str">
        <f t="shared" si="117"/>
        <v>Oppose</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3</v>
      </c>
      <c r="AK272">
        <f>step3_validation[[#This Row],[AI_TRU1]]</f>
        <v>6</v>
      </c>
      <c r="AL272" t="str">
        <f t="shared" si="120"/>
        <v>Neutral</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1</v>
      </c>
      <c r="AP272">
        <f>step3_validation[[#This Row],[AI_TRU2]]</f>
        <v>3</v>
      </c>
      <c r="AQ272" t="str">
        <f t="shared" si="123"/>
        <v>Oppose</v>
      </c>
      <c r="AR272">
        <f>survey_responses[[#This Row],[Tôi thấy mức thuế tôi phải đóng theo phương án mới là công bằng (người thu nhập như tôi đóng mức này là hợp lý). - HUMAN-TRU2]]</f>
        <v>6</v>
      </c>
      <c r="AS272" t="str">
        <f t="shared" si="124"/>
        <v>Neutral</v>
      </c>
      <c r="AT272" s="32">
        <f t="shared" si="125"/>
        <v>3</v>
      </c>
      <c r="AU272">
        <f>step3_validation[[#This Row],[AI_TRU3]]</f>
        <v>5</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0</v>
      </c>
      <c r="AZ272">
        <f>step3_validation[[#This Row],[AI_TRU4]]</f>
        <v>7</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0</v>
      </c>
      <c r="BE272">
        <f>step3_validation[[#This Row],[AI_OUT1]]</f>
        <v>8</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2</v>
      </c>
    </row>
    <row r="273" spans="1:61" x14ac:dyDescent="0.45">
      <c r="A273" s="30">
        <f>step3_validation[[#This Row],[Persona_ID]]</f>
        <v>272</v>
      </c>
      <c r="B273" s="31">
        <f>step3_validation[[#This Row],[Used_Seed]]</f>
        <v>313</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41.477336340285511</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7</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0</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8</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6</v>
      </c>
      <c r="AF273">
        <f>step3_validation[[#This Row],[AI_FAC2]]</f>
        <v>9</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3</v>
      </c>
      <c r="AK273">
        <f>step3_validation[[#This Row],[AI_TRU1]]</f>
        <v>6</v>
      </c>
      <c r="AL273" t="str">
        <f t="shared" si="120"/>
        <v>Neutral</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0</v>
      </c>
      <c r="AP273">
        <f>step3_validation[[#This Row],[AI_TRU2]]</f>
        <v>7</v>
      </c>
      <c r="AQ273" t="str">
        <f t="shared" si="123"/>
        <v>Neutral</v>
      </c>
      <c r="AR273">
        <f>survey_responses[[#This Row],[Tôi thấy mức thuế tôi phải đóng theo phương án mới là công bằng (người thu nhập như tôi đóng mức này là hợp lý). - HUMAN-TRU2]]</f>
        <v>6</v>
      </c>
      <c r="AS273" t="str">
        <f t="shared" si="124"/>
        <v>Neutral</v>
      </c>
      <c r="AT273" s="32">
        <f t="shared" si="125"/>
        <v>1</v>
      </c>
      <c r="AU273">
        <f>step3_validation[[#This Row],[AI_TRU3]]</f>
        <v>6</v>
      </c>
      <c r="AV273" t="str">
        <f t="shared" si="126"/>
        <v>Neutral</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1</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8</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2</v>
      </c>
    </row>
    <row r="274" spans="1:61" x14ac:dyDescent="0.45">
      <c r="A274" s="30">
        <f>step3_validation[[#This Row],[Persona_ID]]</f>
        <v>273</v>
      </c>
      <c r="B274" s="31">
        <f>step3_validation[[#This Row],[Used_Seed]]</f>
        <v>314</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98.598807393645089</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4</v>
      </c>
      <c r="V274">
        <f>step3_validation[[#This Row],[AI_ENF2]]</f>
        <v>8</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5</v>
      </c>
      <c r="AA274">
        <f>step3_validation[[#This Row],[AI_FAC1]]</f>
        <v>6</v>
      </c>
      <c r="AB274" t="str">
        <f t="shared" si="114"/>
        <v>Neutral</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5</v>
      </c>
      <c r="AF274">
        <f>step3_validation[[#This Row],[AI_FAC2]]</f>
        <v>9</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3</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8</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7</v>
      </c>
      <c r="AU274">
        <f>step3_validation[[#This Row],[AI_TRU3]]</f>
        <v>5</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4</v>
      </c>
      <c r="AZ274">
        <f>step3_validation[[#This Row],[AI_TRU4]]</f>
        <v>6</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5</v>
      </c>
      <c r="BE274">
        <f>step3_validation[[#This Row],[AI_OUT1]]</f>
        <v>8</v>
      </c>
      <c r="BF274" t="str">
        <f t="shared" si="132"/>
        <v>Support</v>
      </c>
      <c r="BG274">
        <f>survey_responses[[#This Row],[Sau khi xem xét các quyền lợi và nghĩa vụ, bạn có ủng hộ và tuân thủ chính sách mới hiện nay? - HUMAN-OUT1]]</f>
        <v>1</v>
      </c>
      <c r="BH274" t="str">
        <f t="shared" si="133"/>
        <v>Oppose</v>
      </c>
      <c r="BI274" s="32">
        <f t="shared" si="134"/>
        <v>7</v>
      </c>
    </row>
    <row r="275" spans="1:61" x14ac:dyDescent="0.45">
      <c r="A275" s="30">
        <f>step3_validation[[#This Row],[Persona_ID]]</f>
        <v>274</v>
      </c>
      <c r="B275" s="31">
        <f>step3_validation[[#This Row],[Used_Seed]]</f>
        <v>315</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64.49523984068324</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8</v>
      </c>
      <c r="R275" t="str">
        <f t="shared" si="108"/>
        <v>Support</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2</v>
      </c>
      <c r="V275">
        <f>step3_validation[[#This Row],[AI_ENF2]]</f>
        <v>7</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1</v>
      </c>
      <c r="AA275">
        <f>step3_validation[[#This Row],[AI_FAC1]]</f>
        <v>9</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4</v>
      </c>
      <c r="AF275">
        <f>step3_validation[[#This Row],[AI_FAC2]]</f>
        <v>8</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2</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6</v>
      </c>
      <c r="AQ275" t="str">
        <f t="shared" si="123"/>
        <v>Neutral</v>
      </c>
      <c r="AR275">
        <f>survey_responses[[#This Row],[Tôi thấy mức thuế tôi phải đóng theo phương án mới là công bằng (người thu nhập như tôi đóng mức này là hợp lý). - HUMAN-TRU2]]</f>
        <v>6</v>
      </c>
      <c r="AS275" t="str">
        <f t="shared" si="124"/>
        <v>Neutral</v>
      </c>
      <c r="AT275" s="32">
        <f t="shared" si="125"/>
        <v>0</v>
      </c>
      <c r="AU275">
        <f>step3_validation[[#This Row],[AI_TRU3]]</f>
        <v>5</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1</v>
      </c>
      <c r="AZ275">
        <f>step3_validation[[#This Row],[AI_TRU4]]</f>
        <v>6</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0</v>
      </c>
      <c r="BE275">
        <f>step3_validation[[#This Row],[AI_OUT1]]</f>
        <v>7</v>
      </c>
      <c r="BF275" t="str">
        <f t="shared" si="132"/>
        <v>Neutral</v>
      </c>
      <c r="BG275">
        <f>survey_responses[[#This Row],[Sau khi xem xét các quyền lợi và nghĩa vụ, bạn có ủng hộ và tuân thủ chính sách mới hiện nay? - HUMAN-OUT1]]</f>
        <v>6</v>
      </c>
      <c r="BH275" t="str">
        <f t="shared" si="133"/>
        <v>Neutral</v>
      </c>
      <c r="BI275" s="32">
        <f t="shared" si="134"/>
        <v>1</v>
      </c>
    </row>
    <row r="276" spans="1:61" x14ac:dyDescent="0.45">
      <c r="A276" s="30">
        <f>step3_validation[[#This Row],[Persona_ID]]</f>
        <v>275</v>
      </c>
      <c r="B276" s="31">
        <f>step3_validation[[#This Row],[Used_Seed]]</f>
        <v>316</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68.927057472571349</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6</v>
      </c>
      <c r="W276" t="str">
        <f t="shared" si="111"/>
        <v>Neutral</v>
      </c>
      <c r="X276">
        <f>survey_responses[[#This Row],[Tôi tin rằng Nhà nước, cơ quan thuế có đủ khả năng và công nghệ để phát hiện, xử lý nghiêm các hành vi trốn thuế. - HUMAN-ENF2]]</f>
        <v>9</v>
      </c>
      <c r="Y276" t="str">
        <f t="shared" si="112"/>
        <v>Support</v>
      </c>
      <c r="Z276" s="32">
        <f t="shared" si="113"/>
        <v>3</v>
      </c>
      <c r="AA276">
        <f>step3_validation[[#This Row],[AI_FAC1]]</f>
        <v>5</v>
      </c>
      <c r="AB276" t="str">
        <f t="shared" si="114"/>
        <v>Neutral</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0</v>
      </c>
      <c r="AF276">
        <f>step3_validation[[#This Row],[AI_FAC2]]</f>
        <v>8</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1</v>
      </c>
      <c r="AK276">
        <f>step3_validation[[#This Row],[AI_TRU1]]</f>
        <v>7</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6</v>
      </c>
      <c r="AQ276" t="str">
        <f t="shared" si="123"/>
        <v>Neutral</v>
      </c>
      <c r="AR276">
        <f>survey_responses[[#This Row],[Tôi thấy mức thuế tôi phải đóng theo phương án mới là công bằng (người thu nhập như tôi đóng mức này là hợp lý). - HUMAN-TRU2]]</f>
        <v>7</v>
      </c>
      <c r="AS276" t="str">
        <f t="shared" si="124"/>
        <v>Neutral</v>
      </c>
      <c r="AT276" s="32">
        <f t="shared" si="125"/>
        <v>1</v>
      </c>
      <c r="AU276">
        <f>step3_validation[[#This Row],[AI_TRU3]]</f>
        <v>7</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0</v>
      </c>
      <c r="AZ276">
        <f>step3_validation[[#This Row],[AI_TRU4]]</f>
        <v>6</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1</v>
      </c>
      <c r="BE276">
        <f>step3_validation[[#This Row],[AI_OUT1]]</f>
        <v>7</v>
      </c>
      <c r="BF276" t="str">
        <f t="shared" si="132"/>
        <v>Neutral</v>
      </c>
      <c r="BG276">
        <f>survey_responses[[#This Row],[Sau khi xem xét các quyền lợi và nghĩa vụ, bạn có ủng hộ và tuân thủ chính sách mới hiện nay? - HUMAN-OUT1]]</f>
        <v>7</v>
      </c>
      <c r="BH276" t="str">
        <f t="shared" si="133"/>
        <v>Neutral</v>
      </c>
      <c r="BI276" s="32">
        <f t="shared" si="134"/>
        <v>0</v>
      </c>
    </row>
    <row r="277" spans="1:61" x14ac:dyDescent="0.45">
      <c r="A277" s="30">
        <f>step3_validation[[#This Row],[Persona_ID]]</f>
        <v>276</v>
      </c>
      <c r="B277" s="31">
        <f>step3_validation[[#This Row],[Used_Seed]]</f>
        <v>317</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46.014357195241693</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8</v>
      </c>
      <c r="R277" t="str">
        <f t="shared" si="108"/>
        <v>Support</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2</v>
      </c>
      <c r="V277">
        <f>step3_validation[[#This Row],[AI_ENF2]]</f>
        <v>7</v>
      </c>
      <c r="W277" t="str">
        <f t="shared" si="111"/>
        <v>Neutral</v>
      </c>
      <c r="X277">
        <f>survey_responses[[#This Row],[Tôi tin rằng Nhà nước, cơ quan thuế có đủ khả năng và công nghệ để phát hiện, xử lý nghiêm các hành vi trốn thuế. - HUMAN-ENF2]]</f>
        <v>6</v>
      </c>
      <c r="Y277" t="str">
        <f t="shared" si="112"/>
        <v>Neutral</v>
      </c>
      <c r="Z277" s="32">
        <f t="shared" si="113"/>
        <v>1</v>
      </c>
      <c r="AA277">
        <f>step3_validation[[#This Row],[AI_FAC1]]</f>
        <v>9</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6</v>
      </c>
      <c r="AF277">
        <f>step3_validation[[#This Row],[AI_FAC2]]</f>
        <v>8</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1</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6</v>
      </c>
      <c r="AQ277" t="str">
        <f t="shared" si="123"/>
        <v>Neutral</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5</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2</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318</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99.726036588577088</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6</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2</v>
      </c>
      <c r="V278">
        <f>step3_validation[[#This Row],[AI_ENF2]]</f>
        <v>5</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3</v>
      </c>
      <c r="AA278">
        <f>step3_validation[[#This Row],[AI_FAC1]]</f>
        <v>8</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2</v>
      </c>
      <c r="AF278">
        <f>step3_validation[[#This Row],[AI_FAC2]]</f>
        <v>7</v>
      </c>
      <c r="AG278" t="str">
        <f t="shared" si="117"/>
        <v>Neutral</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0</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6</v>
      </c>
      <c r="AQ278" t="str">
        <f t="shared" si="123"/>
        <v>Neutral</v>
      </c>
      <c r="AR278">
        <f>survey_responses[[#This Row],[Tôi thấy mức thuế tôi phải đóng theo phương án mới là công bằng (người thu nhập như tôi đóng mức này là hợp lý). - HUMAN-TRU2]]</f>
        <v>4</v>
      </c>
      <c r="AS278" t="str">
        <f t="shared" si="124"/>
        <v>Oppose</v>
      </c>
      <c r="AT278" s="32">
        <f t="shared" si="125"/>
        <v>2</v>
      </c>
      <c r="AU278">
        <f>step3_validation[[#This Row],[AI_TRU3]]</f>
        <v>7</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2</v>
      </c>
      <c r="AZ278">
        <f>step3_validation[[#This Row],[AI_TRU4]]</f>
        <v>5</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0</v>
      </c>
      <c r="BE278">
        <f>step3_validation[[#This Row],[AI_OUT1]]</f>
        <v>6</v>
      </c>
      <c r="BF278" t="str">
        <f t="shared" si="132"/>
        <v>Neutral</v>
      </c>
      <c r="BG278">
        <f>survey_responses[[#This Row],[Sau khi xem xét các quyền lợi và nghĩa vụ, bạn có ủng hộ và tuân thủ chính sách mới hiện nay? - HUMAN-OUT1]]</f>
        <v>5</v>
      </c>
      <c r="BH278" t="str">
        <f t="shared" si="133"/>
        <v>Neutral</v>
      </c>
      <c r="BI278" s="32">
        <f t="shared" si="134"/>
        <v>1</v>
      </c>
    </row>
    <row r="279" spans="1:61" x14ac:dyDescent="0.45">
      <c r="A279" s="30">
        <f>step3_validation[[#This Row],[Persona_ID]]</f>
        <v>278</v>
      </c>
      <c r="B279" s="31">
        <f>step3_validation[[#This Row],[Used_Seed]]</f>
        <v>319</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52.446999586420119</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6</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0</v>
      </c>
      <c r="V279">
        <f>step3_validation[[#This Row],[AI_ENF2]]</f>
        <v>7</v>
      </c>
      <c r="W279" t="str">
        <f t="shared" si="111"/>
        <v>Neutral</v>
      </c>
      <c r="X279">
        <f>survey_responses[[#This Row],[Tôi tin rằng Nhà nước, cơ quan thuế có đủ khả năng và công nghệ để phát hiện, xử lý nghiêm các hành vi trốn thuế. - HUMAN-ENF2]]</f>
        <v>7</v>
      </c>
      <c r="Y279" t="str">
        <f t="shared" si="112"/>
        <v>Neutral</v>
      </c>
      <c r="Z279" s="32">
        <f t="shared" si="113"/>
        <v>0</v>
      </c>
      <c r="AA279">
        <f>step3_validation[[#This Row],[AI_FAC1]]</f>
        <v>8</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3</v>
      </c>
      <c r="AF279">
        <f>step3_validation[[#This Row],[AI_FAC2]]</f>
        <v>7</v>
      </c>
      <c r="AG279" t="str">
        <f t="shared" si="117"/>
        <v>Neutral</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0</v>
      </c>
      <c r="AK279">
        <f>step3_validation[[#This Row],[AI_TRU1]]</f>
        <v>8</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2</v>
      </c>
      <c r="AP279">
        <f>step3_validation[[#This Row],[AI_TRU2]]</f>
        <v>8</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2</v>
      </c>
      <c r="AU279">
        <f>step3_validation[[#This Row],[AI_TRU3]]</f>
        <v>8</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2</v>
      </c>
      <c r="AZ279">
        <f>step3_validation[[#This Row],[AI_TRU4]]</f>
        <v>5</v>
      </c>
      <c r="BA279" t="str">
        <f t="shared" si="129"/>
        <v>Neutral</v>
      </c>
      <c r="BB279">
        <f>survey_responses[[#This Row],[Tôi thấy Nhà nước đã giải thích rõ ràng, minh bạch về lý do và mục tiêu của việc sửa đổi thuế lần này. - HUMAN-TRU4]]</f>
        <v>6</v>
      </c>
      <c r="BC279" t="str">
        <f t="shared" si="130"/>
        <v>Neutral</v>
      </c>
      <c r="BD279" s="32">
        <f t="shared" si="131"/>
        <v>1</v>
      </c>
      <c r="BE279">
        <f>step3_validation[[#This Row],[AI_OUT1]]</f>
        <v>7</v>
      </c>
      <c r="BF279" t="str">
        <f t="shared" si="132"/>
        <v>Neutral</v>
      </c>
      <c r="BG279">
        <f>survey_responses[[#This Row],[Sau khi xem xét các quyền lợi và nghĩa vụ, bạn có ủng hộ và tuân thủ chính sách mới hiện nay? - HUMAN-OUT1]]</f>
        <v>6</v>
      </c>
      <c r="BH279" t="str">
        <f t="shared" si="133"/>
        <v>Neutral</v>
      </c>
      <c r="BI279" s="32">
        <f t="shared" si="134"/>
        <v>1</v>
      </c>
    </row>
    <row r="280" spans="1:61" x14ac:dyDescent="0.45">
      <c r="A280" s="30">
        <f>step3_validation[[#This Row],[Persona_ID]]</f>
        <v>279</v>
      </c>
      <c r="B280" s="31">
        <f>step3_validation[[#This Row],[Used_Seed]]</f>
        <v>320</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95.230457444272716</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2</v>
      </c>
      <c r="V280">
        <f>step3_validation[[#This Row],[AI_ENF2]]</f>
        <v>7</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0</v>
      </c>
      <c r="AA280">
        <f>step3_validation[[#This Row],[AI_FAC1]]</f>
        <v>9</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4</v>
      </c>
      <c r="AF280">
        <f>step3_validation[[#This Row],[AI_FAC2]]</f>
        <v>8</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0</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8</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5</v>
      </c>
      <c r="AU280">
        <f>step3_validation[[#This Row],[AI_TRU3]]</f>
        <v>6</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0</v>
      </c>
      <c r="AZ280">
        <f>step3_validation[[#This Row],[AI_TRU4]]</f>
        <v>7</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1</v>
      </c>
      <c r="BE280">
        <f>step3_validation[[#This Row],[AI_OUT1]]</f>
        <v>8</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2</v>
      </c>
    </row>
    <row r="281" spans="1:61" x14ac:dyDescent="0.45">
      <c r="A281" s="30">
        <f>step3_validation[[#This Row],[Persona_ID]]</f>
        <v>280</v>
      </c>
      <c r="B281" s="31">
        <f>step3_validation[[#This Row],[Used_Seed]]</f>
        <v>321</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90.421767556985316</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8</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4</v>
      </c>
      <c r="V281">
        <f>step3_validation[[#This Row],[AI_ENF2]]</f>
        <v>7</v>
      </c>
      <c r="W281" t="str">
        <f t="shared" si="111"/>
        <v>Neutral</v>
      </c>
      <c r="X281">
        <f>survey_responses[[#This Row],[Tôi tin rằng Nhà nước, cơ quan thuế có đủ khả năng và công nghệ để phát hiện, xử lý nghiêm các hành vi trốn thuế. - HUMAN-ENF2]]</f>
        <v>4</v>
      </c>
      <c r="Y281" t="str">
        <f t="shared" si="112"/>
        <v>Oppose</v>
      </c>
      <c r="Z281" s="32">
        <f t="shared" si="113"/>
        <v>3</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8</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6</v>
      </c>
      <c r="AU281">
        <f>step3_validation[[#This Row],[AI_TRU3]]</f>
        <v>7</v>
      </c>
      <c r="AV281" t="str">
        <f t="shared" si="126"/>
        <v>Neutral</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6</v>
      </c>
      <c r="AZ281">
        <f>step3_validation[[#This Row],[AI_TRU4]]</f>
        <v>6</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1</v>
      </c>
      <c r="BE281">
        <f>step3_validation[[#This Row],[AI_OUT1]]</f>
        <v>8</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4</v>
      </c>
    </row>
    <row r="282" spans="1:61" x14ac:dyDescent="0.45">
      <c r="A282" s="30">
        <f>step3_validation[[#This Row],[Persona_ID]]</f>
        <v>281</v>
      </c>
      <c r="B282" s="31">
        <f>step3_validation[[#This Row],[Used_Seed]]</f>
        <v>322</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79.568410959105293</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1</v>
      </c>
      <c r="V282">
        <f>step3_validation[[#This Row],[AI_ENF2]]</f>
        <v>8</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1</v>
      </c>
      <c r="AA282">
        <f>step3_validation[[#This Row],[AI_FAC1]]</f>
        <v>9</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5</v>
      </c>
      <c r="AF282">
        <f>step3_validation[[#This Row],[AI_FAC2]]</f>
        <v>8</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0</v>
      </c>
      <c r="AK282">
        <f>step3_validation[[#This Row],[AI_TRU1]]</f>
        <v>9</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3</v>
      </c>
      <c r="AP282">
        <f>step3_validation[[#This Row],[AI_TRU2]]</f>
        <v>7</v>
      </c>
      <c r="AQ282" t="str">
        <f t="shared" si="123"/>
        <v>Neutral</v>
      </c>
      <c r="AR282">
        <f>survey_responses[[#This Row],[Tôi thấy mức thuế tôi phải đóng theo phương án mới là công bằng (người thu nhập như tôi đóng mức này là hợp lý). - HUMAN-TRU2]]</f>
        <v>6</v>
      </c>
      <c r="AS282" t="str">
        <f t="shared" si="124"/>
        <v>Neutral</v>
      </c>
      <c r="AT282" s="32">
        <f t="shared" si="125"/>
        <v>1</v>
      </c>
      <c r="AU282">
        <f>step3_validation[[#This Row],[AI_TRU3]]</f>
        <v>7</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2</v>
      </c>
      <c r="AZ282">
        <f>step3_validation[[#This Row],[AI_TRU4]]</f>
        <v>6</v>
      </c>
      <c r="BA282" t="str">
        <f t="shared" si="129"/>
        <v>Neutral</v>
      </c>
      <c r="BB282">
        <f>survey_responses[[#This Row],[Tôi thấy Nhà nước đã giải thích rõ ràng, minh bạch về lý do và mục tiêu của việc sửa đổi thuế lần này. - HUMAN-TRU4]]</f>
        <v>7</v>
      </c>
      <c r="BC282" t="str">
        <f t="shared" si="130"/>
        <v>Neutral</v>
      </c>
      <c r="BD282" s="32">
        <f t="shared" si="131"/>
        <v>1</v>
      </c>
      <c r="BE282">
        <f>step3_validation[[#This Row],[AI_OUT1]]</f>
        <v>8</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323</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143.26428279139992</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2">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8</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7</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0</v>
      </c>
      <c r="AP283">
        <f>step3_validation[[#This Row],[AI_TRU2]]</f>
        <v>6</v>
      </c>
      <c r="AQ283" t="str">
        <f t="shared" si="123"/>
        <v>Neutral</v>
      </c>
      <c r="AR283">
        <f>survey_responses[[#This Row],[Tôi thấy mức thuế tôi phải đóng theo phương án mới là công bằng (người thu nhập như tôi đóng mức này là hợp lý). - HUMAN-TRU2]]</f>
        <v>8</v>
      </c>
      <c r="AS283" t="str">
        <f t="shared" si="124"/>
        <v>Support</v>
      </c>
      <c r="AT283" s="32">
        <f t="shared" si="125"/>
        <v>2</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6</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2</v>
      </c>
      <c r="BE283">
        <f>step3_validation[[#This Row],[AI_OUT1]]</f>
        <v>8</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1</v>
      </c>
    </row>
    <row r="284" spans="1:61" x14ac:dyDescent="0.45">
      <c r="A284" s="30">
        <f>step3_validation[[#This Row],[Persona_ID]]</f>
        <v>283</v>
      </c>
      <c r="B284" s="31">
        <f>step3_validation[[#This Row],[Used_Seed]]</f>
        <v>324</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53.12578994339983</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2</v>
      </c>
      <c r="V284">
        <f>step3_validation[[#This Row],[AI_ENF2]]</f>
        <v>6</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1</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6</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1</v>
      </c>
      <c r="AZ284">
        <f>step3_validation[[#This Row],[AI_TRU4]]</f>
        <v>5</v>
      </c>
      <c r="BA284" t="str">
        <f t="shared" si="129"/>
        <v>Neutral</v>
      </c>
      <c r="BB284">
        <f>survey_responses[[#This Row],[Tôi thấy Nhà nước đã giải thích rõ ràng, minh bạch về lý do và mục tiêu của việc sửa đổi thuế lần này. - HUMAN-TRU4]]</f>
        <v>5</v>
      </c>
      <c r="BC284" t="str">
        <f t="shared" si="130"/>
        <v>Neutral</v>
      </c>
      <c r="BD284" s="32">
        <f t="shared" si="131"/>
        <v>0</v>
      </c>
      <c r="BE284">
        <f>step3_validation[[#This Row],[AI_OUT1]]</f>
        <v>7</v>
      </c>
      <c r="BF284" t="str">
        <f t="shared" si="132"/>
        <v>Neutral</v>
      </c>
      <c r="BG284">
        <f>survey_responses[[#This Row],[Sau khi xem xét các quyền lợi và nghĩa vụ, bạn có ủng hộ và tuân thủ chính sách mới hiện nay? - HUMAN-OUT1]]</f>
        <v>4</v>
      </c>
      <c r="BH284" t="str">
        <f t="shared" si="133"/>
        <v>Oppose</v>
      </c>
      <c r="BI284" s="32">
        <f t="shared" si="134"/>
        <v>3</v>
      </c>
    </row>
    <row r="285" spans="1:61" x14ac:dyDescent="0.45">
      <c r="A285" s="30">
        <f>step3_validation[[#This Row],[Persona_ID]]</f>
        <v>284</v>
      </c>
      <c r="B285" s="31">
        <f>step3_validation[[#This Row],[Used_Seed]]</f>
        <v>325</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57.839722408977117</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8</v>
      </c>
      <c r="R285" t="str">
        <f t="shared" si="108"/>
        <v>Support</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1</v>
      </c>
      <c r="V285">
        <f>step3_validation[[#This Row],[AI_ENF2]]</f>
        <v>9</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2</v>
      </c>
      <c r="AA285">
        <f>step3_validation[[#This Row],[AI_FAC1]]</f>
        <v>8</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3</v>
      </c>
      <c r="AF285">
        <f>step3_validation[[#This Row],[AI_FAC2]]</f>
        <v>7</v>
      </c>
      <c r="AG285" t="str">
        <f t="shared" si="117"/>
        <v>Neutral</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0</v>
      </c>
      <c r="AK285">
        <f>step3_validation[[#This Row],[AI_TRU1]]</f>
        <v>8</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3</v>
      </c>
      <c r="AP285">
        <f>step3_validation[[#This Row],[AI_TRU2]]</f>
        <v>7</v>
      </c>
      <c r="AQ285" t="str">
        <f t="shared" si="123"/>
        <v>Neutral</v>
      </c>
      <c r="AR285">
        <f>survey_responses[[#This Row],[Tôi thấy mức thuế tôi phải đóng theo phương án mới là công bằng (người thu nhập như tôi đóng mức này là hợp lý). - HUMAN-TRU2]]</f>
        <v>6</v>
      </c>
      <c r="AS285" t="str">
        <f t="shared" si="124"/>
        <v>Neutral</v>
      </c>
      <c r="AT285" s="32">
        <f t="shared" si="125"/>
        <v>1</v>
      </c>
      <c r="AU285">
        <f>step3_validation[[#This Row],[AI_TRU3]]</f>
        <v>6</v>
      </c>
      <c r="AV285" t="str">
        <f t="shared" si="126"/>
        <v>Neutral</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1</v>
      </c>
      <c r="AZ285">
        <f>step3_validation[[#This Row],[AI_TRU4]]</f>
        <v>5</v>
      </c>
      <c r="BA285" t="str">
        <f t="shared" si="129"/>
        <v>Neutral</v>
      </c>
      <c r="BB285">
        <f>survey_responses[[#This Row],[Tôi thấy Nhà nước đã giải thích rõ ràng, minh bạch về lý do và mục tiêu của việc sửa đổi thuế lần này. - HUMAN-TRU4]]</f>
        <v>7</v>
      </c>
      <c r="BC285" t="str">
        <f t="shared" si="130"/>
        <v>Neutral</v>
      </c>
      <c r="BD285" s="32">
        <f t="shared" si="131"/>
        <v>2</v>
      </c>
      <c r="BE285">
        <f>step3_validation[[#This Row],[AI_OUT1]]</f>
        <v>7</v>
      </c>
      <c r="BF285" t="str">
        <f t="shared" si="132"/>
        <v>Neutral</v>
      </c>
      <c r="BG285">
        <f>survey_responses[[#This Row],[Sau khi xem xét các quyền lợi và nghĩa vụ, bạn có ủng hộ và tuân thủ chính sách mới hiện nay? - HUMAN-OUT1]]</f>
        <v>6</v>
      </c>
      <c r="BH285" t="str">
        <f t="shared" si="133"/>
        <v>Neutral</v>
      </c>
      <c r="BI285" s="32">
        <f t="shared" si="134"/>
        <v>1</v>
      </c>
    </row>
    <row r="286" spans="1:61" x14ac:dyDescent="0.45">
      <c r="A286" s="30">
        <f>step3_validation[[#This Row],[Persona_ID]]</f>
        <v>285</v>
      </c>
      <c r="B286" s="31">
        <f>step3_validation[[#This Row],[Used_Seed]]</f>
        <v>326</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71.478356479857041</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7</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0</v>
      </c>
      <c r="V286">
        <f>step3_validation[[#This Row],[AI_ENF2]]</f>
        <v>6</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8</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3</v>
      </c>
      <c r="AF286">
        <f>step3_validation[[#This Row],[AI_FAC2]]</f>
        <v>9</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1</v>
      </c>
      <c r="AK286">
        <f>step3_validation[[#This Row],[AI_TRU1]]</f>
        <v>7</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1</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6</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0</v>
      </c>
      <c r="AZ286">
        <f>step3_validation[[#This Row],[AI_TRU4]]</f>
        <v>7</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0</v>
      </c>
      <c r="BE286">
        <f>step3_validation[[#This Row],[AI_OUT1]]</f>
        <v>6</v>
      </c>
      <c r="BF286" t="str">
        <f t="shared" si="132"/>
        <v>Neutral</v>
      </c>
      <c r="BG286">
        <f>survey_responses[[#This Row],[Sau khi xem xét các quyền lợi và nghĩa vụ, bạn có ủng hộ và tuân thủ chính sách mới hiện nay? - HUMAN-OUT1]]</f>
        <v>7</v>
      </c>
      <c r="BH286" t="str">
        <f t="shared" si="133"/>
        <v>Neutral</v>
      </c>
      <c r="BI286" s="32">
        <f t="shared" si="134"/>
        <v>1</v>
      </c>
    </row>
    <row r="287" spans="1:61" x14ac:dyDescent="0.45">
      <c r="A287" s="30">
        <f>step3_validation[[#This Row],[Persona_ID]]</f>
        <v>286</v>
      </c>
      <c r="B287" s="31">
        <f>step3_validation[[#This Row],[Used_Seed]]</f>
        <v>327</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41.557400538078461</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8</v>
      </c>
      <c r="R287" t="str">
        <f t="shared" si="108"/>
        <v>Support</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4</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6</v>
      </c>
      <c r="AL287" t="str">
        <f t="shared" si="120"/>
        <v>Neutral</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1</v>
      </c>
      <c r="AP287">
        <f>step3_validation[[#This Row],[AI_TRU2]]</f>
        <v>5</v>
      </c>
      <c r="AQ287" t="str">
        <f t="shared" si="123"/>
        <v>Neutral</v>
      </c>
      <c r="AR287">
        <f>survey_responses[[#This Row],[Tôi thấy mức thuế tôi phải đóng theo phương án mới là công bằng (người thu nhập như tôi đóng mức này là hợp lý). - HUMAN-TRU2]]</f>
        <v>5</v>
      </c>
      <c r="AS287" t="str">
        <f t="shared" si="124"/>
        <v>Neutral</v>
      </c>
      <c r="AT287" s="32">
        <f t="shared" si="125"/>
        <v>0</v>
      </c>
      <c r="AU287">
        <f>step3_validation[[#This Row],[AI_TRU3]]</f>
        <v>4</v>
      </c>
      <c r="AV287" t="str">
        <f t="shared" si="126"/>
        <v>Oppose</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0</v>
      </c>
      <c r="AZ287">
        <f>step3_validation[[#This Row],[AI_TRU4]]</f>
        <v>5</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1</v>
      </c>
      <c r="BE287">
        <f>step3_validation[[#This Row],[AI_OUT1]]</f>
        <v>7</v>
      </c>
      <c r="BF287" t="str">
        <f t="shared" si="132"/>
        <v>Neutral</v>
      </c>
      <c r="BG287">
        <f>survey_responses[[#This Row],[Sau khi xem xét các quyền lợi và nghĩa vụ, bạn có ủng hộ và tuân thủ chính sách mới hiện nay? - HUMAN-OUT1]]</f>
        <v>5</v>
      </c>
      <c r="BH287" t="str">
        <f t="shared" si="133"/>
        <v>Neutral</v>
      </c>
      <c r="BI287" s="32">
        <f t="shared" si="134"/>
        <v>2</v>
      </c>
    </row>
    <row r="288" spans="1:61" x14ac:dyDescent="0.45">
      <c r="A288" s="30">
        <f>step3_validation[[#This Row],[Persona_ID]]</f>
        <v>287</v>
      </c>
      <c r="B288" s="31">
        <f>step3_validation[[#This Row],[Used_Seed]]</f>
        <v>328</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67.482639187662173</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3</v>
      </c>
      <c r="V288">
        <f>step3_validation[[#This Row],[AI_ENF2]]</f>
        <v>8</v>
      </c>
      <c r="W288" t="str">
        <f t="shared" si="111"/>
        <v>Support</v>
      </c>
      <c r="X288">
        <f>survey_responses[[#This Row],[Tôi tin rằng Nhà nước, cơ quan thuế có đủ khả năng và công nghệ để phát hiện, xử lý nghiêm các hành vi trốn thuế. - HUMAN-ENF2]]</f>
        <v>10</v>
      </c>
      <c r="Y288" t="str">
        <f t="shared" si="112"/>
        <v>Support</v>
      </c>
      <c r="Z288" s="32">
        <f t="shared" si="113"/>
        <v>2</v>
      </c>
      <c r="AA288">
        <f>step3_validation[[#This Row],[AI_FAC1]]</f>
        <v>9</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8</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1</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6</v>
      </c>
      <c r="AQ288" t="str">
        <f t="shared" si="123"/>
        <v>Neutral</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5</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3</v>
      </c>
      <c r="AZ288">
        <f>step3_validation[[#This Row],[AI_TRU4]]</f>
        <v>4</v>
      </c>
      <c r="BA288" t="str">
        <f t="shared" si="129"/>
        <v>Oppose</v>
      </c>
      <c r="BB288">
        <f>survey_responses[[#This Row],[Tôi thấy Nhà nước đã giải thích rõ ràng, minh bạch về lý do và mục tiêu của việc sửa đổi thuế lần này. - HUMAN-TRU4]]</f>
        <v>8</v>
      </c>
      <c r="BC288" t="str">
        <f t="shared" si="130"/>
        <v>Support</v>
      </c>
      <c r="BD288" s="32">
        <f t="shared" si="131"/>
        <v>4</v>
      </c>
      <c r="BE288">
        <f>step3_validation[[#This Row],[AI_OUT1]]</f>
        <v>5</v>
      </c>
      <c r="BF288" t="str">
        <f t="shared" si="132"/>
        <v>Neutral</v>
      </c>
      <c r="BG288">
        <f>survey_responses[[#This Row],[Sau khi xem xét các quyền lợi và nghĩa vụ, bạn có ủng hộ và tuân thủ chính sách mới hiện nay? - HUMAN-OUT1]]</f>
        <v>8</v>
      </c>
      <c r="BH288" t="str">
        <f t="shared" si="133"/>
        <v>Support</v>
      </c>
      <c r="BI288" s="32">
        <f t="shared" si="134"/>
        <v>3</v>
      </c>
    </row>
    <row r="289" spans="1:61" x14ac:dyDescent="0.45">
      <c r="A289" s="30">
        <f>step3_validation[[#This Row],[Persona_ID]]</f>
        <v>288</v>
      </c>
      <c r="B289" s="31">
        <f>step3_validation[[#This Row],[Used_Seed]]</f>
        <v>329</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24.906152542079461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8</v>
      </c>
      <c r="R289" t="str">
        <f t="shared" si="108"/>
        <v>Support</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0</v>
      </c>
      <c r="V289">
        <f>step3_validation[[#This Row],[AI_ENF2]]</f>
        <v>9</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2">
        <f t="shared" si="113"/>
        <v>1</v>
      </c>
      <c r="AA289">
        <f>step3_validation[[#This Row],[AI_FAC1]]</f>
        <v>7</v>
      </c>
      <c r="AB289" t="str">
        <f t="shared" si="114"/>
        <v>Neutral</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2</v>
      </c>
      <c r="AF289">
        <f>step3_validation[[#This Row],[AI_FAC2]]</f>
        <v>8</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1</v>
      </c>
      <c r="AK289">
        <f>step3_validation[[#This Row],[AI_TRU1]]</f>
        <v>7</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3</v>
      </c>
      <c r="AP289">
        <f>step3_validation[[#This Row],[AI_TRU2]]</f>
        <v>8</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2</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8</v>
      </c>
      <c r="BA289" t="str">
        <f t="shared" si="129"/>
        <v>Support</v>
      </c>
      <c r="BB289">
        <f>survey_responses[[#This Row],[Tôi thấy Nhà nước đã giải thích rõ ràng, minh bạch về lý do và mục tiêu của việc sửa đổi thuế lần này. - HUMAN-TRU4]]</f>
        <v>9</v>
      </c>
      <c r="BC289" t="str">
        <f t="shared" si="130"/>
        <v>Support</v>
      </c>
      <c r="BD289" s="32">
        <f t="shared" si="131"/>
        <v>1</v>
      </c>
      <c r="BE289">
        <f>step3_validation[[#This Row],[AI_OUT1]]</f>
        <v>9</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1</v>
      </c>
    </row>
    <row r="290" spans="1:61" x14ac:dyDescent="0.45">
      <c r="A290" s="30">
        <f>step3_validation[[#This Row],[Persona_ID]]</f>
        <v>289</v>
      </c>
      <c r="B290" s="31">
        <f>step3_validation[[#This Row],[Used_Seed]]</f>
        <v>330</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30.872567401289103</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0</v>
      </c>
      <c r="V290">
        <f>step3_validation[[#This Row],[AI_ENF2]]</f>
        <v>8</v>
      </c>
      <c r="W290" t="str">
        <f t="shared" si="111"/>
        <v>Support</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6</v>
      </c>
      <c r="AB290" t="str">
        <f t="shared" si="114"/>
        <v>Neutral</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1</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9</v>
      </c>
      <c r="AL290" t="str">
        <f t="shared" si="120"/>
        <v>Support</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4</v>
      </c>
      <c r="AP290">
        <f>step3_validation[[#This Row],[AI_TRU2]]</f>
        <v>7</v>
      </c>
      <c r="AQ290" t="str">
        <f t="shared" si="123"/>
        <v>Neutral</v>
      </c>
      <c r="AR290">
        <f>survey_responses[[#This Row],[Tôi thấy mức thuế tôi phải đóng theo phương án mới là công bằng (người thu nhập như tôi đóng mức này là hợp lý). - HUMAN-TRU2]]</f>
        <v>5</v>
      </c>
      <c r="AS290" t="str">
        <f t="shared" si="124"/>
        <v>Neutral</v>
      </c>
      <c r="AT290" s="32">
        <f t="shared" si="125"/>
        <v>2</v>
      </c>
      <c r="AU290">
        <f>step3_validation[[#This Row],[AI_TRU3]]</f>
        <v>8</v>
      </c>
      <c r="AV290" t="str">
        <f t="shared" si="126"/>
        <v>Support</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3</v>
      </c>
      <c r="AZ290">
        <f>step3_validation[[#This Row],[AI_TRU4]]</f>
        <v>9</v>
      </c>
      <c r="BA290" t="str">
        <f t="shared" si="129"/>
        <v>Support</v>
      </c>
      <c r="BB290">
        <f>survey_responses[[#This Row],[Tôi thấy Nhà nước đã giải thích rõ ràng, minh bạch về lý do và mục tiêu của việc sửa đổi thuế lần này. - HUMAN-TRU4]]</f>
        <v>5</v>
      </c>
      <c r="BC290" t="str">
        <f t="shared" si="130"/>
        <v>Neutral</v>
      </c>
      <c r="BD290" s="32">
        <f t="shared" si="131"/>
        <v>4</v>
      </c>
      <c r="BE290">
        <f>step3_validation[[#This Row],[AI_OUT1]]</f>
        <v>7</v>
      </c>
      <c r="BF290" t="str">
        <f t="shared" si="132"/>
        <v>Neutral</v>
      </c>
      <c r="BG290">
        <f>survey_responses[[#This Row],[Sau khi xem xét các quyền lợi và nghĩa vụ, bạn có ủng hộ và tuân thủ chính sách mới hiện nay? - HUMAN-OUT1]]</f>
        <v>6</v>
      </c>
      <c r="BH290" t="str">
        <f t="shared" si="133"/>
        <v>Neutral</v>
      </c>
      <c r="BI290" s="32">
        <f t="shared" si="134"/>
        <v>1</v>
      </c>
    </row>
    <row r="291" spans="1:61" x14ac:dyDescent="0.45">
      <c r="A291" s="30">
        <f>step3_validation[[#This Row],[Persona_ID]]</f>
        <v>290</v>
      </c>
      <c r="B291" s="31">
        <f>step3_validation[[#This Row],[Used_Seed]]</f>
        <v>331</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37.099837162190148</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8</v>
      </c>
      <c r="R291" t="str">
        <f t="shared" si="108"/>
        <v>Support</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0</v>
      </c>
      <c r="V291">
        <f>step3_validation[[#This Row],[AI_ENF2]]</f>
        <v>9</v>
      </c>
      <c r="W291" t="str">
        <f t="shared" si="111"/>
        <v>Support</v>
      </c>
      <c r="X291">
        <f>survey_responses[[#This Row],[Tôi tin rằng Nhà nước, cơ quan thuế có đủ khả năng và công nghệ để phát hiện, xử lý nghiêm các hành vi trốn thuế. - HUMAN-ENF2]]</f>
        <v>8</v>
      </c>
      <c r="Y291" t="str">
        <f t="shared" si="112"/>
        <v>Support</v>
      </c>
      <c r="Z291" s="32">
        <f t="shared" si="113"/>
        <v>1</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7</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1</v>
      </c>
      <c r="AP291">
        <f>step3_validation[[#This Row],[AI_TRU2]]</f>
        <v>6</v>
      </c>
      <c r="AQ291" t="str">
        <f t="shared" si="123"/>
        <v>Neutral</v>
      </c>
      <c r="AR291">
        <f>survey_responses[[#This Row],[Tôi thấy mức thuế tôi phải đóng theo phương án mới là công bằng (người thu nhập như tôi đóng mức này là hợp lý). - HUMAN-TRU2]]</f>
        <v>8</v>
      </c>
      <c r="AS291" t="str">
        <f t="shared" si="124"/>
        <v>Support</v>
      </c>
      <c r="AT291" s="32">
        <f t="shared" si="125"/>
        <v>2</v>
      </c>
      <c r="AU291">
        <f>step3_validation[[#This Row],[AI_TRU3]]</f>
        <v>7</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1</v>
      </c>
      <c r="AZ291">
        <f>step3_validation[[#This Row],[AI_TRU4]]</f>
        <v>5</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3</v>
      </c>
      <c r="BE291">
        <f>step3_validation[[#This Row],[AI_OUT1]]</f>
        <v>4</v>
      </c>
      <c r="BF291" t="str">
        <f t="shared" si="132"/>
        <v>Oppose</v>
      </c>
      <c r="BG291">
        <f>survey_responses[[#This Row],[Sau khi xem xét các quyền lợi và nghĩa vụ, bạn có ủng hộ và tuân thủ chính sách mới hiện nay? - HUMAN-OUT1]]</f>
        <v>8</v>
      </c>
      <c r="BH291" t="str">
        <f t="shared" si="133"/>
        <v>Support</v>
      </c>
      <c r="BI291" s="32">
        <f t="shared" si="134"/>
        <v>4</v>
      </c>
    </row>
    <row r="292" spans="1:61" x14ac:dyDescent="0.45">
      <c r="A292" s="30">
        <f>step3_validation[[#This Row],[Persona_ID]]</f>
        <v>291</v>
      </c>
      <c r="B292" s="31">
        <f>step3_validation[[#This Row],[Used_Seed]]</f>
        <v>332</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50.732127670408843</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8</v>
      </c>
      <c r="R292" t="str">
        <f t="shared" si="108"/>
        <v>Support</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1</v>
      </c>
      <c r="V292">
        <f>step3_validation[[#This Row],[AI_ENF2]]</f>
        <v>9</v>
      </c>
      <c r="W292" t="str">
        <f t="shared" si="111"/>
        <v>Support</v>
      </c>
      <c r="X292">
        <f>survey_responses[[#This Row],[Tôi tin rằng Nhà nước, cơ quan thuế có đủ khả năng và công nghệ để phát hiện, xử lý nghiêm các hành vi trốn thuế. - HUMAN-ENF2]]</f>
        <v>9</v>
      </c>
      <c r="Y292" t="str">
        <f t="shared" si="112"/>
        <v>Support</v>
      </c>
      <c r="Z292" s="32">
        <f t="shared" si="113"/>
        <v>0</v>
      </c>
      <c r="AA292">
        <f>step3_validation[[#This Row],[AI_FAC1]]</f>
        <v>7</v>
      </c>
      <c r="AB292" t="str">
        <f t="shared" si="114"/>
        <v>Neutral</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4</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9</v>
      </c>
      <c r="AL292" t="str">
        <f t="shared" si="120"/>
        <v>Support</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9</v>
      </c>
      <c r="AV292" t="str">
        <f t="shared" si="126"/>
        <v>Support</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3</v>
      </c>
      <c r="AZ292">
        <f>step3_validation[[#This Row],[AI_TRU4]]</f>
        <v>8</v>
      </c>
      <c r="BA292" t="str">
        <f t="shared" si="129"/>
        <v>Support</v>
      </c>
      <c r="BB292">
        <f>survey_responses[[#This Row],[Tôi thấy Nhà nước đã giải thích rõ ràng, minh bạch về lý do và mục tiêu của việc sửa đổi thuế lần này. - HUMAN-TRU4]]</f>
        <v>8</v>
      </c>
      <c r="BC292" t="str">
        <f t="shared" si="130"/>
        <v>Support</v>
      </c>
      <c r="BD292" s="32">
        <f t="shared" si="131"/>
        <v>0</v>
      </c>
      <c r="BE292">
        <f>step3_validation[[#This Row],[AI_OUT1]]</f>
        <v>9</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333</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67.299038388373177</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1</v>
      </c>
      <c r="V293">
        <f>step3_validation[[#This Row],[AI_ENF2]]</f>
        <v>8</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2">
        <f t="shared" si="113"/>
        <v>2</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8</v>
      </c>
      <c r="AF293">
        <f>step3_validation[[#This Row],[AI_FAC2]]</f>
        <v>8</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2</v>
      </c>
      <c r="AK293">
        <f>step3_validation[[#This Row],[AI_TRU1]]</f>
        <v>6</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1</v>
      </c>
      <c r="AP293">
        <f>step3_validation[[#This Row],[AI_TRU2]]</f>
        <v>7</v>
      </c>
      <c r="AQ293" t="str">
        <f t="shared" si="123"/>
        <v>Neutral</v>
      </c>
      <c r="AR293">
        <f>survey_responses[[#This Row],[Tôi thấy mức thuế tôi phải đóng theo phương án mới là công bằng (người thu nhập như tôi đóng mức này là hợp lý). - HUMAN-TRU2]]</f>
        <v>6</v>
      </c>
      <c r="AS293" t="str">
        <f t="shared" si="124"/>
        <v>Neutral</v>
      </c>
      <c r="AT293" s="32">
        <f t="shared" si="125"/>
        <v>1</v>
      </c>
      <c r="AU293">
        <f>step3_validation[[#This Row],[AI_TRU3]]</f>
        <v>5</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0</v>
      </c>
      <c r="AZ293">
        <f>step3_validation[[#This Row],[AI_TRU4]]</f>
        <v>6</v>
      </c>
      <c r="BA293" t="str">
        <f t="shared" si="129"/>
        <v>Neutral</v>
      </c>
      <c r="BB293">
        <f>survey_responses[[#This Row],[Tôi thấy Nhà nước đã giải thích rõ ràng, minh bạch về lý do và mục tiêu của việc sửa đổi thuế lần này. - HUMAN-TRU4]]</f>
        <v>6</v>
      </c>
      <c r="BC293" t="str">
        <f t="shared" si="130"/>
        <v>Neutral</v>
      </c>
      <c r="BD293" s="32">
        <f t="shared" si="131"/>
        <v>0</v>
      </c>
      <c r="BE293">
        <f>step3_validation[[#This Row],[AI_OUT1]]</f>
        <v>8</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2</v>
      </c>
    </row>
    <row r="294" spans="1:61" x14ac:dyDescent="0.45">
      <c r="A294" s="30">
        <f>step3_validation[[#This Row],[Persona_ID]]</f>
        <v>293</v>
      </c>
      <c r="B294" s="31">
        <f>step3_validation[[#This Row],[Used_Seed]]</f>
        <v>334</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38.678966815682955</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0</v>
      </c>
      <c r="AA294">
        <f>step3_validation[[#This Row],[AI_FAC1]]</f>
        <v>9</v>
      </c>
      <c r="AB294" t="str">
        <f t="shared" si="114"/>
        <v>Support</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4</v>
      </c>
      <c r="AF294">
        <f>step3_validation[[#This Row],[AI_FAC2]]</f>
        <v>9</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8</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3</v>
      </c>
      <c r="AP294">
        <f>step3_validation[[#This Row],[AI_TRU2]]</f>
        <v>7</v>
      </c>
      <c r="AQ294" t="str">
        <f t="shared" si="123"/>
        <v>Neutral</v>
      </c>
      <c r="AR294">
        <f>survey_responses[[#This Row],[Tôi thấy mức thuế tôi phải đóng theo phương án mới là công bằng (người thu nhập như tôi đóng mức này là hợp lý). - HUMAN-TRU2]]</f>
        <v>6</v>
      </c>
      <c r="AS294" t="str">
        <f t="shared" si="124"/>
        <v>Neutral</v>
      </c>
      <c r="AT294" s="32">
        <f t="shared" si="125"/>
        <v>1</v>
      </c>
      <c r="AU294">
        <f>step3_validation[[#This Row],[AI_TRU3]]</f>
        <v>6</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1</v>
      </c>
      <c r="AZ294">
        <f>step3_validation[[#This Row],[AI_TRU4]]</f>
        <v>7</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8</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2</v>
      </c>
    </row>
    <row r="295" spans="1:61" x14ac:dyDescent="0.45">
      <c r="A295" s="30">
        <f>step3_validation[[#This Row],[Persona_ID]]</f>
        <v>294</v>
      </c>
      <c r="B295" s="31">
        <f>step3_validation[[#This Row],[Used_Seed]]</f>
        <v>335</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54.880929043429468</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1</v>
      </c>
      <c r="V295">
        <f>step3_validation[[#This Row],[AI_ENF2]]</f>
        <v>8</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2">
        <f t="shared" si="113"/>
        <v>2</v>
      </c>
      <c r="AA295">
        <f>step3_validation[[#This Row],[AI_FAC1]]</f>
        <v>9</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6</v>
      </c>
      <c r="AF295">
        <f>step3_validation[[#This Row],[AI_FAC2]]</f>
        <v>8</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1</v>
      </c>
      <c r="AK295">
        <f>step3_validation[[#This Row],[AI_TRU1]]</f>
        <v>6</v>
      </c>
      <c r="AL295" t="str">
        <f t="shared" si="120"/>
        <v>Neutral</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1</v>
      </c>
      <c r="AP295">
        <f>step3_validation[[#This Row],[AI_TRU2]]</f>
        <v>7</v>
      </c>
      <c r="AQ295" t="str">
        <f t="shared" si="123"/>
        <v>Neutral</v>
      </c>
      <c r="AR295">
        <f>survey_responses[[#This Row],[Tôi thấy mức thuế tôi phải đóng theo phương án mới là công bằng (người thu nhập như tôi đóng mức này là hợp lý). - HUMAN-TRU2]]</f>
        <v>6</v>
      </c>
      <c r="AS295" t="str">
        <f t="shared" si="124"/>
        <v>Neutral</v>
      </c>
      <c r="AT295" s="32">
        <f t="shared" si="125"/>
        <v>1</v>
      </c>
      <c r="AU295">
        <f>step3_validation[[#This Row],[AI_TRU3]]</f>
        <v>5</v>
      </c>
      <c r="AV295" t="str">
        <f t="shared" si="126"/>
        <v>Neutral</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0</v>
      </c>
      <c r="AZ295">
        <f>step3_validation[[#This Row],[AI_TRU4]]</f>
        <v>6</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1</v>
      </c>
      <c r="BE295">
        <f>step3_validation[[#This Row],[AI_OUT1]]</f>
        <v>7</v>
      </c>
      <c r="BF295" t="str">
        <f t="shared" si="132"/>
        <v>Neutral</v>
      </c>
      <c r="BG295">
        <f>survey_responses[[#This Row],[Sau khi xem xét các quyền lợi và nghĩa vụ, bạn có ủng hộ và tuân thủ chính sách mới hiện nay? - HUMAN-OUT1]]</f>
        <v>6</v>
      </c>
      <c r="BH295" t="str">
        <f t="shared" si="133"/>
        <v>Neutral</v>
      </c>
      <c r="BI295" s="32">
        <f t="shared" si="134"/>
        <v>1</v>
      </c>
    </row>
    <row r="296" spans="1:61" x14ac:dyDescent="0.45">
      <c r="A296" s="30">
        <f>step3_validation[[#This Row],[Persona_ID]]</f>
        <v>295</v>
      </c>
      <c r="B296" s="31">
        <f>step3_validation[[#This Row],[Used_Seed]]</f>
        <v>336</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30.555930339510926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2</v>
      </c>
      <c r="V296">
        <f>step3_validation[[#This Row],[AI_ENF2]]</f>
        <v>5</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4</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1</v>
      </c>
      <c r="AK296">
        <f>step3_validation[[#This Row],[AI_TRU1]]</f>
        <v>8</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0</v>
      </c>
      <c r="AP296">
        <f>step3_validation[[#This Row],[AI_TRU2]]</f>
        <v>7</v>
      </c>
      <c r="AQ296" t="str">
        <f t="shared" si="123"/>
        <v>Neutral</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8</v>
      </c>
      <c r="AV296" t="str">
        <f t="shared" si="126"/>
        <v>Support</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1</v>
      </c>
      <c r="AZ296">
        <f>step3_validation[[#This Row],[AI_TRU4]]</f>
        <v>7</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3</v>
      </c>
      <c r="BE296">
        <f>step3_validation[[#This Row],[AI_OUT1]]</f>
        <v>8</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2</v>
      </c>
    </row>
    <row r="297" spans="1:61" x14ac:dyDescent="0.45">
      <c r="A297" s="30">
        <f>step3_validation[[#This Row],[Persona_ID]]</f>
        <v>296</v>
      </c>
      <c r="B297" s="31">
        <f>step3_validation[[#This Row],[Used_Seed]]</f>
        <v>337</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5</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2</v>
      </c>
      <c r="V297">
        <f>step3_validation[[#This Row],[AI_ENF2]]</f>
        <v>6</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1</v>
      </c>
      <c r="AA297">
        <f>step3_validation[[#This Row],[AI_FAC1]]</f>
        <v>7</v>
      </c>
      <c r="AB297" t="str">
        <f t="shared" si="114"/>
        <v>Neutral</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1</v>
      </c>
      <c r="AF297">
        <f>step3_validation[[#This Row],[AI_FAC2]]</f>
        <v>8</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1</v>
      </c>
      <c r="AK297">
        <f>step3_validation[[#This Row],[AI_TRU1]]</f>
        <v>9</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2</v>
      </c>
      <c r="AP297">
        <f>step3_validation[[#This Row],[AI_TRU2]]</f>
        <v>7</v>
      </c>
      <c r="AQ297" t="str">
        <f t="shared" si="123"/>
        <v>Neutral</v>
      </c>
      <c r="AR297">
        <f>survey_responses[[#This Row],[Tôi thấy mức thuế tôi phải đóng theo phương án mới là công bằng (người thu nhập như tôi đóng mức này là hợp lý). - HUMAN-TRU2]]</f>
        <v>1</v>
      </c>
      <c r="AS297" t="str">
        <f t="shared" si="124"/>
        <v>Oppose</v>
      </c>
      <c r="AT297" s="32">
        <f t="shared" si="125"/>
        <v>6</v>
      </c>
      <c r="AU297">
        <f>step3_validation[[#This Row],[AI_TRU3]]</f>
        <v>8</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3</v>
      </c>
      <c r="AZ297">
        <f>step3_validation[[#This Row],[AI_TRU4]]</f>
        <v>7</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0</v>
      </c>
      <c r="BE297">
        <f>step3_validation[[#This Row],[AI_OUT1]]</f>
        <v>8</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1</v>
      </c>
    </row>
    <row r="298" spans="1:61" x14ac:dyDescent="0.45">
      <c r="A298" s="30">
        <f>step3_validation[[#This Row],[Persona_ID]]</f>
        <v>297</v>
      </c>
      <c r="B298" s="31">
        <f>step3_validation[[#This Row],[Used_Seed]]</f>
        <v>338</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63.788147206243494</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6</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1</v>
      </c>
      <c r="V298">
        <f>step3_validation[[#This Row],[AI_ENF2]]</f>
        <v>5</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5</v>
      </c>
      <c r="AA298">
        <f>step3_validation[[#This Row],[AI_FAC1]]</f>
        <v>7</v>
      </c>
      <c r="AB298" t="str">
        <f t="shared" si="114"/>
        <v>Neutral</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2</v>
      </c>
      <c r="AF298">
        <f>step3_validation[[#This Row],[AI_FAC2]]</f>
        <v>6</v>
      </c>
      <c r="AG298" t="str">
        <f t="shared" si="117"/>
        <v>Neutral</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1</v>
      </c>
      <c r="AK298">
        <f>step3_validation[[#This Row],[AI_TRU1]]</f>
        <v>4</v>
      </c>
      <c r="AL298" t="str">
        <f t="shared" si="120"/>
        <v>Oppose</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2</v>
      </c>
      <c r="AP298">
        <f>step3_validation[[#This Row],[AI_TRU2]]</f>
        <v>3</v>
      </c>
      <c r="AQ298" t="str">
        <f t="shared" si="123"/>
        <v>Oppose</v>
      </c>
      <c r="AR298">
        <f>survey_responses[[#This Row],[Tôi thấy mức thuế tôi phải đóng theo phương án mới là công bằng (người thu nhập như tôi đóng mức này là hợp lý). - HUMAN-TRU2]]</f>
        <v>3</v>
      </c>
      <c r="AS298" t="str">
        <f t="shared" si="124"/>
        <v>Oppose</v>
      </c>
      <c r="AT298" s="32">
        <f t="shared" si="125"/>
        <v>0</v>
      </c>
      <c r="AU298">
        <f>step3_validation[[#This Row],[AI_TRU3]]</f>
        <v>4</v>
      </c>
      <c r="AV298" t="str">
        <f t="shared" si="126"/>
        <v>Oppose</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2</v>
      </c>
      <c r="AZ298">
        <f>step3_validation[[#This Row],[AI_TRU4]]</f>
        <v>5</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0</v>
      </c>
      <c r="BE298">
        <f>step3_validation[[#This Row],[AI_OUT1]]</f>
        <v>6</v>
      </c>
      <c r="BF298" t="str">
        <f t="shared" si="132"/>
        <v>Neutral</v>
      </c>
      <c r="BG298">
        <f>survey_responses[[#This Row],[Sau khi xem xét các quyền lợi và nghĩa vụ, bạn có ủng hộ và tuân thủ chính sách mới hiện nay? - HUMAN-OUT1]]</f>
        <v>5</v>
      </c>
      <c r="BH298" t="str">
        <f t="shared" si="133"/>
        <v>Neutral</v>
      </c>
      <c r="BI298" s="32">
        <f t="shared" si="134"/>
        <v>1</v>
      </c>
    </row>
    <row r="299" spans="1:61" x14ac:dyDescent="0.45">
      <c r="A299" s="30">
        <f>step3_validation[[#This Row],[Persona_ID]]</f>
        <v>298</v>
      </c>
      <c r="B299" s="31">
        <f>step3_validation[[#This Row],[Used_Seed]]</f>
        <v>339</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6</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1</v>
      </c>
      <c r="V299">
        <f>step3_validation[[#This Row],[AI_ENF2]]</f>
        <v>6</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1</v>
      </c>
      <c r="AA299">
        <f>step3_validation[[#This Row],[AI_FAC1]]</f>
        <v>8</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3</v>
      </c>
      <c r="AF299">
        <f>step3_validation[[#This Row],[AI_FAC2]]</f>
        <v>7</v>
      </c>
      <c r="AG299" t="str">
        <f t="shared" si="117"/>
        <v>Neutral</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3</v>
      </c>
      <c r="AK299">
        <f>step3_validation[[#This Row],[AI_TRU1]]</f>
        <v>8</v>
      </c>
      <c r="AL299" t="str">
        <f t="shared" si="120"/>
        <v>Support</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2</v>
      </c>
      <c r="AP299">
        <f>step3_validation[[#This Row],[AI_TRU2]]</f>
        <v>7</v>
      </c>
      <c r="AQ299" t="str">
        <f t="shared" si="123"/>
        <v>Neutral</v>
      </c>
      <c r="AR299">
        <f>survey_responses[[#This Row],[Tôi thấy mức thuế tôi phải đóng theo phương án mới là công bằng (người thu nhập như tôi đóng mức này là hợp lý). - HUMAN-TRU2]]</f>
        <v>5</v>
      </c>
      <c r="AS299" t="str">
        <f t="shared" si="124"/>
        <v>Neutral</v>
      </c>
      <c r="AT299" s="32">
        <f t="shared" si="125"/>
        <v>2</v>
      </c>
      <c r="AU299">
        <f>step3_validation[[#This Row],[AI_TRU3]]</f>
        <v>6</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1</v>
      </c>
      <c r="AZ299">
        <f>step3_validation[[#This Row],[AI_TRU4]]</f>
        <v>5</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0</v>
      </c>
      <c r="BE299">
        <f>step3_validation[[#This Row],[AI_OUT1]]</f>
        <v>7</v>
      </c>
      <c r="BF299" t="str">
        <f t="shared" si="132"/>
        <v>Neutral</v>
      </c>
      <c r="BG299">
        <f>survey_responses[[#This Row],[Sau khi xem xét các quyền lợi và nghĩa vụ, bạn có ủng hộ và tuân thủ chính sách mới hiện nay? - HUMAN-OUT1]]</f>
        <v>5</v>
      </c>
      <c r="BH299" t="str">
        <f t="shared" si="133"/>
        <v>Neutral</v>
      </c>
      <c r="BI299" s="32">
        <f t="shared" si="134"/>
        <v>2</v>
      </c>
    </row>
    <row r="300" spans="1:61" x14ac:dyDescent="0.45">
      <c r="A300" s="30">
        <f>step3_validation[[#This Row],[Persona_ID]]</f>
        <v>299</v>
      </c>
      <c r="B300" s="31">
        <f>step3_validation[[#This Row],[Used_Seed]]</f>
        <v>340</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44.425793599291865</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8</v>
      </c>
      <c r="R300" t="str">
        <f t="shared" si="108"/>
        <v>Support</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2</v>
      </c>
      <c r="V300">
        <f>step3_validation[[#This Row],[AI_ENF2]]</f>
        <v>8</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2</v>
      </c>
      <c r="AA300">
        <f>step3_validation[[#This Row],[AI_FAC1]]</f>
        <v>9</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1</v>
      </c>
      <c r="AF300">
        <f>step3_validation[[#This Row],[AI_FAC2]]</f>
        <v>8</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2</v>
      </c>
      <c r="AK300">
        <f>step3_validation[[#This Row],[AI_TRU1]]</f>
        <v>7</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3</v>
      </c>
      <c r="AP300">
        <f>step3_validation[[#This Row],[AI_TRU2]]</f>
        <v>5</v>
      </c>
      <c r="AQ300" t="str">
        <f t="shared" si="123"/>
        <v>Neutral</v>
      </c>
      <c r="AR300">
        <f>survey_responses[[#This Row],[Tôi thấy mức thuế tôi phải đóng theo phương án mới là công bằng (người thu nhập như tôi đóng mức này là hợp lý). - HUMAN-TRU2]]</f>
        <v>10</v>
      </c>
      <c r="AS300" t="str">
        <f t="shared" si="124"/>
        <v>Support</v>
      </c>
      <c r="AT300" s="32">
        <f t="shared" si="125"/>
        <v>5</v>
      </c>
      <c r="AU300">
        <f>step3_validation[[#This Row],[AI_TRU3]]</f>
        <v>6</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4</v>
      </c>
      <c r="AZ300">
        <f>step3_validation[[#This Row],[AI_TRU4]]</f>
        <v>5</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5</v>
      </c>
      <c r="BE300">
        <f>step3_validation[[#This Row],[AI_OUT1]]</f>
        <v>7</v>
      </c>
      <c r="BF300" t="str">
        <f t="shared" si="132"/>
        <v>Neutral</v>
      </c>
      <c r="BG300">
        <f>survey_responses[[#This Row],[Sau khi xem xét các quyền lợi và nghĩa vụ, bạn có ủng hộ và tuân thủ chính sách mới hiện nay? - HUMAN-OUT1]]</f>
        <v>10</v>
      </c>
      <c r="BH300" t="str">
        <f t="shared" si="133"/>
        <v>Support</v>
      </c>
      <c r="BI300" s="32">
        <f t="shared" si="134"/>
        <v>3</v>
      </c>
    </row>
    <row r="301" spans="1:61" x14ac:dyDescent="0.45">
      <c r="A301" s="30">
        <f>step3_validation[[#This Row],[Persona_ID]]</f>
        <v>300</v>
      </c>
      <c r="B301" s="31">
        <f>step3_validation[[#This Row],[Used_Seed]]</f>
        <v>341</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27.88557871420862</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2">
        <f t="shared" si="113"/>
        <v>1</v>
      </c>
      <c r="AA301">
        <f>step3_validation[[#This Row],[AI_FAC1]]</f>
        <v>6</v>
      </c>
      <c r="AB301" t="str">
        <f t="shared" si="114"/>
        <v>Neutral</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2</v>
      </c>
      <c r="AF301">
        <f>step3_validation[[#This Row],[AI_FAC2]]</f>
        <v>8</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2</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8</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2">
        <f t="shared" si="125"/>
        <v>0</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6</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3</v>
      </c>
      <c r="BE301">
        <f>step3_validation[[#This Row],[AI_OUT1]]</f>
        <v>7</v>
      </c>
      <c r="BF301" t="str">
        <f t="shared" si="132"/>
        <v>Neutral</v>
      </c>
      <c r="BG301">
        <f>survey_responses[[#This Row],[Sau khi xem xét các quyền lợi và nghĩa vụ, bạn có ủng hộ và tuân thủ chính sách mới hiện nay? - HUMAN-OUT1]]</f>
        <v>9</v>
      </c>
      <c r="BH301" t="str">
        <f t="shared" si="133"/>
        <v>Support</v>
      </c>
      <c r="BI301" s="32">
        <f t="shared" si="134"/>
        <v>2</v>
      </c>
    </row>
    <row r="302" spans="1:61" x14ac:dyDescent="0.45">
      <c r="A302" s="30">
        <f>step3_validation[[#This Row],[Persona_ID]]</f>
        <v>301</v>
      </c>
      <c r="B302" s="31">
        <f>step3_validation[[#This Row],[Used_Seed]]</f>
        <v>342</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9</v>
      </c>
      <c r="R302" t="str">
        <f t="shared" si="108"/>
        <v>Support</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1</v>
      </c>
      <c r="V302">
        <f>step3_validation[[#This Row],[AI_ENF2]]</f>
        <v>8</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7</v>
      </c>
      <c r="AB302" t="str">
        <f t="shared" si="114"/>
        <v>Neutral</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2</v>
      </c>
      <c r="AF302">
        <f>step3_validation[[#This Row],[AI_FAC2]]</f>
        <v>8</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3</v>
      </c>
      <c r="AK302">
        <f>step3_validation[[#This Row],[AI_TRU1]]</f>
        <v>7</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0</v>
      </c>
      <c r="AP302">
        <f>step3_validation[[#This Row],[AI_TRU2]]</f>
        <v>8</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1</v>
      </c>
      <c r="AU302">
        <f>step3_validation[[#This Row],[AI_TRU3]]</f>
        <v>7</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0</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0</v>
      </c>
      <c r="BE302">
        <f>step3_validation[[#This Row],[AI_OUT1]]</f>
        <v>7</v>
      </c>
      <c r="BF302" t="str">
        <f t="shared" si="132"/>
        <v>Neutral</v>
      </c>
      <c r="BG302">
        <f>survey_responses[[#This Row],[Sau khi xem xét các quyền lợi và nghĩa vụ, bạn có ủng hộ và tuân thủ chính sách mới hiện nay? - HUMAN-OUT1]]</f>
        <v>7</v>
      </c>
      <c r="BH302" t="str">
        <f t="shared" si="133"/>
        <v>Neutral</v>
      </c>
      <c r="BI302" s="32">
        <f t="shared" si="134"/>
        <v>0</v>
      </c>
    </row>
    <row r="303" spans="1:61" x14ac:dyDescent="0.45">
      <c r="A303" s="30">
        <f>step3_validation[[#This Row],[Persona_ID]]</f>
        <v>302</v>
      </c>
      <c r="B303" s="31">
        <f>step3_validation[[#This Row],[Used_Seed]]</f>
        <v>343</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29.296554822510188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6</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1</v>
      </c>
      <c r="V303">
        <f>step3_validation[[#This Row],[AI_ENF2]]</f>
        <v>7</v>
      </c>
      <c r="W303" t="str">
        <f t="shared" si="111"/>
        <v>Neutral</v>
      </c>
      <c r="X303">
        <f>survey_responses[[#This Row],[Tôi tin rằng Nhà nước, cơ quan thuế có đủ khả năng và công nghệ để phát hiện, xử lý nghiêm các hành vi trốn thuế. - HUMAN-ENF2]]</f>
        <v>7</v>
      </c>
      <c r="Y303" t="str">
        <f t="shared" si="112"/>
        <v>Neutral</v>
      </c>
      <c r="Z303" s="32">
        <f t="shared" si="113"/>
        <v>0</v>
      </c>
      <c r="AA303">
        <f>step3_validation[[#This Row],[AI_FAC1]]</f>
        <v>5</v>
      </c>
      <c r="AB303" t="str">
        <f t="shared" si="114"/>
        <v>Neutral</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1</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6</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1</v>
      </c>
      <c r="AP303">
        <f>step3_validation[[#This Row],[AI_TRU2]]</f>
        <v>8</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6</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1</v>
      </c>
      <c r="AZ303">
        <f>step3_validation[[#This Row],[AI_TRU4]]</f>
        <v>7</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2</v>
      </c>
      <c r="BE303">
        <f>step3_validation[[#This Row],[AI_OUT1]]</f>
        <v>6</v>
      </c>
      <c r="BF303" t="str">
        <f t="shared" si="132"/>
        <v>Neutral</v>
      </c>
      <c r="BG303">
        <f>survey_responses[[#This Row],[Sau khi xem xét các quyền lợi và nghĩa vụ, bạn có ủng hộ và tuân thủ chính sách mới hiện nay? - HUMAN-OUT1]]</f>
        <v>7</v>
      </c>
      <c r="BH303" t="str">
        <f t="shared" si="133"/>
        <v>Neutral</v>
      </c>
      <c r="BI303" s="32">
        <f t="shared" si="134"/>
        <v>1</v>
      </c>
    </row>
    <row r="304" spans="1:61" x14ac:dyDescent="0.45">
      <c r="A304" s="30">
        <f>step3_validation[[#This Row],[Persona_ID]]</f>
        <v>303</v>
      </c>
      <c r="B304" s="31">
        <f>step3_validation[[#This Row],[Used_Seed]]</f>
        <v>344</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28.590580607166206</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1</v>
      </c>
      <c r="V304">
        <f>step3_validation[[#This Row],[AI_ENF2]]</f>
        <v>6</v>
      </c>
      <c r="W304" t="str">
        <f t="shared" si="111"/>
        <v>Neutral</v>
      </c>
      <c r="X304">
        <f>survey_responses[[#This Row],[Tôi tin rằng Nhà nước, cơ quan thuế có đủ khả năng và công nghệ để phát hiện, xử lý nghiêm các hành vi trốn thuế. - HUMAN-ENF2]]</f>
        <v>10</v>
      </c>
      <c r="Y304" t="str">
        <f t="shared" si="112"/>
        <v>Support</v>
      </c>
      <c r="Z304" s="32">
        <f t="shared" si="113"/>
        <v>4</v>
      </c>
      <c r="AA304">
        <f>step3_validation[[#This Row],[AI_FAC1]]</f>
        <v>8</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3</v>
      </c>
      <c r="AF304">
        <f>step3_validation[[#This Row],[AI_FAC2]]</f>
        <v>5</v>
      </c>
      <c r="AG304" t="str">
        <f t="shared" si="117"/>
        <v>Neutral</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1</v>
      </c>
      <c r="AK304">
        <f>step3_validation[[#This Row],[AI_TRU1]]</f>
        <v>7</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4</v>
      </c>
      <c r="AP304">
        <f>step3_validation[[#This Row],[AI_TRU2]]</f>
        <v>6</v>
      </c>
      <c r="AQ304" t="str">
        <f t="shared" si="123"/>
        <v>Neutral</v>
      </c>
      <c r="AR304">
        <f>survey_responses[[#This Row],[Tôi thấy mức thuế tôi phải đóng theo phương án mới là công bằng (người thu nhập như tôi đóng mức này là hợp lý). - HUMAN-TRU2]]</f>
        <v>7</v>
      </c>
      <c r="AS304" t="str">
        <f t="shared" si="124"/>
        <v>Neutral</v>
      </c>
      <c r="AT304" s="32">
        <f t="shared" si="125"/>
        <v>1</v>
      </c>
      <c r="AU304">
        <f>step3_validation[[#This Row],[AI_TRU3]]</f>
        <v>7</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3</v>
      </c>
      <c r="AZ304">
        <f>step3_validation[[#This Row],[AI_TRU4]]</f>
        <v>6</v>
      </c>
      <c r="BA304" t="str">
        <f t="shared" si="129"/>
        <v>Neutral</v>
      </c>
      <c r="BB304">
        <f>survey_responses[[#This Row],[Tôi thấy Nhà nước đã giải thích rõ ràng, minh bạch về lý do và mục tiêu của việc sửa đổi thuế lần này. - HUMAN-TRU4]]</f>
        <v>4</v>
      </c>
      <c r="BC304" t="str">
        <f t="shared" si="130"/>
        <v>Oppose</v>
      </c>
      <c r="BD304" s="32">
        <f t="shared" si="131"/>
        <v>2</v>
      </c>
      <c r="BE304">
        <f>step3_validation[[#This Row],[AI_OUT1]]</f>
        <v>7</v>
      </c>
      <c r="BF304" t="str">
        <f t="shared" si="132"/>
        <v>Neutral</v>
      </c>
      <c r="BG304">
        <f>survey_responses[[#This Row],[Sau khi xem xét các quyền lợi và nghĩa vụ, bạn có ủng hộ và tuân thủ chính sách mới hiện nay? - HUMAN-OUT1]]</f>
        <v>5</v>
      </c>
      <c r="BH304" t="str">
        <f t="shared" si="133"/>
        <v>Neutral</v>
      </c>
      <c r="BI304" s="32">
        <f t="shared" si="134"/>
        <v>2</v>
      </c>
    </row>
    <row r="305" spans="1:61" x14ac:dyDescent="0.45">
      <c r="A305" s="30">
        <f>step3_validation[[#This Row],[Persona_ID]]</f>
        <v>304</v>
      </c>
      <c r="B305" s="31">
        <f>step3_validation[[#This Row],[Used_Seed]]</f>
        <v>345</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8</v>
      </c>
      <c r="R305" t="str">
        <f t="shared" si="108"/>
        <v>Support</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2</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6</v>
      </c>
      <c r="AB305" t="str">
        <f t="shared" si="114"/>
        <v>Neutral</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4</v>
      </c>
      <c r="AF305">
        <f>step3_validation[[#This Row],[AI_FAC2]]</f>
        <v>7</v>
      </c>
      <c r="AG305" t="str">
        <f t="shared" si="117"/>
        <v>Neutral</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3</v>
      </c>
      <c r="AK305">
        <f>step3_validation[[#This Row],[AI_TRU1]]</f>
        <v>8</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2</v>
      </c>
      <c r="AP305">
        <f>step3_validation[[#This Row],[AI_TRU2]]</f>
        <v>7</v>
      </c>
      <c r="AQ305" t="str">
        <f t="shared" si="123"/>
        <v>Neutral</v>
      </c>
      <c r="AR305">
        <f>survey_responses[[#This Row],[Tôi thấy mức thuế tôi phải đóng theo phương án mới là công bằng (người thu nhập như tôi đóng mức này là hợp lý). - HUMAN-TRU2]]</f>
        <v>10</v>
      </c>
      <c r="AS305" t="str">
        <f t="shared" si="124"/>
        <v>Support</v>
      </c>
      <c r="AT305" s="32">
        <f t="shared" si="125"/>
        <v>3</v>
      </c>
      <c r="AU305">
        <f>step3_validation[[#This Row],[AI_TRU3]]</f>
        <v>6</v>
      </c>
      <c r="AV305" t="str">
        <f t="shared" si="126"/>
        <v>Neutral</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4</v>
      </c>
      <c r="AZ305">
        <f>step3_validation[[#This Row],[AI_TRU4]]</f>
        <v>5</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5</v>
      </c>
      <c r="BE305">
        <f>step3_validation[[#This Row],[AI_OUT1]]</f>
        <v>7</v>
      </c>
      <c r="BF305" t="str">
        <f t="shared" si="132"/>
        <v>Neutral</v>
      </c>
      <c r="BG305">
        <f>survey_responses[[#This Row],[Sau khi xem xét các quyền lợi và nghĩa vụ, bạn có ủng hộ và tuân thủ chính sách mới hiện nay? - HUMAN-OUT1]]</f>
        <v>10</v>
      </c>
      <c r="BH305" t="str">
        <f t="shared" si="133"/>
        <v>Support</v>
      </c>
      <c r="BI305" s="32">
        <f t="shared" si="134"/>
        <v>3</v>
      </c>
    </row>
    <row r="306" spans="1:61" x14ac:dyDescent="0.45">
      <c r="A306" s="30">
        <f>step3_validation[[#This Row],[Persona_ID]]</f>
        <v>305</v>
      </c>
      <c r="B306" s="31">
        <f>step3_validation[[#This Row],[Used_Seed]]</f>
        <v>346</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35.56113599804722</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0</v>
      </c>
      <c r="V306">
        <f>step3_validation[[#This Row],[AI_ENF2]]</f>
        <v>8</v>
      </c>
      <c r="W306" t="str">
        <f t="shared" si="111"/>
        <v>Support</v>
      </c>
      <c r="X306">
        <f>survey_responses[[#This Row],[Tôi tin rằng Nhà nước, cơ quan thuế có đủ khả năng và công nghệ để phát hiện, xử lý nghiêm các hành vi trốn thuế. - HUMAN-ENF2]]</f>
        <v>9</v>
      </c>
      <c r="Y306" t="str">
        <f t="shared" si="112"/>
        <v>Support</v>
      </c>
      <c r="Z306" s="32">
        <f t="shared" si="113"/>
        <v>1</v>
      </c>
      <c r="AA306">
        <f>step3_validation[[#This Row],[AI_FAC1]]</f>
        <v>6</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2</v>
      </c>
      <c r="AF306">
        <f>step3_validation[[#This Row],[AI_FAC2]]</f>
        <v>9</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3</v>
      </c>
      <c r="AK306">
        <f>step3_validation[[#This Row],[AI_TRU1]]</f>
        <v>7</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2</v>
      </c>
      <c r="AP306">
        <f>step3_validation[[#This Row],[AI_TRU2]]</f>
        <v>8</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5</v>
      </c>
      <c r="AU306">
        <f>step3_validation[[#This Row],[AI_TRU3]]</f>
        <v>6</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3</v>
      </c>
      <c r="AZ306">
        <f>step3_validation[[#This Row],[AI_TRU4]]</f>
        <v>5</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2</v>
      </c>
      <c r="BE306">
        <f>step3_validation[[#This Row],[AI_OUT1]]</f>
        <v>7</v>
      </c>
      <c r="BF306" t="str">
        <f t="shared" si="132"/>
        <v>Neutral</v>
      </c>
      <c r="BG306">
        <f>survey_responses[[#This Row],[Sau khi xem xét các quyền lợi và nghĩa vụ, bạn có ủng hộ và tuân thủ chính sách mới hiện nay? - HUMAN-OUT1]]</f>
        <v>4</v>
      </c>
      <c r="BH306" t="str">
        <f t="shared" si="133"/>
        <v>Oppose</v>
      </c>
      <c r="BI306" s="32">
        <f t="shared" si="134"/>
        <v>3</v>
      </c>
    </row>
    <row r="307" spans="1:61" x14ac:dyDescent="0.45">
      <c r="A307" s="30">
        <f>step3_validation[[#This Row],[Persona_ID]]</f>
        <v>306</v>
      </c>
      <c r="B307" s="31">
        <f>step3_validation[[#This Row],[Used_Seed]]</f>
        <v>347</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53.890037909245386</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4</v>
      </c>
      <c r="V307">
        <f>step3_validation[[#This Row],[AI_ENF2]]</f>
        <v>8</v>
      </c>
      <c r="W307" t="str">
        <f t="shared" si="111"/>
        <v>Support</v>
      </c>
      <c r="X307">
        <f>survey_responses[[#This Row],[Tôi tin rằng Nhà nước, cơ quan thuế có đủ khả năng và công nghệ để phát hiện, xử lý nghiêm các hành vi trốn thuế. - HUMAN-ENF2]]</f>
        <v>8</v>
      </c>
      <c r="Y307" t="str">
        <f t="shared" si="112"/>
        <v>Support</v>
      </c>
      <c r="Z307" s="32">
        <f t="shared" si="113"/>
        <v>0</v>
      </c>
      <c r="AA307">
        <f>step3_validation[[#This Row],[AI_FAC1]]</f>
        <v>7</v>
      </c>
      <c r="AB307" t="str">
        <f t="shared" si="114"/>
        <v>Neutral</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8</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5</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6</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1</v>
      </c>
      <c r="BE307">
        <f>step3_validation[[#This Row],[AI_OUT1]]</f>
        <v>7</v>
      </c>
      <c r="BF307" t="str">
        <f t="shared" si="132"/>
        <v>Neutral</v>
      </c>
      <c r="BG307">
        <f>survey_responses[[#This Row],[Sau khi xem xét các quyền lợi và nghĩa vụ, bạn có ủng hộ và tuân thủ chính sách mới hiện nay? - HUMAN-OUT1]]</f>
        <v>5</v>
      </c>
      <c r="BH307" t="str">
        <f t="shared" si="133"/>
        <v>Neutral</v>
      </c>
      <c r="BI307" s="32">
        <f t="shared" si="134"/>
        <v>2</v>
      </c>
    </row>
    <row r="308" spans="1:61" x14ac:dyDescent="0.45">
      <c r="A308" s="30">
        <f>step3_validation[[#This Row],[Persona_ID]]</f>
        <v>307</v>
      </c>
      <c r="B308" s="31">
        <f>step3_validation[[#This Row],[Used_Seed]]</f>
        <v>348</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13.061045456733474</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5</v>
      </c>
      <c r="V308">
        <f>step3_validation[[#This Row],[AI_ENF2]]</f>
        <v>6</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4</v>
      </c>
      <c r="AA308">
        <f>step3_validation[[#This Row],[AI_FAC1]]</f>
        <v>8</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6</v>
      </c>
      <c r="AF308">
        <f>step3_validation[[#This Row],[AI_FAC2]]</f>
        <v>7</v>
      </c>
      <c r="AG308" t="str">
        <f t="shared" si="117"/>
        <v>Neutral</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6</v>
      </c>
      <c r="AK308">
        <f>step3_validation[[#This Row],[AI_TRU1]]</f>
        <v>5</v>
      </c>
      <c r="AL308" t="str">
        <f t="shared" si="120"/>
        <v>Neutral</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3</v>
      </c>
      <c r="AP308">
        <f>step3_validation[[#This Row],[AI_TRU2]]</f>
        <v>6</v>
      </c>
      <c r="AQ308" t="str">
        <f t="shared" si="123"/>
        <v>Neutral</v>
      </c>
      <c r="AR308">
        <f>survey_responses[[#This Row],[Tôi thấy mức thuế tôi phải đóng theo phương án mới là công bằng (người thu nhập như tôi đóng mức này là hợp lý). - HUMAN-TRU2]]</f>
        <v>2</v>
      </c>
      <c r="AS308" t="str">
        <f t="shared" si="124"/>
        <v>Oppose</v>
      </c>
      <c r="AT308" s="32">
        <f t="shared" si="125"/>
        <v>4</v>
      </c>
      <c r="AU308">
        <f>step3_validation[[#This Row],[AI_TRU3]]</f>
        <v>4</v>
      </c>
      <c r="AV308" t="str">
        <f t="shared" si="126"/>
        <v>Oppose</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2</v>
      </c>
      <c r="AZ308">
        <f>step3_validation[[#This Row],[AI_TRU4]]</f>
        <v>6</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4</v>
      </c>
      <c r="BE308">
        <f>step3_validation[[#This Row],[AI_OUT1]]</f>
        <v>5</v>
      </c>
      <c r="BF308" t="str">
        <f t="shared" si="132"/>
        <v>Neutral</v>
      </c>
      <c r="BG308">
        <f>survey_responses[[#This Row],[Sau khi xem xét các quyền lợi và nghĩa vụ, bạn có ủng hộ và tuân thủ chính sách mới hiện nay? - HUMAN-OUT1]]</f>
        <v>2</v>
      </c>
      <c r="BH308" t="str">
        <f t="shared" si="133"/>
        <v>Oppose</v>
      </c>
      <c r="BI308" s="32">
        <f t="shared" si="134"/>
        <v>3</v>
      </c>
    </row>
    <row r="309" spans="1:61" x14ac:dyDescent="0.45">
      <c r="A309" s="30">
        <f>step3_validation[[#This Row],[Persona_ID]]</f>
        <v>308</v>
      </c>
      <c r="B309" s="31">
        <f>step3_validation[[#This Row],[Used_Seed]]</f>
        <v>349</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155.0359851566416</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6</v>
      </c>
      <c r="W309" t="str">
        <f t="shared" si="111"/>
        <v>Neutral</v>
      </c>
      <c r="X309">
        <f>survey_responses[[#This Row],[Tôi tin rằng Nhà nước, cơ quan thuế có đủ khả năng và công nghệ để phát hiện, xử lý nghiêm các hành vi trốn thuế. - HUMAN-ENF2]]</f>
        <v>8</v>
      </c>
      <c r="Y309" t="str">
        <f t="shared" si="112"/>
        <v>Support</v>
      </c>
      <c r="Z309" s="32">
        <f t="shared" si="113"/>
        <v>2</v>
      </c>
      <c r="AA309">
        <f>step3_validation[[#This Row],[AI_FAC1]]</f>
        <v>5</v>
      </c>
      <c r="AB309" t="str">
        <f t="shared" si="114"/>
        <v>Neutral</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3</v>
      </c>
      <c r="AF309">
        <f>step3_validation[[#This Row],[AI_FAC2]]</f>
        <v>4</v>
      </c>
      <c r="AG309" t="str">
        <f t="shared" si="117"/>
        <v>Oppose</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4</v>
      </c>
      <c r="AK309">
        <f>step3_validation[[#This Row],[AI_TRU1]]</f>
        <v>7</v>
      </c>
      <c r="AL309" t="str">
        <f t="shared" si="120"/>
        <v>Neutral</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3</v>
      </c>
      <c r="AP309">
        <f>step3_validation[[#This Row],[AI_TRU2]]</f>
        <v>6</v>
      </c>
      <c r="AQ309" t="str">
        <f t="shared" si="123"/>
        <v>Neutral</v>
      </c>
      <c r="AR309">
        <f>survey_responses[[#This Row],[Tôi thấy mức thuế tôi phải đóng theo phương án mới là công bằng (người thu nhập như tôi đóng mức này là hợp lý). - HUMAN-TRU2]]</f>
        <v>10</v>
      </c>
      <c r="AS309" t="str">
        <f t="shared" si="124"/>
        <v>Support</v>
      </c>
      <c r="AT309" s="32">
        <f t="shared" si="125"/>
        <v>4</v>
      </c>
      <c r="AU309">
        <f>step3_validation[[#This Row],[AI_TRU3]]</f>
        <v>5</v>
      </c>
      <c r="AV309" t="str">
        <f t="shared" si="126"/>
        <v>Neutral</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1</v>
      </c>
      <c r="AZ309">
        <f>step3_validation[[#This Row],[AI_TRU4]]</f>
        <v>6</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2</v>
      </c>
      <c r="BE309">
        <f>step3_validation[[#This Row],[AI_OUT1]]</f>
        <v>7</v>
      </c>
      <c r="BF309" t="str">
        <f t="shared" si="132"/>
        <v>Neutral</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350</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66.836602467838588</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3</v>
      </c>
      <c r="V310">
        <f>step3_validation[[#This Row],[AI_ENF2]]</f>
        <v>6</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2">
        <f t="shared" si="113"/>
        <v>4</v>
      </c>
      <c r="AA310">
        <f>step3_validation[[#This Row],[AI_FAC1]]</f>
        <v>8</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2</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1</v>
      </c>
      <c r="AK310">
        <f>step3_validation[[#This Row],[AI_TRU1]]</f>
        <v>6</v>
      </c>
      <c r="AL310" t="str">
        <f t="shared" si="120"/>
        <v>Neutral</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4</v>
      </c>
      <c r="AP310">
        <f>step3_validation[[#This Row],[AI_TRU2]]</f>
        <v>7</v>
      </c>
      <c r="AQ310" t="str">
        <f t="shared" si="123"/>
        <v>Neutral</v>
      </c>
      <c r="AR310">
        <f>survey_responses[[#This Row],[Tôi thấy mức thuế tôi phải đóng theo phương án mới là công bằng (người thu nhập như tôi đóng mức này là hợp lý). - HUMAN-TRU2]]</f>
        <v>9</v>
      </c>
      <c r="AS310" t="str">
        <f t="shared" si="124"/>
        <v>Support</v>
      </c>
      <c r="AT310" s="32">
        <f t="shared" si="125"/>
        <v>2</v>
      </c>
      <c r="AU310">
        <f>step3_validation[[#This Row],[AI_TRU3]]</f>
        <v>6</v>
      </c>
      <c r="AV310" t="str">
        <f t="shared" si="126"/>
        <v>Neutral</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3</v>
      </c>
      <c r="AZ310">
        <f>step3_validation[[#This Row],[AI_TRU4]]</f>
        <v>5</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5</v>
      </c>
      <c r="BE310">
        <f>step3_validation[[#This Row],[AI_OUT1]]</f>
        <v>6</v>
      </c>
      <c r="BF310" t="str">
        <f t="shared" si="132"/>
        <v>Neutral</v>
      </c>
      <c r="BG310">
        <f>survey_responses[[#This Row],[Sau khi xem xét các quyền lợi và nghĩa vụ, bạn có ủng hộ và tuân thủ chính sách mới hiện nay? - HUMAN-OUT1]]</f>
        <v>10</v>
      </c>
      <c r="BH310" t="str">
        <f t="shared" si="133"/>
        <v>Support</v>
      </c>
      <c r="BI310" s="32">
        <f t="shared" si="134"/>
        <v>4</v>
      </c>
    </row>
    <row r="311" spans="1:61" x14ac:dyDescent="0.45">
      <c r="A311" s="30">
        <f>step3_validation[[#This Row],[Persona_ID]]</f>
        <v>310</v>
      </c>
      <c r="B311" s="31">
        <f>step3_validation[[#This Row],[Used_Seed]]</f>
        <v>351</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20.583400587174825</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8</v>
      </c>
      <c r="W311" t="str">
        <f t="shared" si="111"/>
        <v>Support</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9</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4</v>
      </c>
      <c r="AF311">
        <f>step3_validation[[#This Row],[AI_FAC2]]</f>
        <v>7</v>
      </c>
      <c r="AG311" t="str">
        <f t="shared" si="117"/>
        <v>Neutral</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8</v>
      </c>
      <c r="AL311" t="str">
        <f t="shared" si="120"/>
        <v>Support</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0</v>
      </c>
      <c r="AP311">
        <f>step3_validation[[#This Row],[AI_TRU2]]</f>
        <v>6</v>
      </c>
      <c r="AQ311" t="str">
        <f t="shared" si="123"/>
        <v>Neutral</v>
      </c>
      <c r="AR311">
        <f>survey_responses[[#This Row],[Tôi thấy mức thuế tôi phải đóng theo phương án mới là công bằng (người thu nhập như tôi đóng mức này là hợp lý). - HUMAN-TRU2]]</f>
        <v>9</v>
      </c>
      <c r="AS311" t="str">
        <f t="shared" si="124"/>
        <v>Support</v>
      </c>
      <c r="AT311" s="32">
        <f t="shared" si="125"/>
        <v>3</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5</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4</v>
      </c>
      <c r="BE311">
        <f>step3_validation[[#This Row],[AI_OUT1]]</f>
        <v>8</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2</v>
      </c>
    </row>
    <row r="312" spans="1:61" x14ac:dyDescent="0.45">
      <c r="A312" s="30">
        <f>step3_validation[[#This Row],[Persona_ID]]</f>
        <v>311</v>
      </c>
      <c r="B312" s="31">
        <f>step3_validation[[#This Row],[Used_Seed]]</f>
        <v>352</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13.399195748693748</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6</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0</v>
      </c>
      <c r="V312">
        <f>step3_validation[[#This Row],[AI_ENF2]]</f>
        <v>7</v>
      </c>
      <c r="W312" t="str">
        <f t="shared" si="111"/>
        <v>Neutral</v>
      </c>
      <c r="X312">
        <f>survey_responses[[#This Row],[Tôi tin rằng Nhà nước, cơ quan thuế có đủ khả năng và công nghệ để phát hiện, xử lý nghiêm các hành vi trốn thuế. - HUMAN-ENF2]]</f>
        <v>5</v>
      </c>
      <c r="Y312" t="str">
        <f t="shared" si="112"/>
        <v>Neutral</v>
      </c>
      <c r="Z312" s="32">
        <f t="shared" si="113"/>
        <v>2</v>
      </c>
      <c r="AA312">
        <f>step3_validation[[#This Row],[AI_FAC1]]</f>
        <v>8</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4</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8</v>
      </c>
      <c r="AL312" t="str">
        <f t="shared" si="120"/>
        <v>Support</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3</v>
      </c>
      <c r="AP312">
        <f>step3_validation[[#This Row],[AI_TRU2]]</f>
        <v>7</v>
      </c>
      <c r="AQ312" t="str">
        <f t="shared" si="123"/>
        <v>Neutral</v>
      </c>
      <c r="AR312">
        <f>survey_responses[[#This Row],[Tôi thấy mức thuế tôi phải đóng theo phương án mới là công bằng (người thu nhập như tôi đóng mức này là hợp lý). - HUMAN-TRU2]]</f>
        <v>6</v>
      </c>
      <c r="AS312" t="str">
        <f t="shared" si="124"/>
        <v>Neutral</v>
      </c>
      <c r="AT312" s="32">
        <f t="shared" si="125"/>
        <v>1</v>
      </c>
      <c r="AU312">
        <f>step3_validation[[#This Row],[AI_TRU3]]</f>
        <v>7</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1</v>
      </c>
      <c r="AZ312">
        <f>step3_validation[[#This Row],[AI_TRU4]]</f>
        <v>6</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1</v>
      </c>
      <c r="BE312">
        <f>step3_validation[[#This Row],[AI_OUT1]]</f>
        <v>8</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1</v>
      </c>
    </row>
    <row r="313" spans="1:61" x14ac:dyDescent="0.45">
      <c r="A313" s="30">
        <f>step3_validation[[#This Row],[Persona_ID]]</f>
        <v>312</v>
      </c>
      <c r="B313" s="31">
        <f>step3_validation[[#This Row],[Used_Seed]]</f>
        <v>353</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21.154020638350037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8</v>
      </c>
      <c r="R313" t="str">
        <f t="shared" si="108"/>
        <v>Support</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0</v>
      </c>
      <c r="V313">
        <f>step3_validation[[#This Row],[AI_ENF2]]</f>
        <v>7</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2</v>
      </c>
      <c r="AA313">
        <f>step3_validation[[#This Row],[AI_FAC1]]</f>
        <v>6</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4</v>
      </c>
      <c r="AF313">
        <f>step3_validation[[#This Row],[AI_FAC2]]</f>
        <v>8</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2</v>
      </c>
      <c r="AK313">
        <f>step3_validation[[#This Row],[AI_TRU1]]</f>
        <v>7</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1</v>
      </c>
      <c r="AP313">
        <f>step3_validation[[#This Row],[AI_TRU2]]</f>
        <v>6</v>
      </c>
      <c r="AQ313" t="str">
        <f t="shared" si="123"/>
        <v>Neutral</v>
      </c>
      <c r="AR313">
        <f>survey_responses[[#This Row],[Tôi thấy mức thuế tôi phải đóng theo phương án mới là công bằng (người thu nhập như tôi đóng mức này là hợp lý). - HUMAN-TRU2]]</f>
        <v>9</v>
      </c>
      <c r="AS313" t="str">
        <f t="shared" si="124"/>
        <v>Support</v>
      </c>
      <c r="AT313" s="32">
        <f t="shared" si="125"/>
        <v>3</v>
      </c>
      <c r="AU313">
        <f>step3_validation[[#This Row],[AI_TRU3]]</f>
        <v>5</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3</v>
      </c>
      <c r="AZ313">
        <f>step3_validation[[#This Row],[AI_TRU4]]</f>
        <v>6</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2">
        <f t="shared" si="131"/>
        <v>2</v>
      </c>
      <c r="BE313">
        <f>step3_validation[[#This Row],[AI_OUT1]]</f>
        <v>7</v>
      </c>
      <c r="BF313" t="str">
        <f t="shared" si="132"/>
        <v>Neutral</v>
      </c>
      <c r="BG313">
        <f>survey_responses[[#This Row],[Sau khi xem xét các quyền lợi và nghĩa vụ, bạn có ủng hộ và tuân thủ chính sách mới hiện nay? - HUMAN-OUT1]]</f>
        <v>10</v>
      </c>
      <c r="BH313" t="str">
        <f t="shared" si="133"/>
        <v>Support</v>
      </c>
      <c r="BI313" s="32">
        <f t="shared" si="134"/>
        <v>3</v>
      </c>
    </row>
    <row r="314" spans="1:61" x14ac:dyDescent="0.45">
      <c r="A314" s="30">
        <f>step3_validation[[#This Row],[Persona_ID]]</f>
        <v>313</v>
      </c>
      <c r="B314" s="31">
        <f>step3_validation[[#This Row],[Used_Seed]]</f>
        <v>354</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15.09854392394401</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t="str">
        <f t="shared" si="108"/>
        <v>Support</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2</v>
      </c>
      <c r="V314">
        <f>step3_validation[[#This Row],[AI_ENF2]]</f>
        <v>7</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1</v>
      </c>
      <c r="AA314">
        <f>step3_validation[[#This Row],[AI_FAC1]]</f>
        <v>9</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2</v>
      </c>
      <c r="AF314">
        <f>step3_validation[[#This Row],[AI_FAC2]]</f>
        <v>8</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1</v>
      </c>
      <c r="AK314">
        <f>step3_validation[[#This Row],[AI_TRU1]]</f>
        <v>7</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0</v>
      </c>
      <c r="AP314">
        <f>step3_validation[[#This Row],[AI_TRU2]]</f>
        <v>8</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0</v>
      </c>
      <c r="AU314">
        <f>step3_validation[[#This Row],[AI_TRU3]]</f>
        <v>7</v>
      </c>
      <c r="AV314" t="str">
        <f t="shared" si="126"/>
        <v>Neutral</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2</v>
      </c>
      <c r="AZ314">
        <f>step3_validation[[#This Row],[AI_TRU4]]</f>
        <v>6</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1</v>
      </c>
      <c r="BE314">
        <f>step3_validation[[#This Row],[AI_OUT1]]</f>
        <v>8</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0</v>
      </c>
    </row>
    <row r="315" spans="1:61" x14ac:dyDescent="0.45">
      <c r="A315" s="30">
        <f>step3_validation[[#This Row],[Persona_ID]]</f>
        <v>314</v>
      </c>
      <c r="B315" s="31">
        <f>step3_validation[[#This Row],[Used_Seed]]</f>
        <v>355</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13.048571564590558</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0</v>
      </c>
      <c r="V315">
        <f>step3_validation[[#This Row],[AI_ENF2]]</f>
        <v>8</v>
      </c>
      <c r="W315" t="str">
        <f t="shared" si="111"/>
        <v>Support</v>
      </c>
      <c r="X315">
        <f>survey_responses[[#This Row],[Tôi tin rằng Nhà nước, cơ quan thuế có đủ khả năng và công nghệ để phát hiện, xử lý nghiêm các hành vi trốn thuế. - HUMAN-ENF2]]</f>
        <v>8</v>
      </c>
      <c r="Y315" t="str">
        <f t="shared" si="112"/>
        <v>Support</v>
      </c>
      <c r="Z315" s="32">
        <f t="shared" si="113"/>
        <v>0</v>
      </c>
      <c r="AA315">
        <f>step3_validation[[#This Row],[AI_FAC1]]</f>
        <v>6</v>
      </c>
      <c r="AB315" t="str">
        <f t="shared" si="114"/>
        <v>Neutral</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2</v>
      </c>
      <c r="AF315">
        <f>step3_validation[[#This Row],[AI_FAC2]]</f>
        <v>8</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0</v>
      </c>
      <c r="AK315">
        <f>step3_validation[[#This Row],[AI_TRU1]]</f>
        <v>7</v>
      </c>
      <c r="AL315" t="str">
        <f t="shared" si="120"/>
        <v>Neutral</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2</v>
      </c>
      <c r="AP315">
        <f>step3_validation[[#This Row],[AI_TRU2]]</f>
        <v>8</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0</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6</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0</v>
      </c>
      <c r="BE315">
        <f>step3_validation[[#This Row],[AI_OUT1]]</f>
        <v>8</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0</v>
      </c>
    </row>
    <row r="316" spans="1:61" x14ac:dyDescent="0.45">
      <c r="A316" s="30">
        <f>step3_validation[[#This Row],[Persona_ID]]</f>
        <v>315</v>
      </c>
      <c r="B316" s="31">
        <f>step3_validation[[#This Row],[Used_Seed]]</f>
        <v>356</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19.116078353507707</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5</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1</v>
      </c>
      <c r="V316">
        <f>step3_validation[[#This Row],[AI_ENF2]]</f>
        <v>6</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1</v>
      </c>
      <c r="AA316">
        <f>step3_validation[[#This Row],[AI_FAC1]]</f>
        <v>7</v>
      </c>
      <c r="AB316" t="str">
        <f t="shared" si="114"/>
        <v>Neutral</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2</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4</v>
      </c>
      <c r="AL316" t="str">
        <f t="shared" si="120"/>
        <v>Oppose</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1</v>
      </c>
      <c r="AP316">
        <f>step3_validation[[#This Row],[AI_TRU2]]</f>
        <v>6</v>
      </c>
      <c r="AQ316" t="str">
        <f t="shared" si="123"/>
        <v>Neutral</v>
      </c>
      <c r="AR316">
        <f>survey_responses[[#This Row],[Tôi thấy mức thuế tôi phải đóng theo phương án mới là công bằng (người thu nhập như tôi đóng mức này là hợp lý). - HUMAN-TRU2]]</f>
        <v>8</v>
      </c>
      <c r="AS316" t="str">
        <f t="shared" si="124"/>
        <v>Support</v>
      </c>
      <c r="AT316" s="32">
        <f t="shared" si="125"/>
        <v>2</v>
      </c>
      <c r="AU316">
        <f>step3_validation[[#This Row],[AI_TRU3]]</f>
        <v>4</v>
      </c>
      <c r="AV316" t="str">
        <f t="shared" si="126"/>
        <v>Oppose</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1</v>
      </c>
      <c r="AZ316">
        <f>step3_validation[[#This Row],[AI_TRU4]]</f>
        <v>5</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1</v>
      </c>
      <c r="BE316">
        <f>step3_validation[[#This Row],[AI_OUT1]]</f>
        <v>6</v>
      </c>
      <c r="BF316" t="str">
        <f t="shared" si="132"/>
        <v>Neutral</v>
      </c>
      <c r="BG316">
        <f>survey_responses[[#This Row],[Sau khi xem xét các quyền lợi và nghĩa vụ, bạn có ủng hộ và tuân thủ chính sách mới hiện nay? - HUMAN-OUT1]]</f>
        <v>8</v>
      </c>
      <c r="BH316" t="str">
        <f t="shared" si="133"/>
        <v>Support</v>
      </c>
      <c r="BI316" s="32">
        <f t="shared" si="134"/>
        <v>2</v>
      </c>
    </row>
    <row r="317" spans="1:61" x14ac:dyDescent="0.45">
      <c r="A317" s="30">
        <f>step3_validation[[#This Row],[Persona_ID]]</f>
        <v>316</v>
      </c>
      <c r="B317" s="31">
        <f>step3_validation[[#This Row],[Used_Seed]]</f>
        <v>357</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25.247410838725333</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8</v>
      </c>
      <c r="W317" t="str">
        <f t="shared" si="111"/>
        <v>Support</v>
      </c>
      <c r="X317">
        <f>survey_responses[[#This Row],[Tôi tin rằng Nhà nước, cơ quan thuế có đủ khả năng và công nghệ để phát hiện, xử lý nghiêm các hành vi trốn thuế. - HUMAN-ENF2]]</f>
        <v>8</v>
      </c>
      <c r="Y317" t="str">
        <f t="shared" si="112"/>
        <v>Support</v>
      </c>
      <c r="Z317" s="32">
        <f t="shared" si="113"/>
        <v>0</v>
      </c>
      <c r="AA317">
        <f>step3_validation[[#This Row],[AI_FAC1]]</f>
        <v>9</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4</v>
      </c>
      <c r="AF317">
        <f>step3_validation[[#This Row],[AI_FAC2]]</f>
        <v>8</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2</v>
      </c>
      <c r="AK317">
        <f>step3_validation[[#This Row],[AI_TRU1]]</f>
        <v>9</v>
      </c>
      <c r="AL317" t="str">
        <f t="shared" si="120"/>
        <v>Support</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3</v>
      </c>
      <c r="AP317">
        <f>step3_validation[[#This Row],[AI_TRU2]]</f>
        <v>8</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1</v>
      </c>
      <c r="AU317">
        <f>step3_validation[[#This Row],[AI_TRU3]]</f>
        <v>9</v>
      </c>
      <c r="AV317" t="str">
        <f t="shared" si="126"/>
        <v>Support</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3</v>
      </c>
      <c r="AZ317">
        <f>step3_validation[[#This Row],[AI_TRU4]]</f>
        <v>5</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2</v>
      </c>
      <c r="BE317">
        <f>step3_validation[[#This Row],[AI_OUT1]]</f>
        <v>8</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1</v>
      </c>
    </row>
    <row r="318" spans="1:61" x14ac:dyDescent="0.45">
      <c r="A318" s="30">
        <f>step3_validation[[#This Row],[Persona_ID]]</f>
        <v>317</v>
      </c>
      <c r="B318" s="31">
        <f>step3_validation[[#This Row],[Used_Seed]]</f>
        <v>358</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15.035346755924781</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7</v>
      </c>
      <c r="R318" t="str">
        <f t="shared" si="108"/>
        <v>Neutral</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0</v>
      </c>
      <c r="V318">
        <f>step3_validation[[#This Row],[AI_ENF2]]</f>
        <v>8</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1</v>
      </c>
      <c r="AA318">
        <f>step3_validation[[#This Row],[AI_FAC1]]</f>
        <v>6</v>
      </c>
      <c r="AB318" t="str">
        <f t="shared" si="114"/>
        <v>Neutral</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1</v>
      </c>
      <c r="AF318">
        <f>step3_validation[[#This Row],[AI_FAC2]]</f>
        <v>7</v>
      </c>
      <c r="AG318" t="str">
        <f t="shared" si="117"/>
        <v>Neutral</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3</v>
      </c>
      <c r="AP318">
        <f>step3_validation[[#This Row],[AI_TRU2]]</f>
        <v>7</v>
      </c>
      <c r="AQ318" t="str">
        <f t="shared" si="123"/>
        <v>Neutral</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6</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1</v>
      </c>
      <c r="AZ318">
        <f>step3_validation[[#This Row],[AI_TRU4]]</f>
        <v>7</v>
      </c>
      <c r="BA318" t="str">
        <f t="shared" si="129"/>
        <v>Neutral</v>
      </c>
      <c r="BB318">
        <f>survey_responses[[#This Row],[Tôi thấy Nhà nước đã giải thích rõ ràng, minh bạch về lý do và mục tiêu của việc sửa đổi thuế lần này. - HUMAN-TRU4]]</f>
        <v>7</v>
      </c>
      <c r="BC318" t="str">
        <f t="shared" si="130"/>
        <v>Neutral</v>
      </c>
      <c r="BD318" s="32">
        <f t="shared" si="131"/>
        <v>0</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359</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19.779826782176841</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6</v>
      </c>
      <c r="W319" t="str">
        <f t="shared" si="111"/>
        <v>Neutral</v>
      </c>
      <c r="X319">
        <f>survey_responses[[#This Row],[Tôi tin rằng Nhà nước, cơ quan thuế có đủ khả năng và công nghệ để phát hiện, xử lý nghiêm các hành vi trốn thuế. - HUMAN-ENF2]]</f>
        <v>4</v>
      </c>
      <c r="Y319" t="str">
        <f t="shared" si="112"/>
        <v>Oppose</v>
      </c>
      <c r="Z319" s="32">
        <f t="shared" si="113"/>
        <v>2</v>
      </c>
      <c r="AA319">
        <f>step3_validation[[#This Row],[AI_FAC1]]</f>
        <v>8</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2</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8</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3</v>
      </c>
      <c r="AP319">
        <f>step3_validation[[#This Row],[AI_TRU2]]</f>
        <v>7</v>
      </c>
      <c r="AQ319" t="str">
        <f t="shared" si="123"/>
        <v>Neutral</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5</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0</v>
      </c>
      <c r="BE319">
        <f>step3_validation[[#This Row],[AI_OUT1]]</f>
        <v>7</v>
      </c>
      <c r="BF319" t="str">
        <f t="shared" si="132"/>
        <v>Neutral</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360</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16.628916625967342</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6</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2</v>
      </c>
      <c r="V320">
        <f>step3_validation[[#This Row],[AI_ENF2]]</f>
        <v>7</v>
      </c>
      <c r="W320" t="str">
        <f t="shared" si="111"/>
        <v>Neutral</v>
      </c>
      <c r="X320">
        <f>survey_responses[[#This Row],[Tôi tin rằng Nhà nước, cơ quan thuế có đủ khả năng và công nghệ để phát hiện, xử lý nghiêm các hành vi trốn thuế. - HUMAN-ENF2]]</f>
        <v>8</v>
      </c>
      <c r="Y320" t="str">
        <f t="shared" si="112"/>
        <v>Support</v>
      </c>
      <c r="Z320" s="32">
        <f t="shared" si="113"/>
        <v>1</v>
      </c>
      <c r="AA320">
        <f>step3_validation[[#This Row],[AI_FAC1]]</f>
        <v>8</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2</v>
      </c>
      <c r="AF320">
        <f>step3_validation[[#This Row],[AI_FAC2]]</f>
        <v>7</v>
      </c>
      <c r="AG320" t="str">
        <f t="shared" si="117"/>
        <v>Neutral</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3</v>
      </c>
      <c r="AK320">
        <f>step3_validation[[#This Row],[AI_TRU1]]</f>
        <v>6</v>
      </c>
      <c r="AL320" t="str">
        <f t="shared" si="120"/>
        <v>Neutral</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3</v>
      </c>
      <c r="AP320">
        <f>step3_validation[[#This Row],[AI_TRU2]]</f>
        <v>5</v>
      </c>
      <c r="AQ320" t="str">
        <f t="shared" si="123"/>
        <v>Neutral</v>
      </c>
      <c r="AR320">
        <f>survey_responses[[#This Row],[Tôi thấy mức thuế tôi phải đóng theo phương án mới là công bằng (người thu nhập như tôi đóng mức này là hợp lý). - HUMAN-TRU2]]</f>
        <v>10</v>
      </c>
      <c r="AS320" t="str">
        <f t="shared" si="124"/>
        <v>Support</v>
      </c>
      <c r="AT320" s="32">
        <f t="shared" si="125"/>
        <v>5</v>
      </c>
      <c r="AU320">
        <f>step3_validation[[#This Row],[AI_TRU3]]</f>
        <v>6</v>
      </c>
      <c r="AV320" t="str">
        <f t="shared" si="126"/>
        <v>Neutral</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2</v>
      </c>
      <c r="AZ320">
        <f>step3_validation[[#This Row],[AI_TRU4]]</f>
        <v>5</v>
      </c>
      <c r="BA320" t="str">
        <f t="shared" si="129"/>
        <v>Neutral</v>
      </c>
      <c r="BB320">
        <f>survey_responses[[#This Row],[Tôi thấy Nhà nước đã giải thích rõ ràng, minh bạch về lý do và mục tiêu của việc sửa đổi thuế lần này. - HUMAN-TRU4]]</f>
        <v>8</v>
      </c>
      <c r="BC320" t="str">
        <f t="shared" si="130"/>
        <v>Support</v>
      </c>
      <c r="BD320" s="32">
        <f t="shared" si="131"/>
        <v>3</v>
      </c>
      <c r="BE320">
        <f>step3_validation[[#This Row],[AI_OUT1]]</f>
        <v>6</v>
      </c>
      <c r="BF320" t="str">
        <f t="shared" si="132"/>
        <v>Neutral</v>
      </c>
      <c r="BG320">
        <f>survey_responses[[#This Row],[Sau khi xem xét các quyền lợi và nghĩa vụ, bạn có ủng hộ và tuân thủ chính sách mới hiện nay? - HUMAN-OUT1]]</f>
        <v>10</v>
      </c>
      <c r="BH320" t="str">
        <f t="shared" si="133"/>
        <v>Support</v>
      </c>
      <c r="BI320" s="32">
        <f t="shared" si="134"/>
        <v>4</v>
      </c>
    </row>
    <row r="321" spans="1:61" x14ac:dyDescent="0.45">
      <c r="A321" s="30">
        <f>step3_validation[[#This Row],[Persona_ID]]</f>
        <v>320</v>
      </c>
      <c r="B321" s="31">
        <f>step3_validation[[#This Row],[Used_Seed]]</f>
        <v>361</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26.052937516419025</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7</v>
      </c>
      <c r="AG321" t="str">
        <f t="shared" si="117"/>
        <v>Neutral</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2</v>
      </c>
      <c r="AK321">
        <f>step3_validation[[#This Row],[AI_TRU1]]</f>
        <v>6</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1</v>
      </c>
      <c r="AP321">
        <f>step3_validation[[#This Row],[AI_TRU2]]</f>
        <v>7</v>
      </c>
      <c r="AQ321" t="str">
        <f t="shared" si="123"/>
        <v>Neutral</v>
      </c>
      <c r="AR321">
        <f>survey_responses[[#This Row],[Tôi thấy mức thuế tôi phải đóng theo phương án mới là công bằng (người thu nhập như tôi đóng mức này là hợp lý). - HUMAN-TRU2]]</f>
        <v>6</v>
      </c>
      <c r="AS321" t="str">
        <f t="shared" si="124"/>
        <v>Neutral</v>
      </c>
      <c r="AT321" s="32">
        <f t="shared" si="125"/>
        <v>1</v>
      </c>
      <c r="AU321">
        <f>step3_validation[[#This Row],[AI_TRU3]]</f>
        <v>8</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3</v>
      </c>
      <c r="AZ321">
        <f>step3_validation[[#This Row],[AI_TRU4]]</f>
        <v>6</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1</v>
      </c>
      <c r="BE321">
        <f>step3_validation[[#This Row],[AI_OUT1]]</f>
        <v>7</v>
      </c>
      <c r="BF321" t="str">
        <f t="shared" si="132"/>
        <v>Neutral</v>
      </c>
      <c r="BG321">
        <f>survey_responses[[#This Row],[Sau khi xem xét các quyền lợi và nghĩa vụ, bạn có ủng hộ và tuân thủ chính sách mới hiện nay? - HUMAN-OUT1]]</f>
        <v>7</v>
      </c>
      <c r="BH321" t="str">
        <f t="shared" si="133"/>
        <v>Neutral</v>
      </c>
      <c r="BI321" s="32">
        <f t="shared" si="134"/>
        <v>0</v>
      </c>
    </row>
    <row r="322" spans="1:61" x14ac:dyDescent="0.45">
      <c r="A322" s="30">
        <f>step3_validation[[#This Row],[Persona_ID]]</f>
        <v>321</v>
      </c>
      <c r="B322" s="31">
        <f>step3_validation[[#This Row],[Used_Seed]]</f>
        <v>362</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12.704507617919734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1</v>
      </c>
      <c r="V322">
        <f>step3_validation[[#This Row],[AI_ENF2]]</f>
        <v>6</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2</v>
      </c>
      <c r="AA322">
        <f>step3_validation[[#This Row],[AI_FAC1]]</f>
        <v>8</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1</v>
      </c>
      <c r="AF322">
        <f>step3_validation[[#This Row],[AI_FAC2]]</f>
        <v>5</v>
      </c>
      <c r="AG322" t="str">
        <f t="shared" si="117"/>
        <v>Neutral</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4</v>
      </c>
      <c r="AK322">
        <f>step3_validation[[#This Row],[AI_TRU1]]</f>
        <v>6</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3</v>
      </c>
      <c r="AP322">
        <f>step3_validation[[#This Row],[AI_TRU2]]</f>
        <v>4</v>
      </c>
      <c r="AQ322" t="str">
        <f t="shared" si="123"/>
        <v>Oppose</v>
      </c>
      <c r="AR322">
        <f>survey_responses[[#This Row],[Tôi thấy mức thuế tôi phải đóng theo phương án mới là công bằng (người thu nhập như tôi đóng mức này là hợp lý). - HUMAN-TRU2]]</f>
        <v>9</v>
      </c>
      <c r="AS322" t="str">
        <f t="shared" si="124"/>
        <v>Support</v>
      </c>
      <c r="AT322" s="32">
        <f t="shared" si="125"/>
        <v>5</v>
      </c>
      <c r="AU322">
        <f>step3_validation[[#This Row],[AI_TRU3]]</f>
        <v>5</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2</v>
      </c>
      <c r="AZ322">
        <f>step3_validation[[#This Row],[AI_TRU4]]</f>
        <v>6</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3</v>
      </c>
      <c r="BE322">
        <f>step3_validation[[#This Row],[AI_OUT1]]</f>
        <v>7</v>
      </c>
      <c r="BF322" t="str">
        <f t="shared" si="132"/>
        <v>Neutral</v>
      </c>
      <c r="BG322">
        <f>survey_responses[[#This Row],[Sau khi xem xét các quyền lợi và nghĩa vụ, bạn có ủng hộ và tuân thủ chính sách mới hiện nay? - HUMAN-OUT1]]</f>
        <v>9</v>
      </c>
      <c r="BH322" t="str">
        <f t="shared" si="133"/>
        <v>Support</v>
      </c>
      <c r="BI322" s="32">
        <f t="shared" si="134"/>
        <v>2</v>
      </c>
    </row>
    <row r="323" spans="1:61" x14ac:dyDescent="0.45">
      <c r="A323" s="30">
        <f>step3_validation[[#This Row],[Persona_ID]]</f>
        <v>322</v>
      </c>
      <c r="B323" s="31">
        <f>step3_validation[[#This Row],[Used_Seed]]</f>
        <v>363</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30.604448029933732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8</v>
      </c>
      <c r="R323" t="str">
        <f t="shared" ref="R323:R386" si="135">IF(AND(Q323&gt;=1,Q323&lt;5),"Oppose",IF(AND(Q323&gt;=5,Q323&lt;8),"Neutral",IF(AND(Q323&gt;=8,Q323&lt;=10),"Support","")))</f>
        <v>Support</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3</v>
      </c>
      <c r="V323">
        <f>step3_validation[[#This Row],[AI_ENF2]]</f>
        <v>7</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2</v>
      </c>
      <c r="AA323">
        <f>step3_validation[[#This Row],[AI_FAC1]]</f>
        <v>9</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4</v>
      </c>
      <c r="AF323">
        <f>step3_validation[[#This Row],[AI_FAC2]]</f>
        <v>8</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1</v>
      </c>
      <c r="AK323">
        <f>step3_validation[[#This Row],[AI_TRU1]]</f>
        <v>9</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4</v>
      </c>
      <c r="AP323">
        <f>step3_validation[[#This Row],[AI_TRU2]]</f>
        <v>8</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1</v>
      </c>
      <c r="AU323">
        <f>step3_validation[[#This Row],[AI_TRU3]]</f>
        <v>9</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4</v>
      </c>
      <c r="AZ323">
        <f>step3_validation[[#This Row],[AI_TRU4]]</f>
        <v>7</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2</v>
      </c>
      <c r="BE323">
        <f>step3_validation[[#This Row],[AI_OUT1]]</f>
        <v>9</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2</v>
      </c>
    </row>
    <row r="324" spans="1:61" x14ac:dyDescent="0.45">
      <c r="A324" s="30">
        <f>step3_validation[[#This Row],[Persona_ID]]</f>
        <v>323</v>
      </c>
      <c r="B324" s="31">
        <f>step3_validation[[#This Row],[Used_Seed]]</f>
        <v>364</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23.43716324596955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1</v>
      </c>
      <c r="V324">
        <f>step3_validation[[#This Row],[AI_ENF2]]</f>
        <v>7</v>
      </c>
      <c r="W324" t="str">
        <f t="shared" si="138"/>
        <v>Neutral</v>
      </c>
      <c r="X324">
        <f>survey_responses[[#This Row],[Tôi tin rằng Nhà nước, cơ quan thuế có đủ khả năng và công nghệ để phát hiện, xử lý nghiêm các hành vi trốn thuế. - HUMAN-ENF2]]</f>
        <v>7</v>
      </c>
      <c r="Y324" t="str">
        <f t="shared" si="139"/>
        <v>Neutral</v>
      </c>
      <c r="Z324" s="32">
        <f t="shared" si="140"/>
        <v>0</v>
      </c>
      <c r="AA324">
        <f>step3_validation[[#This Row],[AI_FAC1]]</f>
        <v>8</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0</v>
      </c>
      <c r="AF324">
        <f>step3_validation[[#This Row],[AI_FAC2]]</f>
        <v>9</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6</v>
      </c>
      <c r="AL324" t="str">
        <f t="shared" si="147"/>
        <v>Neutral</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0</v>
      </c>
      <c r="AP324">
        <f>step3_validation[[#This Row],[AI_TRU2]]</f>
        <v>7</v>
      </c>
      <c r="AQ324" t="str">
        <f t="shared" si="150"/>
        <v>Neutral</v>
      </c>
      <c r="AR324">
        <f>survey_responses[[#This Row],[Tôi thấy mức thuế tôi phải đóng theo phương án mới là công bằng (người thu nhập như tôi đóng mức này là hợp lý). - HUMAN-TRU2]]</f>
        <v>7</v>
      </c>
      <c r="AS324" t="str">
        <f t="shared" si="151"/>
        <v>Neutral</v>
      </c>
      <c r="AT324" s="32">
        <f t="shared" si="152"/>
        <v>0</v>
      </c>
      <c r="AU324">
        <f>step3_validation[[#This Row],[AI_TRU3]]</f>
        <v>6</v>
      </c>
      <c r="AV324" t="str">
        <f t="shared" si="153"/>
        <v>Neutral</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0</v>
      </c>
      <c r="AZ324">
        <f>step3_validation[[#This Row],[AI_TRU4]]</f>
        <v>5</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2</v>
      </c>
      <c r="BE324">
        <f>step3_validation[[#This Row],[AI_OUT1]]</f>
        <v>7</v>
      </c>
      <c r="BF324" t="str">
        <f t="shared" si="159"/>
        <v>Neutral</v>
      </c>
      <c r="BG324">
        <f>survey_responses[[#This Row],[Sau khi xem xét các quyền lợi và nghĩa vụ, bạn có ủng hộ và tuân thủ chính sách mới hiện nay? - HUMAN-OUT1]]</f>
        <v>7</v>
      </c>
      <c r="BH324" t="str">
        <f t="shared" si="160"/>
        <v>Neutral</v>
      </c>
      <c r="BI324" s="32">
        <f t="shared" si="161"/>
        <v>0</v>
      </c>
    </row>
    <row r="325" spans="1:61" x14ac:dyDescent="0.45">
      <c r="A325" s="30">
        <f>step3_validation[[#This Row],[Persona_ID]]</f>
        <v>324</v>
      </c>
      <c r="B325" s="31">
        <f>step3_validation[[#This Row],[Used_Seed]]</f>
        <v>365</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8</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6</v>
      </c>
      <c r="AB325" t="str">
        <f t="shared" si="141"/>
        <v>Neutral</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1</v>
      </c>
      <c r="AF325">
        <f>step3_validation[[#This Row],[AI_FAC2]]</f>
        <v>7</v>
      </c>
      <c r="AG325" t="str">
        <f t="shared" si="144"/>
        <v>Neutral</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0</v>
      </c>
      <c r="AK325">
        <f>step3_validation[[#This Row],[AI_TRU1]]</f>
        <v>6</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1</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7</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2</v>
      </c>
      <c r="AZ325">
        <f>step3_validation[[#This Row],[AI_TRU4]]</f>
        <v>6</v>
      </c>
      <c r="BA325" t="str">
        <f t="shared" si="156"/>
        <v>Neutral</v>
      </c>
      <c r="BB325">
        <f>survey_responses[[#This Row],[Tôi thấy Nhà nước đã giải thích rõ ràng, minh bạch về lý do và mục tiêu của việc sửa đổi thuế lần này. - HUMAN-TRU4]]</f>
        <v>5</v>
      </c>
      <c r="BC325" t="str">
        <f t="shared" si="157"/>
        <v>Neutral</v>
      </c>
      <c r="BD325" s="32">
        <f t="shared" si="158"/>
        <v>1</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366</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34.149565642574508</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6</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4</v>
      </c>
      <c r="V326">
        <f>step3_validation[[#This Row],[AI_ENF2]]</f>
        <v>5</v>
      </c>
      <c r="W326" t="str">
        <f t="shared" si="138"/>
        <v>Neutral</v>
      </c>
      <c r="X326">
        <f>survey_responses[[#This Row],[Tôi tin rằng Nhà nước, cơ quan thuế có đủ khả năng và công nghệ để phát hiện, xử lý nghiêm các hành vi trốn thuế. - HUMAN-ENF2]]</f>
        <v>2</v>
      </c>
      <c r="Y326" t="str">
        <f t="shared" si="139"/>
        <v>Oppose</v>
      </c>
      <c r="Z326" s="32">
        <f t="shared" si="140"/>
        <v>3</v>
      </c>
      <c r="AA326">
        <f>step3_validation[[#This Row],[AI_FAC1]]</f>
        <v>7</v>
      </c>
      <c r="AB326" t="str">
        <f t="shared" si="141"/>
        <v>Neutral</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1</v>
      </c>
      <c r="AF326">
        <f>step3_validation[[#This Row],[AI_FAC2]]</f>
        <v>9</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2</v>
      </c>
      <c r="AK326">
        <f>step3_validation[[#This Row],[AI_TRU1]]</f>
        <v>7</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5</v>
      </c>
      <c r="AP326">
        <f>step3_validation[[#This Row],[AI_TRU2]]</f>
        <v>6</v>
      </c>
      <c r="AQ326" t="str">
        <f t="shared" si="150"/>
        <v>Neutral</v>
      </c>
      <c r="AR326">
        <f>survey_responses[[#This Row],[Tôi thấy mức thuế tôi phải đóng theo phương án mới là công bằng (người thu nhập như tôi đóng mức này là hợp lý). - HUMAN-TRU2]]</f>
        <v>5</v>
      </c>
      <c r="AS326" t="str">
        <f t="shared" si="151"/>
        <v>Neutral</v>
      </c>
      <c r="AT326" s="32">
        <f t="shared" si="152"/>
        <v>1</v>
      </c>
      <c r="AU326">
        <f>step3_validation[[#This Row],[AI_TRU3]]</f>
        <v>5</v>
      </c>
      <c r="AV326" t="str">
        <f t="shared" si="153"/>
        <v>Neutral</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0</v>
      </c>
      <c r="AZ326">
        <f>step3_validation[[#This Row],[AI_TRU4]]</f>
        <v>4</v>
      </c>
      <c r="BA326" t="str">
        <f t="shared" si="156"/>
        <v>Oppose</v>
      </c>
      <c r="BB326">
        <f>survey_responses[[#This Row],[Tôi thấy Nhà nước đã giải thích rõ ràng, minh bạch về lý do và mục tiêu của việc sửa đổi thuế lần này. - HUMAN-TRU4]]</f>
        <v>6</v>
      </c>
      <c r="BC326" t="str">
        <f t="shared" si="157"/>
        <v>Neutral</v>
      </c>
      <c r="BD326" s="32">
        <f t="shared" si="158"/>
        <v>2</v>
      </c>
      <c r="BE326">
        <f>step3_validation[[#This Row],[AI_OUT1]]</f>
        <v>7</v>
      </c>
      <c r="BF326" t="str">
        <f t="shared" si="159"/>
        <v>Neutral</v>
      </c>
      <c r="BG326">
        <f>survey_responses[[#This Row],[Sau khi xem xét các quyền lợi và nghĩa vụ, bạn có ủng hộ và tuân thủ chính sách mới hiện nay? - HUMAN-OUT1]]</f>
        <v>5</v>
      </c>
      <c r="BH326" t="str">
        <f t="shared" si="160"/>
        <v>Neutral</v>
      </c>
      <c r="BI326" s="32">
        <f t="shared" si="161"/>
        <v>2</v>
      </c>
    </row>
    <row r="327" spans="1:61" x14ac:dyDescent="0.45">
      <c r="A327" s="30">
        <f>step3_validation[[#This Row],[Persona_ID]]</f>
        <v>326</v>
      </c>
      <c r="B327" s="31">
        <f>step3_validation[[#This Row],[Used_Seed]]</f>
        <v>367</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55.850836481322354</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1</v>
      </c>
      <c r="V327">
        <f>step3_validation[[#This Row],[AI_ENF2]]</f>
        <v>8</v>
      </c>
      <c r="W327" t="str">
        <f t="shared" si="138"/>
        <v>Support</v>
      </c>
      <c r="X327">
        <f>survey_responses[[#This Row],[Tôi tin rằng Nhà nước, cơ quan thuế có đủ khả năng và công nghệ để phát hiện, xử lý nghiêm các hành vi trốn thuế. - HUMAN-ENF2]]</f>
        <v>9</v>
      </c>
      <c r="Y327" t="str">
        <f t="shared" si="139"/>
        <v>Support</v>
      </c>
      <c r="Z327" s="32">
        <f t="shared" si="140"/>
        <v>1</v>
      </c>
      <c r="AA327">
        <f>step3_validation[[#This Row],[AI_FAC1]]</f>
        <v>6</v>
      </c>
      <c r="AB327" t="str">
        <f t="shared" si="141"/>
        <v>Neutral</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3</v>
      </c>
      <c r="AF327">
        <f>step3_validation[[#This Row],[AI_FAC2]]</f>
        <v>9</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1</v>
      </c>
      <c r="AK327">
        <f>step3_validation[[#This Row],[AI_TRU1]]</f>
        <v>7</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1</v>
      </c>
      <c r="AP327">
        <f>step3_validation[[#This Row],[AI_TRU2]]</f>
        <v>8</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2</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3</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6</v>
      </c>
      <c r="BF327" t="str">
        <f t="shared" si="159"/>
        <v>Neutral</v>
      </c>
      <c r="BG327">
        <f>survey_responses[[#This Row],[Sau khi xem xét các quyền lợi và nghĩa vụ, bạn có ủng hộ và tuân thủ chính sách mới hiện nay? - HUMAN-OUT1]]</f>
        <v>10</v>
      </c>
      <c r="BH327" t="str">
        <f t="shared" si="160"/>
        <v>Support</v>
      </c>
      <c r="BI327" s="32">
        <f t="shared" si="161"/>
        <v>4</v>
      </c>
    </row>
    <row r="328" spans="1:61" x14ac:dyDescent="0.45">
      <c r="A328" s="30">
        <f>step3_validation[[#This Row],[Persona_ID]]</f>
        <v>327</v>
      </c>
      <c r="B328" s="31">
        <f>step3_validation[[#This Row],[Used_Seed]]</f>
        <v>368</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19.300429643124527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8</v>
      </c>
      <c r="R328" t="str">
        <f t="shared" si="135"/>
        <v>Support</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1</v>
      </c>
      <c r="V328">
        <f>step3_validation[[#This Row],[AI_ENF2]]</f>
        <v>7</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0</v>
      </c>
      <c r="AA328">
        <f>step3_validation[[#This Row],[AI_FAC1]]</f>
        <v>6</v>
      </c>
      <c r="AB328" t="str">
        <f t="shared" si="141"/>
        <v>Neutral</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1</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0</v>
      </c>
      <c r="AP328">
        <f>step3_validation[[#This Row],[AI_TRU2]]</f>
        <v>6</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2</v>
      </c>
      <c r="AU328">
        <f>step3_validation[[#This Row],[AI_TRU3]]</f>
        <v>6</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7</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0</v>
      </c>
      <c r="BE328">
        <f>step3_validation[[#This Row],[AI_OUT1]]</f>
        <v>5</v>
      </c>
      <c r="BF328" t="str">
        <f t="shared" si="159"/>
        <v>Neutral</v>
      </c>
      <c r="BG328">
        <f>survey_responses[[#This Row],[Sau khi xem xét các quyền lợi và nghĩa vụ, bạn có ủng hộ và tuân thủ chính sách mới hiện nay? - HUMAN-OUT1]]</f>
        <v>8</v>
      </c>
      <c r="BH328" t="str">
        <f t="shared" si="160"/>
        <v>Support</v>
      </c>
      <c r="BI328" s="32">
        <f t="shared" si="161"/>
        <v>3</v>
      </c>
    </row>
    <row r="329" spans="1:61" x14ac:dyDescent="0.45">
      <c r="A329" s="30">
        <f>step3_validation[[#This Row],[Persona_ID]]</f>
        <v>328</v>
      </c>
      <c r="B329" s="31">
        <f>step3_validation[[#This Row],[Used_Seed]]</f>
        <v>369</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94.745427256404227</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7</v>
      </c>
      <c r="R329" t="str">
        <f t="shared" si="135"/>
        <v>Neutral</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0</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0</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8</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7</v>
      </c>
      <c r="AL329" t="str">
        <f t="shared" si="147"/>
        <v>Neutral</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2</v>
      </c>
      <c r="AP329">
        <f>step3_validation[[#This Row],[AI_TRU2]]</f>
        <v>6</v>
      </c>
      <c r="AQ329" t="str">
        <f t="shared" si="150"/>
        <v>Neutral</v>
      </c>
      <c r="AR329">
        <f>survey_responses[[#This Row],[Tôi thấy mức thuế tôi phải đóng theo phương án mới là công bằng (người thu nhập như tôi đóng mức này là hợp lý). - HUMAN-TRU2]]</f>
        <v>8</v>
      </c>
      <c r="AS329" t="str">
        <f t="shared" si="151"/>
        <v>Support</v>
      </c>
      <c r="AT329" s="32">
        <f t="shared" si="152"/>
        <v>2</v>
      </c>
      <c r="AU329">
        <f>step3_validation[[#This Row],[AI_TRU3]]</f>
        <v>7</v>
      </c>
      <c r="AV329" t="str">
        <f t="shared" si="153"/>
        <v>Neutral</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0</v>
      </c>
      <c r="AZ329">
        <f>step3_validation[[#This Row],[AI_TRU4]]</f>
        <v>5</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2">
        <f t="shared" si="158"/>
        <v>2</v>
      </c>
      <c r="BE329">
        <f>step3_validation[[#This Row],[AI_OUT1]]</f>
        <v>8</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1</v>
      </c>
    </row>
    <row r="330" spans="1:61" x14ac:dyDescent="0.45">
      <c r="A330" s="30">
        <f>step3_validation[[#This Row],[Persona_ID]]</f>
        <v>329</v>
      </c>
      <c r="B330" s="31">
        <f>step3_validation[[#This Row],[Used_Seed]]</f>
        <v>370</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16.153030239215884</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5</v>
      </c>
      <c r="R330" t="str">
        <f t="shared" si="135"/>
        <v>Neutral</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2</v>
      </c>
      <c r="V330">
        <f>step3_validation[[#This Row],[AI_ENF2]]</f>
        <v>6</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2">
        <f t="shared" si="140"/>
        <v>1</v>
      </c>
      <c r="AA330">
        <f>step3_validation[[#This Row],[AI_FAC1]]</f>
        <v>8</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1</v>
      </c>
      <c r="AF330">
        <f>step3_validation[[#This Row],[AI_FAC2]]</f>
        <v>9</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0</v>
      </c>
      <c r="AK330">
        <f>step3_validation[[#This Row],[AI_TRU1]]</f>
        <v>7</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2</v>
      </c>
      <c r="AP330">
        <f>step3_validation[[#This Row],[AI_TRU2]]</f>
        <v>6</v>
      </c>
      <c r="AQ330" t="str">
        <f t="shared" si="150"/>
        <v>Neutral</v>
      </c>
      <c r="AR330">
        <f>survey_responses[[#This Row],[Tôi thấy mức thuế tôi phải đóng theo phương án mới là công bằng (người thu nhập như tôi đóng mức này là hợp lý). - HUMAN-TRU2]]</f>
        <v>9</v>
      </c>
      <c r="AS330" t="str">
        <f t="shared" si="151"/>
        <v>Support</v>
      </c>
      <c r="AT330" s="32">
        <f t="shared" si="152"/>
        <v>3</v>
      </c>
      <c r="AU330">
        <f>step3_validation[[#This Row],[AI_TRU3]]</f>
        <v>5</v>
      </c>
      <c r="AV330" t="str">
        <f t="shared" si="153"/>
        <v>Neutral</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0</v>
      </c>
      <c r="AZ330">
        <f>step3_validation[[#This Row],[AI_TRU4]]</f>
        <v>6</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0</v>
      </c>
      <c r="BE330">
        <f>step3_validation[[#This Row],[AI_OUT1]]</f>
        <v>4</v>
      </c>
      <c r="BF330" t="str">
        <f t="shared" si="159"/>
        <v>Oppose</v>
      </c>
      <c r="BG330">
        <f>survey_responses[[#This Row],[Sau khi xem xét các quyền lợi và nghĩa vụ, bạn có ủng hộ và tuân thủ chính sách mới hiện nay? - HUMAN-OUT1]]</f>
        <v>9</v>
      </c>
      <c r="BH330" t="str">
        <f t="shared" si="160"/>
        <v>Support</v>
      </c>
      <c r="BI330" s="32">
        <f t="shared" si="161"/>
        <v>5</v>
      </c>
    </row>
    <row r="331" spans="1:61" x14ac:dyDescent="0.45">
      <c r="A331" s="30">
        <f>step3_validation[[#This Row],[Persona_ID]]</f>
        <v>330</v>
      </c>
      <c r="B331" s="31">
        <f>step3_validation[[#This Row],[Used_Seed]]</f>
        <v>371</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13.633275693680602</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7</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4</v>
      </c>
      <c r="AA331">
        <f>step3_validation[[#This Row],[AI_FAC1]]</f>
        <v>6</v>
      </c>
      <c r="AB331" t="str">
        <f t="shared" si="141"/>
        <v>Neutral</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1</v>
      </c>
      <c r="AF331">
        <f>step3_validation[[#This Row],[AI_FAC2]]</f>
        <v>6</v>
      </c>
      <c r="AG331" t="str">
        <f t="shared" si="144"/>
        <v>Neutral</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0</v>
      </c>
      <c r="AK331">
        <f>step3_validation[[#This Row],[AI_TRU1]]</f>
        <v>7</v>
      </c>
      <c r="AL331" t="str">
        <f t="shared" si="147"/>
        <v>Neutral</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3</v>
      </c>
      <c r="AP331">
        <f>step3_validation[[#This Row],[AI_TRU2]]</f>
        <v>7</v>
      </c>
      <c r="AQ331" t="str">
        <f t="shared" si="150"/>
        <v>Neutral</v>
      </c>
      <c r="AR331">
        <f>survey_responses[[#This Row],[Tôi thấy mức thuế tôi phải đóng theo phương án mới là công bằng (người thu nhập như tôi đóng mức này là hợp lý). - HUMAN-TRU2]]</f>
        <v>5</v>
      </c>
      <c r="AS331" t="str">
        <f t="shared" si="151"/>
        <v>Neutral</v>
      </c>
      <c r="AT331" s="32">
        <f t="shared" si="152"/>
        <v>2</v>
      </c>
      <c r="AU331">
        <f>step3_validation[[#This Row],[AI_TRU3]]</f>
        <v>6</v>
      </c>
      <c r="AV331" t="str">
        <f t="shared" si="153"/>
        <v>Neutral</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1</v>
      </c>
      <c r="AZ331">
        <f>step3_validation[[#This Row],[AI_TRU4]]</f>
        <v>6</v>
      </c>
      <c r="BA331" t="str">
        <f t="shared" si="156"/>
        <v>Neutral</v>
      </c>
      <c r="BB331">
        <f>survey_responses[[#This Row],[Tôi thấy Nhà nước đã giải thích rõ ràng, minh bạch về lý do và mục tiêu của việc sửa đổi thuế lần này. - HUMAN-TRU4]]</f>
        <v>5</v>
      </c>
      <c r="BC331" t="str">
        <f t="shared" si="157"/>
        <v>Neutral</v>
      </c>
      <c r="BD331" s="32">
        <f t="shared" si="158"/>
        <v>1</v>
      </c>
      <c r="BE331">
        <f>step3_validation[[#This Row],[AI_OUT1]]</f>
        <v>7</v>
      </c>
      <c r="BF331" t="str">
        <f t="shared" si="159"/>
        <v>Neutral</v>
      </c>
      <c r="BG331">
        <f>survey_responses[[#This Row],[Sau khi xem xét các quyền lợi và nghĩa vụ, bạn có ủng hộ và tuân thủ chính sách mới hiện nay? - HUMAN-OUT1]]</f>
        <v>5</v>
      </c>
      <c r="BH331" t="str">
        <f t="shared" si="160"/>
        <v>Neutral</v>
      </c>
      <c r="BI331" s="32">
        <f t="shared" si="161"/>
        <v>2</v>
      </c>
    </row>
    <row r="332" spans="1:61" x14ac:dyDescent="0.45">
      <c r="A332" s="30">
        <f>step3_validation[[#This Row],[Persona_ID]]</f>
        <v>331</v>
      </c>
      <c r="B332" s="31">
        <f>step3_validation[[#This Row],[Used_Seed]]</f>
        <v>372</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28.605971020831554</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7</v>
      </c>
      <c r="R332" t="str">
        <f t="shared" si="135"/>
        <v>Neutral</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3</v>
      </c>
      <c r="V332">
        <f>step3_validation[[#This Row],[AI_ENF2]]</f>
        <v>6</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2</v>
      </c>
      <c r="AA332">
        <f>step3_validation[[#This Row],[AI_FAC1]]</f>
        <v>8</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3</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6</v>
      </c>
      <c r="AQ332" t="str">
        <f t="shared" si="150"/>
        <v>Neutral</v>
      </c>
      <c r="AR332">
        <f>survey_responses[[#This Row],[Tôi thấy mức thuế tôi phải đóng theo phương án mới là công bằng (người thu nhập như tôi đóng mức này là hợp lý). - HUMAN-TRU2]]</f>
        <v>5</v>
      </c>
      <c r="AS332" t="str">
        <f t="shared" si="151"/>
        <v>Neutral</v>
      </c>
      <c r="AT332" s="32">
        <f t="shared" si="152"/>
        <v>1</v>
      </c>
      <c r="AU332">
        <f>step3_validation[[#This Row],[AI_TRU3]]</f>
        <v>5</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2</v>
      </c>
      <c r="AZ332">
        <f>step3_validation[[#This Row],[AI_TRU4]]</f>
        <v>4</v>
      </c>
      <c r="BA332" t="str">
        <f t="shared" si="156"/>
        <v>Oppose</v>
      </c>
      <c r="BB332">
        <f>survey_responses[[#This Row],[Tôi thấy Nhà nước đã giải thích rõ ràng, minh bạch về lý do và mục tiêu của việc sửa đổi thuế lần này. - HUMAN-TRU4]]</f>
        <v>4</v>
      </c>
      <c r="BC332" t="str">
        <f t="shared" si="157"/>
        <v>Oppose</v>
      </c>
      <c r="BD332" s="32">
        <f t="shared" si="158"/>
        <v>0</v>
      </c>
      <c r="BE332">
        <f>step3_validation[[#This Row],[AI_OUT1]]</f>
        <v>5</v>
      </c>
      <c r="BF332" t="str">
        <f t="shared" si="159"/>
        <v>Neutral</v>
      </c>
      <c r="BG332">
        <f>survey_responses[[#This Row],[Sau khi xem xét các quyền lợi và nghĩa vụ, bạn có ủng hộ và tuân thủ chính sách mới hiện nay? - HUMAN-OUT1]]</f>
        <v>5</v>
      </c>
      <c r="BH332" t="str">
        <f t="shared" si="160"/>
        <v>Neutral</v>
      </c>
      <c r="BI332" s="32">
        <f t="shared" si="161"/>
        <v>0</v>
      </c>
    </row>
    <row r="333" spans="1:61" x14ac:dyDescent="0.45">
      <c r="A333" s="30">
        <f>step3_validation[[#This Row],[Persona_ID]]</f>
        <v>332</v>
      </c>
      <c r="B333" s="31">
        <f>step3_validation[[#This Row],[Used_Seed]]</f>
        <v>373</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21.764025115016388</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5</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2</v>
      </c>
      <c r="V333">
        <f>step3_validation[[#This Row],[AI_ENF2]]</f>
        <v>6</v>
      </c>
      <c r="W333" t="str">
        <f t="shared" si="138"/>
        <v>Neutral</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8</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1</v>
      </c>
      <c r="AF333">
        <f>step3_validation[[#This Row],[AI_FAC2]]</f>
        <v>7</v>
      </c>
      <c r="AG333" t="str">
        <f t="shared" si="144"/>
        <v>Neutral</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2</v>
      </c>
      <c r="AK333">
        <f>step3_validation[[#This Row],[AI_TRU1]]</f>
        <v>6</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2</v>
      </c>
      <c r="AP333">
        <f>step3_validation[[#This Row],[AI_TRU2]]</f>
        <v>7</v>
      </c>
      <c r="AQ333" t="str">
        <f t="shared" si="150"/>
        <v>Neutral</v>
      </c>
      <c r="AR333">
        <f>survey_responses[[#This Row],[Tôi thấy mức thuế tôi phải đóng theo phương án mới là công bằng (người thu nhập như tôi đóng mức này là hợp lý). - HUMAN-TRU2]]</f>
        <v>9</v>
      </c>
      <c r="AS333" t="str">
        <f t="shared" si="151"/>
        <v>Support</v>
      </c>
      <c r="AT333" s="32">
        <f t="shared" si="152"/>
        <v>2</v>
      </c>
      <c r="AU333">
        <f>step3_validation[[#This Row],[AI_TRU3]]</f>
        <v>6</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1</v>
      </c>
      <c r="AZ333">
        <f>step3_validation[[#This Row],[AI_TRU4]]</f>
        <v>5</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4</v>
      </c>
      <c r="BE333">
        <f>step3_validation[[#This Row],[AI_OUT1]]</f>
        <v>7</v>
      </c>
      <c r="BF333" t="str">
        <f t="shared" si="159"/>
        <v>Neutral</v>
      </c>
      <c r="BG333">
        <f>survey_responses[[#This Row],[Sau khi xem xét các quyền lợi và nghĩa vụ, bạn có ủng hộ và tuân thủ chính sách mới hiện nay? - HUMAN-OUT1]]</f>
        <v>9</v>
      </c>
      <c r="BH333" t="str">
        <f t="shared" si="160"/>
        <v>Support</v>
      </c>
      <c r="BI333" s="32">
        <f t="shared" si="161"/>
        <v>2</v>
      </c>
    </row>
    <row r="334" spans="1:61" x14ac:dyDescent="0.45">
      <c r="A334" s="30">
        <f>step3_validation[[#This Row],[Persona_ID]]</f>
        <v>333</v>
      </c>
      <c r="B334" s="31">
        <f>step3_validation[[#This Row],[Used_Seed]]</f>
        <v>374</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73.740661857513786</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6</v>
      </c>
      <c r="AB334" t="str">
        <f t="shared" si="141"/>
        <v>Neutral</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2</v>
      </c>
      <c r="AF334">
        <f>step3_validation[[#This Row],[AI_FAC2]]</f>
        <v>5</v>
      </c>
      <c r="AG334" t="str">
        <f t="shared" si="144"/>
        <v>Neutral</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3</v>
      </c>
      <c r="AK334">
        <f>step3_validation[[#This Row],[AI_TRU1]]</f>
        <v>7</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1</v>
      </c>
      <c r="AP334">
        <f>step3_validation[[#This Row],[AI_TRU2]]</f>
        <v>6</v>
      </c>
      <c r="AQ334" t="str">
        <f t="shared" si="150"/>
        <v>Neutral</v>
      </c>
      <c r="AR334">
        <f>survey_responses[[#This Row],[Tôi thấy mức thuế tôi phải đóng theo phương án mới là công bằng (người thu nhập như tôi đóng mức này là hợp lý). - HUMAN-TRU2]]</f>
        <v>7</v>
      </c>
      <c r="AS334" t="str">
        <f t="shared" si="151"/>
        <v>Neutral</v>
      </c>
      <c r="AT334" s="32">
        <f t="shared" si="152"/>
        <v>1</v>
      </c>
      <c r="AU334">
        <f>step3_validation[[#This Row],[AI_TRU3]]</f>
        <v>7</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1</v>
      </c>
      <c r="AZ334">
        <f>step3_validation[[#This Row],[AI_TRU4]]</f>
        <v>5</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2</v>
      </c>
      <c r="BE334">
        <f>step3_validation[[#This Row],[AI_OUT1]]</f>
        <v>6</v>
      </c>
      <c r="BF334" t="str">
        <f t="shared" si="159"/>
        <v>Neutral</v>
      </c>
      <c r="BG334">
        <f>survey_responses[[#This Row],[Sau khi xem xét các quyền lợi và nghĩa vụ, bạn có ủng hộ và tuân thủ chính sách mới hiện nay? - HUMAN-OUT1]]</f>
        <v>7</v>
      </c>
      <c r="BH334" t="str">
        <f t="shared" si="160"/>
        <v>Neutral</v>
      </c>
      <c r="BI334" s="32">
        <f t="shared" si="161"/>
        <v>1</v>
      </c>
    </row>
    <row r="335" spans="1:61" x14ac:dyDescent="0.45">
      <c r="A335" s="30">
        <f>step3_validation[[#This Row],[Persona_ID]]</f>
        <v>334</v>
      </c>
      <c r="B335" s="31">
        <f>step3_validation[[#This Row],[Used_Seed]]</f>
        <v>375</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239.64430305968799</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7</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5</v>
      </c>
      <c r="V335">
        <f>step3_validation[[#This Row],[AI_ENF2]]</f>
        <v>8</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2">
        <f t="shared" si="140"/>
        <v>6</v>
      </c>
      <c r="AA335">
        <f>step3_validation[[#This Row],[AI_FAC1]]</f>
        <v>9</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6</v>
      </c>
      <c r="AF335">
        <f>step3_validation[[#This Row],[AI_FAC2]]</f>
        <v>8</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3</v>
      </c>
      <c r="AK335">
        <f>step3_validation[[#This Row],[AI_TRU1]]</f>
        <v>7</v>
      </c>
      <c r="AL335" t="str">
        <f t="shared" si="147"/>
        <v>Neutral</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6</v>
      </c>
      <c r="AP335">
        <f>step3_validation[[#This Row],[AI_TRU2]]</f>
        <v>6</v>
      </c>
      <c r="AQ335" t="str">
        <f t="shared" si="150"/>
        <v>Neutral</v>
      </c>
      <c r="AR335">
        <f>survey_responses[[#This Row],[Tôi thấy mức thuế tôi phải đóng theo phương án mới là công bằng (người thu nhập như tôi đóng mức này là hợp lý). - HUMAN-TRU2]]</f>
        <v>1</v>
      </c>
      <c r="AS335" t="str">
        <f t="shared" si="151"/>
        <v>Oppose</v>
      </c>
      <c r="AT335" s="32">
        <f t="shared" si="152"/>
        <v>5</v>
      </c>
      <c r="AU335">
        <f>step3_validation[[#This Row],[AI_TRU3]]</f>
        <v>7</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6</v>
      </c>
      <c r="AZ335">
        <f>step3_validation[[#This Row],[AI_TRU4]]</f>
        <v>5</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2</v>
      </c>
      <c r="BE335">
        <f>step3_validation[[#This Row],[AI_OUT1]]</f>
        <v>6</v>
      </c>
      <c r="BF335" t="str">
        <f t="shared" si="159"/>
        <v>Neutral</v>
      </c>
      <c r="BG335">
        <f>survey_responses[[#This Row],[Sau khi xem xét các quyền lợi và nghĩa vụ, bạn có ủng hộ và tuân thủ chính sách mới hiện nay? - HUMAN-OUT1]]</f>
        <v>1</v>
      </c>
      <c r="BH335" t="str">
        <f t="shared" si="160"/>
        <v>Oppose</v>
      </c>
      <c r="BI335" s="32">
        <f t="shared" si="161"/>
        <v>5</v>
      </c>
    </row>
    <row r="336" spans="1:61" x14ac:dyDescent="0.45">
      <c r="A336" s="30">
        <f>step3_validation[[#This Row],[Persona_ID]]</f>
        <v>335</v>
      </c>
      <c r="B336" s="31">
        <f>step3_validation[[#This Row],[Used_Seed]]</f>
        <v>376</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14.368343483384535</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6</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8</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0</v>
      </c>
      <c r="AF336">
        <f>step3_validation[[#This Row],[AI_FAC2]]</f>
        <v>7</v>
      </c>
      <c r="AG336" t="str">
        <f t="shared" si="144"/>
        <v>Neutral</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3</v>
      </c>
      <c r="AK336">
        <f>step3_validation[[#This Row],[AI_TRU1]]</f>
        <v>9</v>
      </c>
      <c r="AL336" t="str">
        <f t="shared" si="147"/>
        <v>Support</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0</v>
      </c>
      <c r="AP336">
        <f>step3_validation[[#This Row],[AI_TRU2]]</f>
        <v>8</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2</v>
      </c>
      <c r="AU336">
        <f>step3_validation[[#This Row],[AI_TRU3]]</f>
        <v>9</v>
      </c>
      <c r="AV336" t="str">
        <f t="shared" si="153"/>
        <v>Support</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1</v>
      </c>
      <c r="AZ336">
        <f>step3_validation[[#This Row],[AI_TRU4]]</f>
        <v>8</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0</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1</v>
      </c>
    </row>
    <row r="337" spans="1:61" x14ac:dyDescent="0.45">
      <c r="A337" s="30">
        <f>step3_validation[[#This Row],[Persona_ID]]</f>
        <v>336</v>
      </c>
      <c r="B337" s="31">
        <f>step3_validation[[#This Row],[Used_Seed]]</f>
        <v>377</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19.26206977367745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3</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6</v>
      </c>
      <c r="AB337" t="str">
        <f t="shared" si="141"/>
        <v>Neutral</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1</v>
      </c>
      <c r="AF337">
        <f>step3_validation[[#This Row],[AI_FAC2]]</f>
        <v>7</v>
      </c>
      <c r="AG337" t="str">
        <f t="shared" si="144"/>
        <v>Neutral</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1</v>
      </c>
      <c r="AK337">
        <f>step3_validation[[#This Row],[AI_TRU1]]</f>
        <v>6</v>
      </c>
      <c r="AL337" t="str">
        <f t="shared" si="147"/>
        <v>Neutral</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1</v>
      </c>
      <c r="AP337">
        <f>step3_validation[[#This Row],[AI_TRU2]]</f>
        <v>5</v>
      </c>
      <c r="AQ337" t="str">
        <f t="shared" si="150"/>
        <v>Neutral</v>
      </c>
      <c r="AR337">
        <f>survey_responses[[#This Row],[Tôi thấy mức thuế tôi phải đóng theo phương án mới là công bằng (người thu nhập như tôi đóng mức này là hợp lý). - HUMAN-TRU2]]</f>
        <v>6</v>
      </c>
      <c r="AS337" t="str">
        <f t="shared" si="151"/>
        <v>Neutral</v>
      </c>
      <c r="AT337" s="32">
        <f t="shared" si="152"/>
        <v>1</v>
      </c>
      <c r="AU337">
        <f>step3_validation[[#This Row],[AI_TRU3]]</f>
        <v>6</v>
      </c>
      <c r="AV337" t="str">
        <f t="shared" si="153"/>
        <v>Neutral</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1</v>
      </c>
      <c r="AZ337">
        <f>step3_validation[[#This Row],[AI_TRU4]]</f>
        <v>6</v>
      </c>
      <c r="BA337" t="str">
        <f t="shared" si="156"/>
        <v>Neutral</v>
      </c>
      <c r="BB337">
        <f>survey_responses[[#This Row],[Tôi thấy Nhà nước đã giải thích rõ ràng, minh bạch về lý do và mục tiêu của việc sửa đổi thuế lần này. - HUMAN-TRU4]]</f>
        <v>5</v>
      </c>
      <c r="BC337" t="str">
        <f t="shared" si="157"/>
        <v>Neutral</v>
      </c>
      <c r="BD337" s="32">
        <f t="shared" si="158"/>
        <v>1</v>
      </c>
      <c r="BE337">
        <f>step3_validation[[#This Row],[AI_OUT1]]</f>
        <v>7</v>
      </c>
      <c r="BF337" t="str">
        <f t="shared" si="159"/>
        <v>Neutral</v>
      </c>
      <c r="BG337">
        <f>survey_responses[[#This Row],[Sau khi xem xét các quyền lợi và nghĩa vụ, bạn có ủng hộ và tuân thủ chính sách mới hiện nay? - HUMAN-OUT1]]</f>
        <v>6</v>
      </c>
      <c r="BH337" t="str">
        <f t="shared" si="160"/>
        <v>Neutral</v>
      </c>
      <c r="BI337" s="32">
        <f t="shared" si="161"/>
        <v>1</v>
      </c>
    </row>
    <row r="338" spans="1:61" x14ac:dyDescent="0.45">
      <c r="A338" s="30">
        <f>step3_validation[[#This Row],[Persona_ID]]</f>
        <v>337</v>
      </c>
      <c r="B338" s="31">
        <f>step3_validation[[#This Row],[Used_Seed]]</f>
        <v>378</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27.51500797766489</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t="str">
        <f t="shared" si="135"/>
        <v>Support</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9</v>
      </c>
      <c r="W338" t="str">
        <f t="shared" si="138"/>
        <v>Support</v>
      </c>
      <c r="X338">
        <f>survey_responses[[#This Row],[Tôi tin rằng Nhà nước, cơ quan thuế có đủ khả năng và công nghệ để phát hiện, xử lý nghiêm các hành vi trốn thuế. - HUMAN-ENF2]]</f>
        <v>8</v>
      </c>
      <c r="Y338" t="str">
        <f t="shared" si="139"/>
        <v>Support</v>
      </c>
      <c r="Z338" s="32">
        <f t="shared" si="140"/>
        <v>1</v>
      </c>
      <c r="AA338">
        <f>step3_validation[[#This Row],[AI_FAC1]]</f>
        <v>7</v>
      </c>
      <c r="AB338" t="str">
        <f t="shared" si="141"/>
        <v>Neutral</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0</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7</v>
      </c>
      <c r="AL338" t="str">
        <f t="shared" si="147"/>
        <v>Neutral</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1</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7</v>
      </c>
      <c r="AV338" t="str">
        <f t="shared" si="153"/>
        <v>Neutral</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1</v>
      </c>
      <c r="AZ338">
        <f>step3_validation[[#This Row],[AI_TRU4]]</f>
        <v>6</v>
      </c>
      <c r="BA338" t="str">
        <f t="shared" si="156"/>
        <v>Neutral</v>
      </c>
      <c r="BB338">
        <f>survey_responses[[#This Row],[Tôi thấy Nhà nước đã giải thích rõ ràng, minh bạch về lý do và mục tiêu của việc sửa đổi thuế lần này. - HUMAN-TRU4]]</f>
        <v>8</v>
      </c>
      <c r="BC338" t="str">
        <f t="shared" si="157"/>
        <v>Support</v>
      </c>
      <c r="BD338" s="32">
        <f t="shared" si="158"/>
        <v>2</v>
      </c>
      <c r="BE338">
        <f>step3_validation[[#This Row],[AI_OUT1]]</f>
        <v>7</v>
      </c>
      <c r="BF338" t="str">
        <f t="shared" si="159"/>
        <v>Neutral</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379</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15.090531433336762</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8</v>
      </c>
      <c r="W339" t="str">
        <f t="shared" si="138"/>
        <v>Support</v>
      </c>
      <c r="X339">
        <f>survey_responses[[#This Row],[Tôi tin rằng Nhà nước, cơ quan thuế có đủ khả năng và công nghệ để phát hiện, xử lý nghiêm các hành vi trốn thuế. - HUMAN-ENF2]]</f>
        <v>8</v>
      </c>
      <c r="Y339" t="str">
        <f t="shared" si="139"/>
        <v>Support</v>
      </c>
      <c r="Z339" s="32">
        <f t="shared" si="140"/>
        <v>0</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7</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1</v>
      </c>
      <c r="AP339">
        <f>step3_validation[[#This Row],[AI_TRU2]]</f>
        <v>8</v>
      </c>
      <c r="AQ339" t="str">
        <f t="shared" si="150"/>
        <v>Support</v>
      </c>
      <c r="AR339">
        <f>survey_responses[[#This Row],[Tôi thấy mức thuế tôi phải đóng theo phương án mới là công bằng (người thu nhập như tôi đóng mức này là hợp lý). - HUMAN-TRU2]]</f>
        <v>9</v>
      </c>
      <c r="AS339" t="str">
        <f t="shared" si="151"/>
        <v>Support</v>
      </c>
      <c r="AT339" s="32">
        <f t="shared" si="152"/>
        <v>1</v>
      </c>
      <c r="AU339">
        <f>step3_validation[[#This Row],[AI_TRU3]]</f>
        <v>7</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3</v>
      </c>
      <c r="AZ339">
        <f>step3_validation[[#This Row],[AI_TRU4]]</f>
        <v>7</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2</v>
      </c>
      <c r="BE339">
        <f>step3_validation[[#This Row],[AI_OUT1]]</f>
        <v>8</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2</v>
      </c>
    </row>
    <row r="340" spans="1:61" x14ac:dyDescent="0.45">
      <c r="A340" s="30">
        <f>step3_validation[[#This Row],[Persona_ID]]</f>
        <v>339</v>
      </c>
      <c r="B340" s="31">
        <f>step3_validation[[#This Row],[Used_Seed]]</f>
        <v>380</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13.087566374982526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0</v>
      </c>
      <c r="V340">
        <f>step3_validation[[#This Row],[AI_ENF2]]</f>
        <v>8</v>
      </c>
      <c r="W340" t="str">
        <f t="shared" si="138"/>
        <v>Support</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9</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1</v>
      </c>
      <c r="AF340">
        <f>step3_validation[[#This Row],[AI_FAC2]]</f>
        <v>8</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0</v>
      </c>
      <c r="AK340">
        <f>step3_validation[[#This Row],[AI_TRU1]]</f>
        <v>7</v>
      </c>
      <c r="AL340" t="str">
        <f t="shared" si="147"/>
        <v>Neutral</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1</v>
      </c>
      <c r="AP340">
        <f>step3_validation[[#This Row],[AI_TRU2]]</f>
        <v>8</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1</v>
      </c>
      <c r="AU340">
        <f>step3_validation[[#This Row],[AI_TRU3]]</f>
        <v>6</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0</v>
      </c>
      <c r="AZ340">
        <f>step3_validation[[#This Row],[AI_TRU4]]</f>
        <v>5</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1</v>
      </c>
      <c r="BE340">
        <f>step3_validation[[#This Row],[AI_OUT1]]</f>
        <v>6</v>
      </c>
      <c r="BF340" t="str">
        <f t="shared" si="159"/>
        <v>Neutral</v>
      </c>
      <c r="BG340">
        <f>survey_responses[[#This Row],[Sau khi xem xét các quyền lợi và nghĩa vụ, bạn có ủng hộ và tuân thủ chính sách mới hiện nay? - HUMAN-OUT1]]</f>
        <v>7</v>
      </c>
      <c r="BH340" t="str">
        <f t="shared" si="160"/>
        <v>Neutral</v>
      </c>
      <c r="BI340" s="32">
        <f t="shared" si="161"/>
        <v>1</v>
      </c>
    </row>
    <row r="341" spans="1:61" x14ac:dyDescent="0.45">
      <c r="A341" s="30">
        <f>step3_validation[[#This Row],[Persona_ID]]</f>
        <v>340</v>
      </c>
      <c r="B341" s="31">
        <f>step3_validation[[#This Row],[Used_Seed]]</f>
        <v>381</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16.038094068857898</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8</v>
      </c>
      <c r="R341" t="str">
        <f t="shared" si="135"/>
        <v>Support</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1</v>
      </c>
      <c r="V341">
        <f>step3_validation[[#This Row],[AI_ENF2]]</f>
        <v>9</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1</v>
      </c>
      <c r="AA341">
        <f>step3_validation[[#This Row],[AI_FAC1]]</f>
        <v>8</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0</v>
      </c>
      <c r="AF341">
        <f>step3_validation[[#This Row],[AI_FAC2]]</f>
        <v>7</v>
      </c>
      <c r="AG341" t="str">
        <f t="shared" si="144"/>
        <v>Neutral</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1</v>
      </c>
      <c r="AK341">
        <f>step3_validation[[#This Row],[AI_TRU1]]</f>
        <v>6</v>
      </c>
      <c r="AL341" t="str">
        <f t="shared" si="147"/>
        <v>Neutral</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1</v>
      </c>
      <c r="AP341">
        <f>step3_validation[[#This Row],[AI_TRU2]]</f>
        <v>7</v>
      </c>
      <c r="AQ341" t="str">
        <f t="shared" si="150"/>
        <v>Neutral</v>
      </c>
      <c r="AR341">
        <f>survey_responses[[#This Row],[Tôi thấy mức thuế tôi phải đóng theo phương án mới là công bằng (người thu nhập như tôi đóng mức này là hợp lý). - HUMAN-TRU2]]</f>
        <v>8</v>
      </c>
      <c r="AS341" t="str">
        <f t="shared" si="151"/>
        <v>Support</v>
      </c>
      <c r="AT341" s="32">
        <f t="shared" si="152"/>
        <v>1</v>
      </c>
      <c r="AU341">
        <f>step3_validation[[#This Row],[AI_TRU3]]</f>
        <v>6</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1</v>
      </c>
      <c r="AZ341">
        <f>step3_validation[[#This Row],[AI_TRU4]]</f>
        <v>5</v>
      </c>
      <c r="BA341" t="str">
        <f t="shared" si="156"/>
        <v>Neutral</v>
      </c>
      <c r="BB341">
        <f>survey_responses[[#This Row],[Tôi thấy Nhà nước đã giải thích rõ ràng, minh bạch về lý do và mục tiêu của việc sửa đổi thuế lần này. - HUMAN-TRU4]]</f>
        <v>8</v>
      </c>
      <c r="BC341" t="str">
        <f t="shared" si="157"/>
        <v>Support</v>
      </c>
      <c r="BD341" s="32">
        <f t="shared" si="158"/>
        <v>3</v>
      </c>
      <c r="BE341">
        <f>step3_validation[[#This Row],[AI_OUT1]]</f>
        <v>6</v>
      </c>
      <c r="BF341" t="str">
        <f t="shared" si="159"/>
        <v>Neutral</v>
      </c>
      <c r="BG341">
        <f>survey_responses[[#This Row],[Sau khi xem xét các quyền lợi và nghĩa vụ, bạn có ủng hộ và tuân thủ chính sách mới hiện nay? - HUMAN-OUT1]]</f>
        <v>8</v>
      </c>
      <c r="BH341" t="str">
        <f t="shared" si="160"/>
        <v>Support</v>
      </c>
      <c r="BI341" s="32">
        <f t="shared" si="161"/>
        <v>2</v>
      </c>
    </row>
    <row r="342" spans="1:61" x14ac:dyDescent="0.45">
      <c r="A342" s="30">
        <f>step3_validation[[#This Row],[Persona_ID]]</f>
        <v>341</v>
      </c>
      <c r="B342" s="31">
        <f>step3_validation[[#This Row],[Used_Seed]]</f>
        <v>382</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7</v>
      </c>
      <c r="R342" t="str">
        <f t="shared" si="135"/>
        <v>Neutral</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1</v>
      </c>
      <c r="V342">
        <f>step3_validation[[#This Row],[AI_ENF2]]</f>
        <v>8</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0</v>
      </c>
      <c r="AA342">
        <f>step3_validation[[#This Row],[AI_FAC1]]</f>
        <v>6</v>
      </c>
      <c r="AB342" t="str">
        <f t="shared" si="141"/>
        <v>Neutral</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2</v>
      </c>
      <c r="AF342">
        <f>step3_validation[[#This Row],[AI_FAC2]]</f>
        <v>9</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0</v>
      </c>
      <c r="AK342">
        <f>step3_validation[[#This Row],[AI_TRU1]]</f>
        <v>7</v>
      </c>
      <c r="AL342" t="str">
        <f t="shared" si="147"/>
        <v>Neutral</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1</v>
      </c>
      <c r="AP342">
        <f>step3_validation[[#This Row],[AI_TRU2]]</f>
        <v>8</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0</v>
      </c>
      <c r="AU342">
        <f>step3_validation[[#This Row],[AI_TRU3]]</f>
        <v>7</v>
      </c>
      <c r="AV342" t="str">
        <f t="shared" si="153"/>
        <v>Neutral</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0</v>
      </c>
      <c r="AZ342">
        <f>step3_validation[[#This Row],[AI_TRU4]]</f>
        <v>6</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1</v>
      </c>
      <c r="BE342">
        <f>step3_validation[[#This Row],[AI_OUT1]]</f>
        <v>7</v>
      </c>
      <c r="BF342" t="str">
        <f t="shared" si="159"/>
        <v>Neutral</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383</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7</v>
      </c>
      <c r="W343" t="str">
        <f t="shared" si="138"/>
        <v>Neutral</v>
      </c>
      <c r="X343">
        <f>survey_responses[[#This Row],[Tôi tin rằng Nhà nước, cơ quan thuế có đủ khả năng và công nghệ để phát hiện, xử lý nghiêm các hành vi trốn thuế. - HUMAN-ENF2]]</f>
        <v>5</v>
      </c>
      <c r="Y343" t="str">
        <f t="shared" si="139"/>
        <v>Neutral</v>
      </c>
      <c r="Z343" s="32">
        <f t="shared" si="140"/>
        <v>2</v>
      </c>
      <c r="AA343">
        <f>step3_validation[[#This Row],[AI_FAC1]]</f>
        <v>6</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0</v>
      </c>
      <c r="AF343">
        <f>step3_validation[[#This Row],[AI_FAC2]]</f>
        <v>6</v>
      </c>
      <c r="AG343" t="str">
        <f t="shared" si="144"/>
        <v>Neutral</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7</v>
      </c>
      <c r="AQ343" t="str">
        <f t="shared" si="150"/>
        <v>Neutral</v>
      </c>
      <c r="AR343">
        <f>survey_responses[[#This Row],[Tôi thấy mức thuế tôi phải đóng theo phương án mới là công bằng (người thu nhập như tôi đóng mức này là hợp lý). - HUMAN-TRU2]]</f>
        <v>8</v>
      </c>
      <c r="AS343" t="str">
        <f t="shared" si="151"/>
        <v>Support</v>
      </c>
      <c r="AT343" s="32">
        <f t="shared" si="152"/>
        <v>1</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7</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1</v>
      </c>
      <c r="BE343">
        <f>step3_validation[[#This Row],[AI_OUT1]]</f>
        <v>8</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1</v>
      </c>
    </row>
    <row r="344" spans="1:61" x14ac:dyDescent="0.45">
      <c r="A344" s="30">
        <f>step3_validation[[#This Row],[Persona_ID]]</f>
        <v>343</v>
      </c>
      <c r="B344" s="31">
        <f>step3_validation[[#This Row],[Used_Seed]]</f>
        <v>384</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14.24882607949775</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4</v>
      </c>
      <c r="R344" t="str">
        <f t="shared" si="135"/>
        <v>Oppose</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3</v>
      </c>
      <c r="V344">
        <f>step3_validation[[#This Row],[AI_ENF2]]</f>
        <v>5</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2</v>
      </c>
      <c r="AA344">
        <f>step3_validation[[#This Row],[AI_FAC1]]</f>
        <v>7</v>
      </c>
      <c r="AB344" t="str">
        <f t="shared" si="141"/>
        <v>Neutral</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1</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1</v>
      </c>
      <c r="AK344">
        <f>step3_validation[[#This Row],[AI_TRU1]]</f>
        <v>3</v>
      </c>
      <c r="AL344" t="str">
        <f t="shared" si="147"/>
        <v>Oppose</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5</v>
      </c>
      <c r="AP344">
        <f>step3_validation[[#This Row],[AI_TRU2]]</f>
        <v>6</v>
      </c>
      <c r="AQ344" t="str">
        <f t="shared" si="150"/>
        <v>Neutral</v>
      </c>
      <c r="AR344">
        <f>survey_responses[[#This Row],[Tôi thấy mức thuế tôi phải đóng theo phương án mới là công bằng (người thu nhập như tôi đóng mức này là hợp lý). - HUMAN-TRU2]]</f>
        <v>8</v>
      </c>
      <c r="AS344" t="str">
        <f t="shared" si="151"/>
        <v>Support</v>
      </c>
      <c r="AT344" s="32">
        <f t="shared" si="152"/>
        <v>2</v>
      </c>
      <c r="AU344">
        <f>step3_validation[[#This Row],[AI_TRU3]]</f>
        <v>4</v>
      </c>
      <c r="AV344" t="str">
        <f t="shared" si="153"/>
        <v>Oppose</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4</v>
      </c>
      <c r="AZ344">
        <f>step3_validation[[#This Row],[AI_TRU4]]</f>
        <v>2</v>
      </c>
      <c r="BA344" t="str">
        <f t="shared" si="156"/>
        <v>Oppose</v>
      </c>
      <c r="BB344">
        <f>survey_responses[[#This Row],[Tôi thấy Nhà nước đã giải thích rõ ràng, minh bạch về lý do và mục tiêu của việc sửa đổi thuế lần này. - HUMAN-TRU4]]</f>
        <v>7</v>
      </c>
      <c r="BC344" t="str">
        <f t="shared" si="157"/>
        <v>Neutral</v>
      </c>
      <c r="BD344" s="32">
        <f t="shared" si="158"/>
        <v>5</v>
      </c>
      <c r="BE344">
        <f>step3_validation[[#This Row],[AI_OUT1]]</f>
        <v>5</v>
      </c>
      <c r="BF344" t="str">
        <f t="shared" si="159"/>
        <v>Neutral</v>
      </c>
      <c r="BG344">
        <f>survey_responses[[#This Row],[Sau khi xem xét các quyền lợi và nghĩa vụ, bạn có ủng hộ và tuân thủ chính sách mới hiện nay? - HUMAN-OUT1]]</f>
        <v>8</v>
      </c>
      <c r="BH344" t="str">
        <f t="shared" si="160"/>
        <v>Support</v>
      </c>
      <c r="BI344" s="32">
        <f t="shared" si="161"/>
        <v>3</v>
      </c>
    </row>
    <row r="345" spans="1:61" x14ac:dyDescent="0.45">
      <c r="A345" s="30">
        <f>step3_validation[[#This Row],[Persona_ID]]</f>
        <v>344</v>
      </c>
      <c r="B345" s="31">
        <f>step3_validation[[#This Row],[Used_Seed]]</f>
        <v>385</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54.787368606908842</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0</v>
      </c>
      <c r="V345">
        <f>step3_validation[[#This Row],[AI_ENF2]]</f>
        <v>6</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5</v>
      </c>
      <c r="AB345" t="str">
        <f t="shared" si="141"/>
        <v>Neutral</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0</v>
      </c>
      <c r="AF345">
        <f>step3_validation[[#This Row],[AI_FAC2]]</f>
        <v>8</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0</v>
      </c>
      <c r="AK345">
        <f>step3_validation[[#This Row],[AI_TRU1]]</f>
        <v>4</v>
      </c>
      <c r="AL345" t="str">
        <f t="shared" si="147"/>
        <v>Oppose</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2</v>
      </c>
      <c r="AP345">
        <f>step3_validation[[#This Row],[AI_TRU2]]</f>
        <v>7</v>
      </c>
      <c r="AQ345" t="str">
        <f t="shared" si="150"/>
        <v>Neutral</v>
      </c>
      <c r="AR345">
        <f>survey_responses[[#This Row],[Tôi thấy mức thuế tôi phải đóng theo phương án mới là công bằng (người thu nhập như tôi đóng mức này là hợp lý). - HUMAN-TRU2]]</f>
        <v>5</v>
      </c>
      <c r="AS345" t="str">
        <f t="shared" si="151"/>
        <v>Neutral</v>
      </c>
      <c r="AT345" s="32">
        <f t="shared" si="152"/>
        <v>2</v>
      </c>
      <c r="AU345">
        <f>step3_validation[[#This Row],[AI_TRU3]]</f>
        <v>6</v>
      </c>
      <c r="AV345" t="str">
        <f t="shared" si="153"/>
        <v>Neutral</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1</v>
      </c>
      <c r="AZ345">
        <f>step3_validation[[#This Row],[AI_TRU4]]</f>
        <v>5</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4</v>
      </c>
      <c r="BF345" t="str">
        <f t="shared" si="159"/>
        <v>Oppose</v>
      </c>
      <c r="BG345">
        <f>survey_responses[[#This Row],[Sau khi xem xét các quyền lợi và nghĩa vụ, bạn có ủng hộ và tuân thủ chính sách mới hiện nay? - HUMAN-OUT1]]</f>
        <v>5</v>
      </c>
      <c r="BH345" t="str">
        <f t="shared" si="160"/>
        <v>Neutral</v>
      </c>
      <c r="BI345" s="32">
        <f t="shared" si="161"/>
        <v>1</v>
      </c>
    </row>
    <row r="346" spans="1:61" x14ac:dyDescent="0.45">
      <c r="A346" s="30">
        <f>step3_validation[[#This Row],[Persona_ID]]</f>
        <v>345</v>
      </c>
      <c r="B346" s="31">
        <f>step3_validation[[#This Row],[Used_Seed]]</f>
        <v>386</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13.162833585797273</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0</v>
      </c>
      <c r="V346">
        <f>step3_validation[[#This Row],[AI_ENF2]]</f>
        <v>8</v>
      </c>
      <c r="W346" t="str">
        <f t="shared" si="138"/>
        <v>Support</v>
      </c>
      <c r="X346">
        <f>survey_responses[[#This Row],[Tôi tin rằng Nhà nước, cơ quan thuế có đủ khả năng và công nghệ để phát hiện, xử lý nghiêm các hành vi trốn thuế. - HUMAN-ENF2]]</f>
        <v>7</v>
      </c>
      <c r="Y346" t="str">
        <f t="shared" si="139"/>
        <v>Neutral</v>
      </c>
      <c r="Z346" s="32">
        <f t="shared" si="140"/>
        <v>1</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4</v>
      </c>
      <c r="AF346">
        <f>step3_validation[[#This Row],[AI_FAC2]]</f>
        <v>8</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0</v>
      </c>
      <c r="AK346">
        <f>step3_validation[[#This Row],[AI_TRU1]]</f>
        <v>7</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0</v>
      </c>
      <c r="AP346">
        <f>step3_validation[[#This Row],[AI_TRU2]]</f>
        <v>6</v>
      </c>
      <c r="AQ346" t="str">
        <f t="shared" si="150"/>
        <v>Neutral</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5</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2</v>
      </c>
      <c r="BE346">
        <f>step3_validation[[#This Row],[AI_OUT1]]</f>
        <v>7</v>
      </c>
      <c r="BF346" t="str">
        <f t="shared" si="159"/>
        <v>Neutral</v>
      </c>
      <c r="BG346">
        <f>survey_responses[[#This Row],[Sau khi xem xét các quyền lợi và nghĩa vụ, bạn có ủng hộ và tuân thủ chính sách mới hiện nay? - HUMAN-OUT1]]</f>
        <v>7</v>
      </c>
      <c r="BH346" t="str">
        <f t="shared" si="160"/>
        <v>Neutral</v>
      </c>
      <c r="BI346" s="32">
        <f t="shared" si="161"/>
        <v>0</v>
      </c>
    </row>
    <row r="347" spans="1:61" x14ac:dyDescent="0.45">
      <c r="A347" s="30">
        <f>step3_validation[[#This Row],[Persona_ID]]</f>
        <v>346</v>
      </c>
      <c r="B347" s="31">
        <f>step3_validation[[#This Row],[Used_Seed]]</f>
        <v>387</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25.840895338660197</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7</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2</v>
      </c>
      <c r="V347">
        <f>step3_validation[[#This Row],[AI_ENF2]]</f>
        <v>6</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2</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6</v>
      </c>
      <c r="AG347" t="str">
        <f t="shared" si="144"/>
        <v>Neutral</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3</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5</v>
      </c>
      <c r="AQ347" t="str">
        <f t="shared" si="150"/>
        <v>Neutral</v>
      </c>
      <c r="AR347">
        <f>survey_responses[[#This Row],[Tôi thấy mức thuế tôi phải đóng theo phương án mới là công bằng (người thu nhập như tôi đóng mức này là hợp lý). - HUMAN-TRU2]]</f>
        <v>8</v>
      </c>
      <c r="AS347" t="str">
        <f t="shared" si="151"/>
        <v>Support</v>
      </c>
      <c r="AT347" s="32">
        <f t="shared" si="152"/>
        <v>3</v>
      </c>
      <c r="AU347">
        <f>step3_validation[[#This Row],[AI_TRU3]]</f>
        <v>6</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5</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2</v>
      </c>
      <c r="BE347">
        <f>step3_validation[[#This Row],[AI_OUT1]]</f>
        <v>7</v>
      </c>
      <c r="BF347" t="str">
        <f t="shared" si="159"/>
        <v>Neutral</v>
      </c>
      <c r="BG347">
        <f>survey_responses[[#This Row],[Sau khi xem xét các quyền lợi và nghĩa vụ, bạn có ủng hộ và tuân thủ chính sách mới hiện nay? - HUMAN-OUT1]]</f>
        <v>8</v>
      </c>
      <c r="BH347" t="str">
        <f t="shared" si="160"/>
        <v>Support</v>
      </c>
      <c r="BI347" s="32">
        <f t="shared" si="161"/>
        <v>1</v>
      </c>
    </row>
    <row r="348" spans="1:61" x14ac:dyDescent="0.45">
      <c r="A348" s="30">
        <f>step3_validation[[#This Row],[Persona_ID]]</f>
        <v>347</v>
      </c>
      <c r="B348" s="31">
        <f>step3_validation[[#This Row],[Used_Seed]]</f>
        <v>388</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18.769285021812873</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5</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3</v>
      </c>
      <c r="V348">
        <f>step3_validation[[#This Row],[AI_ENF2]]</f>
        <v>6</v>
      </c>
      <c r="W348" t="str">
        <f t="shared" si="138"/>
        <v>Neutral</v>
      </c>
      <c r="X348">
        <f>survey_responses[[#This Row],[Tôi tin rằng Nhà nước, cơ quan thuế có đủ khả năng và công nghệ để phát hiện, xử lý nghiêm các hành vi trốn thuế. - HUMAN-ENF2]]</f>
        <v>8</v>
      </c>
      <c r="Y348" t="str">
        <f t="shared" si="139"/>
        <v>Support</v>
      </c>
      <c r="Z348" s="32">
        <f t="shared" si="140"/>
        <v>2</v>
      </c>
      <c r="AA348">
        <f>step3_validation[[#This Row],[AI_FAC1]]</f>
        <v>7</v>
      </c>
      <c r="AB348" t="str">
        <f t="shared" si="141"/>
        <v>Neutral</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0</v>
      </c>
      <c r="AF348">
        <f>step3_validation[[#This Row],[AI_FAC2]]</f>
        <v>8</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0</v>
      </c>
      <c r="AK348">
        <f>step3_validation[[#This Row],[AI_TRU1]]</f>
        <v>6</v>
      </c>
      <c r="AL348" t="str">
        <f t="shared" si="147"/>
        <v>Neutral</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0</v>
      </c>
      <c r="AP348">
        <f>step3_validation[[#This Row],[AI_TRU2]]</f>
        <v>7</v>
      </c>
      <c r="AQ348" t="str">
        <f t="shared" si="150"/>
        <v>Neutral</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5</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1</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5</v>
      </c>
      <c r="BF348" t="str">
        <f t="shared" si="159"/>
        <v>Neutral</v>
      </c>
      <c r="BG348">
        <f>survey_responses[[#This Row],[Sau khi xem xét các quyền lợi và nghĩa vụ, bạn có ủng hộ và tuân thủ chính sách mới hiện nay? - HUMAN-OUT1]]</f>
        <v>8</v>
      </c>
      <c r="BH348" t="str">
        <f t="shared" si="160"/>
        <v>Support</v>
      </c>
      <c r="BI348" s="32">
        <f t="shared" si="161"/>
        <v>3</v>
      </c>
    </row>
    <row r="349" spans="1:61" x14ac:dyDescent="0.45">
      <c r="A349" s="30">
        <f>step3_validation[[#This Row],[Persona_ID]]</f>
        <v>348</v>
      </c>
      <c r="B349" s="31">
        <f>step3_validation[[#This Row],[Used_Seed]]</f>
        <v>389</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18.038767281149184</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8</v>
      </c>
      <c r="W349" t="str">
        <f t="shared" si="138"/>
        <v>Support</v>
      </c>
      <c r="X349">
        <f>survey_responses[[#This Row],[Tôi tin rằng Nhà nước, cơ quan thuế có đủ khả năng và công nghệ để phát hiện, xử lý nghiêm các hành vi trốn thuế. - HUMAN-ENF2]]</f>
        <v>8</v>
      </c>
      <c r="Y349" t="str">
        <f t="shared" si="139"/>
        <v>Support</v>
      </c>
      <c r="Z349" s="32">
        <f t="shared" si="140"/>
        <v>0</v>
      </c>
      <c r="AA349">
        <f>step3_validation[[#This Row],[AI_FAC1]]</f>
        <v>6</v>
      </c>
      <c r="AB349" t="str">
        <f t="shared" si="141"/>
        <v>Neutral</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1</v>
      </c>
      <c r="AF349">
        <f>step3_validation[[#This Row],[AI_FAC2]]</f>
        <v>8</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8</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2</v>
      </c>
      <c r="AP349">
        <f>step3_validation[[#This Row],[AI_TRU2]]</f>
        <v>7</v>
      </c>
      <c r="AQ349" t="str">
        <f t="shared" si="150"/>
        <v>Neutral</v>
      </c>
      <c r="AR349">
        <f>survey_responses[[#This Row],[Tôi thấy mức thuế tôi phải đóng theo phương án mới là công bằng (người thu nhập như tôi đóng mức này là hợp lý). - HUMAN-TRU2]]</f>
        <v>7</v>
      </c>
      <c r="AS349" t="str">
        <f t="shared" si="151"/>
        <v>Neutral</v>
      </c>
      <c r="AT349" s="32">
        <f t="shared" si="152"/>
        <v>0</v>
      </c>
      <c r="AU349">
        <f>step3_validation[[#This Row],[AI_TRU3]]</f>
        <v>7</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1</v>
      </c>
      <c r="AZ349">
        <f>step3_validation[[#This Row],[AI_TRU4]]</f>
        <v>6</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0</v>
      </c>
      <c r="BE349">
        <f>step3_validation[[#This Row],[AI_OUT1]]</f>
        <v>7</v>
      </c>
      <c r="BF349" t="str">
        <f t="shared" si="159"/>
        <v>Neutral</v>
      </c>
      <c r="BG349">
        <f>survey_responses[[#This Row],[Sau khi xem xét các quyền lợi và nghĩa vụ, bạn có ủng hộ và tuân thủ chính sách mới hiện nay? - HUMAN-OUT1]]</f>
        <v>7</v>
      </c>
      <c r="BH349" t="str">
        <f t="shared" si="160"/>
        <v>Neutral</v>
      </c>
      <c r="BI349" s="32">
        <f t="shared" si="161"/>
        <v>0</v>
      </c>
    </row>
    <row r="350" spans="1:61" x14ac:dyDescent="0.45">
      <c r="A350" s="30">
        <f>step3_validation[[#This Row],[Persona_ID]]</f>
        <v>349</v>
      </c>
      <c r="B350" s="31">
        <f>step3_validation[[#This Row],[Used_Seed]]</f>
        <v>390</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20.537827732639055</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8</v>
      </c>
      <c r="W350" t="str">
        <f t="shared" si="138"/>
        <v>Support</v>
      </c>
      <c r="X350">
        <f>survey_responses[[#This Row],[Tôi tin rằng Nhà nước, cơ quan thuế có đủ khả năng và công nghệ để phát hiện, xử lý nghiêm các hành vi trốn thuế. - HUMAN-ENF2]]</f>
        <v>4</v>
      </c>
      <c r="Y350" t="str">
        <f t="shared" si="139"/>
        <v>Oppose</v>
      </c>
      <c r="Z350" s="32">
        <f t="shared" si="140"/>
        <v>4</v>
      </c>
      <c r="AA350">
        <f>step3_validation[[#This Row],[AI_FAC1]]</f>
        <v>6</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1</v>
      </c>
      <c r="AF350">
        <f>step3_validation[[#This Row],[AI_FAC2]]</f>
        <v>8</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1</v>
      </c>
      <c r="AK350">
        <f>step3_validation[[#This Row],[AI_TRU1]]</f>
        <v>7</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2</v>
      </c>
      <c r="AP350">
        <f>step3_validation[[#This Row],[AI_TRU2]]</f>
        <v>7</v>
      </c>
      <c r="AQ350" t="str">
        <f t="shared" si="150"/>
        <v>Neutral</v>
      </c>
      <c r="AR350">
        <f>survey_responses[[#This Row],[Tôi thấy mức thuế tôi phải đóng theo phương án mới là công bằng (người thu nhập như tôi đóng mức này là hợp lý). - HUMAN-TRU2]]</f>
        <v>6</v>
      </c>
      <c r="AS350" t="str">
        <f t="shared" si="151"/>
        <v>Neutral</v>
      </c>
      <c r="AT350" s="32">
        <f t="shared" si="152"/>
        <v>1</v>
      </c>
      <c r="AU350">
        <f>step3_validation[[#This Row],[AI_TRU3]]</f>
        <v>7</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1</v>
      </c>
      <c r="AZ350">
        <f>step3_validation[[#This Row],[AI_TRU4]]</f>
        <v>7</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7</v>
      </c>
      <c r="BF350" t="str">
        <f t="shared" si="159"/>
        <v>Neutral</v>
      </c>
      <c r="BG350">
        <f>survey_responses[[#This Row],[Sau khi xem xét các quyền lợi và nghĩa vụ, bạn có ủng hộ và tuân thủ chính sách mới hiện nay? - HUMAN-OUT1]]</f>
        <v>6</v>
      </c>
      <c r="BH350" t="str">
        <f t="shared" si="160"/>
        <v>Neutral</v>
      </c>
      <c r="BI350" s="32">
        <f t="shared" si="161"/>
        <v>1</v>
      </c>
    </row>
    <row r="351" spans="1:61" x14ac:dyDescent="0.45">
      <c r="A351" s="30">
        <f>step3_validation[[#This Row],[Persona_ID]]</f>
        <v>350</v>
      </c>
      <c r="B351" s="31">
        <f>step3_validation[[#This Row],[Used_Seed]]</f>
        <v>391</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23.039391434143408</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8</v>
      </c>
      <c r="R351" t="str">
        <f t="shared" si="135"/>
        <v>Support</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1</v>
      </c>
      <c r="V351">
        <f>step3_validation[[#This Row],[AI_ENF2]]</f>
        <v>7</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0</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1</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0</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0</v>
      </c>
      <c r="AP351">
        <f>step3_validation[[#This Row],[AI_TRU2]]</f>
        <v>6</v>
      </c>
      <c r="AQ351" t="str">
        <f t="shared" si="150"/>
        <v>Neutral</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5</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3</v>
      </c>
      <c r="AZ351">
        <f>step3_validation[[#This Row],[AI_TRU4]]</f>
        <v>7</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2">
        <f t="shared" si="158"/>
        <v>0</v>
      </c>
      <c r="BE351">
        <f>step3_validation[[#This Row],[AI_OUT1]]</f>
        <v>6</v>
      </c>
      <c r="BF351" t="str">
        <f t="shared" si="159"/>
        <v>Neutral</v>
      </c>
      <c r="BG351">
        <f>survey_responses[[#This Row],[Sau khi xem xét các quyền lợi và nghĩa vụ, bạn có ủng hộ và tuân thủ chính sách mới hiện nay? - HUMAN-OUT1]]</f>
        <v>8</v>
      </c>
      <c r="BH351" t="str">
        <f t="shared" si="160"/>
        <v>Support</v>
      </c>
      <c r="BI351" s="32">
        <f t="shared" si="161"/>
        <v>2</v>
      </c>
    </row>
    <row r="352" spans="1:61" x14ac:dyDescent="0.45">
      <c r="A352" s="30">
        <f>step3_validation[[#This Row],[Persona_ID]]</f>
        <v>351</v>
      </c>
      <c r="B352" s="31">
        <f>step3_validation[[#This Row],[Used_Seed]]</f>
        <v>392</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35.774265818948386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8</v>
      </c>
      <c r="R352" t="str">
        <f t="shared" si="135"/>
        <v>Support</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0</v>
      </c>
      <c r="V352">
        <f>step3_validation[[#This Row],[AI_ENF2]]</f>
        <v>7</v>
      </c>
      <c r="W352" t="str">
        <f t="shared" si="138"/>
        <v>Neutral</v>
      </c>
      <c r="X352">
        <f>survey_responses[[#This Row],[Tôi tin rằng Nhà nước, cơ quan thuế có đủ khả năng và công nghệ để phát hiện, xử lý nghiêm các hành vi trốn thuế. - HUMAN-ENF2]]</f>
        <v>8</v>
      </c>
      <c r="Y352" t="str">
        <f t="shared" si="139"/>
        <v>Support</v>
      </c>
      <c r="Z352" s="32">
        <f t="shared" si="140"/>
        <v>1</v>
      </c>
      <c r="AA352">
        <f>step3_validation[[#This Row],[AI_FAC1]]</f>
        <v>9</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3</v>
      </c>
      <c r="AF352">
        <f>step3_validation[[#This Row],[AI_FAC2]]</f>
        <v>8</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1</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8</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1</v>
      </c>
      <c r="AU352">
        <f>step3_validation[[#This Row],[AI_TRU3]]</f>
        <v>7</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2</v>
      </c>
      <c r="AZ352">
        <f>step3_validation[[#This Row],[AI_TRU4]]</f>
        <v>6</v>
      </c>
      <c r="BA352" t="str">
        <f t="shared" si="156"/>
        <v>Neutral</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7</v>
      </c>
      <c r="BF352" t="str">
        <f t="shared" si="159"/>
        <v>Neutral</v>
      </c>
      <c r="BG352">
        <f>survey_responses[[#This Row],[Sau khi xem xét các quyền lợi và nghĩa vụ, bạn có ủng hộ và tuân thủ chính sách mới hiện nay? - HUMAN-OUT1]]</f>
        <v>7</v>
      </c>
      <c r="BH352" t="str">
        <f t="shared" si="160"/>
        <v>Neutral</v>
      </c>
      <c r="BI352" s="32">
        <f t="shared" si="161"/>
        <v>0</v>
      </c>
    </row>
    <row r="353" spans="1:61" x14ac:dyDescent="0.45">
      <c r="A353" s="30">
        <f>step3_validation[[#This Row],[Persona_ID]]</f>
        <v>352</v>
      </c>
      <c r="B353" s="31">
        <f>step3_validation[[#This Row],[Used_Seed]]</f>
        <v>393</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26.043387963779836</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7</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1</v>
      </c>
      <c r="V353">
        <f>step3_validation[[#This Row],[AI_ENF2]]</f>
        <v>6</v>
      </c>
      <c r="W353" t="str">
        <f t="shared" si="138"/>
        <v>Neutral</v>
      </c>
      <c r="X353">
        <f>survey_responses[[#This Row],[Tôi tin rằng Nhà nước, cơ quan thuế có đủ khả năng và công nghệ để phát hiện, xử lý nghiêm các hành vi trốn thuế. - HUMAN-ENF2]]</f>
        <v>6</v>
      </c>
      <c r="Y353" t="str">
        <f t="shared" si="139"/>
        <v>Neutral</v>
      </c>
      <c r="Z353" s="32">
        <f t="shared" si="140"/>
        <v>0</v>
      </c>
      <c r="AA353">
        <f>step3_validation[[#This Row],[AI_FAC1]]</f>
        <v>8</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0</v>
      </c>
      <c r="AF353">
        <f>step3_validation[[#This Row],[AI_FAC2]]</f>
        <v>9</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2</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0</v>
      </c>
      <c r="AP353">
        <f>step3_validation[[#This Row],[AI_TRU2]]</f>
        <v>8</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6</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1</v>
      </c>
      <c r="AZ353">
        <f>step3_validation[[#This Row],[AI_TRU4]]</f>
        <v>7</v>
      </c>
      <c r="BA353" t="str">
        <f t="shared" si="156"/>
        <v>Neutral</v>
      </c>
      <c r="BB353">
        <f>survey_responses[[#This Row],[Tôi thấy Nhà nước đã giải thích rõ ràng, minh bạch về lý do và mục tiêu của việc sửa đổi thuế lần này. - HUMAN-TRU4]]</f>
        <v>6</v>
      </c>
      <c r="BC353" t="str">
        <f t="shared" si="157"/>
        <v>Neutral</v>
      </c>
      <c r="BD353" s="32">
        <f t="shared" si="158"/>
        <v>1</v>
      </c>
      <c r="BE353">
        <f>step3_validation[[#This Row],[AI_OUT1]]</f>
        <v>8</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1</v>
      </c>
    </row>
    <row r="354" spans="1:61" x14ac:dyDescent="0.45">
      <c r="A354" s="30">
        <f>step3_validation[[#This Row],[Persona_ID]]</f>
        <v>353</v>
      </c>
      <c r="B354" s="31">
        <f>step3_validation[[#This Row],[Used_Seed]]</f>
        <v>394</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94.635457693921978</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8</v>
      </c>
      <c r="W354" t="str">
        <f t="shared" si="138"/>
        <v>Support</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6</v>
      </c>
      <c r="AB354" t="str">
        <f t="shared" si="141"/>
        <v>Neutral</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2</v>
      </c>
      <c r="AF354">
        <f>step3_validation[[#This Row],[AI_FAC2]]</f>
        <v>8</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0</v>
      </c>
      <c r="AK354">
        <f>step3_validation[[#This Row],[AI_TRU1]]</f>
        <v>9</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3</v>
      </c>
      <c r="AP354">
        <f>step3_validation[[#This Row],[AI_TRU2]]</f>
        <v>7</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0</v>
      </c>
      <c r="AU354">
        <f>step3_validation[[#This Row],[AI_TRU3]]</f>
        <v>8</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3</v>
      </c>
      <c r="AZ354">
        <f>step3_validation[[#This Row],[AI_TRU4]]</f>
        <v>7</v>
      </c>
      <c r="BA354" t="str">
        <f t="shared" si="156"/>
        <v>Neutral</v>
      </c>
      <c r="BB354">
        <f>survey_responses[[#This Row],[Tôi thấy Nhà nước đã giải thích rõ ràng, minh bạch về lý do và mục tiêu của việc sửa đổi thuế lần này. - HUMAN-TRU4]]</f>
        <v>7</v>
      </c>
      <c r="BC354" t="str">
        <f t="shared" si="157"/>
        <v>Neutral</v>
      </c>
      <c r="BD354" s="32">
        <f t="shared" si="158"/>
        <v>0</v>
      </c>
      <c r="BE354">
        <f>step3_validation[[#This Row],[AI_OUT1]]</f>
        <v>9</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2</v>
      </c>
    </row>
    <row r="355" spans="1:61" x14ac:dyDescent="0.45">
      <c r="A355" s="30">
        <f>step3_validation[[#This Row],[Persona_ID]]</f>
        <v>354</v>
      </c>
      <c r="B355" s="31">
        <f>step3_validation[[#This Row],[Used_Seed]]</f>
        <v>395</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12.362720969661895</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8</v>
      </c>
      <c r="R355" t="str">
        <f t="shared" si="135"/>
        <v>Support</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1</v>
      </c>
      <c r="V355">
        <f>step3_validation[[#This Row],[AI_ENF2]]</f>
        <v>9</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2">
        <f t="shared" si="140"/>
        <v>0</v>
      </c>
      <c r="AA355">
        <f>step3_validation[[#This Row],[AI_FAC1]]</f>
        <v>7</v>
      </c>
      <c r="AB355" t="str">
        <f t="shared" si="141"/>
        <v>Neutral</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3</v>
      </c>
      <c r="AF355">
        <f>step3_validation[[#This Row],[AI_FAC2]]</f>
        <v>8</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2</v>
      </c>
      <c r="AK355">
        <f>step3_validation[[#This Row],[AI_TRU1]]</f>
        <v>7</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2</v>
      </c>
      <c r="AP355">
        <f>step3_validation[[#This Row],[AI_TRU2]]</f>
        <v>6</v>
      </c>
      <c r="AQ355" t="str">
        <f t="shared" si="150"/>
        <v>Neutral</v>
      </c>
      <c r="AR355">
        <f>survey_responses[[#This Row],[Tôi thấy mức thuế tôi phải đóng theo phương án mới là công bằng (người thu nhập như tôi đóng mức này là hợp lý). - HUMAN-TRU2]]</f>
        <v>10</v>
      </c>
      <c r="AS355" t="str">
        <f t="shared" si="151"/>
        <v>Support</v>
      </c>
      <c r="AT355" s="32">
        <f t="shared" si="152"/>
        <v>4</v>
      </c>
      <c r="AU355">
        <f>step3_validation[[#This Row],[AI_TRU3]]</f>
        <v>7</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1</v>
      </c>
      <c r="AZ355">
        <f>step3_validation[[#This Row],[AI_TRU4]]</f>
        <v>6</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2</v>
      </c>
      <c r="BE355">
        <f>step3_validation[[#This Row],[AI_OUT1]]</f>
        <v>5</v>
      </c>
      <c r="BF355" t="str">
        <f t="shared" si="159"/>
        <v>Neutral</v>
      </c>
      <c r="BG355">
        <f>survey_responses[[#This Row],[Sau khi xem xét các quyền lợi và nghĩa vụ, bạn có ủng hộ và tuân thủ chính sách mới hiện nay? - HUMAN-OUT1]]</f>
        <v>9</v>
      </c>
      <c r="BH355" t="str">
        <f t="shared" si="160"/>
        <v>Support</v>
      </c>
      <c r="BI355" s="32">
        <f t="shared" si="161"/>
        <v>4</v>
      </c>
    </row>
    <row r="356" spans="1:61" x14ac:dyDescent="0.45">
      <c r="A356" s="30">
        <f>step3_validation[[#This Row],[Persona_ID]]</f>
        <v>355</v>
      </c>
      <c r="B356" s="31">
        <f>step3_validation[[#This Row],[Used_Seed]]</f>
        <v>396</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13.911629315740013</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6</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2">
        <f t="shared" si="140"/>
        <v>2</v>
      </c>
      <c r="AA356">
        <f>step3_validation[[#This Row],[AI_FAC1]]</f>
        <v>8</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0</v>
      </c>
      <c r="AF356">
        <f>step3_validation[[#This Row],[AI_FAC2]]</f>
        <v>7</v>
      </c>
      <c r="AG356" t="str">
        <f t="shared" si="144"/>
        <v>Neutral</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2</v>
      </c>
      <c r="AK356">
        <f>step3_validation[[#This Row],[AI_TRU1]]</f>
        <v>8</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0</v>
      </c>
      <c r="AP356">
        <f>step3_validation[[#This Row],[AI_TRU2]]</f>
        <v>6</v>
      </c>
      <c r="AQ356" t="str">
        <f t="shared" si="150"/>
        <v>Neutral</v>
      </c>
      <c r="AR356">
        <f>survey_responses[[#This Row],[Tôi thấy mức thuế tôi phải đóng theo phương án mới là công bằng (người thu nhập như tôi đóng mức này là hợp lý). - HUMAN-TRU2]]</f>
        <v>10</v>
      </c>
      <c r="AS356" t="str">
        <f t="shared" si="151"/>
        <v>Support</v>
      </c>
      <c r="AT356" s="32">
        <f t="shared" si="152"/>
        <v>4</v>
      </c>
      <c r="AU356">
        <f>step3_validation[[#This Row],[AI_TRU3]]</f>
        <v>8</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0</v>
      </c>
      <c r="AZ356">
        <f>step3_validation[[#This Row],[AI_TRU4]]</f>
        <v>5</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3</v>
      </c>
      <c r="BE356">
        <f>step3_validation[[#This Row],[AI_OUT1]]</f>
        <v>7</v>
      </c>
      <c r="BF356" t="str">
        <f t="shared" si="159"/>
        <v>Neutral</v>
      </c>
      <c r="BG356">
        <f>survey_responses[[#This Row],[Sau khi xem xét các quyền lợi và nghĩa vụ, bạn có ủng hộ và tuân thủ chính sách mới hiện nay? - HUMAN-OUT1]]</f>
        <v>9</v>
      </c>
      <c r="BH356" t="str">
        <f t="shared" si="160"/>
        <v>Support</v>
      </c>
      <c r="BI356" s="32">
        <f t="shared" si="161"/>
        <v>2</v>
      </c>
    </row>
    <row r="357" spans="1:61" x14ac:dyDescent="0.45">
      <c r="A357" s="30">
        <f>step3_validation[[#This Row],[Persona_ID]]</f>
        <v>356</v>
      </c>
      <c r="B357" s="31">
        <f>step3_validation[[#This Row],[Used_Seed]]</f>
        <v>397</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14.144076768211725</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0</v>
      </c>
      <c r="V357">
        <f>step3_validation[[#This Row],[AI_ENF2]]</f>
        <v>6</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8</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0</v>
      </c>
      <c r="AF357">
        <f>step3_validation[[#This Row],[AI_FAC2]]</f>
        <v>7</v>
      </c>
      <c r="AG357" t="str">
        <f t="shared" si="144"/>
        <v>Neutral</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3</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1</v>
      </c>
      <c r="AP357">
        <f>step3_validation[[#This Row],[AI_TRU2]]</f>
        <v>7</v>
      </c>
      <c r="AQ357" t="str">
        <f t="shared" si="150"/>
        <v>Neutral</v>
      </c>
      <c r="AR357">
        <f>survey_responses[[#This Row],[Tôi thấy mức thuế tôi phải đóng theo phương án mới là công bằng (người thu nhập như tôi đóng mức này là hợp lý). - HUMAN-TRU2]]</f>
        <v>10</v>
      </c>
      <c r="AS357" t="str">
        <f t="shared" si="151"/>
        <v>Support</v>
      </c>
      <c r="AT357" s="32">
        <f t="shared" si="152"/>
        <v>3</v>
      </c>
      <c r="AU357">
        <f>step3_validation[[#This Row],[AI_TRU3]]</f>
        <v>7</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1</v>
      </c>
      <c r="AZ357">
        <f>step3_validation[[#This Row],[AI_TRU4]]</f>
        <v>8</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2">
        <f t="shared" si="158"/>
        <v>0</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398</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29.446108309388251</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2</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7</v>
      </c>
      <c r="AG358" t="str">
        <f t="shared" si="144"/>
        <v>Neutral</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2</v>
      </c>
      <c r="AK358">
        <f>step3_validation[[#This Row],[AI_TRU1]]</f>
        <v>8</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0</v>
      </c>
      <c r="AP358">
        <f>step3_validation[[#This Row],[AI_TRU2]]</f>
        <v>6</v>
      </c>
      <c r="AQ358" t="str">
        <f t="shared" si="150"/>
        <v>Neutral</v>
      </c>
      <c r="AR358">
        <f>survey_responses[[#This Row],[Tôi thấy mức thuế tôi phải đóng theo phương án mới là công bằng (người thu nhập như tôi đóng mức này là hợp lý). - HUMAN-TRU2]]</f>
        <v>8</v>
      </c>
      <c r="AS358" t="str">
        <f t="shared" si="151"/>
        <v>Support</v>
      </c>
      <c r="AT358" s="32">
        <f t="shared" si="152"/>
        <v>2</v>
      </c>
      <c r="AU358">
        <f>step3_validation[[#This Row],[AI_TRU3]]</f>
        <v>7</v>
      </c>
      <c r="AV358" t="str">
        <f t="shared" si="153"/>
        <v>Neutral</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0</v>
      </c>
      <c r="AZ358">
        <f>step3_validation[[#This Row],[AI_TRU4]]</f>
        <v>5</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2</v>
      </c>
      <c r="BE358">
        <f>step3_validation[[#This Row],[AI_OUT1]]</f>
        <v>6</v>
      </c>
      <c r="BF358" t="str">
        <f t="shared" si="159"/>
        <v>Neutral</v>
      </c>
      <c r="BG358">
        <f>survey_responses[[#This Row],[Sau khi xem xét các quyền lợi và nghĩa vụ, bạn có ủng hộ và tuân thủ chính sách mới hiện nay? - HUMAN-OUT1]]</f>
        <v>8</v>
      </c>
      <c r="BH358" t="str">
        <f t="shared" si="160"/>
        <v>Support</v>
      </c>
      <c r="BI358" s="32">
        <f t="shared" si="161"/>
        <v>2</v>
      </c>
    </row>
    <row r="359" spans="1:61" x14ac:dyDescent="0.45">
      <c r="A359" s="30">
        <f>step3_validation[[#This Row],[Persona_ID]]</f>
        <v>358</v>
      </c>
      <c r="B359" s="31">
        <f>step3_validation[[#This Row],[Used_Seed]]</f>
        <v>399</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15.406555151987803</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t="str">
        <f t="shared" si="135"/>
        <v>Support</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9</v>
      </c>
      <c r="W359" t="str">
        <f t="shared" si="138"/>
        <v>Support</v>
      </c>
      <c r="X359">
        <f>survey_responses[[#This Row],[Tôi tin rằng Nhà nước, cơ quan thuế có đủ khả năng và công nghệ để phát hiện, xử lý nghiêm các hành vi trốn thuế. - HUMAN-ENF2]]</f>
        <v>7</v>
      </c>
      <c r="Y359" t="str">
        <f t="shared" si="139"/>
        <v>Neutral</v>
      </c>
      <c r="Z359" s="32">
        <f t="shared" si="140"/>
        <v>2</v>
      </c>
      <c r="AA359">
        <f>step3_validation[[#This Row],[AI_FAC1]]</f>
        <v>7</v>
      </c>
      <c r="AB359" t="str">
        <f t="shared" si="141"/>
        <v>Neutral</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0</v>
      </c>
      <c r="AF359">
        <f>step3_validation[[#This Row],[AI_FAC2]]</f>
        <v>8</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0</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0</v>
      </c>
      <c r="AP359">
        <f>step3_validation[[#This Row],[AI_TRU2]]</f>
        <v>8</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1</v>
      </c>
      <c r="AU359">
        <f>step3_validation[[#This Row],[AI_TRU3]]</f>
        <v>7</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1</v>
      </c>
      <c r="AZ359">
        <f>step3_validation[[#This Row],[AI_TRU4]]</f>
        <v>6</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2</v>
      </c>
      <c r="BE359">
        <f>step3_validation[[#This Row],[AI_OUT1]]</f>
        <v>8</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0</v>
      </c>
    </row>
    <row r="360" spans="1:61" x14ac:dyDescent="0.45">
      <c r="A360" s="30">
        <f>step3_validation[[#This Row],[Persona_ID]]</f>
        <v>359</v>
      </c>
      <c r="B360" s="31">
        <f>step3_validation[[#This Row],[Used_Seed]]</f>
        <v>400</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18.796395243882394</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8</v>
      </c>
      <c r="R360" t="str">
        <f t="shared" si="135"/>
        <v>Support</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4</v>
      </c>
      <c r="V360">
        <f>step3_validation[[#This Row],[AI_ENF2]]</f>
        <v>7</v>
      </c>
      <c r="W360" t="str">
        <f t="shared" si="138"/>
        <v>Neutral</v>
      </c>
      <c r="X360">
        <f>survey_responses[[#This Row],[Tôi tin rằng Nhà nước, cơ quan thuế có đủ khả năng và công nghệ để phát hiện, xử lý nghiêm các hành vi trốn thuế. - HUMAN-ENF2]]</f>
        <v>5</v>
      </c>
      <c r="Y360" t="str">
        <f t="shared" si="139"/>
        <v>Neutral</v>
      </c>
      <c r="Z360" s="32">
        <f t="shared" si="140"/>
        <v>2</v>
      </c>
      <c r="AA360">
        <f>step3_validation[[#This Row],[AI_FAC1]]</f>
        <v>6</v>
      </c>
      <c r="AB360" t="str">
        <f t="shared" si="141"/>
        <v>Neutral</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0</v>
      </c>
      <c r="AF360">
        <f>step3_validation[[#This Row],[AI_FAC2]]</f>
        <v>5</v>
      </c>
      <c r="AG360" t="str">
        <f t="shared" si="144"/>
        <v>Neutral</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2</v>
      </c>
      <c r="AK360">
        <f>step3_validation[[#This Row],[AI_TRU1]]</f>
        <v>7</v>
      </c>
      <c r="AL360" t="str">
        <f t="shared" si="147"/>
        <v>Neutral</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0</v>
      </c>
      <c r="AP360">
        <f>step3_validation[[#This Row],[AI_TRU2]]</f>
        <v>6</v>
      </c>
      <c r="AQ360" t="str">
        <f t="shared" si="150"/>
        <v>Neutral</v>
      </c>
      <c r="AR360">
        <f>survey_responses[[#This Row],[Tôi thấy mức thuế tôi phải đóng theo phương án mới là công bằng (người thu nhập như tôi đóng mức này là hợp lý). - HUMAN-TRU2]]</f>
        <v>6</v>
      </c>
      <c r="AS360" t="str">
        <f t="shared" si="151"/>
        <v>Neutral</v>
      </c>
      <c r="AT360" s="32">
        <f t="shared" si="152"/>
        <v>0</v>
      </c>
      <c r="AU360">
        <f>step3_validation[[#This Row],[AI_TRU3]]</f>
        <v>5</v>
      </c>
      <c r="AV360" t="str">
        <f t="shared" si="153"/>
        <v>Neutral</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1</v>
      </c>
      <c r="AZ360">
        <f>step3_validation[[#This Row],[AI_TRU4]]</f>
        <v>7</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1</v>
      </c>
      <c r="BE360">
        <f>step3_validation[[#This Row],[AI_OUT1]]</f>
        <v>6</v>
      </c>
      <c r="BF360" t="str">
        <f t="shared" si="159"/>
        <v>Neutral</v>
      </c>
      <c r="BG360">
        <f>survey_responses[[#This Row],[Sau khi xem xét các quyền lợi và nghĩa vụ, bạn có ủng hộ và tuân thủ chính sách mới hiện nay? - HUMAN-OUT1]]</f>
        <v>7</v>
      </c>
      <c r="BH360" t="str">
        <f t="shared" si="160"/>
        <v>Neutral</v>
      </c>
      <c r="BI360" s="32">
        <f t="shared" si="161"/>
        <v>1</v>
      </c>
    </row>
    <row r="361" spans="1:61" x14ac:dyDescent="0.45">
      <c r="A361" s="30">
        <f>step3_validation[[#This Row],[Persona_ID]]</f>
        <v>360</v>
      </c>
      <c r="B361" s="31">
        <f>step3_validation[[#This Row],[Used_Seed]]</f>
        <v>401</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20.773523601172268</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2</v>
      </c>
      <c r="V361">
        <f>step3_validation[[#This Row],[AI_ENF2]]</f>
        <v>8</v>
      </c>
      <c r="W361" t="str">
        <f t="shared" si="138"/>
        <v>Support</v>
      </c>
      <c r="X361">
        <f>survey_responses[[#This Row],[Tôi tin rằng Nhà nước, cơ quan thuế có đủ khả năng và công nghệ để phát hiện, xử lý nghiêm các hành vi trốn thuế. - HUMAN-ENF2]]</f>
        <v>8</v>
      </c>
      <c r="Y361" t="str">
        <f t="shared" si="139"/>
        <v>Support</v>
      </c>
      <c r="Z361" s="32">
        <f t="shared" si="140"/>
        <v>0</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0</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7</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1</v>
      </c>
      <c r="AZ361">
        <f>step3_validation[[#This Row],[AI_TRU4]]</f>
        <v>6</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1</v>
      </c>
      <c r="BE361">
        <f>step3_validation[[#This Row],[AI_OUT1]]</f>
        <v>7</v>
      </c>
      <c r="BF361" t="str">
        <f t="shared" si="159"/>
        <v>Neutral</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402</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5</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2</v>
      </c>
      <c r="V362">
        <f>step3_validation[[#This Row],[AI_ENF2]]</f>
        <v>6</v>
      </c>
      <c r="W362" t="str">
        <f t="shared" si="138"/>
        <v>Neutral</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8</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0</v>
      </c>
      <c r="AF362">
        <f>step3_validation[[#This Row],[AI_FAC2]]</f>
        <v>7</v>
      </c>
      <c r="AG362" t="str">
        <f t="shared" si="144"/>
        <v>Neutral</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2</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6</v>
      </c>
      <c r="AQ362" t="str">
        <f t="shared" si="150"/>
        <v>Neutral</v>
      </c>
      <c r="AR362">
        <f>survey_responses[[#This Row],[Tôi thấy mức thuế tôi phải đóng theo phương án mới là công bằng (người thu nhập như tôi đóng mức này là hợp lý). - HUMAN-TRU2]]</f>
        <v>10</v>
      </c>
      <c r="AS362" t="str">
        <f t="shared" si="151"/>
        <v>Support</v>
      </c>
      <c r="AT362" s="32">
        <f t="shared" si="152"/>
        <v>4</v>
      </c>
      <c r="AU362">
        <f>step3_validation[[#This Row],[AI_TRU3]]</f>
        <v>7</v>
      </c>
      <c r="AV362" t="str">
        <f t="shared" si="153"/>
        <v>Neutral</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1</v>
      </c>
      <c r="AZ362">
        <f>step3_validation[[#This Row],[AI_TRU4]]</f>
        <v>5</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3</v>
      </c>
      <c r="BE362">
        <f>step3_validation[[#This Row],[AI_OUT1]]</f>
        <v>6</v>
      </c>
      <c r="BF362" t="str">
        <f t="shared" si="159"/>
        <v>Neutral</v>
      </c>
      <c r="BG362">
        <f>survey_responses[[#This Row],[Sau khi xem xét các quyền lợi và nghĩa vụ, bạn có ủng hộ và tuân thủ chính sách mới hiện nay? - HUMAN-OUT1]]</f>
        <v>10</v>
      </c>
      <c r="BH362" t="str">
        <f t="shared" si="160"/>
        <v>Support</v>
      </c>
      <c r="BI362" s="32">
        <f t="shared" si="161"/>
        <v>4</v>
      </c>
    </row>
    <row r="363" spans="1:61" x14ac:dyDescent="0.45">
      <c r="A363" s="30">
        <f>step3_validation[[#This Row],[Persona_ID]]</f>
        <v>362</v>
      </c>
      <c r="B363" s="31">
        <f>step3_validation[[#This Row],[Used_Seed]]</f>
        <v>403</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12.888036390139872</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4</v>
      </c>
      <c r="R363" t="str">
        <f t="shared" si="135"/>
        <v>Oppose</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1</v>
      </c>
      <c r="V363">
        <f>step3_validation[[#This Row],[AI_ENF2]]</f>
        <v>6</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3</v>
      </c>
      <c r="AA363">
        <f>step3_validation[[#This Row],[AI_FAC1]]</f>
        <v>7</v>
      </c>
      <c r="AB363" t="str">
        <f t="shared" si="141"/>
        <v>Neutral</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2</v>
      </c>
      <c r="AF363">
        <f>step3_validation[[#This Row],[AI_FAC2]]</f>
        <v>5</v>
      </c>
      <c r="AG363" t="str">
        <f t="shared" si="144"/>
        <v>Neutral</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1</v>
      </c>
      <c r="AK363">
        <f>step3_validation[[#This Row],[AI_TRU1]]</f>
        <v>3</v>
      </c>
      <c r="AL363" t="str">
        <f t="shared" si="147"/>
        <v>Oppose</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2</v>
      </c>
      <c r="AP363">
        <f>step3_validation[[#This Row],[AI_TRU2]]</f>
        <v>4</v>
      </c>
      <c r="AQ363" t="str">
        <f t="shared" si="150"/>
        <v>Oppose</v>
      </c>
      <c r="AR363">
        <f>survey_responses[[#This Row],[Tôi thấy mức thuế tôi phải đóng theo phương án mới là công bằng (người thu nhập như tôi đóng mức này là hợp lý). - HUMAN-TRU2]]</f>
        <v>6</v>
      </c>
      <c r="AS363" t="str">
        <f t="shared" si="151"/>
        <v>Neutral</v>
      </c>
      <c r="AT363" s="32">
        <f t="shared" si="152"/>
        <v>2</v>
      </c>
      <c r="AU363">
        <f>step3_validation[[#This Row],[AI_TRU3]]</f>
        <v>3</v>
      </c>
      <c r="AV363" t="str">
        <f t="shared" si="153"/>
        <v>Oppose</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1</v>
      </c>
      <c r="AZ363">
        <f>step3_validation[[#This Row],[AI_TRU4]]</f>
        <v>5</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1</v>
      </c>
      <c r="BE363">
        <f>step3_validation[[#This Row],[AI_OUT1]]</f>
        <v>6</v>
      </c>
      <c r="BF363" t="str">
        <f t="shared" si="159"/>
        <v>Neutral</v>
      </c>
      <c r="BG363">
        <f>survey_responses[[#This Row],[Sau khi xem xét các quyền lợi và nghĩa vụ, bạn có ủng hộ và tuân thủ chính sách mới hiện nay? - HUMAN-OUT1]]</f>
        <v>6</v>
      </c>
      <c r="BH363" t="str">
        <f t="shared" si="160"/>
        <v>Neutral</v>
      </c>
      <c r="BI363" s="32">
        <f t="shared" si="161"/>
        <v>0</v>
      </c>
    </row>
    <row r="364" spans="1:61" x14ac:dyDescent="0.45">
      <c r="A364" s="30">
        <f>step3_validation[[#This Row],[Persona_ID]]</f>
        <v>363</v>
      </c>
      <c r="B364" s="31">
        <f>step3_validation[[#This Row],[Used_Seed]]</f>
        <v>404</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25.423234987861576</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8</v>
      </c>
      <c r="R364" t="str">
        <f t="shared" si="135"/>
        <v>Support</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0</v>
      </c>
      <c r="V364">
        <f>step3_validation[[#This Row],[AI_ENF2]]</f>
        <v>7</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1</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4</v>
      </c>
      <c r="AF364">
        <f>step3_validation[[#This Row],[AI_FAC2]]</f>
        <v>8</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1</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2</v>
      </c>
      <c r="AP364">
        <f>step3_validation[[#This Row],[AI_TRU2]]</f>
        <v>6</v>
      </c>
      <c r="AQ364" t="str">
        <f t="shared" si="150"/>
        <v>Neutral</v>
      </c>
      <c r="AR364">
        <f>survey_responses[[#This Row],[Tôi thấy mức thuế tôi phải đóng theo phương án mới là công bằng (người thu nhập như tôi đóng mức này là hợp lý). - HUMAN-TRU2]]</f>
        <v>8</v>
      </c>
      <c r="AS364" t="str">
        <f t="shared" si="151"/>
        <v>Support</v>
      </c>
      <c r="AT364" s="32">
        <f t="shared" si="152"/>
        <v>2</v>
      </c>
      <c r="AU364">
        <f>step3_validation[[#This Row],[AI_TRU3]]</f>
        <v>5</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0</v>
      </c>
      <c r="AZ364">
        <f>step3_validation[[#This Row],[AI_TRU4]]</f>
        <v>4</v>
      </c>
      <c r="BA364" t="str">
        <f t="shared" si="156"/>
        <v>Oppose</v>
      </c>
      <c r="BB364">
        <f>survey_responses[[#This Row],[Tôi thấy Nhà nước đã giải thích rõ ràng, minh bạch về lý do và mục tiêu của việc sửa đổi thuế lần này. - HUMAN-TRU4]]</f>
        <v>7</v>
      </c>
      <c r="BC364" t="str">
        <f t="shared" si="157"/>
        <v>Neutral</v>
      </c>
      <c r="BD364" s="32">
        <f t="shared" si="158"/>
        <v>3</v>
      </c>
      <c r="BE364">
        <f>step3_validation[[#This Row],[AI_OUT1]]</f>
        <v>3</v>
      </c>
      <c r="BF364" t="str">
        <f t="shared" si="159"/>
        <v>Oppose</v>
      </c>
      <c r="BG364">
        <f>survey_responses[[#This Row],[Sau khi xem xét các quyền lợi và nghĩa vụ, bạn có ủng hộ và tuân thủ chính sách mới hiện nay? - HUMAN-OUT1]]</f>
        <v>8</v>
      </c>
      <c r="BH364" t="str">
        <f t="shared" si="160"/>
        <v>Support</v>
      </c>
      <c r="BI364" s="32">
        <f t="shared" si="161"/>
        <v>5</v>
      </c>
    </row>
    <row r="365" spans="1:61" x14ac:dyDescent="0.45">
      <c r="A365" s="30">
        <f>step3_validation[[#This Row],[Persona_ID]]</f>
        <v>364</v>
      </c>
      <c r="B365" s="31">
        <f>step3_validation[[#This Row],[Used_Seed]]</f>
        <v>405</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21.550587164563048</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7</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3</v>
      </c>
      <c r="V365">
        <f>step3_validation[[#This Row],[AI_ENF2]]</f>
        <v>7</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2</v>
      </c>
      <c r="AA365">
        <f>step3_validation[[#This Row],[AI_FAC1]]</f>
        <v>8</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3</v>
      </c>
      <c r="AF365">
        <f>step3_validation[[#This Row],[AI_FAC2]]</f>
        <v>8</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1</v>
      </c>
      <c r="AK365">
        <f>step3_validation[[#This Row],[AI_TRU1]]</f>
        <v>9</v>
      </c>
      <c r="AL365" t="str">
        <f t="shared" si="147"/>
        <v>Support</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4</v>
      </c>
      <c r="AP365">
        <f>step3_validation[[#This Row],[AI_TRU2]]</f>
        <v>8</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9</v>
      </c>
      <c r="AV365" t="str">
        <f t="shared" si="153"/>
        <v>Support</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4</v>
      </c>
      <c r="AZ365">
        <f>step3_validation[[#This Row],[AI_TRU4]]</f>
        <v>7</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1</v>
      </c>
      <c r="BE365">
        <f>step3_validation[[#This Row],[AI_OUT1]]</f>
        <v>8</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1</v>
      </c>
    </row>
    <row r="366" spans="1:61" x14ac:dyDescent="0.45">
      <c r="A366" s="30">
        <f>step3_validation[[#This Row],[Persona_ID]]</f>
        <v>365</v>
      </c>
      <c r="B366" s="31">
        <f>step3_validation[[#This Row],[Used_Seed]]</f>
        <v>406</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33.102152187904508</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6</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3</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8</v>
      </c>
      <c r="AL366" t="str">
        <f t="shared" si="147"/>
        <v>Support</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1</v>
      </c>
      <c r="AP366">
        <f>step3_validation[[#This Row],[AI_TRU2]]</f>
        <v>7</v>
      </c>
      <c r="AQ366" t="str">
        <f t="shared" si="150"/>
        <v>Neutral</v>
      </c>
      <c r="AR366">
        <f>survey_responses[[#This Row],[Tôi thấy mức thuế tôi phải đóng theo phương án mới là công bằng (người thu nhập như tôi đóng mức này là hợp lý). - HUMAN-TRU2]]</f>
        <v>7</v>
      </c>
      <c r="AS366" t="str">
        <f t="shared" si="151"/>
        <v>Neutral</v>
      </c>
      <c r="AT366" s="32">
        <f t="shared" si="152"/>
        <v>0</v>
      </c>
      <c r="AU366">
        <f>step3_validation[[#This Row],[AI_TRU3]]</f>
        <v>8</v>
      </c>
      <c r="AV366" t="str">
        <f t="shared" si="153"/>
        <v>Support</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1</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7</v>
      </c>
      <c r="BF366" t="str">
        <f t="shared" si="159"/>
        <v>Neutral</v>
      </c>
      <c r="BG366">
        <f>survey_responses[[#This Row],[Sau khi xem xét các quyền lợi và nghĩa vụ, bạn có ủng hộ và tuân thủ chính sách mới hiện nay? - HUMAN-OUT1]]</f>
        <v>7</v>
      </c>
      <c r="BH366" t="str">
        <f t="shared" si="160"/>
        <v>Neutral</v>
      </c>
      <c r="BI366" s="32">
        <f t="shared" si="161"/>
        <v>0</v>
      </c>
    </row>
    <row r="367" spans="1:61" x14ac:dyDescent="0.45">
      <c r="A367" s="30">
        <f>step3_validation[[#This Row],[Persona_ID]]</f>
        <v>366</v>
      </c>
      <c r="B367" s="31">
        <f>step3_validation[[#This Row],[Used_Seed]]</f>
        <v>407</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51.358438310867861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0</v>
      </c>
      <c r="V367">
        <f>step3_validation[[#This Row],[AI_ENF2]]</f>
        <v>6</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2">
        <f t="shared" si="140"/>
        <v>2</v>
      </c>
      <c r="AA367">
        <f>step3_validation[[#This Row],[AI_FAC1]]</f>
        <v>8</v>
      </c>
      <c r="AB367" t="str">
        <f t="shared" si="141"/>
        <v>Support</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0</v>
      </c>
      <c r="AF367">
        <f>step3_validation[[#This Row],[AI_FAC2]]</f>
        <v>7</v>
      </c>
      <c r="AG367" t="str">
        <f t="shared" si="144"/>
        <v>Neutral</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6</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1</v>
      </c>
      <c r="AP367">
        <f>step3_validation[[#This Row],[AI_TRU2]]</f>
        <v>7</v>
      </c>
      <c r="AQ367" t="str">
        <f t="shared" si="150"/>
        <v>Neutral</v>
      </c>
      <c r="AR367">
        <f>survey_responses[[#This Row],[Tôi thấy mức thuế tôi phải đóng theo phương án mới là công bằng (người thu nhập như tôi đóng mức này là hợp lý). - HUMAN-TRU2]]</f>
        <v>6</v>
      </c>
      <c r="AS367" t="str">
        <f t="shared" si="151"/>
        <v>Neutral</v>
      </c>
      <c r="AT367" s="32">
        <f t="shared" si="152"/>
        <v>1</v>
      </c>
      <c r="AU367">
        <f>step3_validation[[#This Row],[AI_TRU3]]</f>
        <v>8</v>
      </c>
      <c r="AV367" t="str">
        <f t="shared" si="153"/>
        <v>Support</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3</v>
      </c>
      <c r="AZ367">
        <f>step3_validation[[#This Row],[AI_TRU4]]</f>
        <v>6</v>
      </c>
      <c r="BA367" t="str">
        <f t="shared" si="156"/>
        <v>Neutral</v>
      </c>
      <c r="BB367">
        <f>survey_responses[[#This Row],[Tôi thấy Nhà nước đã giải thích rõ ràng, minh bạch về lý do và mục tiêu của việc sửa đổi thuế lần này. - HUMAN-TRU4]]</f>
        <v>6</v>
      </c>
      <c r="BC367" t="str">
        <f t="shared" si="157"/>
        <v>Neutral</v>
      </c>
      <c r="BD367" s="32">
        <f t="shared" si="158"/>
        <v>0</v>
      </c>
      <c r="BE367">
        <f>step3_validation[[#This Row],[AI_OUT1]]</f>
        <v>7</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408</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14.995135327048178</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1</v>
      </c>
      <c r="V368">
        <f>step3_validation[[#This Row],[AI_ENF2]]</f>
        <v>6</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3</v>
      </c>
      <c r="AA368">
        <f>step3_validation[[#This Row],[AI_FAC1]]</f>
        <v>8</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0</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1</v>
      </c>
      <c r="AK368">
        <f>step3_validation[[#This Row],[AI_TRU1]]</f>
        <v>7</v>
      </c>
      <c r="AL368" t="str">
        <f t="shared" si="147"/>
        <v>Neutral</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2</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7</v>
      </c>
      <c r="AV368" t="str">
        <f t="shared" si="153"/>
        <v>Neutral</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3</v>
      </c>
      <c r="AZ368">
        <f>step3_validation[[#This Row],[AI_TRU4]]</f>
        <v>6</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3</v>
      </c>
      <c r="BE368">
        <f>step3_validation[[#This Row],[AI_OUT1]]</f>
        <v>7</v>
      </c>
      <c r="BF368" t="str">
        <f t="shared" si="159"/>
        <v>Neutral</v>
      </c>
      <c r="BG368">
        <f>survey_responses[[#This Row],[Sau khi xem xét các quyền lợi và nghĩa vụ, bạn có ủng hộ và tuân thủ chính sách mới hiện nay? - HUMAN-OUT1]]</f>
        <v>10</v>
      </c>
      <c r="BH368" t="str">
        <f t="shared" si="160"/>
        <v>Support</v>
      </c>
      <c r="BI368" s="32">
        <f t="shared" si="161"/>
        <v>3</v>
      </c>
    </row>
    <row r="369" spans="1:61" x14ac:dyDescent="0.45">
      <c r="A369" s="30">
        <f>step3_validation[[#This Row],[Persona_ID]]</f>
        <v>368</v>
      </c>
      <c r="B369" s="31">
        <f>step3_validation[[#This Row],[Used_Seed]]</f>
        <v>409</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25.482010398306635</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0</v>
      </c>
      <c r="V369">
        <f>step3_validation[[#This Row],[AI_ENF2]]</f>
        <v>6</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1</v>
      </c>
      <c r="AA369">
        <f>step3_validation[[#This Row],[AI_FAC1]]</f>
        <v>8</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0</v>
      </c>
      <c r="AF369">
        <f>step3_validation[[#This Row],[AI_FAC2]]</f>
        <v>7</v>
      </c>
      <c r="AG369" t="str">
        <f t="shared" si="144"/>
        <v>Neutral</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6</v>
      </c>
      <c r="AL369" t="str">
        <f t="shared" si="147"/>
        <v>Neutral</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0</v>
      </c>
      <c r="AP369">
        <f>step3_validation[[#This Row],[AI_TRU2]]</f>
        <v>8</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0</v>
      </c>
      <c r="AU369">
        <f>step3_validation[[#This Row],[AI_TRU3]]</f>
        <v>6</v>
      </c>
      <c r="AV369" t="str">
        <f t="shared" si="153"/>
        <v>Neutral</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0</v>
      </c>
      <c r="AZ369">
        <f>step3_validation[[#This Row],[AI_TRU4]]</f>
        <v>7</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0</v>
      </c>
      <c r="BE369">
        <f>step3_validation[[#This Row],[AI_OUT1]]</f>
        <v>8</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0</v>
      </c>
    </row>
    <row r="370" spans="1:61" x14ac:dyDescent="0.45">
      <c r="A370" s="30">
        <f>step3_validation[[#This Row],[Persona_ID]]</f>
        <v>369</v>
      </c>
      <c r="B370" s="31">
        <f>step3_validation[[#This Row],[Used_Seed]]</f>
        <v>410</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14.280418241120374</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1</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2">
        <f t="shared" si="140"/>
        <v>2</v>
      </c>
      <c r="AA370">
        <f>step3_validation[[#This Row],[AI_FAC1]]</f>
        <v>6</v>
      </c>
      <c r="AB370" t="str">
        <f t="shared" si="141"/>
        <v>Neutral</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2</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8</v>
      </c>
      <c r="AL370" t="str">
        <f t="shared" si="147"/>
        <v>Support</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0</v>
      </c>
      <c r="AP370">
        <f>step3_validation[[#This Row],[AI_TRU2]]</f>
        <v>7</v>
      </c>
      <c r="AQ370" t="str">
        <f t="shared" si="150"/>
        <v>Neutral</v>
      </c>
      <c r="AR370">
        <f>survey_responses[[#This Row],[Tôi thấy mức thuế tôi phải đóng theo phương án mới là công bằng (người thu nhập như tôi đóng mức này là hợp lý). - HUMAN-TRU2]]</f>
        <v>8</v>
      </c>
      <c r="AS370" t="str">
        <f t="shared" si="151"/>
        <v>Support</v>
      </c>
      <c r="AT370" s="32">
        <f t="shared" si="152"/>
        <v>1</v>
      </c>
      <c r="AU370">
        <f>step3_validation[[#This Row],[AI_TRU3]]</f>
        <v>6</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1</v>
      </c>
      <c r="AZ370">
        <f>step3_validation[[#This Row],[AI_TRU4]]</f>
        <v>7</v>
      </c>
      <c r="BA370" t="str">
        <f t="shared" si="156"/>
        <v>Neutral</v>
      </c>
      <c r="BB370">
        <f>survey_responses[[#This Row],[Tôi thấy Nhà nước đã giải thích rõ ràng, minh bạch về lý do và mục tiêu của việc sửa đổi thuế lần này. - HUMAN-TRU4]]</f>
        <v>7</v>
      </c>
      <c r="BC370" t="str">
        <f t="shared" si="157"/>
        <v>Neutral</v>
      </c>
      <c r="BD370" s="32">
        <f t="shared" si="158"/>
        <v>0</v>
      </c>
      <c r="BE370">
        <f>step3_validation[[#This Row],[AI_OUT1]]</f>
        <v>8</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0</v>
      </c>
    </row>
    <row r="371" spans="1:61" x14ac:dyDescent="0.45">
      <c r="A371" s="30">
        <f>step3_validation[[#This Row],[Persona_ID]]</f>
        <v>370</v>
      </c>
      <c r="B371" s="31">
        <f>step3_validation[[#This Row],[Used_Seed]]</f>
        <v>411</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18.468425517168413</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8</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9</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2</v>
      </c>
      <c r="AF371">
        <f>step3_validation[[#This Row],[AI_FAC2]]</f>
        <v>8</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1</v>
      </c>
      <c r="AK371">
        <f>step3_validation[[#This Row],[AI_TRU1]]</f>
        <v>7</v>
      </c>
      <c r="AL371" t="str">
        <f t="shared" si="147"/>
        <v>Neutral</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0</v>
      </c>
      <c r="AP371">
        <f>step3_validation[[#This Row],[AI_TRU2]]</f>
        <v>6</v>
      </c>
      <c r="AQ371" t="str">
        <f t="shared" si="150"/>
        <v>Neutral</v>
      </c>
      <c r="AR371">
        <f>survey_responses[[#This Row],[Tôi thấy mức thuế tôi phải đóng theo phương án mới là công bằng (người thu nhập như tôi đóng mức này là hợp lý). - HUMAN-TRU2]]</f>
        <v>9</v>
      </c>
      <c r="AS371" t="str">
        <f t="shared" si="151"/>
        <v>Support</v>
      </c>
      <c r="AT371" s="32">
        <f t="shared" si="152"/>
        <v>3</v>
      </c>
      <c r="AU371">
        <f>step3_validation[[#This Row],[AI_TRU3]]</f>
        <v>7</v>
      </c>
      <c r="AV371" t="str">
        <f t="shared" si="153"/>
        <v>Neutral</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2</v>
      </c>
      <c r="AZ371">
        <f>step3_validation[[#This Row],[AI_TRU4]]</f>
        <v>6</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3</v>
      </c>
      <c r="BE371">
        <f>step3_validation[[#This Row],[AI_OUT1]]</f>
        <v>8</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1</v>
      </c>
    </row>
    <row r="372" spans="1:61" x14ac:dyDescent="0.45">
      <c r="A372" s="30">
        <f>step3_validation[[#This Row],[Persona_ID]]</f>
        <v>371</v>
      </c>
      <c r="B372" s="31">
        <f>step3_validation[[#This Row],[Used_Seed]]</f>
        <v>412</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62.73276603201117</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3</v>
      </c>
      <c r="V372">
        <f>step3_validation[[#This Row],[AI_ENF2]]</f>
        <v>7</v>
      </c>
      <c r="W372" t="str">
        <f t="shared" si="138"/>
        <v>Neutral</v>
      </c>
      <c r="X372">
        <f>survey_responses[[#This Row],[Tôi tin rằng Nhà nước, cơ quan thuế có đủ khả năng và công nghệ để phát hiện, xử lý nghiêm các hành vi trốn thuế. - HUMAN-ENF2]]</f>
        <v>4</v>
      </c>
      <c r="Y372" t="str">
        <f t="shared" si="139"/>
        <v>Oppose</v>
      </c>
      <c r="Z372" s="32">
        <f t="shared" si="140"/>
        <v>3</v>
      </c>
      <c r="AA372">
        <f>step3_validation[[#This Row],[AI_FAC1]]</f>
        <v>8</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3</v>
      </c>
      <c r="AF372">
        <f>step3_validation[[#This Row],[AI_FAC2]]</f>
        <v>8</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3</v>
      </c>
      <c r="AK372">
        <f>step3_validation[[#This Row],[AI_TRU1]]</f>
        <v>7</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2</v>
      </c>
      <c r="AP372">
        <f>step3_validation[[#This Row],[AI_TRU2]]</f>
        <v>8</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4</v>
      </c>
      <c r="AU372">
        <f>step3_validation[[#This Row],[AI_TRU3]]</f>
        <v>7</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2</v>
      </c>
      <c r="AZ372">
        <f>step3_validation[[#This Row],[AI_TRU4]]</f>
        <v>8</v>
      </c>
      <c r="BA372" t="str">
        <f t="shared" si="156"/>
        <v>Support</v>
      </c>
      <c r="BB372">
        <f>survey_responses[[#This Row],[Tôi thấy Nhà nước đã giải thích rõ ràng, minh bạch về lý do và mục tiêu của việc sửa đổi thuế lần này. - HUMAN-TRU4]]</f>
        <v>6</v>
      </c>
      <c r="BC372" t="str">
        <f t="shared" si="157"/>
        <v>Neutral</v>
      </c>
      <c r="BD372" s="32">
        <f t="shared" si="158"/>
        <v>2</v>
      </c>
      <c r="BE372">
        <f>step3_validation[[#This Row],[AI_OUT1]]</f>
        <v>7</v>
      </c>
      <c r="BF372" t="str">
        <f t="shared" si="159"/>
        <v>Neutral</v>
      </c>
      <c r="BG372">
        <f>survey_responses[[#This Row],[Sau khi xem xét các quyền lợi và nghĩa vụ, bạn có ủng hộ và tuân thủ chính sách mới hiện nay? - HUMAN-OUT1]]</f>
        <v>5</v>
      </c>
      <c r="BH372" t="str">
        <f t="shared" si="160"/>
        <v>Neutral</v>
      </c>
      <c r="BI372" s="32">
        <f t="shared" si="161"/>
        <v>2</v>
      </c>
    </row>
    <row r="373" spans="1:61" x14ac:dyDescent="0.45">
      <c r="A373" s="30">
        <f>step3_validation[[#This Row],[Persona_ID]]</f>
        <v>372</v>
      </c>
      <c r="B373" s="31">
        <f>step3_validation[[#This Row],[Used_Seed]]</f>
        <v>413</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32.693307169523315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1</v>
      </c>
      <c r="V373">
        <f>step3_validation[[#This Row],[AI_ENF2]]</f>
        <v>6</v>
      </c>
      <c r="W373" t="str">
        <f t="shared" si="138"/>
        <v>Neutral</v>
      </c>
      <c r="X373">
        <f>survey_responses[[#This Row],[Tôi tin rằng Nhà nước, cơ quan thuế có đủ khả năng và công nghệ để phát hiện, xử lý nghiêm các hành vi trốn thuế. - HUMAN-ENF2]]</f>
        <v>6</v>
      </c>
      <c r="Y373" t="str">
        <f t="shared" si="139"/>
        <v>Neutral</v>
      </c>
      <c r="Z373" s="32">
        <f t="shared" si="140"/>
        <v>0</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6</v>
      </c>
      <c r="AQ373" t="str">
        <f t="shared" si="150"/>
        <v>Neutral</v>
      </c>
      <c r="AR373">
        <f>survey_responses[[#This Row],[Tôi thấy mức thuế tôi phải đóng theo phương án mới là công bằng (người thu nhập như tôi đóng mức này là hợp lý). - HUMAN-TRU2]]</f>
        <v>7</v>
      </c>
      <c r="AS373" t="str">
        <f t="shared" si="151"/>
        <v>Neutral</v>
      </c>
      <c r="AT373" s="32">
        <f t="shared" si="152"/>
        <v>1</v>
      </c>
      <c r="AU373">
        <f>step3_validation[[#This Row],[AI_TRU3]]</f>
        <v>8</v>
      </c>
      <c r="AV373" t="str">
        <f t="shared" si="153"/>
        <v>Support</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3</v>
      </c>
      <c r="AZ373">
        <f>step3_validation[[#This Row],[AI_TRU4]]</f>
        <v>5</v>
      </c>
      <c r="BA373" t="str">
        <f t="shared" si="156"/>
        <v>Neutral</v>
      </c>
      <c r="BB373">
        <f>survey_responses[[#This Row],[Tôi thấy Nhà nước đã giải thích rõ ràng, minh bạch về lý do và mục tiêu của việc sửa đổi thuế lần này. - HUMAN-TRU4]]</f>
        <v>6</v>
      </c>
      <c r="BC373" t="str">
        <f t="shared" si="157"/>
        <v>Neutral</v>
      </c>
      <c r="BD373" s="32">
        <f t="shared" si="158"/>
        <v>1</v>
      </c>
      <c r="BE373">
        <f>step3_validation[[#This Row],[AI_OUT1]]</f>
        <v>8</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2</v>
      </c>
    </row>
    <row r="374" spans="1:61" x14ac:dyDescent="0.45">
      <c r="A374" s="30">
        <f>step3_validation[[#This Row],[Persona_ID]]</f>
        <v>373</v>
      </c>
      <c r="B374" s="31">
        <f>step3_validation[[#This Row],[Used_Seed]]</f>
        <v>414</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83.789878156641961</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2">
        <f t="shared" si="140"/>
        <v>0</v>
      </c>
      <c r="AA374">
        <f>step3_validation[[#This Row],[AI_FAC1]]</f>
        <v>9</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0</v>
      </c>
      <c r="AF374">
        <f>step3_validation[[#This Row],[AI_FAC2]]</f>
        <v>7</v>
      </c>
      <c r="AG374" t="str">
        <f t="shared" si="144"/>
        <v>Neutral</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2</v>
      </c>
      <c r="AK374">
        <f>step3_validation[[#This Row],[AI_TRU1]]</f>
        <v>6</v>
      </c>
      <c r="AL374" t="str">
        <f t="shared" si="147"/>
        <v>Neutral</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1</v>
      </c>
      <c r="AP374">
        <f>step3_validation[[#This Row],[AI_TRU2]]</f>
        <v>6</v>
      </c>
      <c r="AQ374" t="str">
        <f t="shared" si="150"/>
        <v>Neutral</v>
      </c>
      <c r="AR374">
        <f>survey_responses[[#This Row],[Tôi thấy mức thuế tôi phải đóng theo phương án mới là công bằng (người thu nhập như tôi đóng mức này là hợp lý). - HUMAN-TRU2]]</f>
        <v>5</v>
      </c>
      <c r="AS374" t="str">
        <f t="shared" si="151"/>
        <v>Neutral</v>
      </c>
      <c r="AT374" s="32">
        <f t="shared" si="152"/>
        <v>1</v>
      </c>
      <c r="AU374">
        <f>step3_validation[[#This Row],[AI_TRU3]]</f>
        <v>5</v>
      </c>
      <c r="AV374" t="str">
        <f t="shared" si="153"/>
        <v>Neutral</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0</v>
      </c>
      <c r="AZ374">
        <f>step3_validation[[#This Row],[AI_TRU4]]</f>
        <v>6</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0</v>
      </c>
      <c r="BE374">
        <f>step3_validation[[#This Row],[AI_OUT1]]</f>
        <v>7</v>
      </c>
      <c r="BF374" t="str">
        <f t="shared" si="159"/>
        <v>Neutral</v>
      </c>
      <c r="BG374">
        <f>survey_responses[[#This Row],[Sau khi xem xét các quyền lợi và nghĩa vụ, bạn có ủng hộ và tuân thủ chính sách mới hiện nay? - HUMAN-OUT1]]</f>
        <v>5</v>
      </c>
      <c r="BH374" t="str">
        <f t="shared" si="160"/>
        <v>Neutral</v>
      </c>
      <c r="BI374" s="32">
        <f t="shared" si="161"/>
        <v>2</v>
      </c>
    </row>
    <row r="375" spans="1:61" x14ac:dyDescent="0.45">
      <c r="A375" s="30">
        <f>step3_validation[[#This Row],[Persona_ID]]</f>
        <v>374</v>
      </c>
      <c r="B375" s="31">
        <f>step3_validation[[#This Row],[Used_Seed]]</f>
        <v>415</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43.539982918266723</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6</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2">
        <f t="shared" si="140"/>
        <v>0</v>
      </c>
      <c r="AA375">
        <f>step3_validation[[#This Row],[AI_FAC1]]</f>
        <v>8</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1</v>
      </c>
      <c r="AF375">
        <f>step3_validation[[#This Row],[AI_FAC2]]</f>
        <v>8</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1</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1</v>
      </c>
      <c r="AP375">
        <f>step3_validation[[#This Row],[AI_TRU2]]</f>
        <v>7</v>
      </c>
      <c r="AQ375" t="str">
        <f t="shared" si="150"/>
        <v>Neutral</v>
      </c>
      <c r="AR375">
        <f>survey_responses[[#This Row],[Tôi thấy mức thuế tôi phải đóng theo phương án mới là công bằng (người thu nhập như tôi đóng mức này là hợp lý). - HUMAN-TRU2]]</f>
        <v>6</v>
      </c>
      <c r="AS375" t="str">
        <f t="shared" si="151"/>
        <v>Neutral</v>
      </c>
      <c r="AT375" s="32">
        <f t="shared" si="152"/>
        <v>1</v>
      </c>
      <c r="AU375">
        <f>step3_validation[[#This Row],[AI_TRU3]]</f>
        <v>6</v>
      </c>
      <c r="AV375" t="str">
        <f t="shared" si="153"/>
        <v>Neutral</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0</v>
      </c>
      <c r="AZ375">
        <f>step3_validation[[#This Row],[AI_TRU4]]</f>
        <v>7</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1</v>
      </c>
      <c r="BE375">
        <f>step3_validation[[#This Row],[AI_OUT1]]</f>
        <v>7</v>
      </c>
      <c r="BF375" t="str">
        <f t="shared" si="159"/>
        <v>Neutral</v>
      </c>
      <c r="BG375">
        <f>survey_responses[[#This Row],[Sau khi xem xét các quyền lợi và nghĩa vụ, bạn có ủng hộ và tuân thủ chính sách mới hiện nay? - HUMAN-OUT1]]</f>
        <v>6</v>
      </c>
      <c r="BH375" t="str">
        <f t="shared" si="160"/>
        <v>Neutral</v>
      </c>
      <c r="BI375" s="32">
        <f t="shared" si="161"/>
        <v>1</v>
      </c>
    </row>
    <row r="376" spans="1:61" x14ac:dyDescent="0.45">
      <c r="A376" s="30">
        <f>step3_validation[[#This Row],[Persona_ID]]</f>
        <v>375</v>
      </c>
      <c r="B376" s="31">
        <f>step3_validation[[#This Row],[Used_Seed]]</f>
        <v>416</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48.047007240192301</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6</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2</v>
      </c>
      <c r="V376">
        <f>step3_validation[[#This Row],[AI_ENF2]]</f>
        <v>7</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8</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0</v>
      </c>
      <c r="AF376">
        <f>step3_validation[[#This Row],[AI_FAC2]]</f>
        <v>9</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8</v>
      </c>
      <c r="AL376" t="str">
        <f t="shared" si="147"/>
        <v>Support</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1</v>
      </c>
      <c r="AP376">
        <f>step3_validation[[#This Row],[AI_TRU2]]</f>
        <v>9</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3</v>
      </c>
      <c r="AU376">
        <f>step3_validation[[#This Row],[AI_TRU3]]</f>
        <v>8</v>
      </c>
      <c r="AV376" t="str">
        <f t="shared" si="153"/>
        <v>Support</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2</v>
      </c>
      <c r="AZ376">
        <f>step3_validation[[#This Row],[AI_TRU4]]</f>
        <v>7</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2</v>
      </c>
      <c r="BE376">
        <f>step3_validation[[#This Row],[AI_OUT1]]</f>
        <v>8</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1</v>
      </c>
    </row>
    <row r="377" spans="1:61" x14ac:dyDescent="0.45">
      <c r="A377" s="30">
        <f>step3_validation[[#This Row],[Persona_ID]]</f>
        <v>376</v>
      </c>
      <c r="B377" s="31">
        <f>step3_validation[[#This Row],[Used_Seed]]</f>
        <v>417</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21.811235986808899</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7</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1</v>
      </c>
      <c r="V377">
        <f>step3_validation[[#This Row],[AI_ENF2]]</f>
        <v>7</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1</v>
      </c>
      <c r="AA377">
        <f>step3_validation[[#This Row],[AI_FAC1]]</f>
        <v>6</v>
      </c>
      <c r="AB377" t="str">
        <f t="shared" si="141"/>
        <v>Neutral</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1</v>
      </c>
      <c r="AF377">
        <f>step3_validation[[#This Row],[AI_FAC2]]</f>
        <v>8</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1</v>
      </c>
      <c r="AK377">
        <f>step3_validation[[#This Row],[AI_TRU1]]</f>
        <v>7</v>
      </c>
      <c r="AL377" t="str">
        <f t="shared" si="147"/>
        <v>Neutral</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1</v>
      </c>
      <c r="AP377">
        <f>step3_validation[[#This Row],[AI_TRU2]]</f>
        <v>6</v>
      </c>
      <c r="AQ377" t="str">
        <f t="shared" si="150"/>
        <v>Neutral</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7</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2</v>
      </c>
      <c r="AZ377">
        <f>step3_validation[[#This Row],[AI_TRU4]]</f>
        <v>5</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2">
        <f t="shared" si="158"/>
        <v>1</v>
      </c>
      <c r="BE377">
        <f>step3_validation[[#This Row],[AI_OUT1]]</f>
        <v>6</v>
      </c>
      <c r="BF377" t="str">
        <f t="shared" si="159"/>
        <v>Neutral</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418</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13.596135687467878</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0</v>
      </c>
      <c r="V378">
        <f>step3_validation[[#This Row],[AI_ENF2]]</f>
        <v>8</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0</v>
      </c>
      <c r="AA378">
        <f>step3_validation[[#This Row],[AI_FAC1]]</f>
        <v>9</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2</v>
      </c>
      <c r="AF378">
        <f>step3_validation[[#This Row],[AI_FAC2]]</f>
        <v>8</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1</v>
      </c>
      <c r="AK378">
        <f>step3_validation[[#This Row],[AI_TRU1]]</f>
        <v>9</v>
      </c>
      <c r="AL378" t="str">
        <f t="shared" si="147"/>
        <v>Support</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1</v>
      </c>
      <c r="AP378">
        <f>step3_validation[[#This Row],[AI_TRU2]]</f>
        <v>8</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1</v>
      </c>
      <c r="AU378">
        <f>step3_validation[[#This Row],[AI_TRU3]]</f>
        <v>8</v>
      </c>
      <c r="AV378" t="str">
        <f t="shared" si="153"/>
        <v>Support</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7</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0</v>
      </c>
      <c r="BE378">
        <f>step3_validation[[#This Row],[AI_OUT1]]</f>
        <v>8</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0</v>
      </c>
    </row>
    <row r="379" spans="1:61" x14ac:dyDescent="0.45">
      <c r="A379" s="30">
        <f>step3_validation[[#This Row],[Persona_ID]]</f>
        <v>378</v>
      </c>
      <c r="B379" s="31">
        <f>step3_validation[[#This Row],[Used_Seed]]</f>
        <v>419</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21.901157926557975</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1</v>
      </c>
      <c r="V379">
        <f>step3_validation[[#This Row],[AI_ENF2]]</f>
        <v>8</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2">
        <f t="shared" si="140"/>
        <v>1</v>
      </c>
      <c r="AA379">
        <f>step3_validation[[#This Row],[AI_FAC1]]</f>
        <v>9</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4</v>
      </c>
      <c r="AF379">
        <f>step3_validation[[#This Row],[AI_FAC2]]</f>
        <v>8</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0</v>
      </c>
      <c r="AK379">
        <f>step3_validation[[#This Row],[AI_TRU1]]</f>
        <v>9</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2</v>
      </c>
      <c r="AP379">
        <f>step3_validation[[#This Row],[AI_TRU2]]</f>
        <v>7</v>
      </c>
      <c r="AQ379" t="str">
        <f t="shared" si="150"/>
        <v>Neutral</v>
      </c>
      <c r="AR379">
        <f>survey_responses[[#This Row],[Tôi thấy mức thuế tôi phải đóng theo phương án mới là công bằng (người thu nhập như tôi đóng mức này là hợp lý). - HUMAN-TRU2]]</f>
        <v>7</v>
      </c>
      <c r="AS379" t="str">
        <f t="shared" si="151"/>
        <v>Neutral</v>
      </c>
      <c r="AT379" s="32">
        <f t="shared" si="152"/>
        <v>0</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1</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7</v>
      </c>
      <c r="BF379" t="str">
        <f t="shared" si="159"/>
        <v>Neutral</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420</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15.887133792297604</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8</v>
      </c>
      <c r="R380" t="str">
        <f t="shared" si="135"/>
        <v>Support</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0</v>
      </c>
      <c r="V380">
        <f>step3_validation[[#This Row],[AI_ENF2]]</f>
        <v>7</v>
      </c>
      <c r="W380" t="str">
        <f t="shared" si="138"/>
        <v>Neutral</v>
      </c>
      <c r="X380">
        <f>survey_responses[[#This Row],[Tôi tin rằng Nhà nước, cơ quan thuế có đủ khả năng và công nghệ để phát hiện, xử lý nghiêm các hành vi trốn thuế. - HUMAN-ENF2]]</f>
        <v>8</v>
      </c>
      <c r="Y380" t="str">
        <f t="shared" si="139"/>
        <v>Support</v>
      </c>
      <c r="Z380" s="32">
        <f t="shared" si="140"/>
        <v>1</v>
      </c>
      <c r="AA380">
        <f>step3_validation[[#This Row],[AI_FAC1]]</f>
        <v>6</v>
      </c>
      <c r="AB380" t="str">
        <f t="shared" si="141"/>
        <v>Neutral</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3</v>
      </c>
      <c r="AF380">
        <f>step3_validation[[#This Row],[AI_FAC2]]</f>
        <v>5</v>
      </c>
      <c r="AG380" t="str">
        <f t="shared" si="144"/>
        <v>Neutral</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4</v>
      </c>
      <c r="AK380">
        <f>step3_validation[[#This Row],[AI_TRU1]]</f>
        <v>6</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1</v>
      </c>
      <c r="AP380">
        <f>step3_validation[[#This Row],[AI_TRU2]]</f>
        <v>7</v>
      </c>
      <c r="AQ380" t="str">
        <f t="shared" si="150"/>
        <v>Neutral</v>
      </c>
      <c r="AR380">
        <f>survey_responses[[#This Row],[Tôi thấy mức thuế tôi phải đóng theo phương án mới là công bằng (người thu nhập như tôi đóng mức này là hợp lý). - HUMAN-TRU2]]</f>
        <v>9</v>
      </c>
      <c r="AS380" t="str">
        <f t="shared" si="151"/>
        <v>Support</v>
      </c>
      <c r="AT380" s="32">
        <f t="shared" si="152"/>
        <v>2</v>
      </c>
      <c r="AU380">
        <f>step3_validation[[#This Row],[AI_TRU3]]</f>
        <v>5</v>
      </c>
      <c r="AV380" t="str">
        <f t="shared" si="153"/>
        <v>Neutral</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2</v>
      </c>
      <c r="AZ380">
        <f>step3_validation[[#This Row],[AI_TRU4]]</f>
        <v>6</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1</v>
      </c>
      <c r="BE380">
        <f>step3_validation[[#This Row],[AI_OUT1]]</f>
        <v>7</v>
      </c>
      <c r="BF380" t="str">
        <f t="shared" si="159"/>
        <v>Neutral</v>
      </c>
      <c r="BG380">
        <f>survey_responses[[#This Row],[Sau khi xem xét các quyền lợi và nghĩa vụ, bạn có ủng hộ và tuân thủ chính sách mới hiện nay? - HUMAN-OUT1]]</f>
        <v>9</v>
      </c>
      <c r="BH380" t="str">
        <f t="shared" si="160"/>
        <v>Support</v>
      </c>
      <c r="BI380" s="32">
        <f t="shared" si="161"/>
        <v>2</v>
      </c>
    </row>
    <row r="381" spans="1:61" x14ac:dyDescent="0.45">
      <c r="A381" s="30">
        <f>step3_validation[[#This Row],[Persona_ID]]</f>
        <v>380</v>
      </c>
      <c r="B381" s="31">
        <f>step3_validation[[#This Row],[Used_Seed]]</f>
        <v>421</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18.729036852850395</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8</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0</v>
      </c>
      <c r="AA381">
        <f>step3_validation[[#This Row],[AI_FAC1]]</f>
        <v>6</v>
      </c>
      <c r="AB381" t="str">
        <f t="shared" si="141"/>
        <v>Neutral</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1</v>
      </c>
      <c r="AF381">
        <f>step3_validation[[#This Row],[AI_FAC2]]</f>
        <v>8</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0</v>
      </c>
      <c r="AK381">
        <f>step3_validation[[#This Row],[AI_TRU1]]</f>
        <v>7</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1</v>
      </c>
      <c r="AP381">
        <f>step3_validation[[#This Row],[AI_TRU2]]</f>
        <v>7</v>
      </c>
      <c r="AQ381" t="str">
        <f t="shared" si="150"/>
        <v>Neutral</v>
      </c>
      <c r="AR381">
        <f>survey_responses[[#This Row],[Tôi thấy mức thuế tôi phải đóng theo phương án mới là công bằng (người thu nhập như tôi đóng mức này là hợp lý). - HUMAN-TRU2]]</f>
        <v>9</v>
      </c>
      <c r="AS381" t="str">
        <f t="shared" si="151"/>
        <v>Support</v>
      </c>
      <c r="AT381" s="32">
        <f t="shared" si="152"/>
        <v>2</v>
      </c>
      <c r="AU381">
        <f>step3_validation[[#This Row],[AI_TRU3]]</f>
        <v>6</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1</v>
      </c>
      <c r="AZ381">
        <f>step3_validation[[#This Row],[AI_TRU4]]</f>
        <v>5</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8</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0</v>
      </c>
    </row>
    <row r="382" spans="1:61" x14ac:dyDescent="0.45">
      <c r="A382" s="30">
        <f>step3_validation[[#This Row],[Persona_ID]]</f>
        <v>381</v>
      </c>
      <c r="B382" s="31">
        <f>step3_validation[[#This Row],[Used_Seed]]</f>
        <v>422</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15.094321881951331</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7</v>
      </c>
      <c r="R382" t="str">
        <f t="shared" si="135"/>
        <v>Neutral</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2</v>
      </c>
      <c r="V382">
        <f>step3_validation[[#This Row],[AI_ENF2]]</f>
        <v>6</v>
      </c>
      <c r="W382" t="str">
        <f t="shared" si="138"/>
        <v>Neutral</v>
      </c>
      <c r="X382">
        <f>survey_responses[[#This Row],[Tôi tin rằng Nhà nước, cơ quan thuế có đủ khả năng và công nghệ để phát hiện, xử lý nghiêm các hành vi trốn thuế. - HUMAN-ENF2]]</f>
        <v>9</v>
      </c>
      <c r="Y382" t="str">
        <f t="shared" si="139"/>
        <v>Support</v>
      </c>
      <c r="Z382" s="32">
        <f t="shared" si="140"/>
        <v>3</v>
      </c>
      <c r="AA382">
        <f>step3_validation[[#This Row],[AI_FAC1]]</f>
        <v>8</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0</v>
      </c>
      <c r="AF382">
        <f>step3_validation[[#This Row],[AI_FAC2]]</f>
        <v>5</v>
      </c>
      <c r="AG382" t="str">
        <f t="shared" si="144"/>
        <v>Neutral</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4</v>
      </c>
      <c r="AK382">
        <f>step3_validation[[#This Row],[AI_TRU1]]</f>
        <v>6</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2</v>
      </c>
      <c r="AP382">
        <f>step3_validation[[#This Row],[AI_TRU2]]</f>
        <v>7</v>
      </c>
      <c r="AQ382" t="str">
        <f t="shared" si="150"/>
        <v>Neutral</v>
      </c>
      <c r="AR382">
        <f>survey_responses[[#This Row],[Tôi thấy mức thuế tôi phải đóng theo phương án mới là công bằng (người thu nhập như tôi đóng mức này là hợp lý). - HUMAN-TRU2]]</f>
        <v>10</v>
      </c>
      <c r="AS382" t="str">
        <f t="shared" si="151"/>
        <v>Support</v>
      </c>
      <c r="AT382" s="32">
        <f t="shared" si="152"/>
        <v>3</v>
      </c>
      <c r="AU382">
        <f>step3_validation[[#This Row],[AI_TRU3]]</f>
        <v>5</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3</v>
      </c>
      <c r="AZ382">
        <f>step3_validation[[#This Row],[AI_TRU4]]</f>
        <v>4</v>
      </c>
      <c r="BA382" t="str">
        <f t="shared" si="156"/>
        <v>Oppose</v>
      </c>
      <c r="BB382">
        <f>survey_responses[[#This Row],[Tôi thấy Nhà nước đã giải thích rõ ràng, minh bạch về lý do và mục tiêu của việc sửa đổi thuế lần này. - HUMAN-TRU4]]</f>
        <v>8</v>
      </c>
      <c r="BC382" t="str">
        <f t="shared" si="157"/>
        <v>Support</v>
      </c>
      <c r="BD382" s="32">
        <f t="shared" si="158"/>
        <v>4</v>
      </c>
      <c r="BE382">
        <f>step3_validation[[#This Row],[AI_OUT1]]</f>
        <v>6</v>
      </c>
      <c r="BF382" t="str">
        <f t="shared" si="159"/>
        <v>Neutral</v>
      </c>
      <c r="BG382">
        <f>survey_responses[[#This Row],[Sau khi xem xét các quyền lợi và nghĩa vụ, bạn có ủng hộ và tuân thủ chính sách mới hiện nay? - HUMAN-OUT1]]</f>
        <v>10</v>
      </c>
      <c r="BH382" t="str">
        <f t="shared" si="160"/>
        <v>Support</v>
      </c>
      <c r="BI382" s="32">
        <f t="shared" si="161"/>
        <v>4</v>
      </c>
    </row>
    <row r="383" spans="1:61" x14ac:dyDescent="0.45">
      <c r="A383" s="30">
        <f>step3_validation[[#This Row],[Persona_ID]]</f>
        <v>382</v>
      </c>
      <c r="B383" s="31">
        <f>step3_validation[[#This Row],[Used_Seed]]</f>
        <v>423</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20.396809167706547</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8</v>
      </c>
      <c r="R383" t="str">
        <f t="shared" si="135"/>
        <v>Support</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3</v>
      </c>
      <c r="V383">
        <f>step3_validation[[#This Row],[AI_ENF2]]</f>
        <v>9</v>
      </c>
      <c r="W383" t="str">
        <f t="shared" si="138"/>
        <v>Support</v>
      </c>
      <c r="X383">
        <f>survey_responses[[#This Row],[Tôi tin rằng Nhà nước, cơ quan thuế có đủ khả năng và công nghệ để phát hiện, xử lý nghiêm các hành vi trốn thuế. - HUMAN-ENF2]]</f>
        <v>5</v>
      </c>
      <c r="Y383" t="str">
        <f t="shared" si="139"/>
        <v>Neutral</v>
      </c>
      <c r="Z383" s="32">
        <f t="shared" si="140"/>
        <v>4</v>
      </c>
      <c r="AA383">
        <f>step3_validation[[#This Row],[AI_FAC1]]</f>
        <v>7</v>
      </c>
      <c r="AB383" t="str">
        <f t="shared" si="141"/>
        <v>Neutral</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3</v>
      </c>
      <c r="AF383">
        <f>step3_validation[[#This Row],[AI_FAC2]]</f>
        <v>6</v>
      </c>
      <c r="AG383" t="str">
        <f t="shared" si="144"/>
        <v>Neutral</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2</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7</v>
      </c>
      <c r="AQ383" t="str">
        <f t="shared" si="150"/>
        <v>Neutral</v>
      </c>
      <c r="AR383">
        <f>survey_responses[[#This Row],[Tôi thấy mức thuế tôi phải đóng theo phương án mới là công bằng (người thu nhập như tôi đóng mức này là hợp lý). - HUMAN-TRU2]]</f>
        <v>8</v>
      </c>
      <c r="AS383" t="str">
        <f t="shared" si="151"/>
        <v>Support</v>
      </c>
      <c r="AT383" s="32">
        <f t="shared" si="152"/>
        <v>1</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6</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1</v>
      </c>
      <c r="BE383">
        <f>step3_validation[[#This Row],[AI_OUT1]]</f>
        <v>8</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1</v>
      </c>
    </row>
    <row r="384" spans="1:61" x14ac:dyDescent="0.45">
      <c r="A384" s="30">
        <f>step3_validation[[#This Row],[Persona_ID]]</f>
        <v>383</v>
      </c>
      <c r="B384" s="31">
        <f>step3_validation[[#This Row],[Used_Seed]]</f>
        <v>424</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93.077552380010047</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8</v>
      </c>
      <c r="R384" t="str">
        <f t="shared" si="135"/>
        <v>Support</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7</v>
      </c>
      <c r="V384">
        <f>step3_validation[[#This Row],[AI_ENF2]]</f>
        <v>7</v>
      </c>
      <c r="W384" t="str">
        <f t="shared" si="138"/>
        <v>Neutral</v>
      </c>
      <c r="X384">
        <f>survey_responses[[#This Row],[Tôi tin rằng Nhà nước, cơ quan thuế có đủ khả năng và công nghệ để phát hiện, xử lý nghiêm các hành vi trốn thuế. - HUMAN-ENF2]]</f>
        <v>1</v>
      </c>
      <c r="Y384" t="str">
        <f t="shared" si="139"/>
        <v>Oppose</v>
      </c>
      <c r="Z384" s="32">
        <f t="shared" si="140"/>
        <v>6</v>
      </c>
      <c r="AA384">
        <f>step3_validation[[#This Row],[AI_FAC1]]</f>
        <v>6</v>
      </c>
      <c r="AB384" t="str">
        <f t="shared" si="141"/>
        <v>Neutral</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2</v>
      </c>
      <c r="AF384">
        <f>step3_validation[[#This Row],[AI_FAC2]]</f>
        <v>5</v>
      </c>
      <c r="AG384" t="str">
        <f t="shared" si="144"/>
        <v>Neutral</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0</v>
      </c>
      <c r="AK384">
        <f>step3_validation[[#This Row],[AI_TRU1]]</f>
        <v>4</v>
      </c>
      <c r="AL384" t="str">
        <f t="shared" si="147"/>
        <v>Oppose</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1</v>
      </c>
      <c r="AP384">
        <f>step3_validation[[#This Row],[AI_TRU2]]</f>
        <v>3</v>
      </c>
      <c r="AQ384" t="str">
        <f t="shared" si="150"/>
        <v>Oppose</v>
      </c>
      <c r="AR384">
        <f>survey_responses[[#This Row],[Tôi thấy mức thuế tôi phải đóng theo phương án mới là công bằng (người thu nhập như tôi đóng mức này là hợp lý). - HUMAN-TRU2]]</f>
        <v>4</v>
      </c>
      <c r="AS384" t="str">
        <f t="shared" si="151"/>
        <v>Oppose</v>
      </c>
      <c r="AT384" s="32">
        <f t="shared" si="152"/>
        <v>1</v>
      </c>
      <c r="AU384">
        <f>step3_validation[[#This Row],[AI_TRU3]]</f>
        <v>4</v>
      </c>
      <c r="AV384" t="str">
        <f t="shared" si="153"/>
        <v>Oppose</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0</v>
      </c>
      <c r="AZ384">
        <f>step3_validation[[#This Row],[AI_TRU4]]</f>
        <v>3</v>
      </c>
      <c r="BA384" t="str">
        <f t="shared" si="156"/>
        <v>Oppose</v>
      </c>
      <c r="BB384">
        <f>survey_responses[[#This Row],[Tôi thấy Nhà nước đã giải thích rõ ràng, minh bạch về lý do và mục tiêu của việc sửa đổi thuế lần này. - HUMAN-TRU4]]</f>
        <v>5</v>
      </c>
      <c r="BC384" t="str">
        <f t="shared" si="157"/>
        <v>Neutral</v>
      </c>
      <c r="BD384" s="32">
        <f t="shared" si="158"/>
        <v>2</v>
      </c>
      <c r="BE384">
        <f>step3_validation[[#This Row],[AI_OUT1]]</f>
        <v>5</v>
      </c>
      <c r="BF384" t="str">
        <f t="shared" si="159"/>
        <v>Neutral</v>
      </c>
      <c r="BG384">
        <f>survey_responses[[#This Row],[Sau khi xem xét các quyền lợi và nghĩa vụ, bạn có ủng hộ và tuân thủ chính sách mới hiện nay? - HUMAN-OUT1]]</f>
        <v>3</v>
      </c>
      <c r="BH384" t="str">
        <f t="shared" si="160"/>
        <v>Oppose</v>
      </c>
      <c r="BI384" s="32">
        <f t="shared" si="161"/>
        <v>2</v>
      </c>
    </row>
    <row r="385" spans="1:61" x14ac:dyDescent="0.45">
      <c r="A385" s="30">
        <f>step3_validation[[#This Row],[Persona_ID]]</f>
        <v>384</v>
      </c>
      <c r="B385" s="31">
        <f>step3_validation[[#This Row],[Used_Seed]]</f>
        <v>425</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8</v>
      </c>
      <c r="R385" t="str">
        <f t="shared" si="135"/>
        <v>Support</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1</v>
      </c>
      <c r="V385">
        <f>step3_validation[[#This Row],[AI_ENF2]]</f>
        <v>7</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0</v>
      </c>
      <c r="AA385">
        <f>step3_validation[[#This Row],[AI_FAC1]]</f>
        <v>6</v>
      </c>
      <c r="AB385" t="str">
        <f t="shared" si="141"/>
        <v>Neutral</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1</v>
      </c>
      <c r="AF385">
        <f>step3_validation[[#This Row],[AI_FAC2]]</f>
        <v>9</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0</v>
      </c>
      <c r="AK385">
        <f>step3_validation[[#This Row],[AI_TRU1]]</f>
        <v>7</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8</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2">
        <f t="shared" si="152"/>
        <v>2</v>
      </c>
      <c r="AU385">
        <f>step3_validation[[#This Row],[AI_TRU3]]</f>
        <v>7</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1</v>
      </c>
      <c r="AZ385">
        <f>step3_validation[[#This Row],[AI_TRU4]]</f>
        <v>6</v>
      </c>
      <c r="BA385" t="str">
        <f t="shared" si="156"/>
        <v>Neutral</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8</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2</v>
      </c>
    </row>
    <row r="386" spans="1:61" x14ac:dyDescent="0.45">
      <c r="A386" s="30">
        <f>step3_validation[[#This Row],[Persona_ID]]</f>
        <v>385</v>
      </c>
      <c r="B386" s="31">
        <f>step3_validation[[#This Row],[Used_Seed]]</f>
        <v>426</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40.113415495298327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3</v>
      </c>
      <c r="V386">
        <f>step3_validation[[#This Row],[AI_ENF2]]</f>
        <v>7</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4</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6</v>
      </c>
      <c r="AG386" t="str">
        <f t="shared" si="144"/>
        <v>Neutral</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0</v>
      </c>
      <c r="AK386">
        <f>step3_validation[[#This Row],[AI_TRU1]]</f>
        <v>7</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3</v>
      </c>
      <c r="AP386">
        <f>step3_validation[[#This Row],[AI_TRU2]]</f>
        <v>8</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3</v>
      </c>
      <c r="AU386">
        <f>step3_validation[[#This Row],[AI_TRU3]]</f>
        <v>6</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2</v>
      </c>
      <c r="AZ386">
        <f>step3_validation[[#This Row],[AI_TRU4]]</f>
        <v>7</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2</v>
      </c>
      <c r="BE386">
        <f>step3_validation[[#This Row],[AI_OUT1]]</f>
        <v>6</v>
      </c>
      <c r="BF386" t="str">
        <f t="shared" si="159"/>
        <v>Neutral</v>
      </c>
      <c r="BG386">
        <f>survey_responses[[#This Row],[Sau khi xem xét các quyền lợi và nghĩa vụ, bạn có ủng hộ và tuân thủ chính sách mới hiện nay? - HUMAN-OUT1]]</f>
        <v>5</v>
      </c>
      <c r="BH386" t="str">
        <f t="shared" si="160"/>
        <v>Neutral</v>
      </c>
      <c r="BI386" s="32">
        <f t="shared" si="161"/>
        <v>1</v>
      </c>
    </row>
    <row r="387" spans="1:61" x14ac:dyDescent="0.45">
      <c r="A387" s="30">
        <f>step3_validation[[#This Row],[Persona_ID]]</f>
        <v>386</v>
      </c>
      <c r="B387" s="31">
        <f>step3_validation[[#This Row],[Used_Seed]]</f>
        <v>427</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27.369543347500112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6</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2</v>
      </c>
      <c r="AA387">
        <f>step3_validation[[#This Row],[AI_FAC1]]</f>
        <v>8</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1</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6</v>
      </c>
      <c r="AQ387" t="str">
        <f t="shared" ref="AQ387:AQ404" si="177">IF(AND(AP387&gt;=1,AP387&lt;5),"Oppose",IF(AND(AP387&gt;=5,AP387&lt;8),"Neutral",IF(AND(AP387&gt;=8,AP387&lt;=10),"Support","")))</f>
        <v>Neutral</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2</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5</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2</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428</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61.403048137403488</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8</v>
      </c>
      <c r="R388" t="str">
        <f t="shared" si="162"/>
        <v>Support</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3</v>
      </c>
      <c r="V388">
        <f>step3_validation[[#This Row],[AI_ENF2]]</f>
        <v>7</v>
      </c>
      <c r="W388" t="str">
        <f t="shared" si="165"/>
        <v>Neutral</v>
      </c>
      <c r="X388">
        <f>survey_responses[[#This Row],[Tôi tin rằng Nhà nước, cơ quan thuế có đủ khả năng và công nghệ để phát hiện, xử lý nghiêm các hành vi trốn thuế. - HUMAN-ENF2]]</f>
        <v>5</v>
      </c>
      <c r="Y388" t="str">
        <f t="shared" si="166"/>
        <v>Neutral</v>
      </c>
      <c r="Z388" s="32">
        <f t="shared" si="167"/>
        <v>2</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8</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3</v>
      </c>
      <c r="AK388">
        <f>step3_validation[[#This Row],[AI_TRU1]]</f>
        <v>7</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2</v>
      </c>
      <c r="AP388">
        <f>step3_validation[[#This Row],[AI_TRU2]]</f>
        <v>6</v>
      </c>
      <c r="AQ388" t="str">
        <f t="shared" si="177"/>
        <v>Neutral</v>
      </c>
      <c r="AR388">
        <f>survey_responses[[#This Row],[Tôi thấy mức thuế tôi phải đóng theo phương án mới là công bằng (người thu nhập như tôi đóng mức này là hợp lý). - HUMAN-TRU2]]</f>
        <v>5</v>
      </c>
      <c r="AS388" t="str">
        <f t="shared" si="178"/>
        <v>Neutral</v>
      </c>
      <c r="AT388" s="32">
        <f t="shared" si="179"/>
        <v>1</v>
      </c>
      <c r="AU388">
        <f>step3_validation[[#This Row],[AI_TRU3]]</f>
        <v>5</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0</v>
      </c>
      <c r="AZ388">
        <f>step3_validation[[#This Row],[AI_TRU4]]</f>
        <v>6</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1</v>
      </c>
      <c r="BE388">
        <f>step3_validation[[#This Row],[AI_OUT1]]</f>
        <v>7</v>
      </c>
      <c r="BF388" t="str">
        <f t="shared" si="186"/>
        <v>Neutral</v>
      </c>
      <c r="BG388">
        <f>survey_responses[[#This Row],[Sau khi xem xét các quyền lợi và nghĩa vụ, bạn có ủng hộ và tuân thủ chính sách mới hiện nay? - HUMAN-OUT1]]</f>
        <v>5</v>
      </c>
      <c r="BH388" t="str">
        <f t="shared" si="187"/>
        <v>Neutral</v>
      </c>
      <c r="BI388" s="32">
        <f t="shared" si="188"/>
        <v>2</v>
      </c>
    </row>
    <row r="389" spans="1:61" x14ac:dyDescent="0.45">
      <c r="A389" s="30">
        <f>step3_validation[[#This Row],[Persona_ID]]</f>
        <v>388</v>
      </c>
      <c r="B389" s="31">
        <f>step3_validation[[#This Row],[Used_Seed]]</f>
        <v>429</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14.760226330825407</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7</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0</v>
      </c>
      <c r="V389">
        <f>step3_validation[[#This Row],[AI_ENF2]]</f>
        <v>6</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8</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3</v>
      </c>
      <c r="AF389">
        <f>step3_validation[[#This Row],[AI_FAC2]]</f>
        <v>9</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1</v>
      </c>
      <c r="AK389">
        <f>step3_validation[[#This Row],[AI_TRU1]]</f>
        <v>6</v>
      </c>
      <c r="AL389" t="str">
        <f t="shared" si="174"/>
        <v>Neutral</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0</v>
      </c>
      <c r="AP389">
        <f>step3_validation[[#This Row],[AI_TRU2]]</f>
        <v>7</v>
      </c>
      <c r="AQ389" t="str">
        <f t="shared" si="177"/>
        <v>Neutral</v>
      </c>
      <c r="AR389">
        <f>survey_responses[[#This Row],[Tôi thấy mức thuế tôi phải đóng theo phương án mới là công bằng (người thu nhập như tôi đóng mức này là hợp lý). - HUMAN-TRU2]]</f>
        <v>8</v>
      </c>
      <c r="AS389" t="str">
        <f t="shared" si="178"/>
        <v>Support</v>
      </c>
      <c r="AT389" s="32">
        <f t="shared" si="179"/>
        <v>1</v>
      </c>
      <c r="AU389">
        <f>step3_validation[[#This Row],[AI_TRU3]]</f>
        <v>5</v>
      </c>
      <c r="AV389" t="str">
        <f t="shared" si="180"/>
        <v>Neutral</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0</v>
      </c>
      <c r="AZ389">
        <f>step3_validation[[#This Row],[AI_TRU4]]</f>
        <v>6</v>
      </c>
      <c r="BA389" t="str">
        <f t="shared" si="183"/>
        <v>Neutral</v>
      </c>
      <c r="BB389">
        <f>survey_responses[[#This Row],[Tôi thấy Nhà nước đã giải thích rõ ràng, minh bạch về lý do và mục tiêu của việc sửa đổi thuế lần này. - HUMAN-TRU4]]</f>
        <v>5</v>
      </c>
      <c r="BC389" t="str">
        <f t="shared" si="184"/>
        <v>Neutral</v>
      </c>
      <c r="BD389" s="32">
        <f t="shared" si="185"/>
        <v>1</v>
      </c>
      <c r="BE389">
        <f>step3_validation[[#This Row],[AI_OUT1]]</f>
        <v>7</v>
      </c>
      <c r="BF389" t="str">
        <f t="shared" si="186"/>
        <v>Neutral</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430</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20.992539202905668</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9</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2</v>
      </c>
      <c r="AF390">
        <f>step3_validation[[#This Row],[AI_FAC2]]</f>
        <v>8</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0</v>
      </c>
      <c r="AK390">
        <f>step3_validation[[#This Row],[AI_TRU1]]</f>
        <v>9</v>
      </c>
      <c r="AL390" t="str">
        <f t="shared" si="174"/>
        <v>Support</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3</v>
      </c>
      <c r="AP390">
        <f>step3_validation[[#This Row],[AI_TRU2]]</f>
        <v>6</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2</v>
      </c>
      <c r="AU390">
        <f>step3_validation[[#This Row],[AI_TRU3]]</f>
        <v>8</v>
      </c>
      <c r="AV390" t="str">
        <f t="shared" si="180"/>
        <v>Support</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3</v>
      </c>
      <c r="AZ390">
        <f>step3_validation[[#This Row],[AI_TRU4]]</f>
        <v>7</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2</v>
      </c>
      <c r="BE390">
        <f>step3_validation[[#This Row],[AI_OUT1]]</f>
        <v>9</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431</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32.867762142236323</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7</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3</v>
      </c>
      <c r="AA391">
        <f>step3_validation[[#This Row],[AI_FAC1]]</f>
        <v>8</v>
      </c>
      <c r="AB391" t="str">
        <f t="shared" si="168"/>
        <v>Support</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3</v>
      </c>
      <c r="AF391">
        <f>step3_validation[[#This Row],[AI_FAC2]]</f>
        <v>9</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0</v>
      </c>
      <c r="AK391">
        <f>step3_validation[[#This Row],[AI_TRU1]]</f>
        <v>6</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1</v>
      </c>
      <c r="AP391">
        <f>step3_validation[[#This Row],[AI_TRU2]]</f>
        <v>7</v>
      </c>
      <c r="AQ391" t="str">
        <f t="shared" si="177"/>
        <v>Neutral</v>
      </c>
      <c r="AR391">
        <f>survey_responses[[#This Row],[Tôi thấy mức thuế tôi phải đóng theo phương án mới là công bằng (người thu nhập như tôi đóng mức này là hợp lý). - HUMAN-TRU2]]</f>
        <v>8</v>
      </c>
      <c r="AS391" t="str">
        <f t="shared" si="178"/>
        <v>Support</v>
      </c>
      <c r="AT391" s="32">
        <f t="shared" si="179"/>
        <v>1</v>
      </c>
      <c r="AU391">
        <f>step3_validation[[#This Row],[AI_TRU3]]</f>
        <v>6</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1</v>
      </c>
      <c r="AZ391">
        <f>step3_validation[[#This Row],[AI_TRU4]]</f>
        <v>7</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2</v>
      </c>
      <c r="BE391">
        <f>step3_validation[[#This Row],[AI_OUT1]]</f>
        <v>7</v>
      </c>
      <c r="BF391" t="str">
        <f t="shared" si="186"/>
        <v>Neutral</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432</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15.291564528778185</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3</v>
      </c>
      <c r="V392">
        <f>step3_validation[[#This Row],[AI_ENF2]]</f>
        <v>8</v>
      </c>
      <c r="W392" t="str">
        <f t="shared" si="165"/>
        <v>Support</v>
      </c>
      <c r="X392">
        <f>survey_responses[[#This Row],[Tôi tin rằng Nhà nước, cơ quan thuế có đủ khả năng và công nghệ để phát hiện, xử lý nghiêm các hành vi trốn thuế. - HUMAN-ENF2]]</f>
        <v>5</v>
      </c>
      <c r="Y392" t="str">
        <f t="shared" si="166"/>
        <v>Neutral</v>
      </c>
      <c r="Z392" s="32">
        <f t="shared" si="167"/>
        <v>3</v>
      </c>
      <c r="AA392">
        <f>step3_validation[[#This Row],[AI_FAC1]]</f>
        <v>6</v>
      </c>
      <c r="AB392" t="str">
        <f t="shared" si="168"/>
        <v>Neutral</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1</v>
      </c>
      <c r="AF392">
        <f>step3_validation[[#This Row],[AI_FAC2]]</f>
        <v>6</v>
      </c>
      <c r="AG392" t="str">
        <f t="shared" si="171"/>
        <v>Neutral</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1</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8</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1</v>
      </c>
      <c r="AU392">
        <f>step3_validation[[#This Row],[AI_TRU3]]</f>
        <v>6</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1</v>
      </c>
      <c r="AZ392">
        <f>step3_validation[[#This Row],[AI_TRU4]]</f>
        <v>7</v>
      </c>
      <c r="BA392" t="str">
        <f t="shared" si="183"/>
        <v>Neutral</v>
      </c>
      <c r="BB392">
        <f>survey_responses[[#This Row],[Tôi thấy Nhà nước đã giải thích rõ ràng, minh bạch về lý do và mục tiêu của việc sửa đổi thuế lần này. - HUMAN-TRU4]]</f>
        <v>5</v>
      </c>
      <c r="BC392" t="str">
        <f t="shared" si="184"/>
        <v>Neutral</v>
      </c>
      <c r="BD392" s="32">
        <f t="shared" si="185"/>
        <v>2</v>
      </c>
      <c r="BE392">
        <f>step3_validation[[#This Row],[AI_OUT1]]</f>
        <v>7</v>
      </c>
      <c r="BF392" t="str">
        <f t="shared" si="186"/>
        <v>Neutral</v>
      </c>
      <c r="BG392">
        <f>survey_responses[[#This Row],[Sau khi xem xét các quyền lợi và nghĩa vụ, bạn có ủng hộ và tuân thủ chính sách mới hiện nay? - HUMAN-OUT1]]</f>
        <v>7</v>
      </c>
      <c r="BH392" t="str">
        <f t="shared" si="187"/>
        <v>Neutral</v>
      </c>
      <c r="BI392" s="32">
        <f t="shared" si="188"/>
        <v>0</v>
      </c>
    </row>
    <row r="393" spans="1:61" x14ac:dyDescent="0.45">
      <c r="A393" s="30">
        <f>step3_validation[[#This Row],[Persona_ID]]</f>
        <v>392</v>
      </c>
      <c r="B393" s="31">
        <f>step3_validation[[#This Row],[Used_Seed]]</f>
        <v>433</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156.72483850738081</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6</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4</v>
      </c>
      <c r="V393">
        <f>step3_validation[[#This Row],[AI_ENF2]]</f>
        <v>7</v>
      </c>
      <c r="W393" t="str">
        <f t="shared" si="165"/>
        <v>Neutral</v>
      </c>
      <c r="X393">
        <f>survey_responses[[#This Row],[Tôi tin rằng Nhà nước, cơ quan thuế có đủ khả năng và công nghệ để phát hiện, xử lý nghiêm các hành vi trốn thuế. - HUMAN-ENF2]]</f>
        <v>3</v>
      </c>
      <c r="Y393" t="str">
        <f t="shared" si="166"/>
        <v>Oppose</v>
      </c>
      <c r="Z393" s="32">
        <f t="shared" si="167"/>
        <v>4</v>
      </c>
      <c r="AA393">
        <f>step3_validation[[#This Row],[AI_FAC1]]</f>
        <v>5</v>
      </c>
      <c r="AB393" t="str">
        <f t="shared" si="168"/>
        <v>Neutral</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2</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9</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4</v>
      </c>
      <c r="AP393">
        <f>step3_validation[[#This Row],[AI_TRU2]]</f>
        <v>7</v>
      </c>
      <c r="AQ393" t="str">
        <f t="shared" si="177"/>
        <v>Neutral</v>
      </c>
      <c r="AR393">
        <f>survey_responses[[#This Row],[Tôi thấy mức thuế tôi phải đóng theo phương án mới là công bằng (người thu nhập như tôi đóng mức này là hợp lý). - HUMAN-TRU2]]</f>
        <v>5</v>
      </c>
      <c r="AS393" t="str">
        <f t="shared" si="178"/>
        <v>Neutral</v>
      </c>
      <c r="AT393" s="32">
        <f t="shared" si="179"/>
        <v>2</v>
      </c>
      <c r="AU393">
        <f>step3_validation[[#This Row],[AI_TRU3]]</f>
        <v>6</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1</v>
      </c>
      <c r="AZ393">
        <f>step3_validation[[#This Row],[AI_TRU4]]</f>
        <v>7</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2</v>
      </c>
      <c r="BE393">
        <f>step3_validation[[#This Row],[AI_OUT1]]</f>
        <v>8</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3</v>
      </c>
    </row>
    <row r="394" spans="1:61" x14ac:dyDescent="0.45">
      <c r="A394" s="30">
        <f>step3_validation[[#This Row],[Persona_ID]]</f>
        <v>393</v>
      </c>
      <c r="B394" s="31">
        <f>step3_validation[[#This Row],[Used_Seed]]</f>
        <v>434</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24.860348144332676</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0</v>
      </c>
      <c r="V394">
        <f>step3_validation[[#This Row],[AI_ENF2]]</f>
        <v>8</v>
      </c>
      <c r="W394" t="str">
        <f t="shared" si="165"/>
        <v>Support</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6</v>
      </c>
      <c r="AB394" t="str">
        <f t="shared" si="168"/>
        <v>Neutral</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1</v>
      </c>
      <c r="AF394">
        <f>step3_validation[[#This Row],[AI_FAC2]]</f>
        <v>9</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1</v>
      </c>
      <c r="AK394">
        <f>step3_validation[[#This Row],[AI_TRU1]]</f>
        <v>8</v>
      </c>
      <c r="AL394" t="str">
        <f t="shared" si="174"/>
        <v>Support</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1</v>
      </c>
      <c r="AP394">
        <f>step3_validation[[#This Row],[AI_TRU2]]</f>
        <v>7</v>
      </c>
      <c r="AQ394" t="str">
        <f t="shared" si="177"/>
        <v>Neutral</v>
      </c>
      <c r="AR394">
        <f>survey_responses[[#This Row],[Tôi thấy mức thuế tôi phải đóng theo phương án mới là công bằng (người thu nhập như tôi đóng mức này là hợp lý). - HUMAN-TRU2]]</f>
        <v>7</v>
      </c>
      <c r="AS394" t="str">
        <f t="shared" si="178"/>
        <v>Neutral</v>
      </c>
      <c r="AT394" s="32">
        <f t="shared" si="179"/>
        <v>0</v>
      </c>
      <c r="AU394">
        <f>step3_validation[[#This Row],[AI_TRU3]]</f>
        <v>6</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1</v>
      </c>
      <c r="AZ394">
        <f>step3_validation[[#This Row],[AI_TRU4]]</f>
        <v>5</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7</v>
      </c>
      <c r="BF394" t="str">
        <f t="shared" si="186"/>
        <v>Neutral</v>
      </c>
      <c r="BG394">
        <f>survey_responses[[#This Row],[Sau khi xem xét các quyền lợi và nghĩa vụ, bạn có ủng hộ và tuân thủ chính sách mới hiện nay? - HUMAN-OUT1]]</f>
        <v>7</v>
      </c>
      <c r="BH394" t="str">
        <f t="shared" si="187"/>
        <v>Neutral</v>
      </c>
      <c r="BI394" s="32">
        <f t="shared" si="188"/>
        <v>0</v>
      </c>
    </row>
    <row r="395" spans="1:61" x14ac:dyDescent="0.45">
      <c r="A395" s="30">
        <f>step3_validation[[#This Row],[Persona_ID]]</f>
        <v>394</v>
      </c>
      <c r="B395" s="31">
        <f>step3_validation[[#This Row],[Used_Seed]]</f>
        <v>435</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8</v>
      </c>
      <c r="W395" t="str">
        <f t="shared" si="165"/>
        <v>Support</v>
      </c>
      <c r="X395">
        <f>survey_responses[[#This Row],[Tôi tin rằng Nhà nước, cơ quan thuế có đủ khả năng và công nghệ để phát hiện, xử lý nghiêm các hành vi trốn thuế. - HUMAN-ENF2]]</f>
        <v>9</v>
      </c>
      <c r="Y395" t="str">
        <f t="shared" si="166"/>
        <v>Support</v>
      </c>
      <c r="Z395" s="32">
        <f t="shared" si="167"/>
        <v>1</v>
      </c>
      <c r="AA395">
        <f>step3_validation[[#This Row],[AI_FAC1]]</f>
        <v>6</v>
      </c>
      <c r="AB395" t="str">
        <f t="shared" si="168"/>
        <v>Neutral</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3</v>
      </c>
      <c r="AF395">
        <f>step3_validation[[#This Row],[AI_FAC2]]</f>
        <v>7</v>
      </c>
      <c r="AG395" t="str">
        <f t="shared" si="171"/>
        <v>Neutral</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0</v>
      </c>
      <c r="AK395">
        <f>step3_validation[[#This Row],[AI_TRU1]]</f>
        <v>7</v>
      </c>
      <c r="AL395" t="str">
        <f t="shared" si="174"/>
        <v>Neutral</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1</v>
      </c>
      <c r="AP395">
        <f>step3_validation[[#This Row],[AI_TRU2]]</f>
        <v>8</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2</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7</v>
      </c>
      <c r="BF395" t="str">
        <f t="shared" si="186"/>
        <v>Neutral</v>
      </c>
      <c r="BG395">
        <f>survey_responses[[#This Row],[Sau khi xem xét các quyền lợi và nghĩa vụ, bạn có ủng hộ và tuân thủ chính sách mới hiện nay? - HUMAN-OUT1]]</f>
        <v>10</v>
      </c>
      <c r="BH395" t="str">
        <f t="shared" si="187"/>
        <v>Support</v>
      </c>
      <c r="BI395" s="32">
        <f t="shared" si="188"/>
        <v>3</v>
      </c>
    </row>
    <row r="396" spans="1:61" x14ac:dyDescent="0.45">
      <c r="A396" s="30">
        <f>step3_validation[[#This Row],[Persona_ID]]</f>
        <v>395</v>
      </c>
      <c r="B396" s="31">
        <f>step3_validation[[#This Row],[Used_Seed]]</f>
        <v>436</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35.835122148082952</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0</v>
      </c>
      <c r="V396">
        <f>step3_validation[[#This Row],[AI_ENF2]]</f>
        <v>6</v>
      </c>
      <c r="W396" t="str">
        <f t="shared" si="165"/>
        <v>Neutral</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8</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3</v>
      </c>
      <c r="AF396">
        <f>step3_validation[[#This Row],[AI_FAC2]]</f>
        <v>7</v>
      </c>
      <c r="AG396" t="str">
        <f t="shared" si="171"/>
        <v>Neutral</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0</v>
      </c>
      <c r="AK396">
        <f>step3_validation[[#This Row],[AI_TRU1]]</f>
        <v>6</v>
      </c>
      <c r="AL396" t="str">
        <f t="shared" si="174"/>
        <v>Neutral</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1</v>
      </c>
      <c r="AP396">
        <f>step3_validation[[#This Row],[AI_TRU2]]</f>
        <v>7</v>
      </c>
      <c r="AQ396" t="str">
        <f t="shared" si="177"/>
        <v>Neutral</v>
      </c>
      <c r="AR396">
        <f>survey_responses[[#This Row],[Tôi thấy mức thuế tôi phải đóng theo phương án mới là công bằng (người thu nhập như tôi đóng mức này là hợp lý). - HUMAN-TRU2]]</f>
        <v>6</v>
      </c>
      <c r="AS396" t="str">
        <f t="shared" si="178"/>
        <v>Neutral</v>
      </c>
      <c r="AT396" s="32">
        <f t="shared" si="179"/>
        <v>1</v>
      </c>
      <c r="AU396">
        <f>step3_validation[[#This Row],[AI_TRU3]]</f>
        <v>6</v>
      </c>
      <c r="AV396" t="str">
        <f t="shared" si="180"/>
        <v>Neutral</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1</v>
      </c>
      <c r="AZ396">
        <f>step3_validation[[#This Row],[AI_TRU4]]</f>
        <v>5</v>
      </c>
      <c r="BA396" t="str">
        <f t="shared" si="183"/>
        <v>Neutral</v>
      </c>
      <c r="BB396">
        <f>survey_responses[[#This Row],[Tôi thấy Nhà nước đã giải thích rõ ràng, minh bạch về lý do và mục tiêu của việc sửa đổi thuế lần này. - HUMAN-TRU4]]</f>
        <v>6</v>
      </c>
      <c r="BC396" t="str">
        <f t="shared" si="184"/>
        <v>Neutral</v>
      </c>
      <c r="BD396" s="32">
        <f t="shared" si="185"/>
        <v>1</v>
      </c>
      <c r="BE396">
        <f>step3_validation[[#This Row],[AI_OUT1]]</f>
        <v>8</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2</v>
      </c>
    </row>
    <row r="397" spans="1:61" x14ac:dyDescent="0.45">
      <c r="A397" s="30">
        <f>step3_validation[[#This Row],[Persona_ID]]</f>
        <v>396</v>
      </c>
      <c r="B397" s="31">
        <f>step3_validation[[#This Row],[Used_Seed]]</f>
        <v>437</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24.981291853962343</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5</v>
      </c>
      <c r="V397">
        <f>step3_validation[[#This Row],[AI_ENF2]]</f>
        <v>8</v>
      </c>
      <c r="W397" t="str">
        <f t="shared" si="165"/>
        <v>Support</v>
      </c>
      <c r="X397">
        <f>survey_responses[[#This Row],[Tôi tin rằng Nhà nước, cơ quan thuế có đủ khả năng và công nghệ để phát hiện, xử lý nghiêm các hành vi trốn thuế. - HUMAN-ENF2]]</f>
        <v>2</v>
      </c>
      <c r="Y397" t="str">
        <f t="shared" si="166"/>
        <v>Oppose</v>
      </c>
      <c r="Z397" s="32">
        <f t="shared" si="167"/>
        <v>6</v>
      </c>
      <c r="AA397">
        <f>step3_validation[[#This Row],[AI_FAC1]]</f>
        <v>6</v>
      </c>
      <c r="AB397" t="str">
        <f t="shared" si="168"/>
        <v>Neutral</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2</v>
      </c>
      <c r="AF397">
        <f>step3_validation[[#This Row],[AI_FAC2]]</f>
        <v>9</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4</v>
      </c>
      <c r="AK397">
        <f>step3_validation[[#This Row],[AI_TRU1]]</f>
        <v>8</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3</v>
      </c>
      <c r="AP397">
        <f>step3_validation[[#This Row],[AI_TRU2]]</f>
        <v>9</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6</v>
      </c>
      <c r="AU397">
        <f>step3_validation[[#This Row],[AI_TRU3]]</f>
        <v>7</v>
      </c>
      <c r="AV397" t="str">
        <f t="shared" si="180"/>
        <v>Neutral</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2</v>
      </c>
      <c r="AZ397">
        <f>step3_validation[[#This Row],[AI_TRU4]]</f>
        <v>8</v>
      </c>
      <c r="BA397" t="str">
        <f t="shared" si="183"/>
        <v>Support</v>
      </c>
      <c r="BB397">
        <f>survey_responses[[#This Row],[Tôi thấy Nhà nước đã giải thích rõ ràng, minh bạch về lý do và mục tiêu của việc sửa đổi thuế lần này. - HUMAN-TRU4]]</f>
        <v>5</v>
      </c>
      <c r="BC397" t="str">
        <f t="shared" si="184"/>
        <v>Neutral</v>
      </c>
      <c r="BD397" s="32">
        <f t="shared" si="185"/>
        <v>3</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4</v>
      </c>
    </row>
    <row r="398" spans="1:61" x14ac:dyDescent="0.45">
      <c r="A398" s="30">
        <f>step3_validation[[#This Row],[Persona_ID]]</f>
        <v>397</v>
      </c>
      <c r="B398" s="31">
        <f>step3_validation[[#This Row],[Used_Seed]]</f>
        <v>438</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29.872467016661641</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1</v>
      </c>
      <c r="V398">
        <f>step3_validation[[#This Row],[AI_ENF2]]</f>
        <v>8</v>
      </c>
      <c r="W398" t="str">
        <f t="shared" si="165"/>
        <v>Support</v>
      </c>
      <c r="X398">
        <f>survey_responses[[#This Row],[Tôi tin rằng Nhà nước, cơ quan thuế có đủ khả năng và công nghệ để phát hiện, xử lý nghiêm các hành vi trốn thuế. - HUMAN-ENF2]]</f>
        <v>8</v>
      </c>
      <c r="Y398" t="str">
        <f t="shared" si="166"/>
        <v>Support</v>
      </c>
      <c r="Z398" s="32">
        <f t="shared" si="167"/>
        <v>0</v>
      </c>
      <c r="AA398">
        <f>step3_validation[[#This Row],[AI_FAC1]]</f>
        <v>9</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2</v>
      </c>
      <c r="AF398">
        <f>step3_validation[[#This Row],[AI_FAC2]]</f>
        <v>8</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1</v>
      </c>
      <c r="AK398">
        <f>step3_validation[[#This Row],[AI_TRU1]]</f>
        <v>7</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0</v>
      </c>
      <c r="AP398">
        <f>step3_validation[[#This Row],[AI_TRU2]]</f>
        <v>9</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6</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2</v>
      </c>
      <c r="BE398">
        <f>step3_validation[[#This Row],[AI_OUT1]]</f>
        <v>8</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0</v>
      </c>
    </row>
    <row r="399" spans="1:61" x14ac:dyDescent="0.45">
      <c r="A399" s="30">
        <f>step3_validation[[#This Row],[Persona_ID]]</f>
        <v>398</v>
      </c>
      <c r="B399" s="31">
        <f>step3_validation[[#This Row],[Used_Seed]]</f>
        <v>439</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5</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4</v>
      </c>
      <c r="V399">
        <f>step3_validation[[#This Row],[AI_ENF2]]</f>
        <v>6</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2">
        <f t="shared" si="167"/>
        <v>3</v>
      </c>
      <c r="AA399">
        <f>step3_validation[[#This Row],[AI_FAC1]]</f>
        <v>4</v>
      </c>
      <c r="AB399" t="str">
        <f t="shared" si="168"/>
        <v>Oppose</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4</v>
      </c>
      <c r="AF399">
        <f>step3_validation[[#This Row],[AI_FAC2]]</f>
        <v>7</v>
      </c>
      <c r="AG399" t="str">
        <f t="shared" si="171"/>
        <v>Neutral</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2</v>
      </c>
      <c r="AK399">
        <f>step3_validation[[#This Row],[AI_TRU1]]</f>
        <v>5</v>
      </c>
      <c r="AL399" t="str">
        <f t="shared" si="174"/>
        <v>Neutral</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2</v>
      </c>
      <c r="AP399">
        <f>step3_validation[[#This Row],[AI_TRU2]]</f>
        <v>6</v>
      </c>
      <c r="AQ399" t="str">
        <f t="shared" si="177"/>
        <v>Neutral</v>
      </c>
      <c r="AR399">
        <f>survey_responses[[#This Row],[Tôi thấy mức thuế tôi phải đóng theo phương án mới là công bằng (người thu nhập như tôi đóng mức này là hợp lý). - HUMAN-TRU2]]</f>
        <v>9</v>
      </c>
      <c r="AS399" t="str">
        <f t="shared" si="178"/>
        <v>Support</v>
      </c>
      <c r="AT399" s="32">
        <f t="shared" si="179"/>
        <v>3</v>
      </c>
      <c r="AU399">
        <f>step3_validation[[#This Row],[AI_TRU3]]</f>
        <v>4</v>
      </c>
      <c r="AV399" t="str">
        <f t="shared" si="180"/>
        <v>Oppose</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4</v>
      </c>
      <c r="AZ399">
        <f>step3_validation[[#This Row],[AI_TRU4]]</f>
        <v>5</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3</v>
      </c>
      <c r="BE399">
        <f>step3_validation[[#This Row],[AI_OUT1]]</f>
        <v>4</v>
      </c>
      <c r="BF399" t="str">
        <f t="shared" si="186"/>
        <v>Oppose</v>
      </c>
      <c r="BG399">
        <f>survey_responses[[#This Row],[Sau khi xem xét các quyền lợi và nghĩa vụ, bạn có ủng hộ và tuân thủ chính sách mới hiện nay? - HUMAN-OUT1]]</f>
        <v>8</v>
      </c>
      <c r="BH399" t="str">
        <f t="shared" si="187"/>
        <v>Support</v>
      </c>
      <c r="BI399" s="32">
        <f t="shared" si="188"/>
        <v>4</v>
      </c>
    </row>
    <row r="400" spans="1:61" x14ac:dyDescent="0.45">
      <c r="A400" s="30">
        <f>step3_validation[[#This Row],[Persona_ID]]</f>
        <v>399</v>
      </c>
      <c r="B400" s="31">
        <f>step3_validation[[#This Row],[Used_Seed]]</f>
        <v>440</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30.809148097654692</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5</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2</v>
      </c>
      <c r="V400">
        <f>step3_validation[[#This Row],[AI_ENF2]]</f>
        <v>6</v>
      </c>
      <c r="W400" t="str">
        <f t="shared" si="165"/>
        <v>Neutral</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8</v>
      </c>
      <c r="AB400" t="str">
        <f t="shared" si="168"/>
        <v>Support</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3</v>
      </c>
      <c r="AF400">
        <f>step3_validation[[#This Row],[AI_FAC2]]</f>
        <v>7</v>
      </c>
      <c r="AG400" t="str">
        <f t="shared" si="171"/>
        <v>Neutral</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6</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1</v>
      </c>
      <c r="AP400">
        <f>step3_validation[[#This Row],[AI_TRU2]]</f>
        <v>5</v>
      </c>
      <c r="AQ400" t="str">
        <f t="shared" si="177"/>
        <v>Neutral</v>
      </c>
      <c r="AR400">
        <f>survey_responses[[#This Row],[Tôi thấy mức thuế tôi phải đóng theo phương án mới là công bằng (người thu nhập như tôi đóng mức này là hợp lý). - HUMAN-TRU2]]</f>
        <v>8</v>
      </c>
      <c r="AS400" t="str">
        <f t="shared" si="178"/>
        <v>Support</v>
      </c>
      <c r="AT400" s="32">
        <f t="shared" si="179"/>
        <v>3</v>
      </c>
      <c r="AU400">
        <f>step3_validation[[#This Row],[AI_TRU3]]</f>
        <v>4</v>
      </c>
      <c r="AV400" t="str">
        <f t="shared" si="180"/>
        <v>Oppose</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2</v>
      </c>
      <c r="AZ400">
        <f>step3_validation[[#This Row],[AI_TRU4]]</f>
        <v>5</v>
      </c>
      <c r="BA400" t="str">
        <f t="shared" si="183"/>
        <v>Neutral</v>
      </c>
      <c r="BB400">
        <f>survey_responses[[#This Row],[Tôi thấy Nhà nước đã giải thích rõ ràng, minh bạch về lý do và mục tiêu của việc sửa đổi thuế lần này. - HUMAN-TRU4]]</f>
        <v>6</v>
      </c>
      <c r="BC400" t="str">
        <f t="shared" si="184"/>
        <v>Neutral</v>
      </c>
      <c r="BD400" s="32">
        <f t="shared" si="185"/>
        <v>1</v>
      </c>
      <c r="BE400">
        <f>step3_validation[[#This Row],[AI_OUT1]]</f>
        <v>6</v>
      </c>
      <c r="BF400" t="str">
        <f t="shared" si="186"/>
        <v>Neutral</v>
      </c>
      <c r="BG400">
        <f>survey_responses[[#This Row],[Sau khi xem xét các quyền lợi và nghĩa vụ, bạn có ủng hộ và tuân thủ chính sách mới hiện nay? - HUMAN-OUT1]]</f>
        <v>8</v>
      </c>
      <c r="BH400" t="str">
        <f t="shared" si="187"/>
        <v>Support</v>
      </c>
      <c r="BI400" s="32">
        <f t="shared" si="188"/>
        <v>2</v>
      </c>
    </row>
    <row r="401" spans="1:61" x14ac:dyDescent="0.45">
      <c r="A401" s="30">
        <f>step3_validation[[#This Row],[Persona_ID]]</f>
        <v>400</v>
      </c>
      <c r="B401" s="31">
        <f>step3_validation[[#This Row],[Used_Seed]]</f>
        <v>441</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35.075957873107996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3</v>
      </c>
      <c r="R401" t="str">
        <f t="shared" si="162"/>
        <v>Oppose</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5</v>
      </c>
      <c r="V401">
        <f>step3_validation[[#This Row],[AI_ENF2]]</f>
        <v>4</v>
      </c>
      <c r="W401" t="str">
        <f t="shared" si="165"/>
        <v>Oppose</v>
      </c>
      <c r="X401">
        <f>survey_responses[[#This Row],[Tôi tin rằng Nhà nước, cơ quan thuế có đủ khả năng và công nghệ để phát hiện, xử lý nghiêm các hành vi trốn thuế. - HUMAN-ENF2]]</f>
        <v>9</v>
      </c>
      <c r="Y401" t="str">
        <f t="shared" si="166"/>
        <v>Support</v>
      </c>
      <c r="Z401" s="32">
        <f t="shared" si="167"/>
        <v>5</v>
      </c>
      <c r="AA401">
        <f>step3_validation[[#This Row],[AI_FAC1]]</f>
        <v>6</v>
      </c>
      <c r="AB401" t="str">
        <f t="shared" si="168"/>
        <v>Neutral</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2</v>
      </c>
      <c r="AF401">
        <f>step3_validation[[#This Row],[AI_FAC2]]</f>
        <v>8</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0</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6</v>
      </c>
      <c r="AQ401" t="str">
        <f t="shared" si="177"/>
        <v>Neutral</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5</v>
      </c>
      <c r="AV401" t="str">
        <f t="shared" si="180"/>
        <v>Neutral</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2</v>
      </c>
      <c r="AZ401">
        <f>step3_validation[[#This Row],[AI_TRU4]]</f>
        <v>4</v>
      </c>
      <c r="BA401" t="str">
        <f t="shared" si="183"/>
        <v>Oppose</v>
      </c>
      <c r="BB401">
        <f>survey_responses[[#This Row],[Tôi thấy Nhà nước đã giải thích rõ ràng, minh bạch về lý do và mục tiêu của việc sửa đổi thuế lần này. - HUMAN-TRU4]]</f>
        <v>7</v>
      </c>
      <c r="BC401" t="str">
        <f t="shared" si="184"/>
        <v>Neutral</v>
      </c>
      <c r="BD401" s="32">
        <f t="shared" si="185"/>
        <v>3</v>
      </c>
      <c r="BE401">
        <f>step3_validation[[#This Row],[AI_OUT1]]</f>
        <v>5</v>
      </c>
      <c r="BF401" t="str">
        <f t="shared" si="186"/>
        <v>Neutral</v>
      </c>
      <c r="BG401">
        <f>survey_responses[[#This Row],[Sau khi xem xét các quyền lợi và nghĩa vụ, bạn có ủng hộ và tuân thủ chính sách mới hiện nay? - HUMAN-OUT1]]</f>
        <v>8</v>
      </c>
      <c r="BH401" t="str">
        <f t="shared" si="187"/>
        <v>Support</v>
      </c>
      <c r="BI401" s="32">
        <f t="shared" si="188"/>
        <v>3</v>
      </c>
    </row>
    <row r="402" spans="1:61" x14ac:dyDescent="0.45">
      <c r="A402" s="30">
        <f>step3_validation[[#This Row],[Persona_ID]]</f>
        <v>401</v>
      </c>
      <c r="B402" s="31">
        <f>step3_validation[[#This Row],[Used_Seed]]</f>
        <v>442</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14.145044158147947</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8</v>
      </c>
      <c r="R402" t="str">
        <f t="shared" si="162"/>
        <v>Support</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4</v>
      </c>
      <c r="V402">
        <f>step3_validation[[#This Row],[AI_ENF2]]</f>
        <v>7</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2">
        <f t="shared" si="167"/>
        <v>3</v>
      </c>
      <c r="AA402">
        <f>step3_validation[[#This Row],[AI_FAC1]]</f>
        <v>6</v>
      </c>
      <c r="AB402" t="str">
        <f t="shared" si="168"/>
        <v>Neutral</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3</v>
      </c>
      <c r="AF402">
        <f>step3_validation[[#This Row],[AI_FAC2]]</f>
        <v>8</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3</v>
      </c>
      <c r="AK402">
        <f>step3_validation[[#This Row],[AI_TRU1]]</f>
        <v>6</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1</v>
      </c>
      <c r="AP402">
        <f>step3_validation[[#This Row],[AI_TRU2]]</f>
        <v>7</v>
      </c>
      <c r="AQ402" t="str">
        <f t="shared" si="177"/>
        <v>Neutral</v>
      </c>
      <c r="AR402">
        <f>survey_responses[[#This Row],[Tôi thấy mức thuế tôi phải đóng theo phương án mới là công bằng (người thu nhập như tôi đóng mức này là hợp lý). - HUMAN-TRU2]]</f>
        <v>2</v>
      </c>
      <c r="AS402" t="str">
        <f t="shared" si="178"/>
        <v>Oppose</v>
      </c>
      <c r="AT402" s="32">
        <f t="shared" si="179"/>
        <v>5</v>
      </c>
      <c r="AU402">
        <f>step3_validation[[#This Row],[AI_TRU3]]</f>
        <v>6</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4</v>
      </c>
      <c r="AZ402">
        <f>step3_validation[[#This Row],[AI_TRU4]]</f>
        <v>5</v>
      </c>
      <c r="BA402" t="str">
        <f t="shared" si="183"/>
        <v>Neutral</v>
      </c>
      <c r="BB402">
        <f>survey_responses[[#This Row],[Tôi thấy Nhà nước đã giải thích rõ ràng, minh bạch về lý do và mục tiêu của việc sửa đổi thuế lần này. - HUMAN-TRU4]]</f>
        <v>5</v>
      </c>
      <c r="BC402" t="str">
        <f t="shared" si="184"/>
        <v>Neutral</v>
      </c>
      <c r="BD402" s="32">
        <f t="shared" si="185"/>
        <v>0</v>
      </c>
      <c r="BE402">
        <f>step3_validation[[#This Row],[AI_OUT1]]</f>
        <v>5</v>
      </c>
      <c r="BF402" t="str">
        <f t="shared" si="186"/>
        <v>Neutral</v>
      </c>
      <c r="BG402">
        <f>survey_responses[[#This Row],[Sau khi xem xét các quyền lợi và nghĩa vụ, bạn có ủng hộ và tuân thủ chính sách mới hiện nay? - HUMAN-OUT1]]</f>
        <v>2</v>
      </c>
      <c r="BH402" t="str">
        <f t="shared" si="187"/>
        <v>Oppose</v>
      </c>
      <c r="BI402" s="32">
        <f t="shared" si="188"/>
        <v>3</v>
      </c>
    </row>
    <row r="403" spans="1:61" x14ac:dyDescent="0.45">
      <c r="A403" s="30">
        <f>step3_validation[[#This Row],[Persona_ID]]</f>
        <v>402</v>
      </c>
      <c r="B403" s="31">
        <f>step3_validation[[#This Row],[Used_Seed]]</f>
        <v>443</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111.66942255330783</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6</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8</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4</v>
      </c>
      <c r="AF403">
        <f>step3_validation[[#This Row],[AI_FAC2]]</f>
        <v>7</v>
      </c>
      <c r="AG403" t="str">
        <f t="shared" si="171"/>
        <v>Neutral</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1</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7</v>
      </c>
      <c r="AQ403" t="str">
        <f t="shared" si="177"/>
        <v>Neutral</v>
      </c>
      <c r="AR403">
        <f>survey_responses[[#This Row],[Tôi thấy mức thuế tôi phải đóng theo phương án mới là công bằng (người thu nhập như tôi đóng mức này là hợp lý). - HUMAN-TRU2]]</f>
        <v>4</v>
      </c>
      <c r="AS403" t="str">
        <f t="shared" si="178"/>
        <v>Oppose</v>
      </c>
      <c r="AT403" s="32">
        <f t="shared" si="179"/>
        <v>3</v>
      </c>
      <c r="AU403">
        <f>step3_validation[[#This Row],[AI_TRU3]]</f>
        <v>8</v>
      </c>
      <c r="AV403" t="str">
        <f t="shared" si="180"/>
        <v>Support</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3</v>
      </c>
      <c r="AZ403">
        <f>step3_validation[[#This Row],[AI_TRU4]]</f>
        <v>6</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1</v>
      </c>
      <c r="BE403">
        <f>step3_validation[[#This Row],[AI_OUT1]]</f>
        <v>8</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3</v>
      </c>
    </row>
    <row r="404" spans="1:61" x14ac:dyDescent="0.45">
      <c r="A404" s="30">
        <f>step3_validation[[#This Row],[Persona_ID]]</f>
        <v>403</v>
      </c>
      <c r="B404" s="31">
        <f>step3_validation[[#This Row],[Used_Seed]]</f>
        <v>444</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29.594032750815028</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6</v>
      </c>
      <c r="W404" t="str">
        <f t="shared" si="165"/>
        <v>Neutral</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5</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2</v>
      </c>
      <c r="AF404">
        <f>step3_validation[[#This Row],[AI_FAC2]]</f>
        <v>8</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1</v>
      </c>
      <c r="AK404">
        <f>step3_validation[[#This Row],[AI_TRU1]]</f>
        <v>7</v>
      </c>
      <c r="AL404" t="str">
        <f t="shared" si="174"/>
        <v>Neutral</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0</v>
      </c>
      <c r="AP404">
        <f>step3_validation[[#This Row],[AI_TRU2]]</f>
        <v>6</v>
      </c>
      <c r="AQ404" t="str">
        <f t="shared" si="177"/>
        <v>Neutral</v>
      </c>
      <c r="AR404">
        <f>survey_responses[[#This Row],[Tôi thấy mức thuế tôi phải đóng theo phương án mới là công bằng (người thu nhập như tôi đóng mức này là hợp lý). - HUMAN-TRU2]]</f>
        <v>7</v>
      </c>
      <c r="AS404" t="str">
        <f t="shared" si="178"/>
        <v>Neutral</v>
      </c>
      <c r="AT404" s="32">
        <f t="shared" si="179"/>
        <v>1</v>
      </c>
      <c r="AU404">
        <f>step3_validation[[#This Row],[AI_TRU3]]</f>
        <v>7</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0</v>
      </c>
      <c r="AZ404">
        <f>step3_validation[[#This Row],[AI_TRU4]]</f>
        <v>6</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7</v>
      </c>
      <c r="BF404" t="str">
        <f t="shared" si="186"/>
        <v>Neutral</v>
      </c>
      <c r="BG404">
        <f>survey_responses[[#This Row],[Sau khi xem xét các quyền lợi và nghĩa vụ, bạn có ủng hộ và tuân thủ chính sách mới hiện nay? - HUMAN-OUT1]]</f>
        <v>7</v>
      </c>
      <c r="BH404" t="str">
        <f t="shared" si="187"/>
        <v>Neutral</v>
      </c>
      <c r="BI404" s="32">
        <f t="shared" si="188"/>
        <v>0</v>
      </c>
    </row>
    <row r="405" spans="1:61" x14ac:dyDescent="0.45">
      <c r="U405">
        <f>AVERAGE(U2:U404)</f>
        <v>1.8039702233250621</v>
      </c>
      <c r="Z405">
        <f>AVERAGE(Z2:Z404)</f>
        <v>1.7890818858560793</v>
      </c>
      <c r="AE405">
        <f>AVERAGE(AE2:AE404)</f>
        <v>2.3995037220843671</v>
      </c>
      <c r="AJ405">
        <f>AVERAGE(AJ2:AJ404)</f>
        <v>1.7270471464019852</v>
      </c>
      <c r="AO405">
        <f>AVERAGE(AO2:AO404)</f>
        <v>1.9379652605459057</v>
      </c>
      <c r="AT405">
        <f>AVERAGE(AT2:AT404)</f>
        <v>2.1116625310173696</v>
      </c>
      <c r="AY405">
        <f>AVERAGE(AY2:AY404)</f>
        <v>2.1339950372208438</v>
      </c>
      <c r="BD405">
        <f>AVERAGE(BD2:BD404)</f>
        <v>1.8858560794044665</v>
      </c>
      <c r="BI405">
        <f>AVERAGE(BI2:BI404)</f>
        <v>1.8808933002481389</v>
      </c>
    </row>
    <row r="406" spans="1:61" x14ac:dyDescent="0.45">
      <c r="Q406" t="s">
        <v>1</v>
      </c>
      <c r="R406">
        <f>COUNTIF($R$2:$R$404,"Oppose")</f>
        <v>6</v>
      </c>
      <c r="S406" t="s">
        <v>1</v>
      </c>
      <c r="T406">
        <f>COUNTIF($T$2:$T$404,"Oppose")</f>
        <v>55</v>
      </c>
      <c r="V406" t="s">
        <v>1</v>
      </c>
      <c r="W406">
        <f>COUNTIF($W$2:$W$404,"Oppose")</f>
        <v>2</v>
      </c>
      <c r="X406" t="s">
        <v>1</v>
      </c>
      <c r="Y406">
        <f>COUNTIF($Y$2:$Y$404,"Oppose")</f>
        <v>45</v>
      </c>
      <c r="AA406" t="s">
        <v>1</v>
      </c>
      <c r="AB406">
        <f>COUNTIF($AB$2:$AB$404,"Oppose")</f>
        <v>2</v>
      </c>
      <c r="AC406" t="s">
        <v>1</v>
      </c>
      <c r="AD406">
        <f>COUNTIF($AD$2:$AD$404,"Oppose")</f>
        <v>83</v>
      </c>
      <c r="AF406" t="s">
        <v>1</v>
      </c>
      <c r="AG406">
        <f>COUNTIF($AG$2:$AG$404,"Oppose")</f>
        <v>6</v>
      </c>
      <c r="AH406" t="s">
        <v>1</v>
      </c>
      <c r="AI406">
        <f>COUNTIF($AI$2:$AI$404,"Oppose")</f>
        <v>21</v>
      </c>
      <c r="AK406" t="s">
        <v>1</v>
      </c>
      <c r="AL406">
        <f>COUNTIF($AL$2:$AL$404,"Oppose")</f>
        <v>13</v>
      </c>
      <c r="AM406" t="s">
        <v>1</v>
      </c>
      <c r="AN406">
        <f>COUNTIF($AN$2:$AN$404,"Oppose")</f>
        <v>57</v>
      </c>
      <c r="AP406" t="s">
        <v>1</v>
      </c>
      <c r="AQ406">
        <f>COUNTIF($AQ$2:$AQ$404,"Oppose")</f>
        <v>9</v>
      </c>
      <c r="AR406" t="s">
        <v>1</v>
      </c>
      <c r="AS406">
        <f>COUNTIF($AS$2:$AS$404,"Oppose")</f>
        <v>70</v>
      </c>
      <c r="AU406" t="s">
        <v>1</v>
      </c>
      <c r="AV406">
        <f>COUNTIF($AV$2:$AV$404,"Oppose")</f>
        <v>19</v>
      </c>
      <c r="AW406" t="s">
        <v>1</v>
      </c>
      <c r="AX406">
        <f>COUNTIF($AX$2:$AX$404,"Oppose")</f>
        <v>72</v>
      </c>
      <c r="AZ406" t="s">
        <v>1</v>
      </c>
      <c r="BA406">
        <f>COUNTIF($BA$2:$BA$404,"Oppose")</f>
        <v>28</v>
      </c>
      <c r="BB406" t="s">
        <v>1</v>
      </c>
      <c r="BC406">
        <f>COUNTIF($BC$2:$BC$404,"Oppose")</f>
        <v>46</v>
      </c>
      <c r="BE406" t="s">
        <v>1</v>
      </c>
      <c r="BF406">
        <f>COUNTIF($BF$2:$BF$404,"Oppose")</f>
        <v>7</v>
      </c>
      <c r="BG406" t="s">
        <v>1</v>
      </c>
      <c r="BH406">
        <f>COUNTIF($BH$2:$BH$404,"Oppose")</f>
        <v>35</v>
      </c>
    </row>
    <row r="407" spans="1:61" x14ac:dyDescent="0.45">
      <c r="Q407" t="s">
        <v>2</v>
      </c>
      <c r="R407">
        <f>COUNTIF($R$2:$R$404,"Neutral")</f>
        <v>270</v>
      </c>
      <c r="S407" t="s">
        <v>2</v>
      </c>
      <c r="T407">
        <f>COUNTIF($T$2:$T$404,"Neutral")</f>
        <v>180</v>
      </c>
      <c r="V407" t="s">
        <v>2</v>
      </c>
      <c r="W407">
        <f>COUNTIF($W$2:$W$404,"Neutral")</f>
        <v>227</v>
      </c>
      <c r="X407" t="s">
        <v>2</v>
      </c>
      <c r="Y407">
        <f>COUNTIF($Y$2:$Y$404,"Neutral")</f>
        <v>166</v>
      </c>
      <c r="AA407" t="s">
        <v>2</v>
      </c>
      <c r="AB407">
        <f>COUNTIF($AB$2:$AB$404,"Neutral")</f>
        <v>147</v>
      </c>
      <c r="AC407" t="s">
        <v>2</v>
      </c>
      <c r="AD407">
        <f>COUNTIF($AD$2:$AD$404,"Neutral")</f>
        <v>177</v>
      </c>
      <c r="AF407" t="s">
        <v>2</v>
      </c>
      <c r="AG407">
        <f>COUNTIF($AG$2:$AG$404,"Neutral")</f>
        <v>123</v>
      </c>
      <c r="AH407" t="s">
        <v>2</v>
      </c>
      <c r="AI407">
        <f>COUNTIF($AI$2:$AI$404,"Neutral")</f>
        <v>185</v>
      </c>
      <c r="AK407" t="s">
        <v>2</v>
      </c>
      <c r="AL407">
        <f>COUNTIF($AL$2:$AL$404,"Neutral")</f>
        <v>268</v>
      </c>
      <c r="AM407" t="s">
        <v>2</v>
      </c>
      <c r="AN407">
        <f>COUNTIF($AN$2:$AN$404,"Neutral")</f>
        <v>218</v>
      </c>
      <c r="AP407" t="s">
        <v>2</v>
      </c>
      <c r="AQ407">
        <f>COUNTIF($AQ$2:$AQ$404,"Neutral")</f>
        <v>270</v>
      </c>
      <c r="AR407" t="s">
        <v>2</v>
      </c>
      <c r="AS407">
        <f>COUNTIF($AS$2:$AS$404,"Neutral")</f>
        <v>178</v>
      </c>
      <c r="AU407" t="s">
        <v>2</v>
      </c>
      <c r="AV407">
        <f>COUNTIF($AV$2:$AV$404,"Neutral")</f>
        <v>313</v>
      </c>
      <c r="AW407" t="s">
        <v>2</v>
      </c>
      <c r="AX407">
        <f>COUNTIF($AX$2:$AX$404,"Neutral")</f>
        <v>217</v>
      </c>
      <c r="AZ407" t="s">
        <v>2</v>
      </c>
      <c r="BA407">
        <f>COUNTIF($BA$2:$BA$404,"Neutral")</f>
        <v>345</v>
      </c>
      <c r="BB407" t="s">
        <v>2</v>
      </c>
      <c r="BC407">
        <f>COUNTIF($BC$2:$BC$404,"Neutral")</f>
        <v>235</v>
      </c>
      <c r="BE407" t="s">
        <v>2</v>
      </c>
      <c r="BF407">
        <f>COUNTIF($BF$2:$BF$404,"Neutral")</f>
        <v>248</v>
      </c>
      <c r="BG407" t="s">
        <v>2</v>
      </c>
      <c r="BH407">
        <f>COUNTIF($BH$2:$BH$404,"Neutral")</f>
        <v>194</v>
      </c>
    </row>
    <row r="408" spans="1:61" x14ac:dyDescent="0.45">
      <c r="Q408" t="s">
        <v>3</v>
      </c>
      <c r="R408">
        <f>COUNTIF($R$2:$R$404,"Support")</f>
        <v>127</v>
      </c>
      <c r="S408" t="s">
        <v>3</v>
      </c>
      <c r="T408">
        <f>COUNTIF($T$2:$T$404,"Support")</f>
        <v>168</v>
      </c>
      <c r="V408" t="s">
        <v>3</v>
      </c>
      <c r="W408">
        <f>COUNTIF($W$2:$W$404,"Support")</f>
        <v>174</v>
      </c>
      <c r="X408" t="s">
        <v>3</v>
      </c>
      <c r="Y408">
        <f>COUNTIF($Y$2:$Y$404,"Support")</f>
        <v>192</v>
      </c>
      <c r="AA408" t="s">
        <v>3</v>
      </c>
      <c r="AB408">
        <f>COUNTIF($AB$2:$AB$404,"Support")</f>
        <v>254</v>
      </c>
      <c r="AC408" t="s">
        <v>3</v>
      </c>
      <c r="AD408">
        <f>COUNTIF($AD$2:$AD$404,"Support")</f>
        <v>143</v>
      </c>
      <c r="AF408" t="s">
        <v>3</v>
      </c>
      <c r="AG408">
        <f>COUNTIF($AG$2:$AG$404,"Support")</f>
        <v>274</v>
      </c>
      <c r="AH408" t="s">
        <v>3</v>
      </c>
      <c r="AI408">
        <f>COUNTIF($AI$2:$AI$404,"Support")</f>
        <v>197</v>
      </c>
      <c r="AK408" t="s">
        <v>3</v>
      </c>
      <c r="AL408">
        <f>COUNTIF($AL$2:$AL$404,"Support")</f>
        <v>122</v>
      </c>
      <c r="AM408" t="s">
        <v>3</v>
      </c>
      <c r="AN408">
        <f>COUNTIF($AN$2:$AN$404,"Support")</f>
        <v>128</v>
      </c>
      <c r="AP408" t="s">
        <v>3</v>
      </c>
      <c r="AQ408">
        <f>COUNTIF($AQ$2:$AQ$404,"Support")</f>
        <v>124</v>
      </c>
      <c r="AR408" t="s">
        <v>3</v>
      </c>
      <c r="AS408">
        <f>COUNTIF($AS$2:$AS$404,"Support")</f>
        <v>155</v>
      </c>
      <c r="AU408" t="s">
        <v>3</v>
      </c>
      <c r="AV408">
        <f>COUNTIF($AV$2:$AV$404,"Support")</f>
        <v>71</v>
      </c>
      <c r="AW408" t="s">
        <v>3</v>
      </c>
      <c r="AX408">
        <f>COUNTIF($AX$2:$AX$404,"Support")</f>
        <v>114</v>
      </c>
      <c r="AZ408" t="s">
        <v>3</v>
      </c>
      <c r="BA408">
        <f>COUNTIF($BA$2:$BA$404,"Support")</f>
        <v>30</v>
      </c>
      <c r="BB408" t="s">
        <v>3</v>
      </c>
      <c r="BC408">
        <f>COUNTIF($BC$2:$BC$404,"Support")</f>
        <v>122</v>
      </c>
      <c r="BE408" t="s">
        <v>3</v>
      </c>
      <c r="BF408">
        <f>COUNTIF($BF$2:$BF$404,"Support")</f>
        <v>146</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403</v>
      </c>
      <c r="AN409">
        <f>SUM(AN406:AN408)</f>
        <v>403</v>
      </c>
      <c r="AQ409">
        <f>SUM(AQ406:AQ408)</f>
        <v>403</v>
      </c>
      <c r="AS409">
        <f>SUM(AS406:AS408)</f>
        <v>403</v>
      </c>
      <c r="AV409">
        <f>SUM(AV406:AV408)</f>
        <v>403</v>
      </c>
      <c r="AX409">
        <f>SUM(AX406:AX408)</f>
        <v>403</v>
      </c>
      <c r="BA409">
        <f>SUM(BA406:BA408)</f>
        <v>403</v>
      </c>
      <c r="BC409">
        <f>SUM(BC406:BC408)</f>
        <v>403</v>
      </c>
      <c r="BF409">
        <f>SUM(BF406:BF408)</f>
        <v>401</v>
      </c>
      <c r="BH409">
        <f>SUM(BH406:BH408)</f>
        <v>403</v>
      </c>
    </row>
  </sheetData>
  <autoFilter ref="A1:BI409" xr:uid="{761E10F7-2B84-40C6-9388-EA08AD4F398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191C-D232-4869-83E1-5136FBE29A9C}">
  <dimension ref="A2:J80"/>
  <sheetViews>
    <sheetView topLeftCell="A70" workbookViewId="0">
      <selection activeCell="J80" sqref="A2:J80"/>
    </sheetView>
  </sheetViews>
  <sheetFormatPr defaultRowHeight="14.25" x14ac:dyDescent="0.45"/>
  <cols>
    <col min="1" max="1" width="21.46484375" bestFit="1" customWidth="1"/>
  </cols>
  <sheetData>
    <row r="2" spans="1:10" x14ac:dyDescent="0.45">
      <c r="A2" s="41" t="s">
        <v>13</v>
      </c>
      <c r="B2" s="41" t="s">
        <v>1</v>
      </c>
      <c r="C2" s="41" t="s">
        <v>2</v>
      </c>
      <c r="D2" s="41" t="s">
        <v>3</v>
      </c>
      <c r="E2" s="41">
        <f>SUM(E3:E4)</f>
        <v>403</v>
      </c>
      <c r="G2" s="41" t="s">
        <v>13</v>
      </c>
      <c r="H2" s="41" t="s">
        <v>1</v>
      </c>
      <c r="I2" s="41" t="s">
        <v>2</v>
      </c>
      <c r="J2" s="41" t="s">
        <v>3</v>
      </c>
    </row>
    <row r="3" spans="1:10" x14ac:dyDescent="0.45">
      <c r="A3" s="4" t="s">
        <v>76</v>
      </c>
      <c r="B3" s="4">
        <f>COUNTIFS(step3_combined_data!$R$2:$R$404,"Oppose", step3_combined_data!$K$2:$K$404,"Chính thức")</f>
        <v>5</v>
      </c>
      <c r="C3" s="4">
        <f>COUNTIFS(step3_combined_data!$R$2:$R$404,"Neutral", step3_combined_data!$K$2:$K$404,"Chính thức")</f>
        <v>251</v>
      </c>
      <c r="D3" s="4">
        <f>COUNTIFS(step3_combined_data!$R$2:$R$404,"Support", step3_combined_data!$K$2:$K$404,"Chính thức")</f>
        <v>121</v>
      </c>
      <c r="E3" s="4">
        <f>SUM(B3:D3)</f>
        <v>377</v>
      </c>
      <c r="G3" s="4" t="s">
        <v>76</v>
      </c>
      <c r="H3" s="39">
        <f>B3/E3</f>
        <v>1.3262599469496022E-2</v>
      </c>
      <c r="I3" s="39">
        <f>C3/E3</f>
        <v>0.66578249336870021</v>
      </c>
      <c r="J3" s="39">
        <f>D3/E3</f>
        <v>0.32095490716180369</v>
      </c>
    </row>
    <row r="4" spans="1:10" x14ac:dyDescent="0.45">
      <c r="A4" s="4" t="s">
        <v>161</v>
      </c>
      <c r="B4" s="4">
        <f>COUNTIFS(step3_combined_data!$R$2:$R$404,"Oppose", step3_combined_data!$K$2:$K$404,"Phi chính thức")</f>
        <v>1</v>
      </c>
      <c r="C4" s="4">
        <f>COUNTIFS(step3_combined_data!$R$2:$R$404,"Neutral", step3_combined_data!$K$2:$K$404,"Phi chính thức")</f>
        <v>19</v>
      </c>
      <c r="D4" s="4">
        <f>COUNTIFS(step3_combined_data!$R$2:$R$404,"Support", step3_combined_data!$K$2:$K$404,"Phi chính thức")</f>
        <v>6</v>
      </c>
      <c r="E4" s="4">
        <f>SUM(B4:D4)</f>
        <v>26</v>
      </c>
      <c r="G4" s="4" t="s">
        <v>161</v>
      </c>
      <c r="H4" s="39">
        <f>B4/E4</f>
        <v>3.8461538461538464E-2</v>
      </c>
      <c r="I4" s="39">
        <f>C4/E4</f>
        <v>0.73076923076923073</v>
      </c>
      <c r="J4" s="39">
        <f>D4/E4</f>
        <v>0.23076923076923078</v>
      </c>
    </row>
    <row r="6" spans="1:10" x14ac:dyDescent="0.45">
      <c r="A6" s="41" t="s">
        <v>14</v>
      </c>
      <c r="B6" s="41" t="s">
        <v>1</v>
      </c>
      <c r="C6" s="41" t="s">
        <v>2</v>
      </c>
      <c r="D6" s="41" t="s">
        <v>3</v>
      </c>
      <c r="E6" s="41">
        <f>SUM(E7:E8)</f>
        <v>403</v>
      </c>
      <c r="G6" s="41" t="s">
        <v>14</v>
      </c>
      <c r="H6" s="41" t="s">
        <v>1</v>
      </c>
      <c r="I6" s="41" t="s">
        <v>2</v>
      </c>
      <c r="J6" s="41" t="s">
        <v>3</v>
      </c>
    </row>
    <row r="7" spans="1:10" x14ac:dyDescent="0.45">
      <c r="A7" s="4" t="s">
        <v>76</v>
      </c>
      <c r="B7" s="4">
        <f>COUNTIFS(step3_combined_data!$W$2:$W$404,"Oppose", step3_combined_data!$K$2:$K$404,"Chính thức")</f>
        <v>2</v>
      </c>
      <c r="C7" s="4">
        <f>COUNTIFS(step3_combined_data!$W$2:$W$404,"Neutral", step3_combined_data!$K$2:$K$404,"Chính thức")</f>
        <v>216</v>
      </c>
      <c r="D7" s="4">
        <f>COUNTIFS(step3_combined_data!$W$2:$W$404,"Support", step3_combined_data!$K$2:$K$404,"Chính thức")</f>
        <v>159</v>
      </c>
      <c r="E7" s="4">
        <f>SUM(B7:D7)</f>
        <v>377</v>
      </c>
      <c r="G7" s="4" t="s">
        <v>76</v>
      </c>
      <c r="H7" s="39">
        <f>B7/E7</f>
        <v>5.3050397877984082E-3</v>
      </c>
      <c r="I7" s="39">
        <f>C7/E7</f>
        <v>0.57294429708222816</v>
      </c>
      <c r="J7" s="39">
        <f>D7/E7</f>
        <v>0.4217506631299735</v>
      </c>
    </row>
    <row r="8" spans="1:10" x14ac:dyDescent="0.45">
      <c r="A8" s="4" t="s">
        <v>161</v>
      </c>
      <c r="B8" s="4">
        <f>COUNTIFS(step3_combined_data!$W$2:$W$404,"Oppose", step3_combined_data!$K$2:$K$404,"Phi chính thức")</f>
        <v>0</v>
      </c>
      <c r="C8" s="4">
        <f>COUNTIFS(step3_combined_data!$W$2:$W$404,"Neutral", step3_combined_data!$K$2:$K$404,"Phi chính thức")</f>
        <v>11</v>
      </c>
      <c r="D8" s="4">
        <f>COUNTIFS(step3_combined_data!$W$2:$W$404,"Support", step3_combined_data!$K$2:$K$404,"Phi chính thức")</f>
        <v>15</v>
      </c>
      <c r="E8" s="4">
        <f>SUM(B8:D8)</f>
        <v>26</v>
      </c>
      <c r="G8" s="4" t="s">
        <v>161</v>
      </c>
      <c r="H8" s="39">
        <f>B8/E8</f>
        <v>0</v>
      </c>
      <c r="I8" s="39">
        <f>C8/E8</f>
        <v>0.42307692307692307</v>
      </c>
      <c r="J8" s="39">
        <f>D8/E8</f>
        <v>0.57692307692307687</v>
      </c>
    </row>
    <row r="10" spans="1:10" x14ac:dyDescent="0.45">
      <c r="A10" s="41" t="s">
        <v>15</v>
      </c>
      <c r="B10" s="41" t="s">
        <v>1</v>
      </c>
      <c r="C10" s="41" t="s">
        <v>2</v>
      </c>
      <c r="D10" s="41" t="s">
        <v>3</v>
      </c>
      <c r="E10" s="41">
        <f>SUM(E11:E12)</f>
        <v>403</v>
      </c>
      <c r="G10" s="41" t="s">
        <v>15</v>
      </c>
      <c r="H10" s="41" t="s">
        <v>1</v>
      </c>
      <c r="I10" s="41" t="s">
        <v>2</v>
      </c>
      <c r="J10" s="41" t="s">
        <v>3</v>
      </c>
    </row>
    <row r="11" spans="1:10" x14ac:dyDescent="0.45">
      <c r="A11" s="4" t="s">
        <v>76</v>
      </c>
      <c r="B11" s="4">
        <f>COUNTIFS(step3_combined_data!$AB$2:$AB$404,"Oppose", step3_combined_data!$K$2:$K$404,"Chính thức")</f>
        <v>2</v>
      </c>
      <c r="C11" s="4">
        <f>COUNTIFS(step3_combined_data!$AB$2:$AB$404,"Neutral", step3_combined_data!$K$2:$K$404,"Chính thức")</f>
        <v>144</v>
      </c>
      <c r="D11" s="4">
        <f>COUNTIFS(step3_combined_data!$AB$2:$AB$404,"Support", step3_combined_data!$K$2:$K$404,"Chính thức")</f>
        <v>231</v>
      </c>
      <c r="E11" s="4">
        <f>SUM(B11:D11)</f>
        <v>377</v>
      </c>
      <c r="G11" s="4" t="s">
        <v>76</v>
      </c>
      <c r="H11" s="39">
        <f>B11/E11</f>
        <v>5.3050397877984082E-3</v>
      </c>
      <c r="I11" s="39">
        <f>C11/E11</f>
        <v>0.38196286472148538</v>
      </c>
      <c r="J11" s="39">
        <f>D11/E11</f>
        <v>0.61273209549071617</v>
      </c>
    </row>
    <row r="12" spans="1:10" x14ac:dyDescent="0.45">
      <c r="A12" s="4" t="s">
        <v>161</v>
      </c>
      <c r="B12" s="4">
        <f>COUNTIFS(step3_combined_data!$AB$2:$AB$404,"Oppose", step3_combined_data!$K$2:$K$404,"Phi chính thức")</f>
        <v>0</v>
      </c>
      <c r="C12" s="4">
        <f>COUNTIFS(step3_combined_data!$AB$2:$AB$404,"Neutral", step3_combined_data!$K$2:$K$404,"Phi chính thức")</f>
        <v>3</v>
      </c>
      <c r="D12" s="4">
        <f>COUNTIFS(step3_combined_data!$AB$2:$AB$404,"Support", step3_combined_data!$K$2:$K$404,"Phi chính thức")</f>
        <v>23</v>
      </c>
      <c r="E12" s="4">
        <f>SUM(B12:D12)</f>
        <v>26</v>
      </c>
      <c r="G12" s="4" t="s">
        <v>161</v>
      </c>
      <c r="H12" s="39">
        <f>B12/E12</f>
        <v>0</v>
      </c>
      <c r="I12" s="39">
        <f>C12/E12</f>
        <v>0.11538461538461539</v>
      </c>
      <c r="J12" s="39">
        <f>D12/E12</f>
        <v>0.88461538461538458</v>
      </c>
    </row>
    <row r="14" spans="1:10" x14ac:dyDescent="0.45">
      <c r="A14" s="41" t="s">
        <v>16</v>
      </c>
      <c r="B14" s="41" t="s">
        <v>1</v>
      </c>
      <c r="C14" s="41" t="s">
        <v>2</v>
      </c>
      <c r="D14" s="41" t="s">
        <v>3</v>
      </c>
      <c r="E14" s="41">
        <f>SUM(E15:E20)</f>
        <v>403</v>
      </c>
      <c r="G14" s="41" t="s">
        <v>16</v>
      </c>
      <c r="H14" s="41" t="s">
        <v>1</v>
      </c>
      <c r="I14" s="41" t="s">
        <v>2</v>
      </c>
      <c r="J14" s="41" t="s">
        <v>3</v>
      </c>
    </row>
    <row r="15" spans="1:10" x14ac:dyDescent="0.45">
      <c r="A15" s="4" t="s">
        <v>188</v>
      </c>
      <c r="B15" s="4">
        <f>COUNTIFS(step3_combined_data!$AG$2:$AG$404,"Oppose", step3_combined_data!$E$2:$E$404,"18 - 24")</f>
        <v>0</v>
      </c>
      <c r="C15" s="4">
        <f>COUNTIFS(step3_combined_data!$AG$2:$AG$404,"Neutral", step3_combined_data!$E$2:$E$404,"18 - 24")</f>
        <v>25</v>
      </c>
      <c r="D15" s="4">
        <f>COUNTIFS(step3_combined_data!$AG$2:$AG$404,"Support", step3_combined_data!$E$2:$E$404,"18 - 24")</f>
        <v>30</v>
      </c>
      <c r="E15" s="4">
        <f>SUM(B15:D15)</f>
        <v>55</v>
      </c>
      <c r="G15" s="4" t="s">
        <v>188</v>
      </c>
      <c r="H15" s="40">
        <f t="shared" ref="H15:H20" si="0">B15/E15</f>
        <v>0</v>
      </c>
      <c r="I15" s="40">
        <f t="shared" ref="I15:I20" si="1">C15/E15</f>
        <v>0.45454545454545453</v>
      </c>
      <c r="J15" s="40">
        <f t="shared" ref="J15:J20" si="2">D15/E15</f>
        <v>0.54545454545454541</v>
      </c>
    </row>
    <row r="16" spans="1:10" x14ac:dyDescent="0.45">
      <c r="A16" s="4" t="s">
        <v>81</v>
      </c>
      <c r="B16" s="4">
        <f>COUNTIFS(step3_combined_data!$AG$2:$AG$404,"Oppose", step3_combined_data!$E$2:$E$404,"25 - 29")</f>
        <v>0</v>
      </c>
      <c r="C16" s="4">
        <f>COUNTIFS(step3_combined_data!$AG$2:$AG$404,"Neutral", step3_combined_data!$E$2:$E$404,"25 - 29")</f>
        <v>17</v>
      </c>
      <c r="D16" s="4">
        <f>COUNTIFS(step3_combined_data!$AG$2:$AG$404,"Support", step3_combined_data!$E$2:$E$404,"25 - 29")</f>
        <v>62</v>
      </c>
      <c r="E16" s="4">
        <f t="shared" ref="E16:E20" si="3">SUM(B16:D16)</f>
        <v>79</v>
      </c>
      <c r="G16" s="4" t="s">
        <v>81</v>
      </c>
      <c r="H16" s="40">
        <f t="shared" si="0"/>
        <v>0</v>
      </c>
      <c r="I16" s="40">
        <f t="shared" si="1"/>
        <v>0.21518987341772153</v>
      </c>
      <c r="J16" s="40">
        <f t="shared" si="2"/>
        <v>0.78481012658227844</v>
      </c>
    </row>
    <row r="17" spans="1:10" x14ac:dyDescent="0.45">
      <c r="A17" s="4" t="s">
        <v>73</v>
      </c>
      <c r="B17" s="4">
        <f>COUNTIFS(step3_combined_data!$AG$2:$AG$404,"Oppose", step3_combined_data!$E$2:$E$404,"30 - 39")</f>
        <v>1</v>
      </c>
      <c r="C17" s="4">
        <f>COUNTIFS(step3_combined_data!$AG$2:$AG$404,"Neutral", step3_combined_data!$E$2:$E$404,"30 - 39")</f>
        <v>42</v>
      </c>
      <c r="D17" s="4">
        <f>COUNTIFS(step3_combined_data!$AG$2:$AG$404,"Support", step3_combined_data!$E$2:$E$404,"30 - 39")</f>
        <v>89</v>
      </c>
      <c r="E17" s="4">
        <f t="shared" si="3"/>
        <v>132</v>
      </c>
      <c r="G17" s="4" t="s">
        <v>73</v>
      </c>
      <c r="H17" s="40">
        <f t="shared" si="0"/>
        <v>7.575757575757576E-3</v>
      </c>
      <c r="I17" s="40">
        <f t="shared" si="1"/>
        <v>0.31818181818181818</v>
      </c>
      <c r="J17" s="40">
        <f t="shared" si="2"/>
        <v>0.6742424242424242</v>
      </c>
    </row>
    <row r="18" spans="1:10" x14ac:dyDescent="0.45">
      <c r="A18" s="4" t="s">
        <v>79</v>
      </c>
      <c r="B18" s="4">
        <f>COUNTIFS(step3_combined_data!$AG$2:$AG$404,"Oppose", step3_combined_data!$E$2:$E$404,"40 - 49")</f>
        <v>2</v>
      </c>
      <c r="C18" s="4">
        <f>COUNTIFS(step3_combined_data!$AG$2:$AG$404,"Neutral", step3_combined_data!$E$2:$E$404,"40 - 49")</f>
        <v>21</v>
      </c>
      <c r="D18" s="4">
        <f>COUNTIFS(step3_combined_data!$AG$2:$AG$404,"Support", step3_combined_data!$E$2:$E$404,"40 - 49")</f>
        <v>56</v>
      </c>
      <c r="E18" s="4">
        <f t="shared" si="3"/>
        <v>79</v>
      </c>
      <c r="G18" s="4" t="s">
        <v>79</v>
      </c>
      <c r="H18" s="40">
        <f t="shared" si="0"/>
        <v>2.5316455696202531E-2</v>
      </c>
      <c r="I18" s="40">
        <f t="shared" si="1"/>
        <v>0.26582278481012656</v>
      </c>
      <c r="J18" s="40">
        <f t="shared" si="2"/>
        <v>0.70886075949367089</v>
      </c>
    </row>
    <row r="19" spans="1:10" x14ac:dyDescent="0.45">
      <c r="A19" s="4" t="s">
        <v>190</v>
      </c>
      <c r="B19" s="4">
        <f>COUNTIFS(step3_combined_data!$AG$2:$AG$404,"Oppose", step3_combined_data!$E$2:$E$404,"50 - 54")</f>
        <v>3</v>
      </c>
      <c r="C19" s="4">
        <f>COUNTIFS(step3_combined_data!$AG$2:$AG$404,"Neutral", step3_combined_data!$E$2:$E$404,"50 - 54")</f>
        <v>11</v>
      </c>
      <c r="D19" s="4">
        <f>COUNTIFS(step3_combined_data!$AG$2:$AG$404,"Support", step3_combined_data!$E$2:$E$404,"50 - 54")</f>
        <v>17</v>
      </c>
      <c r="E19" s="4">
        <f t="shared" si="3"/>
        <v>31</v>
      </c>
      <c r="G19" s="4" t="s">
        <v>190</v>
      </c>
      <c r="H19" s="40">
        <f t="shared" si="0"/>
        <v>9.6774193548387094E-2</v>
      </c>
      <c r="I19" s="40">
        <f t="shared" si="1"/>
        <v>0.35483870967741937</v>
      </c>
      <c r="J19" s="40">
        <f t="shared" si="2"/>
        <v>0.54838709677419351</v>
      </c>
    </row>
    <row r="20" spans="1:10" x14ac:dyDescent="0.45">
      <c r="A20" s="4" t="s">
        <v>192</v>
      </c>
      <c r="B20" s="4">
        <f>COUNTIFS(step3_combined_data!$AG$2:$AG$404,"Oppose", step3_combined_data!$E$2:$E$404,"55 - 64")</f>
        <v>0</v>
      </c>
      <c r="C20" s="4">
        <f>COUNTIFS(step3_combined_data!$AG$2:$AG$404,"Neutral", step3_combined_data!$E$2:$E$404,"55 - 64")</f>
        <v>7</v>
      </c>
      <c r="D20" s="4">
        <f>COUNTIFS(step3_combined_data!$AG$2:$AG$404,"Support", step3_combined_data!$E$2:$E$404,"55 - 64")</f>
        <v>20</v>
      </c>
      <c r="E20" s="4">
        <f t="shared" si="3"/>
        <v>27</v>
      </c>
      <c r="G20" s="4" t="s">
        <v>192</v>
      </c>
      <c r="H20" s="40">
        <f t="shared" si="0"/>
        <v>0</v>
      </c>
      <c r="I20" s="40">
        <f t="shared" si="1"/>
        <v>0.25925925925925924</v>
      </c>
      <c r="J20" s="40">
        <f t="shared" si="2"/>
        <v>0.7407407407407407</v>
      </c>
    </row>
    <row r="22" spans="1:10" x14ac:dyDescent="0.45">
      <c r="A22" s="41" t="s">
        <v>17</v>
      </c>
      <c r="B22" s="41" t="s">
        <v>1</v>
      </c>
      <c r="C22" s="41" t="s">
        <v>2</v>
      </c>
      <c r="D22" s="41" t="s">
        <v>3</v>
      </c>
      <c r="E22" s="41">
        <f>SUM(E23:E28)</f>
        <v>403</v>
      </c>
      <c r="G22" s="41" t="s">
        <v>17</v>
      </c>
      <c r="H22" s="41" t="s">
        <v>1</v>
      </c>
      <c r="I22" s="41" t="s">
        <v>2</v>
      </c>
      <c r="J22" s="41" t="s">
        <v>3</v>
      </c>
    </row>
    <row r="23" spans="1:10" x14ac:dyDescent="0.45">
      <c r="A23" s="4" t="s">
        <v>188</v>
      </c>
      <c r="B23" s="4">
        <f>COUNTIFS(step3_combined_data!$AL$2:$AL$404,"Oppose", step3_combined_data!$E$2:$E$404,"18 - 24")</f>
        <v>3</v>
      </c>
      <c r="C23" s="4">
        <f>COUNTIFS(step3_combined_data!$AL$2:$AL$404,"Neutral", step3_combined_data!$E$2:$E$404,"18 - 24")</f>
        <v>39</v>
      </c>
      <c r="D23" s="4">
        <f>COUNTIFS(step3_combined_data!$AL$2:$AL$404,"Support", step3_combined_data!$E$2:$E$404,"18 - 24")</f>
        <v>13</v>
      </c>
      <c r="E23" s="4">
        <f>SUM(B23:D23)</f>
        <v>55</v>
      </c>
      <c r="G23" s="4" t="s">
        <v>188</v>
      </c>
      <c r="H23" s="40">
        <f t="shared" ref="H23:H28" si="4">B23/E23</f>
        <v>5.4545454545454543E-2</v>
      </c>
      <c r="I23" s="40">
        <f t="shared" ref="I23:I28" si="5">C23/E23</f>
        <v>0.70909090909090911</v>
      </c>
      <c r="J23" s="40">
        <f t="shared" ref="J23:J28" si="6">D23/E23</f>
        <v>0.23636363636363636</v>
      </c>
    </row>
    <row r="24" spans="1:10" x14ac:dyDescent="0.45">
      <c r="A24" s="4" t="s">
        <v>81</v>
      </c>
      <c r="B24" s="4">
        <f>COUNTIFS(step3_combined_data!$AL$2:$AL$404,"Oppose", step3_combined_data!$E$2:$E$404,"25 - 29")</f>
        <v>2</v>
      </c>
      <c r="C24" s="4">
        <f>COUNTIFS(step3_combined_data!$AL$2:$AL$404,"Neutral", step3_combined_data!$E$2:$E$404,"25 - 29")</f>
        <v>53</v>
      </c>
      <c r="D24" s="4">
        <f>COUNTIFS(step3_combined_data!$AL$2:$AL$404,"Support", step3_combined_data!$E$2:$E$404,"25 - 29")</f>
        <v>24</v>
      </c>
      <c r="E24" s="4">
        <f t="shared" ref="E24:E28" si="7">SUM(B24:D24)</f>
        <v>79</v>
      </c>
      <c r="G24" s="4" t="s">
        <v>81</v>
      </c>
      <c r="H24" s="40">
        <f t="shared" si="4"/>
        <v>2.5316455696202531E-2</v>
      </c>
      <c r="I24" s="40">
        <f t="shared" si="5"/>
        <v>0.67088607594936711</v>
      </c>
      <c r="J24" s="40">
        <f t="shared" si="6"/>
        <v>0.30379746835443039</v>
      </c>
    </row>
    <row r="25" spans="1:10" x14ac:dyDescent="0.45">
      <c r="A25" s="4" t="s">
        <v>73</v>
      </c>
      <c r="B25" s="4">
        <f>COUNTIFS(step3_combined_data!$AL$2:$AL$404,"Oppose", step3_combined_data!$E$2:$E$404,"30 - 39")</f>
        <v>6</v>
      </c>
      <c r="C25" s="4">
        <f>COUNTIFS(step3_combined_data!$AL$2:$AL$404,"Neutral", step3_combined_data!$E$2:$E$404,"30 - 39")</f>
        <v>87</v>
      </c>
      <c r="D25" s="4">
        <f>COUNTIFS(step3_combined_data!$AL$2:$AL$404,"Support", step3_combined_data!$E$2:$E$404,"30 - 39")</f>
        <v>39</v>
      </c>
      <c r="E25" s="4">
        <f t="shared" si="7"/>
        <v>132</v>
      </c>
      <c r="G25" s="4" t="s">
        <v>73</v>
      </c>
      <c r="H25" s="40">
        <f t="shared" si="4"/>
        <v>4.5454545454545456E-2</v>
      </c>
      <c r="I25" s="40">
        <f t="shared" si="5"/>
        <v>0.65909090909090906</v>
      </c>
      <c r="J25" s="40">
        <f t="shared" si="6"/>
        <v>0.29545454545454547</v>
      </c>
    </row>
    <row r="26" spans="1:10" x14ac:dyDescent="0.45">
      <c r="A26" s="4" t="s">
        <v>79</v>
      </c>
      <c r="B26" s="4">
        <f>COUNTIFS(step3_combined_data!$AL$2:$AL$404,"Oppose", step3_combined_data!$E$2:$E$404,"40 - 49")</f>
        <v>1</v>
      </c>
      <c r="C26" s="4">
        <f>COUNTIFS(step3_combined_data!$AL$2:$AL$404,"Neutral", step3_combined_data!$E$2:$E$404,"40 - 49")</f>
        <v>55</v>
      </c>
      <c r="D26" s="4">
        <f>COUNTIFS(step3_combined_data!$AL$2:$AL$404,"Support", step3_combined_data!$E$2:$E$404,"40 - 49")</f>
        <v>23</v>
      </c>
      <c r="E26" s="4">
        <f t="shared" si="7"/>
        <v>79</v>
      </c>
      <c r="G26" s="4" t="s">
        <v>79</v>
      </c>
      <c r="H26" s="40">
        <f t="shared" si="4"/>
        <v>1.2658227848101266E-2</v>
      </c>
      <c r="I26" s="40">
        <f t="shared" si="5"/>
        <v>0.69620253164556967</v>
      </c>
      <c r="J26" s="40">
        <f t="shared" si="6"/>
        <v>0.29113924050632911</v>
      </c>
    </row>
    <row r="27" spans="1:10" x14ac:dyDescent="0.45">
      <c r="A27" s="4" t="s">
        <v>190</v>
      </c>
      <c r="B27" s="4">
        <f>COUNTIFS(step3_combined_data!$AL$2:$AL$404,"Oppose", step3_combined_data!$E$2:$E$404,"50 - 54")</f>
        <v>1</v>
      </c>
      <c r="C27" s="4">
        <f>COUNTIFS(step3_combined_data!$AL$2:$AL$404,"Neutral", step3_combined_data!$E$2:$E$404,"50 - 54")</f>
        <v>17</v>
      </c>
      <c r="D27" s="4">
        <f>COUNTIFS(step3_combined_data!$AL$2:$AL$404,"Support", step3_combined_data!$E$2:$E$404,"50 - 54")</f>
        <v>13</v>
      </c>
      <c r="E27" s="4">
        <f t="shared" si="7"/>
        <v>31</v>
      </c>
      <c r="G27" s="4" t="s">
        <v>190</v>
      </c>
      <c r="H27" s="40">
        <f t="shared" si="4"/>
        <v>3.2258064516129031E-2</v>
      </c>
      <c r="I27" s="40">
        <f t="shared" si="5"/>
        <v>0.54838709677419351</v>
      </c>
      <c r="J27" s="40">
        <f t="shared" si="6"/>
        <v>0.41935483870967744</v>
      </c>
    </row>
    <row r="28" spans="1:10" x14ac:dyDescent="0.45">
      <c r="A28" s="4" t="s">
        <v>192</v>
      </c>
      <c r="B28" s="4">
        <f>COUNTIFS(step3_combined_data!$AL$2:$AL$404,"Oppose", step3_combined_data!$E$2:$E$404,"55 - 64")</f>
        <v>0</v>
      </c>
      <c r="C28" s="4">
        <f>COUNTIFS(step3_combined_data!$AL$2:$AL$404,"Neutral", step3_combined_data!$E$2:$E$404,"55 - 64")</f>
        <v>17</v>
      </c>
      <c r="D28" s="4">
        <f>COUNTIFS(step3_combined_data!$AL$2:$AL$404,"Support", step3_combined_data!$E$2:$E$404,"55 - 64")</f>
        <v>10</v>
      </c>
      <c r="E28" s="4">
        <f t="shared" si="7"/>
        <v>27</v>
      </c>
      <c r="G28" s="4" t="s">
        <v>192</v>
      </c>
      <c r="H28" s="40">
        <f t="shared" si="4"/>
        <v>0</v>
      </c>
      <c r="I28" s="40">
        <f t="shared" si="5"/>
        <v>0.62962962962962965</v>
      </c>
      <c r="J28" s="40">
        <f t="shared" si="6"/>
        <v>0.37037037037037035</v>
      </c>
    </row>
    <row r="30" spans="1:10" x14ac:dyDescent="0.45">
      <c r="A30" s="41" t="s">
        <v>18</v>
      </c>
      <c r="B30" s="41" t="s">
        <v>1</v>
      </c>
      <c r="C30" s="41" t="s">
        <v>2</v>
      </c>
      <c r="D30" s="41" t="s">
        <v>3</v>
      </c>
      <c r="E30" s="41">
        <f>SUM(E31:E36)</f>
        <v>403</v>
      </c>
      <c r="G30" s="41" t="s">
        <v>18</v>
      </c>
      <c r="H30" s="41" t="s">
        <v>1</v>
      </c>
      <c r="I30" s="41" t="s">
        <v>2</v>
      </c>
      <c r="J30" s="41" t="s">
        <v>3</v>
      </c>
    </row>
    <row r="31" spans="1:10" x14ac:dyDescent="0.45">
      <c r="A31" s="4" t="s">
        <v>188</v>
      </c>
      <c r="B31" s="4">
        <f>COUNTIFS(step3_combined_data!$AQ$2:$AQ$404,"Oppose", step3_combined_data!$E$2:$E$404,"18 - 24")</f>
        <v>2</v>
      </c>
      <c r="C31" s="4">
        <f>COUNTIFS(step3_combined_data!$AQ$2:$AQ$404,"Neutral", step3_combined_data!$E$2:$E$404,"18 - 24")</f>
        <v>39</v>
      </c>
      <c r="D31" s="4">
        <f>COUNTIFS(step3_combined_data!$AQ$2:$AQ$404,"Support", step3_combined_data!$E$2:$E$404,"18 - 24")</f>
        <v>14</v>
      </c>
      <c r="E31" s="4">
        <f>SUM(B31:D31)</f>
        <v>55</v>
      </c>
      <c r="G31" s="4" t="s">
        <v>188</v>
      </c>
      <c r="H31" s="40">
        <f t="shared" ref="H31:H36" si="8">B31/E31</f>
        <v>3.6363636363636362E-2</v>
      </c>
      <c r="I31" s="40">
        <f t="shared" ref="I31:I36" si="9">C31/E31</f>
        <v>0.70909090909090911</v>
      </c>
      <c r="J31" s="40">
        <f t="shared" ref="J31:J36" si="10">D31/E31</f>
        <v>0.25454545454545452</v>
      </c>
    </row>
    <row r="32" spans="1:10" x14ac:dyDescent="0.45">
      <c r="A32" s="4" t="s">
        <v>81</v>
      </c>
      <c r="B32" s="4">
        <f>COUNTIFS(step3_combined_data!$AQ$2:$AQ$404,"Oppose", step3_combined_data!$E$2:$E$404,"25 - 29")</f>
        <v>1</v>
      </c>
      <c r="C32" s="4">
        <f>COUNTIFS(step3_combined_data!$AQ$2:$AQ$404,"Neutral", step3_combined_data!$E$2:$E$404,"25 - 29")</f>
        <v>53</v>
      </c>
      <c r="D32" s="4">
        <f>COUNTIFS(step3_combined_data!$AQ$2:$AQ$404,"Support", step3_combined_data!$E$2:$E$404,"25 - 29")</f>
        <v>25</v>
      </c>
      <c r="E32" s="4">
        <f t="shared" ref="E32:E36" si="11">SUM(B32:D32)</f>
        <v>79</v>
      </c>
      <c r="G32" s="4" t="s">
        <v>81</v>
      </c>
      <c r="H32" s="40">
        <f t="shared" si="8"/>
        <v>1.2658227848101266E-2</v>
      </c>
      <c r="I32" s="40">
        <f t="shared" si="9"/>
        <v>0.67088607594936711</v>
      </c>
      <c r="J32" s="40">
        <f t="shared" si="10"/>
        <v>0.31645569620253167</v>
      </c>
    </row>
    <row r="33" spans="1:10" x14ac:dyDescent="0.45">
      <c r="A33" s="4" t="s">
        <v>73</v>
      </c>
      <c r="B33" s="4">
        <f>COUNTIFS(step3_combined_data!$AQ$2:$AQ$404,"Oppose", step3_combined_data!$E$2:$E$404,"30 - 39")</f>
        <v>2</v>
      </c>
      <c r="C33" s="4">
        <f>COUNTIFS(step3_combined_data!$AQ$2:$AQ$404,"Neutral", step3_combined_data!$E$2:$E$404,"30 - 39")</f>
        <v>89</v>
      </c>
      <c r="D33" s="4">
        <f>COUNTIFS(step3_combined_data!$AQ$2:$AQ$404,"Support", step3_combined_data!$E$2:$E$404,"30 - 39")</f>
        <v>41</v>
      </c>
      <c r="E33" s="4">
        <f t="shared" si="11"/>
        <v>132</v>
      </c>
      <c r="G33" s="4" t="s">
        <v>73</v>
      </c>
      <c r="H33" s="40">
        <f t="shared" si="8"/>
        <v>1.5151515151515152E-2</v>
      </c>
      <c r="I33" s="40">
        <f t="shared" si="9"/>
        <v>0.6742424242424242</v>
      </c>
      <c r="J33" s="40">
        <f t="shared" si="10"/>
        <v>0.31060606060606061</v>
      </c>
    </row>
    <row r="34" spans="1:10" x14ac:dyDescent="0.45">
      <c r="A34" s="4" t="s">
        <v>79</v>
      </c>
      <c r="B34" s="4">
        <f>COUNTIFS(step3_combined_data!$AQ$2:$AQ$404,"Oppose", step3_combined_data!$E$2:$E$404,"40 - 49")</f>
        <v>2</v>
      </c>
      <c r="C34" s="4">
        <f>COUNTIFS(step3_combined_data!$AQ$2:$AQ$404,"Neutral", step3_combined_data!$E$2:$E$404,"40 - 49")</f>
        <v>46</v>
      </c>
      <c r="D34" s="4">
        <f>COUNTIFS(step3_combined_data!$AQ$2:$AQ$404,"Support", step3_combined_data!$E$2:$E$404,"40 - 49")</f>
        <v>31</v>
      </c>
      <c r="E34" s="4">
        <f t="shared" si="11"/>
        <v>79</v>
      </c>
      <c r="G34" s="4" t="s">
        <v>79</v>
      </c>
      <c r="H34" s="40">
        <f t="shared" si="8"/>
        <v>2.5316455696202531E-2</v>
      </c>
      <c r="I34" s="40">
        <f t="shared" si="9"/>
        <v>0.58227848101265822</v>
      </c>
      <c r="J34" s="40">
        <f t="shared" si="10"/>
        <v>0.39240506329113922</v>
      </c>
    </row>
    <row r="35" spans="1:10" x14ac:dyDescent="0.45">
      <c r="A35" s="4" t="s">
        <v>190</v>
      </c>
      <c r="B35" s="4">
        <f>COUNTIFS(step3_combined_data!$AQ$2:$AQ$404,"Oppose", step3_combined_data!$E$2:$E$404,"50 - 54")</f>
        <v>2</v>
      </c>
      <c r="C35" s="4">
        <f>COUNTIFS(step3_combined_data!$AQ$2:$AQ$404,"Neutral", step3_combined_data!$E$2:$E$404,"50 - 54")</f>
        <v>24</v>
      </c>
      <c r="D35" s="4">
        <f>COUNTIFS(step3_combined_data!$AQ$2:$AQ$404,"Support", step3_combined_data!$E$2:$E$404,"50 - 54")</f>
        <v>5</v>
      </c>
      <c r="E35" s="4">
        <f t="shared" si="11"/>
        <v>31</v>
      </c>
      <c r="G35" s="4" t="s">
        <v>190</v>
      </c>
      <c r="H35" s="40">
        <f t="shared" si="8"/>
        <v>6.4516129032258063E-2</v>
      </c>
      <c r="I35" s="40">
        <f t="shared" si="9"/>
        <v>0.77419354838709675</v>
      </c>
      <c r="J35" s="40">
        <f t="shared" si="10"/>
        <v>0.16129032258064516</v>
      </c>
    </row>
    <row r="36" spans="1:10" x14ac:dyDescent="0.45">
      <c r="A36" s="4" t="s">
        <v>192</v>
      </c>
      <c r="B36" s="4">
        <f>COUNTIFS(step3_combined_data!$AQ$2:$AQ$404,"Oppose", step3_combined_data!$E$2:$E$404,"55 - 64")</f>
        <v>0</v>
      </c>
      <c r="C36" s="4">
        <f>COUNTIFS(step3_combined_data!$AQ$2:$AQ$404,"Neutral", step3_combined_data!$E$2:$E$404,"55 - 64")</f>
        <v>19</v>
      </c>
      <c r="D36" s="4">
        <f>COUNTIFS(step3_combined_data!$AQ$2:$AQ$404,"Support", step3_combined_data!$E$2:$E$404,"55 - 64")</f>
        <v>8</v>
      </c>
      <c r="E36" s="4">
        <f t="shared" si="11"/>
        <v>27</v>
      </c>
      <c r="G36" s="4" t="s">
        <v>192</v>
      </c>
      <c r="H36" s="40">
        <f t="shared" si="8"/>
        <v>0</v>
      </c>
      <c r="I36" s="40">
        <f t="shared" si="9"/>
        <v>0.70370370370370372</v>
      </c>
      <c r="J36" s="40">
        <f t="shared" si="10"/>
        <v>0.29629629629629628</v>
      </c>
    </row>
    <row r="38" spans="1:10" x14ac:dyDescent="0.45">
      <c r="A38" s="41" t="s">
        <v>19</v>
      </c>
      <c r="B38" s="41" t="s">
        <v>1</v>
      </c>
      <c r="C38" s="41" t="s">
        <v>2</v>
      </c>
      <c r="D38" s="41" t="s">
        <v>3</v>
      </c>
      <c r="E38" s="41">
        <f>SUM(E39:E44)</f>
        <v>403</v>
      </c>
      <c r="G38" s="41" t="s">
        <v>19</v>
      </c>
      <c r="H38" s="41" t="s">
        <v>1</v>
      </c>
      <c r="I38" s="41" t="s">
        <v>2</v>
      </c>
      <c r="J38" s="41" t="s">
        <v>3</v>
      </c>
    </row>
    <row r="39" spans="1:10" x14ac:dyDescent="0.45">
      <c r="A39" s="4" t="s">
        <v>188</v>
      </c>
      <c r="B39" s="4">
        <f>COUNTIFS(step3_combined_data!$AV$2:$AV$404,"Oppose", step3_combined_data!$E$2:$E$404,"18 - 24")</f>
        <v>7</v>
      </c>
      <c r="C39" s="4">
        <f>COUNTIFS(step3_combined_data!$AV$2:$AV$404,"Neutral", step3_combined_data!$E$2:$E$404,"18 - 24")</f>
        <v>44</v>
      </c>
      <c r="D39" s="4">
        <f>COUNTIFS(step3_combined_data!$AV$2:$AV$404,"Support", step3_combined_data!$E$2:$E$404,"18 - 24")</f>
        <v>4</v>
      </c>
      <c r="E39" s="4">
        <f>SUM(B39:D39)</f>
        <v>55</v>
      </c>
      <c r="G39" s="4" t="s">
        <v>188</v>
      </c>
      <c r="H39" s="40">
        <f t="shared" ref="H39:H44" si="12">B39/E39</f>
        <v>0.12727272727272726</v>
      </c>
      <c r="I39" s="40">
        <f t="shared" ref="I39:I44" si="13">C39/E39</f>
        <v>0.8</v>
      </c>
      <c r="J39" s="40">
        <f t="shared" ref="J39:J44" si="14">D39/E39</f>
        <v>7.2727272727272724E-2</v>
      </c>
    </row>
    <row r="40" spans="1:10" x14ac:dyDescent="0.45">
      <c r="A40" s="4" t="s">
        <v>81</v>
      </c>
      <c r="B40" s="4">
        <f>COUNTIFS(step3_combined_data!$AV$2:$AV$404,"Oppose", step3_combined_data!$E$2:$E$404,"25 - 29")</f>
        <v>2</v>
      </c>
      <c r="C40" s="4">
        <f>COUNTIFS(step3_combined_data!$AV$2:$AV$404,"Neutral", step3_combined_data!$E$2:$E$404,"25 - 29")</f>
        <v>63</v>
      </c>
      <c r="D40" s="4">
        <f>COUNTIFS(step3_combined_data!$AV$2:$AV$404,"Support", step3_combined_data!$E$2:$E$404,"25 - 29")</f>
        <v>14</v>
      </c>
      <c r="E40" s="4">
        <f t="shared" ref="E40:E44" si="15">SUM(B40:D40)</f>
        <v>79</v>
      </c>
      <c r="G40" s="4" t="s">
        <v>81</v>
      </c>
      <c r="H40" s="40">
        <f t="shared" si="12"/>
        <v>2.5316455696202531E-2</v>
      </c>
      <c r="I40" s="40">
        <f t="shared" si="13"/>
        <v>0.79746835443037978</v>
      </c>
      <c r="J40" s="40">
        <f t="shared" si="14"/>
        <v>0.17721518987341772</v>
      </c>
    </row>
    <row r="41" spans="1:10" x14ac:dyDescent="0.45">
      <c r="A41" s="4" t="s">
        <v>73</v>
      </c>
      <c r="B41" s="4">
        <f>COUNTIFS(step3_combined_data!$AV$2:$AV$404,"Oppose", step3_combined_data!$E$2:$E$404,"30 - 39")</f>
        <v>5</v>
      </c>
      <c r="C41" s="4">
        <f>COUNTIFS(step3_combined_data!$AV$2:$AV$404,"Neutral", step3_combined_data!$E$2:$E$404,"30 - 39")</f>
        <v>104</v>
      </c>
      <c r="D41" s="4">
        <f>COUNTIFS(step3_combined_data!$AV$2:$AV$404,"Support", step3_combined_data!$E$2:$E$404,"30 - 39")</f>
        <v>23</v>
      </c>
      <c r="E41" s="4">
        <f t="shared" si="15"/>
        <v>132</v>
      </c>
      <c r="G41" s="4" t="s">
        <v>73</v>
      </c>
      <c r="H41" s="40">
        <f t="shared" si="12"/>
        <v>3.787878787878788E-2</v>
      </c>
      <c r="I41" s="40">
        <f t="shared" si="13"/>
        <v>0.78787878787878785</v>
      </c>
      <c r="J41" s="40">
        <f t="shared" si="14"/>
        <v>0.17424242424242425</v>
      </c>
    </row>
    <row r="42" spans="1:10" x14ac:dyDescent="0.45">
      <c r="A42" s="4" t="s">
        <v>79</v>
      </c>
      <c r="B42" s="4">
        <f>COUNTIFS(step3_combined_data!$AV$2:$AV$404,"Oppose", step3_combined_data!$E$2:$E$404,"40 - 49")</f>
        <v>2</v>
      </c>
      <c r="C42" s="4">
        <f>COUNTIFS(step3_combined_data!$AV$2:$AV$404,"Neutral", step3_combined_data!$E$2:$E$404,"40 - 49")</f>
        <v>60</v>
      </c>
      <c r="D42" s="4">
        <f>COUNTIFS(step3_combined_data!$AV$2:$AV$404,"Support", step3_combined_data!$E$2:$E$404,"40 - 49")</f>
        <v>17</v>
      </c>
      <c r="E42" s="4">
        <f t="shared" si="15"/>
        <v>79</v>
      </c>
      <c r="G42" s="4" t="s">
        <v>79</v>
      </c>
      <c r="H42" s="40">
        <f t="shared" si="12"/>
        <v>2.5316455696202531E-2</v>
      </c>
      <c r="I42" s="40">
        <f t="shared" si="13"/>
        <v>0.759493670886076</v>
      </c>
      <c r="J42" s="40">
        <f t="shared" si="14"/>
        <v>0.21518987341772153</v>
      </c>
    </row>
    <row r="43" spans="1:10" x14ac:dyDescent="0.45">
      <c r="A43" s="4" t="s">
        <v>190</v>
      </c>
      <c r="B43" s="4">
        <f>COUNTIFS(step3_combined_data!$AV$2:$AV$404,"Oppose", step3_combined_data!$E$2:$E$404,"50 - 54")</f>
        <v>2</v>
      </c>
      <c r="C43" s="4">
        <f>COUNTIFS(step3_combined_data!$AV$2:$AV$404,"Neutral", step3_combined_data!$E$2:$E$404,"50 - 54")</f>
        <v>22</v>
      </c>
      <c r="D43" s="4">
        <f>COUNTIFS(step3_combined_data!$AV$2:$AV$404,"Support", step3_combined_data!$E$2:$E$404,"50 - 54")</f>
        <v>7</v>
      </c>
      <c r="E43" s="4">
        <f t="shared" si="15"/>
        <v>31</v>
      </c>
      <c r="G43" s="4" t="s">
        <v>190</v>
      </c>
      <c r="H43" s="40">
        <f t="shared" si="12"/>
        <v>6.4516129032258063E-2</v>
      </c>
      <c r="I43" s="40">
        <f t="shared" si="13"/>
        <v>0.70967741935483875</v>
      </c>
      <c r="J43" s="40">
        <f t="shared" si="14"/>
        <v>0.22580645161290322</v>
      </c>
    </row>
    <row r="44" spans="1:10" x14ac:dyDescent="0.45">
      <c r="A44" s="4" t="s">
        <v>192</v>
      </c>
      <c r="B44" s="4">
        <f>COUNTIFS(step3_combined_data!$AV$2:$AV$404,"Oppose", step3_combined_data!$E$2:$E$404,"55 - 64")</f>
        <v>1</v>
      </c>
      <c r="C44" s="4">
        <f>COUNTIFS(step3_combined_data!$AV$2:$AV$404,"Neutral", step3_combined_data!$E$2:$E$404,"55 - 64")</f>
        <v>20</v>
      </c>
      <c r="D44" s="4">
        <f>COUNTIFS(step3_combined_data!$AV$2:$AV$404,"Support", step3_combined_data!$E$2:$E$404,"55 - 64")</f>
        <v>6</v>
      </c>
      <c r="E44" s="4">
        <f t="shared" si="15"/>
        <v>27</v>
      </c>
      <c r="G44" s="4" t="s">
        <v>192</v>
      </c>
      <c r="H44" s="40">
        <f t="shared" si="12"/>
        <v>3.7037037037037035E-2</v>
      </c>
      <c r="I44" s="40">
        <f t="shared" si="13"/>
        <v>0.7407407407407407</v>
      </c>
      <c r="J44" s="40">
        <f t="shared" si="14"/>
        <v>0.22222222222222221</v>
      </c>
    </row>
    <row r="46" spans="1:10" x14ac:dyDescent="0.45">
      <c r="A46" s="41" t="s">
        <v>20</v>
      </c>
      <c r="B46" s="41" t="s">
        <v>1</v>
      </c>
      <c r="C46" s="41" t="s">
        <v>2</v>
      </c>
      <c r="D46" s="41" t="s">
        <v>3</v>
      </c>
      <c r="E46" s="41">
        <f>SUM(E47:E52)</f>
        <v>403</v>
      </c>
      <c r="G46" s="41" t="s">
        <v>20</v>
      </c>
      <c r="H46" s="41" t="s">
        <v>1</v>
      </c>
      <c r="I46" s="41" t="s">
        <v>2</v>
      </c>
      <c r="J46" s="41" t="s">
        <v>3</v>
      </c>
    </row>
    <row r="47" spans="1:10" x14ac:dyDescent="0.45">
      <c r="A47" s="4" t="s">
        <v>188</v>
      </c>
      <c r="B47" s="4">
        <f>COUNTIFS(step3_combined_data!$BA$2:$BA$404,"Oppose", step3_combined_data!$E$2:$E$404,"18 - 24")</f>
        <v>4</v>
      </c>
      <c r="C47" s="4">
        <f>COUNTIFS(step3_combined_data!$BA$2:$BA$404,"Neutral", step3_combined_data!$E$2:$E$404,"18 - 24")</f>
        <v>48</v>
      </c>
      <c r="D47" s="4">
        <f>COUNTIFS(step3_combined_data!$BA$2:$BA$404,"Support", step3_combined_data!$E$2:$E$404,"18 - 24")</f>
        <v>3</v>
      </c>
      <c r="E47" s="4">
        <f>SUM(B47:D47)</f>
        <v>55</v>
      </c>
      <c r="G47" s="4" t="s">
        <v>188</v>
      </c>
      <c r="H47" s="40">
        <f t="shared" ref="H47:H52" si="16">B47/E47</f>
        <v>7.2727272727272724E-2</v>
      </c>
      <c r="I47" s="40">
        <f t="shared" ref="I47:I52" si="17">C47/E47</f>
        <v>0.87272727272727268</v>
      </c>
      <c r="J47" s="40">
        <f t="shared" ref="J47:J52" si="18">D47/E47</f>
        <v>5.4545454545454543E-2</v>
      </c>
    </row>
    <row r="48" spans="1:10" x14ac:dyDescent="0.45">
      <c r="A48" s="4" t="s">
        <v>81</v>
      </c>
      <c r="B48" s="4">
        <f>COUNTIFS(step3_combined_data!$BA$2:$BA$404,"Oppose", step3_combined_data!$E$2:$E$404,"25 - 29")</f>
        <v>6</v>
      </c>
      <c r="C48" s="4">
        <f>COUNTIFS(step3_combined_data!$BA$2:$BA$404,"Neutral", step3_combined_data!$E$2:$E$404,"25 - 29")</f>
        <v>68</v>
      </c>
      <c r="D48" s="4">
        <f>COUNTIFS(step3_combined_data!$BA$2:$BA$404,"Support", step3_combined_data!$E$2:$E$404,"25 - 29")</f>
        <v>5</v>
      </c>
      <c r="E48" s="4">
        <f t="shared" ref="E48:E52" si="19">SUM(B48:D48)</f>
        <v>79</v>
      </c>
      <c r="G48" s="4" t="s">
        <v>81</v>
      </c>
      <c r="H48" s="40">
        <f t="shared" si="16"/>
        <v>7.5949367088607597E-2</v>
      </c>
      <c r="I48" s="40">
        <f t="shared" si="17"/>
        <v>0.86075949367088611</v>
      </c>
      <c r="J48" s="40">
        <f t="shared" si="18"/>
        <v>6.3291139240506333E-2</v>
      </c>
    </row>
    <row r="49" spans="1:10" x14ac:dyDescent="0.45">
      <c r="A49" s="4" t="s">
        <v>73</v>
      </c>
      <c r="B49" s="4">
        <f>COUNTIFS(step3_combined_data!$BA$2:$BA$404,"Oppose", step3_combined_data!$E$2:$E$404,"30 - 39")</f>
        <v>6</v>
      </c>
      <c r="C49" s="4">
        <f>COUNTIFS(step3_combined_data!$BA$2:$BA$404,"Neutral", step3_combined_data!$E$2:$E$404,"30 - 39")</f>
        <v>116</v>
      </c>
      <c r="D49" s="4">
        <f>COUNTIFS(step3_combined_data!$BA$2:$BA$404,"Support", step3_combined_data!$E$2:$E$404,"30 - 39")</f>
        <v>10</v>
      </c>
      <c r="E49" s="4">
        <f t="shared" si="19"/>
        <v>132</v>
      </c>
      <c r="G49" s="4" t="s">
        <v>73</v>
      </c>
      <c r="H49" s="40">
        <f t="shared" si="16"/>
        <v>4.5454545454545456E-2</v>
      </c>
      <c r="I49" s="40">
        <f t="shared" si="17"/>
        <v>0.87878787878787878</v>
      </c>
      <c r="J49" s="40">
        <f t="shared" si="18"/>
        <v>7.575757575757576E-2</v>
      </c>
    </row>
    <row r="50" spans="1:10" x14ac:dyDescent="0.45">
      <c r="A50" s="4" t="s">
        <v>79</v>
      </c>
      <c r="B50" s="4">
        <f>COUNTIFS(step3_combined_data!$BA$2:$BA$404,"Oppose", step3_combined_data!$E$2:$E$404,"40 - 49")</f>
        <v>6</v>
      </c>
      <c r="C50" s="4">
        <f>COUNTIFS(step3_combined_data!$BA$2:$BA$404,"Neutral", step3_combined_data!$E$2:$E$404,"40 - 49")</f>
        <v>67</v>
      </c>
      <c r="D50" s="4">
        <f>COUNTIFS(step3_combined_data!$BA$2:$BA$404,"Support", step3_combined_data!$E$2:$E$404,"40 - 49")</f>
        <v>6</v>
      </c>
      <c r="E50" s="4">
        <f t="shared" si="19"/>
        <v>79</v>
      </c>
      <c r="G50" s="4" t="s">
        <v>79</v>
      </c>
      <c r="H50" s="40">
        <f t="shared" si="16"/>
        <v>7.5949367088607597E-2</v>
      </c>
      <c r="I50" s="40">
        <f t="shared" si="17"/>
        <v>0.84810126582278478</v>
      </c>
      <c r="J50" s="40">
        <f t="shared" si="18"/>
        <v>7.5949367088607597E-2</v>
      </c>
    </row>
    <row r="51" spans="1:10" x14ac:dyDescent="0.45">
      <c r="A51" s="4" t="s">
        <v>190</v>
      </c>
      <c r="B51" s="4">
        <f>COUNTIFS(step3_combined_data!$BA$2:$BA$404,"Oppose", step3_combined_data!$E$2:$E$404,"50 - 54")</f>
        <v>5</v>
      </c>
      <c r="C51" s="4">
        <f>COUNTIFS(step3_combined_data!$BA$2:$BA$404,"Neutral", step3_combined_data!$E$2:$E$404,"50 - 54")</f>
        <v>23</v>
      </c>
      <c r="D51" s="4">
        <f>COUNTIFS(step3_combined_data!$BA$2:$BA$404,"Support", step3_combined_data!$E$2:$E$404,"50 - 54")</f>
        <v>3</v>
      </c>
      <c r="E51" s="4">
        <f t="shared" si="19"/>
        <v>31</v>
      </c>
      <c r="G51" s="4" t="s">
        <v>190</v>
      </c>
      <c r="H51" s="40">
        <f t="shared" si="16"/>
        <v>0.16129032258064516</v>
      </c>
      <c r="I51" s="40">
        <f t="shared" si="17"/>
        <v>0.74193548387096775</v>
      </c>
      <c r="J51" s="40">
        <f t="shared" si="18"/>
        <v>9.6774193548387094E-2</v>
      </c>
    </row>
    <row r="52" spans="1:10" x14ac:dyDescent="0.45">
      <c r="A52" s="4" t="s">
        <v>192</v>
      </c>
      <c r="B52" s="4">
        <f>COUNTIFS(step3_combined_data!$BA$2:$BA$404,"Oppose", step3_combined_data!$E$2:$E$404,"55 - 64")</f>
        <v>1</v>
      </c>
      <c r="C52" s="4">
        <f>COUNTIFS(step3_combined_data!$BA$2:$BA$404,"Neutral", step3_combined_data!$E$2:$E$404,"55 - 64")</f>
        <v>23</v>
      </c>
      <c r="D52" s="4">
        <f>COUNTIFS(step3_combined_data!$BA$2:$BA$404,"Support", step3_combined_data!$E$2:$E$404,"55 - 64")</f>
        <v>3</v>
      </c>
      <c r="E52" s="4">
        <f t="shared" si="19"/>
        <v>27</v>
      </c>
      <c r="G52" s="4" t="s">
        <v>192</v>
      </c>
      <c r="H52" s="40">
        <f t="shared" si="16"/>
        <v>3.7037037037037035E-2</v>
      </c>
      <c r="I52" s="40">
        <f t="shared" si="17"/>
        <v>0.85185185185185186</v>
      </c>
      <c r="J52" s="40">
        <f t="shared" si="18"/>
        <v>0.1111111111111111</v>
      </c>
    </row>
    <row r="54" spans="1:10" x14ac:dyDescent="0.45">
      <c r="A54" s="41" t="s">
        <v>18</v>
      </c>
      <c r="B54" s="41" t="s">
        <v>1</v>
      </c>
      <c r="C54" s="41" t="s">
        <v>2</v>
      </c>
      <c r="D54" s="41" t="s">
        <v>3</v>
      </c>
      <c r="E54" s="41">
        <f>SUM(E55:E62)</f>
        <v>403</v>
      </c>
      <c r="G54" s="41" t="s">
        <v>18</v>
      </c>
      <c r="H54" s="41" t="s">
        <v>1</v>
      </c>
      <c r="I54" s="41" t="s">
        <v>2</v>
      </c>
      <c r="J54" s="41" t="s">
        <v>3</v>
      </c>
    </row>
    <row r="55" spans="1:10" x14ac:dyDescent="0.45">
      <c r="A55" s="4" t="s">
        <v>193</v>
      </c>
      <c r="B55" s="4">
        <f>COUNTIFS(step3_combined_data!$AQ$2:$AQ$404,"Oppose", step3_combined_data!$N$2:$N$404,"Dưới 12 triệu VNĐ")</f>
        <v>0</v>
      </c>
      <c r="C55" s="4">
        <f>COUNTIFS(step3_combined_data!$AQ$2:$AQ$404,"Neutral", step3_combined_data!$N$2:$N$404,"Dưới 12 triệu VNĐ")</f>
        <v>30</v>
      </c>
      <c r="D55" s="4">
        <f>COUNTIFS(step3_combined_data!$AQ$2:$AQ$404,"Support", step3_combined_data!$N$2:$N$404,"Dưới 12 triệu VNĐ")</f>
        <v>11</v>
      </c>
      <c r="E55" s="4">
        <f>SUM(B55:D55)</f>
        <v>41</v>
      </c>
      <c r="G55" s="4" t="s">
        <v>193</v>
      </c>
      <c r="H55" s="40">
        <f t="shared" ref="H55:H62" si="20">B55/E55</f>
        <v>0</v>
      </c>
      <c r="I55" s="40">
        <f t="shared" ref="I55:I62" si="21">C55/E55</f>
        <v>0.73170731707317072</v>
      </c>
      <c r="J55" s="40">
        <f t="shared" ref="J55:J62" si="22">D55/E55</f>
        <v>0.26829268292682928</v>
      </c>
    </row>
    <row r="56" spans="1:10" x14ac:dyDescent="0.45">
      <c r="A56" s="4" t="s">
        <v>103</v>
      </c>
      <c r="B56" s="4">
        <f>COUNTIFS(step3_combined_data!$AQ$2:$AQ$404,"Oppose", step3_combined_data!$N$2:$N$404,"Từ 12 - 18 triệu VNĐ")</f>
        <v>4</v>
      </c>
      <c r="C56" s="4">
        <f>COUNTIFS(step3_combined_data!$AQ$2:$AQ$404,"Neutral", step3_combined_data!$N$2:$N$404,"Từ 12 - 18 triệu VNĐ")</f>
        <v>47</v>
      </c>
      <c r="D56" s="4">
        <f>COUNTIFS(step3_combined_data!$AQ$2:$AQ$404,"Support", step3_combined_data!$N$2:$N$404,"Từ 12 - 18 triệu VNĐ")</f>
        <v>28</v>
      </c>
      <c r="E56" s="4">
        <f t="shared" ref="E56:E62" si="23">SUM(B56:D56)</f>
        <v>79</v>
      </c>
      <c r="G56" s="4" t="s">
        <v>103</v>
      </c>
      <c r="H56" s="40">
        <f t="shared" si="20"/>
        <v>5.0632911392405063E-2</v>
      </c>
      <c r="I56" s="40">
        <f t="shared" si="21"/>
        <v>0.59493670886075944</v>
      </c>
      <c r="J56" s="40">
        <f t="shared" si="22"/>
        <v>0.35443037974683544</v>
      </c>
    </row>
    <row r="57" spans="1:10" x14ac:dyDescent="0.45">
      <c r="A57" s="4" t="s">
        <v>195</v>
      </c>
      <c r="B57" s="4">
        <f>COUNTIFS(step3_combined_data!$AQ$2:$AQ$404,"Oppose", step3_combined_data!$N$2:$N$404,"Từ 18 - 23 triệu VNĐ")</f>
        <v>0</v>
      </c>
      <c r="C57" s="4">
        <f>COUNTIFS(step3_combined_data!$AQ$2:$AQ$404,"Neutral", step3_combined_data!$N$2:$N$404,"Từ 18 - 23 triệu VNĐ")</f>
        <v>36</v>
      </c>
      <c r="D57" s="4">
        <f>COUNTIFS(step3_combined_data!$AQ$2:$AQ$404,"Support", step3_combined_data!$N$2:$N$404,"Từ 18 - 23 triệu VNĐ")</f>
        <v>5</v>
      </c>
      <c r="E57" s="4">
        <f t="shared" si="23"/>
        <v>41</v>
      </c>
      <c r="G57" s="4" t="s">
        <v>195</v>
      </c>
      <c r="H57" s="40">
        <f t="shared" si="20"/>
        <v>0</v>
      </c>
      <c r="I57" s="40">
        <f t="shared" si="21"/>
        <v>0.87804878048780488</v>
      </c>
      <c r="J57" s="40">
        <f t="shared" si="22"/>
        <v>0.12195121951219512</v>
      </c>
    </row>
    <row r="58" spans="1:10" x14ac:dyDescent="0.45">
      <c r="A58" s="4" t="s">
        <v>100</v>
      </c>
      <c r="B58" s="4">
        <f>COUNTIFS(step3_combined_data!$AQ$2:$AQ$404,"Oppose", step3_combined_data!$N$2:$N$404,"Từ 23 - 32 triệu VNĐ")</f>
        <v>0</v>
      </c>
      <c r="C58" s="4">
        <f>COUNTIFS(step3_combined_data!$AQ$2:$AQ$404,"Neutral", step3_combined_data!$N$2:$N$404,"Từ 23 - 32 triệu VNĐ")</f>
        <v>31</v>
      </c>
      <c r="D58" s="4">
        <f>COUNTIFS(step3_combined_data!$AQ$2:$AQ$404,"Support", step3_combined_data!$N$2:$N$404,"Từ 23 - 32 triệu VNĐ")</f>
        <v>22</v>
      </c>
      <c r="E58" s="4">
        <f t="shared" si="23"/>
        <v>53</v>
      </c>
      <c r="G58" s="4" t="s">
        <v>100</v>
      </c>
      <c r="H58" s="40">
        <f t="shared" si="20"/>
        <v>0</v>
      </c>
      <c r="I58" s="40">
        <f t="shared" si="21"/>
        <v>0.58490566037735847</v>
      </c>
      <c r="J58" s="40">
        <f t="shared" si="22"/>
        <v>0.41509433962264153</v>
      </c>
    </row>
    <row r="59" spans="1:10" x14ac:dyDescent="0.45">
      <c r="A59" s="4" t="s">
        <v>108</v>
      </c>
      <c r="B59" s="4">
        <f>COUNTIFS(step3_combined_data!$AQ$2:$AQ$404,"Oppose", step3_combined_data!$N$2:$N$404,"Từ 32 - 48 triệu VNĐ")</f>
        <v>1</v>
      </c>
      <c r="C59" s="4">
        <f>COUNTIFS(step3_combined_data!$AQ$2:$AQ$404,"Neutral", step3_combined_data!$N$2:$N$404,"Từ 32 - 48 triệu VNĐ")</f>
        <v>39</v>
      </c>
      <c r="D59" s="4">
        <f>COUNTIFS(step3_combined_data!$AQ$2:$AQ$404,"Support", step3_combined_data!$N$2:$N$404,"Từ 32 - 48 triệu VNĐ")</f>
        <v>13</v>
      </c>
      <c r="E59" s="4">
        <f t="shared" si="23"/>
        <v>53</v>
      </c>
      <c r="G59" s="4" t="s">
        <v>108</v>
      </c>
      <c r="H59" s="40">
        <f t="shared" si="20"/>
        <v>1.8867924528301886E-2</v>
      </c>
      <c r="I59" s="40">
        <f t="shared" si="21"/>
        <v>0.73584905660377353</v>
      </c>
      <c r="J59" s="40">
        <f t="shared" si="22"/>
        <v>0.24528301886792453</v>
      </c>
    </row>
    <row r="60" spans="1:10" x14ac:dyDescent="0.45">
      <c r="A60" s="4" t="s">
        <v>110</v>
      </c>
      <c r="B60" s="4">
        <f>COUNTIFS(step3_combined_data!$AQ$2:$AQ$404,"Oppose", step3_combined_data!$N$2:$N$404,"Từ 48 - 70 triệu VNĐ")</f>
        <v>3</v>
      </c>
      <c r="C60" s="4">
        <f>COUNTIFS(step3_combined_data!$AQ$2:$AQ$404,"Neutral", step3_combined_data!$N$2:$N$404,"Từ 48 - 70 triệu VNĐ")</f>
        <v>37</v>
      </c>
      <c r="D60" s="4">
        <f>COUNTIFS(step3_combined_data!$AQ$2:$AQ$404,"Support", step3_combined_data!$N$2:$N$404,"Từ 48 - 70 triệu VNĐ")</f>
        <v>22</v>
      </c>
      <c r="E60" s="4">
        <f t="shared" si="23"/>
        <v>62</v>
      </c>
      <c r="G60" s="4" t="s">
        <v>110</v>
      </c>
      <c r="H60" s="40">
        <f t="shared" si="20"/>
        <v>4.8387096774193547E-2</v>
      </c>
      <c r="I60" s="40">
        <f t="shared" si="21"/>
        <v>0.59677419354838712</v>
      </c>
      <c r="J60" s="40">
        <f t="shared" si="22"/>
        <v>0.35483870967741937</v>
      </c>
    </row>
    <row r="61" spans="1:10" x14ac:dyDescent="0.45">
      <c r="A61" s="4" t="s">
        <v>106</v>
      </c>
      <c r="B61" s="4">
        <f>COUNTIFS(step3_combined_data!$AQ$2:$AQ$404,"Oppose", step3_combined_data!$N$2:$N$404,"Từ 70 - 102 triệu VNĐ")</f>
        <v>1</v>
      </c>
      <c r="C61" s="4">
        <f>COUNTIFS(step3_combined_data!$AQ$2:$AQ$404,"Neutral", step3_combined_data!$N$2:$N$404,"Từ 70 - 102 triệu VNĐ")</f>
        <v>22</v>
      </c>
      <c r="D61" s="4">
        <f>COUNTIFS(step3_combined_data!$AQ$2:$AQ$404,"Support", step3_combined_data!$N$2:$N$404,"Từ 70 - 102 triệu VNĐ")</f>
        <v>16</v>
      </c>
      <c r="E61" s="4">
        <f t="shared" si="23"/>
        <v>39</v>
      </c>
      <c r="G61" s="4" t="s">
        <v>106</v>
      </c>
      <c r="H61" s="40">
        <f t="shared" si="20"/>
        <v>2.564102564102564E-2</v>
      </c>
      <c r="I61" s="40">
        <f t="shared" si="21"/>
        <v>0.5641025641025641</v>
      </c>
      <c r="J61" s="40">
        <f t="shared" si="22"/>
        <v>0.41025641025641024</v>
      </c>
    </row>
    <row r="62" spans="1:10" x14ac:dyDescent="0.45">
      <c r="A62" s="4" t="s">
        <v>107</v>
      </c>
      <c r="B62" s="4">
        <f>COUNTIFS(step3_combined_data!$AQ$2:$AQ$404,"Oppose", step3_combined_data!$N$2:$N$404,"Trên 102 triệu VNĐ")</f>
        <v>0</v>
      </c>
      <c r="C62" s="4">
        <f>COUNTIFS(step3_combined_data!$AQ$2:$AQ$404,"Neutral", step3_combined_data!$N$2:$N$404,"Trên 102 triệu VNĐ")</f>
        <v>28</v>
      </c>
      <c r="D62" s="4">
        <f>COUNTIFS(step3_combined_data!$AQ$2:$AQ$404,"Support", step3_combined_data!$N$2:$N$404,"Trên 102 triệu VNĐ")</f>
        <v>7</v>
      </c>
      <c r="E62" s="4">
        <f t="shared" si="23"/>
        <v>35</v>
      </c>
      <c r="G62" s="4" t="s">
        <v>107</v>
      </c>
      <c r="H62" s="40">
        <f t="shared" si="20"/>
        <v>0</v>
      </c>
      <c r="I62" s="40">
        <f t="shared" si="21"/>
        <v>0.8</v>
      </c>
      <c r="J62" s="40">
        <f t="shared" si="22"/>
        <v>0.2</v>
      </c>
    </row>
    <row r="64" spans="1:10" x14ac:dyDescent="0.45">
      <c r="A64" s="41" t="s">
        <v>19</v>
      </c>
      <c r="B64" s="41" t="s">
        <v>1</v>
      </c>
      <c r="C64" s="41" t="s">
        <v>2</v>
      </c>
      <c r="D64" s="41" t="s">
        <v>3</v>
      </c>
      <c r="E64" s="41">
        <f>SUM(E65:E72)</f>
        <v>403</v>
      </c>
      <c r="G64" s="41" t="s">
        <v>19</v>
      </c>
      <c r="H64" s="41" t="s">
        <v>1</v>
      </c>
      <c r="I64" s="41" t="s">
        <v>2</v>
      </c>
      <c r="J64" s="41" t="s">
        <v>3</v>
      </c>
    </row>
    <row r="65" spans="1:10" x14ac:dyDescent="0.45">
      <c r="A65" s="4" t="s">
        <v>193</v>
      </c>
      <c r="B65" s="4">
        <f>COUNTIFS(step3_combined_data!$AV$2:$AV$404,"Oppose", step3_combined_data!$N$2:$N$404,"Dưới 12 triệu VNĐ")</f>
        <v>2</v>
      </c>
      <c r="C65" s="4">
        <f>COUNTIFS(step3_combined_data!$AV$2:$AV$404,"Neutral", step3_combined_data!$N$2:$N$404,"Dưới 12 triệu VNĐ")</f>
        <v>33</v>
      </c>
      <c r="D65" s="4">
        <f>COUNTIFS(step3_combined_data!$AV$2:$AV$404,"Support", step3_combined_data!$N$2:$N$404,"Dưới 12 triệu VNĐ")</f>
        <v>6</v>
      </c>
      <c r="E65" s="4">
        <f>SUM(B65:D65)</f>
        <v>41</v>
      </c>
      <c r="G65" s="4" t="s">
        <v>193</v>
      </c>
      <c r="H65" s="40">
        <f t="shared" ref="H65:H72" si="24">B65/E65</f>
        <v>4.878048780487805E-2</v>
      </c>
      <c r="I65" s="40">
        <f t="shared" ref="I65:I72" si="25">C65/E65</f>
        <v>0.80487804878048785</v>
      </c>
      <c r="J65" s="40">
        <f t="shared" ref="J65:J72" si="26">D65/E65</f>
        <v>0.14634146341463414</v>
      </c>
    </row>
    <row r="66" spans="1:10" x14ac:dyDescent="0.45">
      <c r="A66" s="4" t="s">
        <v>103</v>
      </c>
      <c r="B66" s="4">
        <f>COUNTIFS(step3_combined_data!$AV$2:$AV$404,"Oppose", step3_combined_data!$N$2:$N$404,"Từ 12 - 18 triệu VNĐ")</f>
        <v>6</v>
      </c>
      <c r="C66" s="4">
        <f>COUNTIFS(step3_combined_data!$AV$2:$AV$404,"Neutral", step3_combined_data!$N$2:$N$404,"Từ 12 - 18 triệu VNĐ")</f>
        <v>63</v>
      </c>
      <c r="D66" s="4">
        <f>COUNTIFS(step3_combined_data!$AV$2:$AV$404,"Support", step3_combined_data!$N$2:$N$404,"Từ 12 - 18 triệu VNĐ")</f>
        <v>10</v>
      </c>
      <c r="E66" s="4">
        <f t="shared" ref="E66:E72" si="27">SUM(B66:D66)</f>
        <v>79</v>
      </c>
      <c r="G66" s="4" t="s">
        <v>103</v>
      </c>
      <c r="H66" s="40">
        <f t="shared" si="24"/>
        <v>7.5949367088607597E-2</v>
      </c>
      <c r="I66" s="40">
        <f t="shared" si="25"/>
        <v>0.79746835443037978</v>
      </c>
      <c r="J66" s="40">
        <f t="shared" si="26"/>
        <v>0.12658227848101267</v>
      </c>
    </row>
    <row r="67" spans="1:10" x14ac:dyDescent="0.45">
      <c r="A67" s="4" t="s">
        <v>195</v>
      </c>
      <c r="B67" s="4">
        <f>COUNTIFS(step3_combined_data!$AV$2:$AV$404,"Oppose", step3_combined_data!$N$2:$N$404,"Từ 18 - 23 triệu VNĐ")</f>
        <v>3</v>
      </c>
      <c r="C67" s="4">
        <f>COUNTIFS(step3_combined_data!$AV$2:$AV$404,"Neutral", step3_combined_data!$N$2:$N$404,"Từ 18 - 23 triệu VNĐ")</f>
        <v>29</v>
      </c>
      <c r="D67" s="4">
        <f>COUNTIFS(step3_combined_data!$AV$2:$AV$404,"Support", step3_combined_data!$N$2:$N$404,"Từ 18 - 23 triệu VNĐ")</f>
        <v>9</v>
      </c>
      <c r="E67" s="4">
        <f t="shared" si="27"/>
        <v>41</v>
      </c>
      <c r="G67" s="4" t="s">
        <v>195</v>
      </c>
      <c r="H67" s="40">
        <f t="shared" si="24"/>
        <v>7.3170731707317069E-2</v>
      </c>
      <c r="I67" s="40">
        <f t="shared" si="25"/>
        <v>0.70731707317073167</v>
      </c>
      <c r="J67" s="40">
        <f t="shared" si="26"/>
        <v>0.21951219512195122</v>
      </c>
    </row>
    <row r="68" spans="1:10" x14ac:dyDescent="0.45">
      <c r="A68" s="4" t="s">
        <v>100</v>
      </c>
      <c r="B68" s="4">
        <f>COUNTIFS(step3_combined_data!$AV$2:$AV$404,"Oppose", step3_combined_data!$N$2:$N$404,"Từ 23 - 32 triệu VNĐ")</f>
        <v>2</v>
      </c>
      <c r="C68" s="4">
        <f>COUNTIFS(step3_combined_data!$AV$2:$AV$404,"Neutral", step3_combined_data!$N$2:$N$404,"Từ 23 - 32 triệu VNĐ")</f>
        <v>42</v>
      </c>
      <c r="D68" s="4">
        <f>COUNTIFS(step3_combined_data!$AV$2:$AV$404,"Support", step3_combined_data!$N$2:$N$404,"Từ 23 - 32 triệu VNĐ")</f>
        <v>9</v>
      </c>
      <c r="E68" s="4">
        <f t="shared" si="27"/>
        <v>53</v>
      </c>
      <c r="G68" s="4" t="s">
        <v>100</v>
      </c>
      <c r="H68" s="40">
        <f t="shared" si="24"/>
        <v>3.7735849056603772E-2</v>
      </c>
      <c r="I68" s="40">
        <f t="shared" si="25"/>
        <v>0.79245283018867929</v>
      </c>
      <c r="J68" s="40">
        <f t="shared" si="26"/>
        <v>0.16981132075471697</v>
      </c>
    </row>
    <row r="69" spans="1:10" x14ac:dyDescent="0.45">
      <c r="A69" s="4" t="s">
        <v>108</v>
      </c>
      <c r="B69" s="4">
        <f>COUNTIFS(step3_combined_data!$AV$2:$AV$404,"Oppose", step3_combined_data!$N$2:$N$404,"Từ 32 - 48 triệu VNĐ")</f>
        <v>1</v>
      </c>
      <c r="C69" s="4">
        <f>COUNTIFS(step3_combined_data!$AV$2:$AV$404,"Neutral", step3_combined_data!$N$2:$N$404,"Từ 32 - 48 triệu VNĐ")</f>
        <v>40</v>
      </c>
      <c r="D69" s="4">
        <f>COUNTIFS(step3_combined_data!$AV$2:$AV$404,"Support", step3_combined_data!$N$2:$N$404,"Từ 32 - 48 triệu VNĐ")</f>
        <v>12</v>
      </c>
      <c r="E69" s="4">
        <f t="shared" si="27"/>
        <v>53</v>
      </c>
      <c r="G69" s="4" t="s">
        <v>108</v>
      </c>
      <c r="H69" s="40">
        <f t="shared" si="24"/>
        <v>1.8867924528301886E-2</v>
      </c>
      <c r="I69" s="40">
        <f t="shared" si="25"/>
        <v>0.75471698113207553</v>
      </c>
      <c r="J69" s="40">
        <f t="shared" si="26"/>
        <v>0.22641509433962265</v>
      </c>
    </row>
    <row r="70" spans="1:10" x14ac:dyDescent="0.45">
      <c r="A70" s="4" t="s">
        <v>110</v>
      </c>
      <c r="B70" s="4">
        <f>COUNTIFS(step3_combined_data!$AV$2:$AV$404,"Oppose", step3_combined_data!$N$2:$N$404,"Từ 48 - 70 triệu VNĐ")</f>
        <v>3</v>
      </c>
      <c r="C70" s="4">
        <f>COUNTIFS(step3_combined_data!$AV$2:$AV$404,"Neutral", step3_combined_data!$N$2:$N$404,"Từ 48 - 70 triệu VNĐ")</f>
        <v>48</v>
      </c>
      <c r="D70" s="4">
        <f>COUNTIFS(step3_combined_data!$AV$2:$AV$404,"Support", step3_combined_data!$N$2:$N$404,"Từ 48 - 70 triệu VNĐ")</f>
        <v>11</v>
      </c>
      <c r="E70" s="4">
        <f t="shared" si="27"/>
        <v>62</v>
      </c>
      <c r="G70" s="4" t="s">
        <v>110</v>
      </c>
      <c r="H70" s="40">
        <f t="shared" si="24"/>
        <v>4.8387096774193547E-2</v>
      </c>
      <c r="I70" s="40">
        <f t="shared" si="25"/>
        <v>0.77419354838709675</v>
      </c>
      <c r="J70" s="40">
        <f t="shared" si="26"/>
        <v>0.17741935483870969</v>
      </c>
    </row>
    <row r="71" spans="1:10" x14ac:dyDescent="0.45">
      <c r="A71" s="4" t="s">
        <v>106</v>
      </c>
      <c r="B71" s="4">
        <f>COUNTIFS(step3_combined_data!$AV$2:$AV$404,"Oppose", step3_combined_data!$N$2:$N$404,"Từ 70 - 102 triệu VNĐ")</f>
        <v>2</v>
      </c>
      <c r="C71" s="4">
        <f>COUNTIFS(step3_combined_data!$AV$2:$AV$404,"Neutral", step3_combined_data!$N$2:$N$404,"Từ 70 - 102 triệu VNĐ")</f>
        <v>28</v>
      </c>
      <c r="D71" s="4">
        <f>COUNTIFS(step3_combined_data!$AV$2:$AV$404,"Support", step3_combined_data!$N$2:$N$404,"Từ 70 - 102 triệu VNĐ")</f>
        <v>9</v>
      </c>
      <c r="E71" s="4">
        <f t="shared" si="27"/>
        <v>39</v>
      </c>
      <c r="G71" s="4" t="s">
        <v>106</v>
      </c>
      <c r="H71" s="40">
        <f t="shared" si="24"/>
        <v>5.128205128205128E-2</v>
      </c>
      <c r="I71" s="40">
        <f t="shared" si="25"/>
        <v>0.71794871794871795</v>
      </c>
      <c r="J71" s="40">
        <f t="shared" si="26"/>
        <v>0.23076923076923078</v>
      </c>
    </row>
    <row r="72" spans="1:10" x14ac:dyDescent="0.45">
      <c r="A72" s="4" t="s">
        <v>107</v>
      </c>
      <c r="B72" s="4">
        <f>COUNTIFS(step3_combined_data!$AV$2:$AV$404,"Oppose", step3_combined_data!$N$2:$N$404,"Trên 102 triệu VNĐ")</f>
        <v>0</v>
      </c>
      <c r="C72" s="4">
        <f>COUNTIFS(step3_combined_data!$AV$2:$AV$404,"Neutral", step3_combined_data!$N$2:$N$404,"Trên 102 triệu VNĐ")</f>
        <v>30</v>
      </c>
      <c r="D72" s="4">
        <f>COUNTIFS(step3_combined_data!$AV$2:$AV$404,"Support", step3_combined_data!$N$2:$N$404,"Trên 102 triệu VNĐ")</f>
        <v>5</v>
      </c>
      <c r="E72" s="4">
        <f t="shared" si="27"/>
        <v>35</v>
      </c>
      <c r="G72" s="4" t="s">
        <v>107</v>
      </c>
      <c r="H72" s="40">
        <f t="shared" si="24"/>
        <v>0</v>
      </c>
      <c r="I72" s="40">
        <f t="shared" si="25"/>
        <v>0.8571428571428571</v>
      </c>
      <c r="J72" s="40">
        <f t="shared" si="26"/>
        <v>0.14285714285714285</v>
      </c>
    </row>
    <row r="74" spans="1:10" x14ac:dyDescent="0.45">
      <c r="A74" s="41" t="s">
        <v>3821</v>
      </c>
      <c r="B74" s="41" t="s">
        <v>1</v>
      </c>
      <c r="C74" s="41" t="s">
        <v>2</v>
      </c>
      <c r="D74" s="41" t="s">
        <v>3</v>
      </c>
      <c r="E74" s="41">
        <f>SUM(E75:E80)</f>
        <v>401</v>
      </c>
      <c r="G74" s="41" t="s">
        <v>3821</v>
      </c>
      <c r="H74" s="41" t="s">
        <v>1</v>
      </c>
      <c r="I74" s="41" t="s">
        <v>2</v>
      </c>
      <c r="J74" s="41" t="s">
        <v>3</v>
      </c>
    </row>
    <row r="75" spans="1:10" x14ac:dyDescent="0.45">
      <c r="A75" s="4" t="s">
        <v>188</v>
      </c>
      <c r="B75" s="4">
        <f>COUNTIFS(step3_combined_data!$BF$2:$BF$404,"Oppose", step3_combined_data!$E$2:$E$404,"18 - 24")</f>
        <v>1</v>
      </c>
      <c r="C75" s="4">
        <f>COUNTIFS(step3_combined_data!$BF$2:$BF$404,"Neutral", step3_combined_data!$E$2:$E$404,"18 - 24")</f>
        <v>33</v>
      </c>
      <c r="D75" s="4">
        <f>COUNTIFS(step3_combined_data!$BF$2:$BF$404,"Support", step3_combined_data!$E$2:$E$404,"18 - 24")</f>
        <v>21</v>
      </c>
      <c r="E75" s="4">
        <f>SUM(B75:D75)</f>
        <v>55</v>
      </c>
      <c r="G75" s="4" t="s">
        <v>188</v>
      </c>
      <c r="H75" s="40">
        <f t="shared" ref="H75:H80" si="28">B75/E75</f>
        <v>1.8181818181818181E-2</v>
      </c>
      <c r="I75" s="40">
        <f t="shared" ref="I75:I80" si="29">C75/E75</f>
        <v>0.6</v>
      </c>
      <c r="J75" s="40">
        <f t="shared" ref="J75:J80" si="30">D75/E75</f>
        <v>0.38181818181818183</v>
      </c>
    </row>
    <row r="76" spans="1:10" x14ac:dyDescent="0.45">
      <c r="A76" s="4" t="s">
        <v>81</v>
      </c>
      <c r="B76" s="4">
        <f>COUNTIFS(step3_combined_data!$BF$2:$BF$404,"Oppose", step3_combined_data!$E$2:$E$404,"25 - 29")</f>
        <v>2</v>
      </c>
      <c r="C76" s="4">
        <f>COUNTIFS(step3_combined_data!$BF$2:$BF$404,"Neutral", step3_combined_data!$E$2:$E$404,"25 - 29")</f>
        <v>54</v>
      </c>
      <c r="D76" s="4">
        <f>COUNTIFS(step3_combined_data!$BF$2:$BF$404,"Support", step3_combined_data!$E$2:$E$404,"25 - 29")</f>
        <v>23</v>
      </c>
      <c r="E76" s="4">
        <f t="shared" ref="E76:E80" si="31">SUM(B76:D76)</f>
        <v>79</v>
      </c>
      <c r="G76" s="4" t="s">
        <v>81</v>
      </c>
      <c r="H76" s="40">
        <f t="shared" si="28"/>
        <v>2.5316455696202531E-2</v>
      </c>
      <c r="I76" s="40">
        <f t="shared" si="29"/>
        <v>0.68354430379746833</v>
      </c>
      <c r="J76" s="40">
        <f t="shared" si="30"/>
        <v>0.29113924050632911</v>
      </c>
    </row>
    <row r="77" spans="1:10" x14ac:dyDescent="0.45">
      <c r="A77" s="4" t="s">
        <v>73</v>
      </c>
      <c r="B77" s="4">
        <f>COUNTIFS(step3_combined_data!$BF$2:$BF$404,"Oppose", step3_combined_data!$E$2:$E$404,"30 - 39")</f>
        <v>4</v>
      </c>
      <c r="C77" s="4">
        <f>COUNTIFS(step3_combined_data!$BF$2:$BF$404,"Neutral", step3_combined_data!$E$2:$E$404,"30 - 39")</f>
        <v>78</v>
      </c>
      <c r="D77" s="4">
        <f>COUNTIFS(step3_combined_data!$BF$2:$BF$404,"Support", step3_combined_data!$E$2:$E$404,"30 - 39")</f>
        <v>49</v>
      </c>
      <c r="E77" s="4">
        <f t="shared" si="31"/>
        <v>131</v>
      </c>
      <c r="G77" s="4" t="s">
        <v>73</v>
      </c>
      <c r="H77" s="40">
        <f t="shared" si="28"/>
        <v>3.0534351145038167E-2</v>
      </c>
      <c r="I77" s="40">
        <f t="shared" si="29"/>
        <v>0.59541984732824427</v>
      </c>
      <c r="J77" s="40">
        <f t="shared" si="30"/>
        <v>0.37404580152671757</v>
      </c>
    </row>
    <row r="78" spans="1:10" x14ac:dyDescent="0.45">
      <c r="A78" s="4" t="s">
        <v>79</v>
      </c>
      <c r="B78" s="4">
        <f>COUNTIFS(step3_combined_data!$BF$2:$BF$404,"Oppose", step3_combined_data!$E$2:$E$404,"40 - 49")</f>
        <v>0</v>
      </c>
      <c r="C78" s="4">
        <f>COUNTIFS(step3_combined_data!$BF$2:$BF$404,"Neutral", step3_combined_data!$E$2:$E$404,"40 - 49")</f>
        <v>49</v>
      </c>
      <c r="D78" s="4">
        <f>COUNTIFS(step3_combined_data!$BF$2:$BF$404,"Support", step3_combined_data!$E$2:$E$404,"40 - 49")</f>
        <v>29</v>
      </c>
      <c r="E78" s="4">
        <f t="shared" si="31"/>
        <v>78</v>
      </c>
      <c r="G78" s="4" t="s">
        <v>79</v>
      </c>
      <c r="H78" s="40">
        <f t="shared" si="28"/>
        <v>0</v>
      </c>
      <c r="I78" s="40">
        <f t="shared" si="29"/>
        <v>0.62820512820512819</v>
      </c>
      <c r="J78" s="40">
        <f t="shared" si="30"/>
        <v>0.37179487179487181</v>
      </c>
    </row>
    <row r="79" spans="1:10" x14ac:dyDescent="0.45">
      <c r="A79" s="4" t="s">
        <v>190</v>
      </c>
      <c r="B79" s="4">
        <f>COUNTIFS(step3_combined_data!$BF$2:$BF$404,"Oppose", step3_combined_data!$E$2:$E$404,"50 - 54")</f>
        <v>0</v>
      </c>
      <c r="C79" s="4">
        <f>COUNTIFS(step3_combined_data!$BF$2:$BF$404,"Neutral", step3_combined_data!$E$2:$E$404,"50 - 54")</f>
        <v>25</v>
      </c>
      <c r="D79" s="4">
        <f>COUNTIFS(step3_combined_data!$BF$2:$BF$404,"Support", step3_combined_data!$E$2:$E$404,"50 - 54")</f>
        <v>6</v>
      </c>
      <c r="E79" s="4">
        <f t="shared" si="31"/>
        <v>31</v>
      </c>
      <c r="G79" s="4" t="s">
        <v>190</v>
      </c>
      <c r="H79" s="40">
        <f t="shared" si="28"/>
        <v>0</v>
      </c>
      <c r="I79" s="40">
        <f t="shared" si="29"/>
        <v>0.80645161290322576</v>
      </c>
      <c r="J79" s="40">
        <f t="shared" si="30"/>
        <v>0.19354838709677419</v>
      </c>
    </row>
    <row r="80" spans="1:10" x14ac:dyDescent="0.45">
      <c r="A80" s="4" t="s">
        <v>192</v>
      </c>
      <c r="B80" s="4">
        <f>COUNTIFS(step3_combined_data!$BF$2:$BF$404,"Oppose", step3_combined_data!$E$2:$E$404,"55 - 64")</f>
        <v>0</v>
      </c>
      <c r="C80" s="4">
        <f>COUNTIFS(step3_combined_data!$BF$2:$BF$404,"Neutral", step3_combined_data!$E$2:$E$404,"55 - 64")</f>
        <v>9</v>
      </c>
      <c r="D80" s="4">
        <f>COUNTIFS(step3_combined_data!$BF$2:$BF$404,"Support", step3_combined_data!$E$2:$E$404,"55 - 64")</f>
        <v>18</v>
      </c>
      <c r="E80" s="4">
        <f t="shared" si="31"/>
        <v>27</v>
      </c>
      <c r="G80" s="4" t="s">
        <v>192</v>
      </c>
      <c r="H80" s="40">
        <f t="shared" si="28"/>
        <v>0</v>
      </c>
      <c r="I80" s="40">
        <f t="shared" si="29"/>
        <v>0.33333333333333331</v>
      </c>
      <c r="J80" s="40">
        <f t="shared" si="30"/>
        <v>0.66666666666666663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F528A-6339-45EF-8CB6-8E74AF30FC05}">
  <dimension ref="A1:AT405"/>
  <sheetViews>
    <sheetView topLeftCell="AB387" workbookViewId="0">
      <selection activeCell="AT2" sqref="AT2:AT404"/>
    </sheetView>
  </sheetViews>
  <sheetFormatPr defaultRowHeight="14.25" x14ac:dyDescent="0.45"/>
  <sheetData>
    <row r="1" spans="1:46" x14ac:dyDescent="0.45">
      <c r="A1" s="21" t="s">
        <v>45</v>
      </c>
      <c r="B1" s="21" t="s">
        <v>3796</v>
      </c>
      <c r="C1" s="21" t="s">
        <v>125</v>
      </c>
      <c r="D1" s="21" t="s">
        <v>3797</v>
      </c>
      <c r="E1" s="22" t="s">
        <v>48</v>
      </c>
      <c r="F1" s="22" t="s">
        <v>3798</v>
      </c>
      <c r="G1" s="22" t="s">
        <v>130</v>
      </c>
      <c r="H1" s="22" t="s">
        <v>3799</v>
      </c>
      <c r="I1" s="18" t="s">
        <v>3800</v>
      </c>
      <c r="J1" s="20" t="s">
        <v>3801</v>
      </c>
      <c r="K1" s="21" t="s">
        <v>51</v>
      </c>
      <c r="L1" s="21" t="s">
        <v>3802</v>
      </c>
      <c r="M1" s="21" t="s">
        <v>134</v>
      </c>
      <c r="N1" s="21" t="s">
        <v>3803</v>
      </c>
      <c r="O1" s="22" t="s">
        <v>54</v>
      </c>
      <c r="P1" s="22" t="s">
        <v>3804</v>
      </c>
      <c r="Q1" s="22" t="s">
        <v>138</v>
      </c>
      <c r="R1" s="22" t="s">
        <v>3805</v>
      </c>
      <c r="S1" s="18" t="s">
        <v>3806</v>
      </c>
      <c r="T1" s="22" t="s">
        <v>3807</v>
      </c>
      <c r="U1" s="21" t="s">
        <v>57</v>
      </c>
      <c r="V1" s="21" t="s">
        <v>3808</v>
      </c>
      <c r="W1" s="21" t="s">
        <v>142</v>
      </c>
      <c r="X1" s="21" t="s">
        <v>3809</v>
      </c>
      <c r="Y1" s="22" t="s">
        <v>60</v>
      </c>
      <c r="Z1" s="22" t="s">
        <v>3810</v>
      </c>
      <c r="AA1" s="22" t="s">
        <v>146</v>
      </c>
      <c r="AB1" s="22" t="s">
        <v>3811</v>
      </c>
      <c r="AC1" s="21" t="s">
        <v>63</v>
      </c>
      <c r="AD1" s="21" t="s">
        <v>3812</v>
      </c>
      <c r="AE1" s="21" t="s">
        <v>150</v>
      </c>
      <c r="AF1" s="21" t="s">
        <v>3813</v>
      </c>
      <c r="AG1" s="22" t="s">
        <v>66</v>
      </c>
      <c r="AH1" s="22" t="s">
        <v>3814</v>
      </c>
      <c r="AI1" s="22" t="s">
        <v>154</v>
      </c>
      <c r="AJ1" s="22" t="s">
        <v>155</v>
      </c>
      <c r="AK1" s="21" t="s">
        <v>3815</v>
      </c>
      <c r="AL1" s="22" t="s">
        <v>3816</v>
      </c>
      <c r="AM1" s="22" t="s">
        <v>3817</v>
      </c>
      <c r="AN1" s="22" t="s">
        <v>3818</v>
      </c>
      <c r="AO1" s="21" t="s">
        <v>69</v>
      </c>
      <c r="AP1" s="21" t="s">
        <v>3819</v>
      </c>
      <c r="AQ1" s="21" t="s">
        <v>158</v>
      </c>
      <c r="AR1" s="21" t="s">
        <v>3820</v>
      </c>
      <c r="AS1" s="21" t="s">
        <v>160</v>
      </c>
      <c r="AT1" s="21" t="s">
        <v>3845</v>
      </c>
    </row>
    <row r="2" spans="1:46" x14ac:dyDescent="0.45">
      <c r="A2">
        <f>step3_validation[[#This Row],[AI_ENF1]]</f>
        <v>8</v>
      </c>
      <c r="B2">
        <f>(A2-1)/9</f>
        <v>0.77777777777777779</v>
      </c>
      <c r="C2">
        <f>survey_responses[[#This Row],[Tôi tin rằng với các quy định quản lý thuế hiện nay, hành vi gian lận hoặc trốn thuế sẽ dễ dàng bị phát hiện và xử lý nghiêm. - HUMAN-ENF1]]</f>
        <v>10</v>
      </c>
      <c r="D2">
        <f>(C2-1)/9</f>
        <v>1</v>
      </c>
      <c r="E2">
        <f>step3_validation[[#This Row],[AI_ENF2]]</f>
        <v>7</v>
      </c>
      <c r="F2">
        <f>(E2-1)/9</f>
        <v>0.66666666666666663</v>
      </c>
      <c r="G2">
        <f>survey_responses[[#This Row],[Tôi tin rằng Nhà nước, cơ quan thuế có đủ khả năng và công nghệ để phát hiện, xử lý nghiêm các hành vi trốn thuế. - HUMAN-ENF2]]</f>
        <v>8</v>
      </c>
      <c r="H2">
        <f>(G2-1)/9</f>
        <v>0.77777777777777779</v>
      </c>
      <c r="I2" s="32">
        <f>AVERAGE(B2,F2)</f>
        <v>0.72222222222222221</v>
      </c>
      <c r="J2" s="32">
        <f>AVERAGE(D2,H2)</f>
        <v>0.88888888888888884</v>
      </c>
      <c r="K2">
        <f>step3_validation[[#This Row],[AI_FAC1]]</f>
        <v>6</v>
      </c>
      <c r="L2">
        <f>(K2-1)/9</f>
        <v>0.55555555555555558</v>
      </c>
      <c r="M2">
        <f>survey_responses[[#This Row],[Các thủ tục khai báo thuế VÀ/HOẶC quy trình làm việc với cơ quan thuế đơn giản, tiện lợi, nhanh chóng hơn so với trước đây. - HUMAN-FAC1]]</f>
        <v>5</v>
      </c>
      <c r="N2">
        <f>(M2-1)/9</f>
        <v>0.44444444444444442</v>
      </c>
      <c r="O2">
        <f>step3_validation[[#This Row],[AI_FAC2]]</f>
        <v>8</v>
      </c>
      <c r="P2">
        <f>(O2-1)/9</f>
        <v>0.77777777777777779</v>
      </c>
      <c r="Q2">
        <f>survey_responses[[#This Row],[So với trước đây, tôi thấy cách tính thuế và các bậc thuế trong phương án mới đơn giản, dễ hiểu và dễ thực hiện hơn. - HUMAN-FAC2]]</f>
        <v>5</v>
      </c>
      <c r="R2">
        <f>(Q2-1)/9</f>
        <v>0.44444444444444442</v>
      </c>
      <c r="S2" s="32">
        <f>AVERAGE(L2,P2)</f>
        <v>0.66666666666666674</v>
      </c>
      <c r="T2" s="32">
        <f>AVERAGE(N2,R2)</f>
        <v>0.44444444444444442</v>
      </c>
      <c r="U2">
        <f>step3_validation[[#This Row],[AI_TRU1]]</f>
        <v>7</v>
      </c>
      <c r="V2">
        <f>(U2-1)/9</f>
        <v>0.66666666666666663</v>
      </c>
      <c r="W2">
        <f>survey_responses[[#This Row],[Tôi tin rằng Nhà nước, cơ quan thuế sẽ thực thi chính sách mới một cách khách quan, công tâm và đối xử bình đẳng với mọi người nộp thuế.  - HUMAN-TRU1]]</f>
        <v>10</v>
      </c>
      <c r="X2">
        <f>(W2-1)/9</f>
        <v>1</v>
      </c>
      <c r="Y2">
        <f>step3_validation[[#This Row],[AI_TRU2]]</f>
        <v>6</v>
      </c>
      <c r="Z2">
        <f>(Y2-1)/9</f>
        <v>0.55555555555555558</v>
      </c>
      <c r="AA2">
        <f>survey_responses[[#This Row],[Tôi thấy mức thuế tôi phải đóng theo phương án mới là công bằng (người thu nhập như tôi đóng mức này là hợp lý). - HUMAN-TRU2]]</f>
        <v>10</v>
      </c>
      <c r="AB2">
        <f>(AA2-1)/9</f>
        <v>1</v>
      </c>
      <c r="AC2">
        <f>step3_validation[[#This Row],[AI_TRU3]]</f>
        <v>6</v>
      </c>
      <c r="AD2">
        <f>(AC2-1)/9</f>
        <v>0.55555555555555558</v>
      </c>
      <c r="AE2">
        <f>survey_responses[[#This Row],[Tôi tin tưởng số tiền thuế tôi đóng sẽ được Nhà nước sử dụng hiệu quả để cải thiện dịch vụ công (y tế, đường xá...). - HUMAN-TRU3]]</f>
        <v>10</v>
      </c>
      <c r="AF2">
        <f>(AE2-1)/9</f>
        <v>1</v>
      </c>
      <c r="AG2">
        <f>step3_validation[[#This Row],[AI_TRU4]]</f>
        <v>7</v>
      </c>
      <c r="AH2">
        <f>(AG2-1)/9</f>
        <v>0.66666666666666663</v>
      </c>
      <c r="AI2">
        <f>survey_responses[[#This Row],[Tôi thấy Nhà nước đã giải thích rõ ràng, minh bạch về lý do và mục tiêu của việc sửa đổi thuế lần này. - HUMAN-TRU4]]</f>
        <v>10</v>
      </c>
      <c r="AJ2">
        <f>(AI2-1)/9</f>
        <v>1</v>
      </c>
      <c r="AK2" s="32">
        <f>AVERAGE(V2,Z2,AD2,AH2)</f>
        <v>0.61111111111111116</v>
      </c>
      <c r="AL2" s="32">
        <f>AVERAGE(X2,AB2,AF2,AJ2)</f>
        <v>1</v>
      </c>
      <c r="AM2" s="7">
        <f>(I2+S2+AK2)/3</f>
        <v>0.66666666666666663</v>
      </c>
      <c r="AN2" s="7">
        <f>(J2+T2+AL2)/3</f>
        <v>0.77777777777777768</v>
      </c>
      <c r="AO2">
        <f>step3_validation[[#This Row],[AI_OUT1]]</f>
        <v>7</v>
      </c>
      <c r="AP2">
        <f>(AO2-1)/9</f>
        <v>0.66666666666666663</v>
      </c>
      <c r="AQ2">
        <f>survey_responses[[#This Row],[Sau khi xem xét các quyền lợi và nghĩa vụ, bạn có ủng hộ và tuân thủ chính sách mới hiện nay? - HUMAN-OUT1]]</f>
        <v>10</v>
      </c>
      <c r="AR2">
        <f>(AQ2-1)/9</f>
        <v>1</v>
      </c>
      <c r="AS2" s="32">
        <f>ABS(AQ2-AO2)</f>
        <v>3</v>
      </c>
      <c r="AT2">
        <f>IF(AQ2&gt;=6,1,0)</f>
        <v>1</v>
      </c>
    </row>
    <row r="3" spans="1:46" x14ac:dyDescent="0.45">
      <c r="A3">
        <f>step3_validation[[#This Row],[AI_ENF1]]</f>
        <v>8</v>
      </c>
      <c r="B3">
        <f t="shared" ref="B3:B66" si="0">(A3-1)/9</f>
        <v>0.77777777777777779</v>
      </c>
      <c r="C3">
        <f>survey_responses[[#This Row],[Tôi tin rằng với các quy định quản lý thuế hiện nay, hành vi gian lận hoặc trốn thuế sẽ dễ dàng bị phát hiện và xử lý nghiêm. - HUMAN-ENF1]]</f>
        <v>8</v>
      </c>
      <c r="D3">
        <f t="shared" ref="D3:D66" si="1">(C3-1)/9</f>
        <v>0.77777777777777779</v>
      </c>
      <c r="E3">
        <f>step3_validation[[#This Row],[AI_ENF2]]</f>
        <v>7</v>
      </c>
      <c r="F3">
        <f t="shared" ref="F3:F66" si="2">(E3-1)/9</f>
        <v>0.66666666666666663</v>
      </c>
      <c r="G3">
        <f>survey_responses[[#This Row],[Tôi tin rằng Nhà nước, cơ quan thuế có đủ khả năng và công nghệ để phát hiện, xử lý nghiêm các hành vi trốn thuế. - HUMAN-ENF2]]</f>
        <v>8</v>
      </c>
      <c r="H3">
        <f t="shared" ref="H3:H66" si="3">(G3-1)/9</f>
        <v>0.77777777777777779</v>
      </c>
      <c r="I3" s="32">
        <f t="shared" ref="I3:I66" si="4">AVERAGE(B3,F3)</f>
        <v>0.72222222222222221</v>
      </c>
      <c r="J3" s="32">
        <f t="shared" ref="J3:J66" si="5">AVERAGE(D3,H3)</f>
        <v>0.77777777777777779</v>
      </c>
      <c r="K3">
        <f>step3_validation[[#This Row],[AI_FAC1]]</f>
        <v>9</v>
      </c>
      <c r="L3">
        <f t="shared" ref="L3:L66" si="6">(K3-1)/9</f>
        <v>0.88888888888888884</v>
      </c>
      <c r="M3">
        <f>survey_responses[[#This Row],[Các thủ tục khai báo thuế VÀ/HOẶC quy trình làm việc với cơ quan thuế đơn giản, tiện lợi, nhanh chóng hơn so với trước đây. - HUMAN-FAC1]]</f>
        <v>6</v>
      </c>
      <c r="N3">
        <f t="shared" ref="N3:N66" si="7">(M3-1)/9</f>
        <v>0.55555555555555558</v>
      </c>
      <c r="O3">
        <f>step3_validation[[#This Row],[AI_FAC2]]</f>
        <v>8</v>
      </c>
      <c r="P3">
        <f t="shared" ref="P3:P66" si="8">(O3-1)/9</f>
        <v>0.77777777777777779</v>
      </c>
      <c r="Q3">
        <f>survey_responses[[#This Row],[So với trước đây, tôi thấy cách tính thuế và các bậc thuế trong phương án mới đơn giản, dễ hiểu và dễ thực hiện hơn. - HUMAN-FAC2]]</f>
        <v>9</v>
      </c>
      <c r="R3">
        <f t="shared" ref="R3:R66" si="9">(Q3-1)/9</f>
        <v>0.88888888888888884</v>
      </c>
      <c r="S3" s="32">
        <f t="shared" ref="S3:S66" si="10">AVERAGE(L3,P3)</f>
        <v>0.83333333333333326</v>
      </c>
      <c r="T3" s="32">
        <f t="shared" ref="T3:T66" si="11">AVERAGE(N3,R3)</f>
        <v>0.72222222222222221</v>
      </c>
      <c r="U3">
        <f>step3_validation[[#This Row],[AI_TRU1]]</f>
        <v>7</v>
      </c>
      <c r="V3">
        <f t="shared" ref="V3:V66" si="12">(U3-1)/9</f>
        <v>0.66666666666666663</v>
      </c>
      <c r="W3">
        <f>survey_responses[[#This Row],[Tôi tin rằng Nhà nước, cơ quan thuế sẽ thực thi chính sách mới một cách khách quan, công tâm và đối xử bình đẳng với mọi người nộp thuế.  - HUMAN-TRU1]]</f>
        <v>10</v>
      </c>
      <c r="X3">
        <f t="shared" ref="X3:X66" si="13">(W3-1)/9</f>
        <v>1</v>
      </c>
      <c r="Y3">
        <f>step3_validation[[#This Row],[AI_TRU2]]</f>
        <v>5</v>
      </c>
      <c r="Z3">
        <f t="shared" ref="Z3:Z66" si="14">(Y3-1)/9</f>
        <v>0.44444444444444442</v>
      </c>
      <c r="AA3">
        <f>survey_responses[[#This Row],[Tôi thấy mức thuế tôi phải đóng theo phương án mới là công bằng (người thu nhập như tôi đóng mức này là hợp lý). - HUMAN-TRU2]]</f>
        <v>9</v>
      </c>
      <c r="AB3">
        <f t="shared" ref="AB3:AB66" si="15">(AA3-1)/9</f>
        <v>0.88888888888888884</v>
      </c>
      <c r="AC3">
        <f>step3_validation[[#This Row],[AI_TRU3]]</f>
        <v>6</v>
      </c>
      <c r="AD3">
        <f t="shared" ref="AD3:AD66" si="16">(AC3-1)/9</f>
        <v>0.55555555555555558</v>
      </c>
      <c r="AE3">
        <f>survey_responses[[#This Row],[Tôi tin tưởng số tiền thuế tôi đóng sẽ được Nhà nước sử dụng hiệu quả để cải thiện dịch vụ công (y tế, đường xá...). - HUMAN-TRU3]]</f>
        <v>8</v>
      </c>
      <c r="AF3">
        <f t="shared" ref="AF3:AF66" si="17">(AE3-1)/9</f>
        <v>0.77777777777777779</v>
      </c>
      <c r="AG3">
        <f>step3_validation[[#This Row],[AI_TRU4]]</f>
        <v>4</v>
      </c>
      <c r="AH3">
        <f t="shared" ref="AH3:AH66" si="18">(AG3-1)/9</f>
        <v>0.33333333333333331</v>
      </c>
      <c r="AI3">
        <f>survey_responses[[#This Row],[Tôi thấy Nhà nước đã giải thích rõ ràng, minh bạch về lý do và mục tiêu của việc sửa đổi thuế lần này. - HUMAN-TRU4]]</f>
        <v>9</v>
      </c>
      <c r="AJ3">
        <f t="shared" ref="AJ3:AJ66" si="19">(AI3-1)/9</f>
        <v>0.88888888888888884</v>
      </c>
      <c r="AK3" s="32">
        <f t="shared" ref="AK3:AK66" si="20">AVERAGE(V3,Z3,AD3,AH3)</f>
        <v>0.5</v>
      </c>
      <c r="AL3" s="32">
        <f t="shared" ref="AL3:AL66" si="21">AVERAGE(X3,AB3,AF3,AJ3)</f>
        <v>0.88888888888888884</v>
      </c>
      <c r="AM3" s="7">
        <f t="shared" ref="AM3:AM66" si="22">(I3+S3+AK3)/3</f>
        <v>0.68518518518518512</v>
      </c>
      <c r="AN3" s="7">
        <f t="shared" ref="AN3:AN66" si="23">(J3+T3+AL3)/3</f>
        <v>0.79629629629629628</v>
      </c>
      <c r="AO3">
        <f>step3_validation[[#This Row],[AI_OUT1]]</f>
        <v>6</v>
      </c>
      <c r="AP3">
        <f t="shared" ref="AP3:AP66" si="24">(AO3-1)/9</f>
        <v>0.55555555555555558</v>
      </c>
      <c r="AQ3">
        <f>survey_responses[[#This Row],[Sau khi xem xét các quyền lợi và nghĩa vụ, bạn có ủng hộ và tuân thủ chính sách mới hiện nay? - HUMAN-OUT1]]</f>
        <v>10</v>
      </c>
      <c r="AR3">
        <f t="shared" ref="AR3:AR66" si="25">(AQ3-1)/9</f>
        <v>1</v>
      </c>
      <c r="AS3" s="32">
        <f t="shared" ref="AS3:AS66" si="26">ABS(AQ3-AO3)</f>
        <v>4</v>
      </c>
      <c r="AT3">
        <f t="shared" ref="AT3:AT66" si="27">IF(AQ3&gt;=6,1,0)</f>
        <v>1</v>
      </c>
    </row>
    <row r="4" spans="1:46" x14ac:dyDescent="0.45">
      <c r="A4">
        <f>step3_validation[[#This Row],[AI_ENF1]]</f>
        <v>9</v>
      </c>
      <c r="B4">
        <f t="shared" si="0"/>
        <v>0.88888888888888884</v>
      </c>
      <c r="C4">
        <f>survey_responses[[#This Row],[Tôi tin rằng với các quy định quản lý thuế hiện nay, hành vi gian lận hoặc trốn thuế sẽ dễ dàng bị phát hiện và xử lý nghiêm. - HUMAN-ENF1]]</f>
        <v>6</v>
      </c>
      <c r="D4">
        <f t="shared" si="1"/>
        <v>0.55555555555555558</v>
      </c>
      <c r="E4">
        <f>step3_validation[[#This Row],[AI_ENF2]]</f>
        <v>8</v>
      </c>
      <c r="F4">
        <f t="shared" si="2"/>
        <v>0.77777777777777779</v>
      </c>
      <c r="G4">
        <f>survey_responses[[#This Row],[Tôi tin rằng Nhà nước, cơ quan thuế có đủ khả năng và công nghệ để phát hiện, xử lý nghiêm các hành vi trốn thuế. - HUMAN-ENF2]]</f>
        <v>5</v>
      </c>
      <c r="H4">
        <f t="shared" si="3"/>
        <v>0.44444444444444442</v>
      </c>
      <c r="I4" s="32">
        <f t="shared" si="4"/>
        <v>0.83333333333333326</v>
      </c>
      <c r="J4" s="32">
        <f t="shared" si="5"/>
        <v>0.5</v>
      </c>
      <c r="K4">
        <f>step3_validation[[#This Row],[AI_FAC1]]</f>
        <v>6</v>
      </c>
      <c r="L4">
        <f t="shared" si="6"/>
        <v>0.55555555555555558</v>
      </c>
      <c r="M4">
        <f>survey_responses[[#This Row],[Các thủ tục khai báo thuế VÀ/HOẶC quy trình làm việc với cơ quan thuế đơn giản, tiện lợi, nhanh chóng hơn so với trước đây. - HUMAN-FAC1]]</f>
        <v>4</v>
      </c>
      <c r="N4">
        <f t="shared" si="7"/>
        <v>0.33333333333333331</v>
      </c>
      <c r="O4">
        <f>step3_validation[[#This Row],[AI_FAC2]]</f>
        <v>7</v>
      </c>
      <c r="P4">
        <f t="shared" si="8"/>
        <v>0.66666666666666663</v>
      </c>
      <c r="Q4">
        <f>survey_responses[[#This Row],[So với trước đây, tôi thấy cách tính thuế và các bậc thuế trong phương án mới đơn giản, dễ hiểu và dễ thực hiện hơn. - HUMAN-FAC2]]</f>
        <v>5</v>
      </c>
      <c r="R4">
        <f t="shared" si="9"/>
        <v>0.44444444444444442</v>
      </c>
      <c r="S4" s="32">
        <f t="shared" si="10"/>
        <v>0.61111111111111116</v>
      </c>
      <c r="T4" s="32">
        <f t="shared" si="11"/>
        <v>0.38888888888888884</v>
      </c>
      <c r="U4">
        <f>step3_validation[[#This Row],[AI_TRU1]]</f>
        <v>7</v>
      </c>
      <c r="V4">
        <f t="shared" si="12"/>
        <v>0.66666666666666663</v>
      </c>
      <c r="W4">
        <f>survey_responses[[#This Row],[Tôi tin rằng Nhà nước, cơ quan thuế sẽ thực thi chính sách mới một cách khách quan, công tâm và đối xử bình đẳng với mọi người nộp thuế.  - HUMAN-TRU1]]</f>
        <v>4</v>
      </c>
      <c r="X4">
        <f t="shared" si="13"/>
        <v>0.33333333333333331</v>
      </c>
      <c r="Y4">
        <f>step3_validation[[#This Row],[AI_TRU2]]</f>
        <v>6</v>
      </c>
      <c r="Z4">
        <f t="shared" si="14"/>
        <v>0.55555555555555558</v>
      </c>
      <c r="AA4">
        <f>survey_responses[[#This Row],[Tôi thấy mức thuế tôi phải đóng theo phương án mới là công bằng (người thu nhập như tôi đóng mức này là hợp lý). - HUMAN-TRU2]]</f>
        <v>4</v>
      </c>
      <c r="AB4">
        <f t="shared" si="15"/>
        <v>0.33333333333333331</v>
      </c>
      <c r="AC4">
        <f>step3_validation[[#This Row],[AI_TRU3]]</f>
        <v>5</v>
      </c>
      <c r="AD4">
        <f t="shared" si="16"/>
        <v>0.44444444444444442</v>
      </c>
      <c r="AE4">
        <f>survey_responses[[#This Row],[Tôi tin tưởng số tiền thuế tôi đóng sẽ được Nhà nước sử dụng hiệu quả để cải thiện dịch vụ công (y tế, đường xá...). - HUMAN-TRU3]]</f>
        <v>4</v>
      </c>
      <c r="AF4">
        <f t="shared" si="17"/>
        <v>0.33333333333333331</v>
      </c>
      <c r="AG4">
        <f>step3_validation[[#This Row],[AI_TRU4]]</f>
        <v>4</v>
      </c>
      <c r="AH4">
        <f t="shared" si="18"/>
        <v>0.33333333333333331</v>
      </c>
      <c r="AI4">
        <f>survey_responses[[#This Row],[Tôi thấy Nhà nước đã giải thích rõ ràng, minh bạch về lý do và mục tiêu của việc sửa đổi thuế lần này. - HUMAN-TRU4]]</f>
        <v>10</v>
      </c>
      <c r="AJ4">
        <f t="shared" si="19"/>
        <v>1</v>
      </c>
      <c r="AK4" s="32">
        <f t="shared" si="20"/>
        <v>0.5</v>
      </c>
      <c r="AL4" s="32">
        <f t="shared" si="21"/>
        <v>0.5</v>
      </c>
      <c r="AM4" s="7">
        <f t="shared" si="22"/>
        <v>0.64814814814814814</v>
      </c>
      <c r="AN4" s="7">
        <f t="shared" si="23"/>
        <v>0.46296296296296297</v>
      </c>
      <c r="AO4">
        <f>step3_validation[[#This Row],[AI_OUT1]]</f>
        <v>5</v>
      </c>
      <c r="AP4">
        <f t="shared" si="24"/>
        <v>0.44444444444444442</v>
      </c>
      <c r="AQ4">
        <f>survey_responses[[#This Row],[Sau khi xem xét các quyền lợi và nghĩa vụ, bạn có ủng hộ và tuân thủ chính sách mới hiện nay? - HUMAN-OUT1]]</f>
        <v>4</v>
      </c>
      <c r="AR4">
        <f t="shared" si="25"/>
        <v>0.33333333333333331</v>
      </c>
      <c r="AS4" s="32">
        <f t="shared" si="26"/>
        <v>1</v>
      </c>
      <c r="AT4">
        <f t="shared" si="27"/>
        <v>0</v>
      </c>
    </row>
    <row r="5" spans="1:46" x14ac:dyDescent="0.45">
      <c r="A5">
        <f>step3_validation[[#This Row],[AI_ENF1]]</f>
        <v>7</v>
      </c>
      <c r="B5">
        <f t="shared" si="0"/>
        <v>0.66666666666666663</v>
      </c>
      <c r="C5">
        <f>survey_responses[[#This Row],[Tôi tin rằng với các quy định quản lý thuế hiện nay, hành vi gian lận hoặc trốn thuế sẽ dễ dàng bị phát hiện và xử lý nghiêm. - HUMAN-ENF1]]</f>
        <v>10</v>
      </c>
      <c r="D5">
        <f t="shared" si="1"/>
        <v>1</v>
      </c>
      <c r="E5">
        <f>step3_validation[[#This Row],[AI_ENF2]]</f>
        <v>6</v>
      </c>
      <c r="F5">
        <f t="shared" si="2"/>
        <v>0.55555555555555558</v>
      </c>
      <c r="G5">
        <f>survey_responses[[#This Row],[Tôi tin rằng Nhà nước, cơ quan thuế có đủ khả năng và công nghệ để phát hiện, xử lý nghiêm các hành vi trốn thuế. - HUMAN-ENF2]]</f>
        <v>10</v>
      </c>
      <c r="H5">
        <f t="shared" si="3"/>
        <v>1</v>
      </c>
      <c r="I5" s="32">
        <f t="shared" si="4"/>
        <v>0.61111111111111116</v>
      </c>
      <c r="J5" s="32">
        <f t="shared" si="5"/>
        <v>1</v>
      </c>
      <c r="K5">
        <f>step3_validation[[#This Row],[AI_FAC1]]</f>
        <v>8</v>
      </c>
      <c r="L5">
        <f t="shared" si="6"/>
        <v>0.77777777777777779</v>
      </c>
      <c r="M5">
        <f>survey_responses[[#This Row],[Các thủ tục khai báo thuế VÀ/HOẶC quy trình làm việc với cơ quan thuế đơn giản, tiện lợi, nhanh chóng hơn so với trước đây. - HUMAN-FAC1]]</f>
        <v>8</v>
      </c>
      <c r="N5">
        <f t="shared" si="7"/>
        <v>0.77777777777777779</v>
      </c>
      <c r="O5">
        <f>step3_validation[[#This Row],[AI_FAC2]]</f>
        <v>9</v>
      </c>
      <c r="P5">
        <f t="shared" si="8"/>
        <v>0.88888888888888884</v>
      </c>
      <c r="Q5">
        <f>survey_responses[[#This Row],[So với trước đây, tôi thấy cách tính thuế và các bậc thuế trong phương án mới đơn giản, dễ hiểu và dễ thực hiện hơn. - HUMAN-FAC2]]</f>
        <v>9</v>
      </c>
      <c r="R5">
        <f t="shared" si="9"/>
        <v>0.88888888888888884</v>
      </c>
      <c r="S5" s="32">
        <f t="shared" si="10"/>
        <v>0.83333333333333326</v>
      </c>
      <c r="T5" s="32">
        <f t="shared" si="11"/>
        <v>0.83333333333333326</v>
      </c>
      <c r="U5">
        <f>step3_validation[[#This Row],[AI_TRU1]]</f>
        <v>8</v>
      </c>
      <c r="V5">
        <f t="shared" si="12"/>
        <v>0.77777777777777779</v>
      </c>
      <c r="W5">
        <f>survey_responses[[#This Row],[Tôi tin rằng Nhà nước, cơ quan thuế sẽ thực thi chính sách mới một cách khách quan, công tâm và đối xử bình đẳng với mọi người nộp thuế.  - HUMAN-TRU1]]</f>
        <v>9</v>
      </c>
      <c r="X5">
        <f t="shared" si="13"/>
        <v>0.88888888888888884</v>
      </c>
      <c r="Y5">
        <f>step3_validation[[#This Row],[AI_TRU2]]</f>
        <v>7</v>
      </c>
      <c r="Z5">
        <f t="shared" si="14"/>
        <v>0.66666666666666663</v>
      </c>
      <c r="AA5">
        <f>survey_responses[[#This Row],[Tôi thấy mức thuế tôi phải đóng theo phương án mới là công bằng (người thu nhập như tôi đóng mức này là hợp lý). - HUMAN-TRU2]]</f>
        <v>7</v>
      </c>
      <c r="AB5">
        <f t="shared" si="15"/>
        <v>0.66666666666666663</v>
      </c>
      <c r="AC5">
        <f>step3_validation[[#This Row],[AI_TRU3]]</f>
        <v>7</v>
      </c>
      <c r="AD5">
        <f t="shared" si="16"/>
        <v>0.66666666666666663</v>
      </c>
      <c r="AE5">
        <f>survey_responses[[#This Row],[Tôi tin tưởng số tiền thuế tôi đóng sẽ được Nhà nước sử dụng hiệu quả để cải thiện dịch vụ công (y tế, đường xá...). - HUMAN-TRU3]]</f>
        <v>10</v>
      </c>
      <c r="AF5">
        <f t="shared" si="17"/>
        <v>1</v>
      </c>
      <c r="AG5">
        <f>step3_validation[[#This Row],[AI_TRU4]]</f>
        <v>6</v>
      </c>
      <c r="AH5">
        <f t="shared" si="18"/>
        <v>0.55555555555555558</v>
      </c>
      <c r="AI5">
        <f>survey_responses[[#This Row],[Tôi thấy Nhà nước đã giải thích rõ ràng, minh bạch về lý do và mục tiêu của việc sửa đổi thuế lần này. - HUMAN-TRU4]]</f>
        <v>7</v>
      </c>
      <c r="AJ5">
        <f t="shared" si="19"/>
        <v>0.66666666666666663</v>
      </c>
      <c r="AK5" s="32">
        <f t="shared" si="20"/>
        <v>0.66666666666666674</v>
      </c>
      <c r="AL5" s="32">
        <f t="shared" si="21"/>
        <v>0.80555555555555547</v>
      </c>
      <c r="AM5" s="7">
        <f t="shared" si="22"/>
        <v>0.70370370370370372</v>
      </c>
      <c r="AN5" s="7">
        <f t="shared" si="23"/>
        <v>0.87962962962962965</v>
      </c>
      <c r="AO5">
        <f>step3_validation[[#This Row],[AI_OUT1]]</f>
        <v>8</v>
      </c>
      <c r="AP5">
        <f t="shared" si="24"/>
        <v>0.77777777777777779</v>
      </c>
      <c r="AQ5">
        <f>survey_responses[[#This Row],[Sau khi xem xét các quyền lợi và nghĩa vụ, bạn có ủng hộ và tuân thủ chính sách mới hiện nay? - HUMAN-OUT1]]</f>
        <v>10</v>
      </c>
      <c r="AR5">
        <f t="shared" si="25"/>
        <v>1</v>
      </c>
      <c r="AS5" s="32">
        <f t="shared" si="26"/>
        <v>2</v>
      </c>
      <c r="AT5">
        <f t="shared" si="27"/>
        <v>1</v>
      </c>
    </row>
    <row r="6" spans="1:46" x14ac:dyDescent="0.45">
      <c r="A6">
        <f>step3_validation[[#This Row],[AI_ENF1]]</f>
        <v>7</v>
      </c>
      <c r="B6">
        <f t="shared" si="0"/>
        <v>0.66666666666666663</v>
      </c>
      <c r="C6">
        <f>survey_responses[[#This Row],[Tôi tin rằng với các quy định quản lý thuế hiện nay, hành vi gian lận hoặc trốn thuế sẽ dễ dàng bị phát hiện và xử lý nghiêm. - HUMAN-ENF1]]</f>
        <v>9</v>
      </c>
      <c r="D6">
        <f t="shared" si="1"/>
        <v>0.88888888888888884</v>
      </c>
      <c r="E6">
        <f>step3_validation[[#This Row],[AI_ENF2]]</f>
        <v>7</v>
      </c>
      <c r="F6">
        <f t="shared" si="2"/>
        <v>0.66666666666666663</v>
      </c>
      <c r="G6">
        <f>survey_responses[[#This Row],[Tôi tin rằng Nhà nước, cơ quan thuế có đủ khả năng và công nghệ để phát hiện, xử lý nghiêm các hành vi trốn thuế. - HUMAN-ENF2]]</f>
        <v>9</v>
      </c>
      <c r="H6">
        <f t="shared" si="3"/>
        <v>0.88888888888888884</v>
      </c>
      <c r="I6" s="32">
        <f t="shared" si="4"/>
        <v>0.66666666666666663</v>
      </c>
      <c r="J6" s="32">
        <f t="shared" si="5"/>
        <v>0.88888888888888884</v>
      </c>
      <c r="K6">
        <f>step3_validation[[#This Row],[AI_FAC1]]</f>
        <v>6</v>
      </c>
      <c r="L6">
        <f t="shared" si="6"/>
        <v>0.55555555555555558</v>
      </c>
      <c r="M6">
        <f>survey_responses[[#This Row],[Các thủ tục khai báo thuế VÀ/HOẶC quy trình làm việc với cơ quan thuế đơn giản, tiện lợi, nhanh chóng hơn so với trước đây. - HUMAN-FAC1]]</f>
        <v>10</v>
      </c>
      <c r="N6">
        <f t="shared" si="7"/>
        <v>1</v>
      </c>
      <c r="O6">
        <f>step3_validation[[#This Row],[AI_FAC2]]</f>
        <v>8</v>
      </c>
      <c r="P6">
        <f t="shared" si="8"/>
        <v>0.77777777777777779</v>
      </c>
      <c r="Q6">
        <f>survey_responses[[#This Row],[So với trước đây, tôi thấy cách tính thuế và các bậc thuế trong phương án mới đơn giản, dễ hiểu và dễ thực hiện hơn. - HUMAN-FAC2]]</f>
        <v>9</v>
      </c>
      <c r="R6">
        <f t="shared" si="9"/>
        <v>0.88888888888888884</v>
      </c>
      <c r="S6" s="32">
        <f t="shared" si="10"/>
        <v>0.66666666666666674</v>
      </c>
      <c r="T6" s="32">
        <f t="shared" si="11"/>
        <v>0.94444444444444442</v>
      </c>
      <c r="U6">
        <f>step3_validation[[#This Row],[AI_TRU1]]</f>
        <v>6</v>
      </c>
      <c r="V6">
        <f t="shared" si="12"/>
        <v>0.55555555555555558</v>
      </c>
      <c r="W6">
        <f>survey_responses[[#This Row],[Tôi tin rằng Nhà nước, cơ quan thuế sẽ thực thi chính sách mới một cách khách quan, công tâm và đối xử bình đẳng với mọi người nộp thuế.  - HUMAN-TRU1]]</f>
        <v>9</v>
      </c>
      <c r="X6">
        <f t="shared" si="13"/>
        <v>0.88888888888888884</v>
      </c>
      <c r="Y6">
        <f>step3_validation[[#This Row],[AI_TRU2]]</f>
        <v>7</v>
      </c>
      <c r="Z6">
        <f t="shared" si="14"/>
        <v>0.66666666666666663</v>
      </c>
      <c r="AA6">
        <f>survey_responses[[#This Row],[Tôi thấy mức thuế tôi phải đóng theo phương án mới là công bằng (người thu nhập như tôi đóng mức này là hợp lý). - HUMAN-TRU2]]</f>
        <v>9</v>
      </c>
      <c r="AB6">
        <f t="shared" si="15"/>
        <v>0.88888888888888884</v>
      </c>
      <c r="AC6">
        <f>step3_validation[[#This Row],[AI_TRU3]]</f>
        <v>6</v>
      </c>
      <c r="AD6">
        <f t="shared" si="16"/>
        <v>0.55555555555555558</v>
      </c>
      <c r="AE6">
        <f>survey_responses[[#This Row],[Tôi tin tưởng số tiền thuế tôi đóng sẽ được Nhà nước sử dụng hiệu quả để cải thiện dịch vụ công (y tế, đường xá...). - HUMAN-TRU3]]</f>
        <v>9</v>
      </c>
      <c r="AF6">
        <f t="shared" si="17"/>
        <v>0.88888888888888884</v>
      </c>
      <c r="AG6">
        <f>step3_validation[[#This Row],[AI_TRU4]]</f>
        <v>5</v>
      </c>
      <c r="AH6">
        <f t="shared" si="18"/>
        <v>0.44444444444444442</v>
      </c>
      <c r="AI6">
        <f>survey_responses[[#This Row],[Tôi thấy Nhà nước đã giải thích rõ ràng, minh bạch về lý do và mục tiêu của việc sửa đổi thuế lần này. - HUMAN-TRU4]]</f>
        <v>9</v>
      </c>
      <c r="AJ6">
        <f t="shared" si="19"/>
        <v>0.88888888888888884</v>
      </c>
      <c r="AK6" s="32">
        <f t="shared" si="20"/>
        <v>0.55555555555555558</v>
      </c>
      <c r="AL6" s="32">
        <f t="shared" si="21"/>
        <v>0.88888888888888884</v>
      </c>
      <c r="AM6" s="7">
        <f t="shared" si="22"/>
        <v>0.62962962962962965</v>
      </c>
      <c r="AN6" s="7">
        <f t="shared" si="23"/>
        <v>0.90740740740740744</v>
      </c>
      <c r="AO6">
        <f>step3_validation[[#This Row],[AI_OUT1]]</f>
        <v>6</v>
      </c>
      <c r="AP6">
        <f t="shared" si="24"/>
        <v>0.55555555555555558</v>
      </c>
      <c r="AQ6">
        <f>survey_responses[[#This Row],[Sau khi xem xét các quyền lợi và nghĩa vụ, bạn có ủng hộ và tuân thủ chính sách mới hiện nay? - HUMAN-OUT1]]</f>
        <v>9</v>
      </c>
      <c r="AR6">
        <f t="shared" si="25"/>
        <v>0.88888888888888884</v>
      </c>
      <c r="AS6" s="32">
        <f t="shared" si="26"/>
        <v>3</v>
      </c>
      <c r="AT6">
        <f t="shared" si="27"/>
        <v>1</v>
      </c>
    </row>
    <row r="7" spans="1:46" x14ac:dyDescent="0.45">
      <c r="A7">
        <f>step3_validation[[#This Row],[AI_ENF1]]</f>
        <v>6</v>
      </c>
      <c r="B7">
        <f t="shared" si="0"/>
        <v>0.55555555555555558</v>
      </c>
      <c r="C7">
        <f>survey_responses[[#This Row],[Tôi tin rằng với các quy định quản lý thuế hiện nay, hành vi gian lận hoặc trốn thuế sẽ dễ dàng bị phát hiện và xử lý nghiêm. - HUMAN-ENF1]]</f>
        <v>8</v>
      </c>
      <c r="D7">
        <f t="shared" si="1"/>
        <v>0.77777777777777779</v>
      </c>
      <c r="E7">
        <f>step3_validation[[#This Row],[AI_ENF2]]</f>
        <v>5</v>
      </c>
      <c r="F7">
        <f t="shared" si="2"/>
        <v>0.44444444444444442</v>
      </c>
      <c r="G7">
        <f>survey_responses[[#This Row],[Tôi tin rằng Nhà nước, cơ quan thuế có đủ khả năng và công nghệ để phát hiện, xử lý nghiêm các hành vi trốn thuế. - HUMAN-ENF2]]</f>
        <v>8</v>
      </c>
      <c r="H7">
        <f t="shared" si="3"/>
        <v>0.77777777777777779</v>
      </c>
      <c r="I7" s="32">
        <f t="shared" si="4"/>
        <v>0.5</v>
      </c>
      <c r="J7" s="32">
        <f t="shared" si="5"/>
        <v>0.77777777777777779</v>
      </c>
      <c r="K7">
        <f>step3_validation[[#This Row],[AI_FAC1]]</f>
        <v>7</v>
      </c>
      <c r="L7">
        <f t="shared" si="6"/>
        <v>0.66666666666666663</v>
      </c>
      <c r="M7">
        <f>survey_responses[[#This Row],[Các thủ tục khai báo thuế VÀ/HOẶC quy trình làm việc với cơ quan thuế đơn giản, tiện lợi, nhanh chóng hơn so với trước đây. - HUMAN-FAC1]]</f>
        <v>5</v>
      </c>
      <c r="N7">
        <f t="shared" si="7"/>
        <v>0.44444444444444442</v>
      </c>
      <c r="O7">
        <f>step3_validation[[#This Row],[AI_FAC2]]</f>
        <v>8</v>
      </c>
      <c r="P7">
        <f t="shared" si="8"/>
        <v>0.77777777777777779</v>
      </c>
      <c r="Q7">
        <f>survey_responses[[#This Row],[So với trước đây, tôi thấy cách tính thuế và các bậc thuế trong phương án mới đơn giản, dễ hiểu và dễ thực hiện hơn. - HUMAN-FAC2]]</f>
        <v>8</v>
      </c>
      <c r="R7">
        <f t="shared" si="9"/>
        <v>0.77777777777777779</v>
      </c>
      <c r="S7" s="32">
        <f t="shared" si="10"/>
        <v>0.72222222222222221</v>
      </c>
      <c r="T7" s="32">
        <f t="shared" si="11"/>
        <v>0.61111111111111116</v>
      </c>
      <c r="U7">
        <f>step3_validation[[#This Row],[AI_TRU1]]</f>
        <v>7</v>
      </c>
      <c r="V7">
        <f t="shared" si="12"/>
        <v>0.66666666666666663</v>
      </c>
      <c r="W7">
        <f>survey_responses[[#This Row],[Tôi tin rằng Nhà nước, cơ quan thuế sẽ thực thi chính sách mới một cách khách quan, công tâm và đối xử bình đẳng với mọi người nộp thuế.  - HUMAN-TRU1]]</f>
        <v>6</v>
      </c>
      <c r="X7">
        <f t="shared" si="13"/>
        <v>0.55555555555555558</v>
      </c>
      <c r="Y7">
        <f>step3_validation[[#This Row],[AI_TRU2]]</f>
        <v>8</v>
      </c>
      <c r="Z7">
        <f t="shared" si="14"/>
        <v>0.77777777777777779</v>
      </c>
      <c r="AA7">
        <f>survey_responses[[#This Row],[Tôi thấy mức thuế tôi phải đóng theo phương án mới là công bằng (người thu nhập như tôi đóng mức này là hợp lý). - HUMAN-TRU2]]</f>
        <v>6</v>
      </c>
      <c r="AB7">
        <f t="shared" si="15"/>
        <v>0.55555555555555558</v>
      </c>
      <c r="AC7">
        <f>step3_validation[[#This Row],[AI_TRU3]]</f>
        <v>6</v>
      </c>
      <c r="AD7">
        <f t="shared" si="16"/>
        <v>0.55555555555555558</v>
      </c>
      <c r="AE7">
        <f>survey_responses[[#This Row],[Tôi tin tưởng số tiền thuế tôi đóng sẽ được Nhà nước sử dụng hiệu quả để cải thiện dịch vụ công (y tế, đường xá...). - HUMAN-TRU3]]</f>
        <v>4</v>
      </c>
      <c r="AF7">
        <f t="shared" si="17"/>
        <v>0.33333333333333331</v>
      </c>
      <c r="AG7">
        <f>step3_validation[[#This Row],[AI_TRU4]]</f>
        <v>5</v>
      </c>
      <c r="AH7">
        <f t="shared" si="18"/>
        <v>0.44444444444444442</v>
      </c>
      <c r="AI7">
        <f>survey_responses[[#This Row],[Tôi thấy Nhà nước đã giải thích rõ ràng, minh bạch về lý do và mục tiêu của việc sửa đổi thuế lần này. - HUMAN-TRU4]]</f>
        <v>5</v>
      </c>
      <c r="AJ7">
        <f t="shared" si="19"/>
        <v>0.44444444444444442</v>
      </c>
      <c r="AK7" s="32">
        <f t="shared" si="20"/>
        <v>0.61111111111111116</v>
      </c>
      <c r="AL7" s="32">
        <f t="shared" si="21"/>
        <v>0.47222222222222221</v>
      </c>
      <c r="AM7" s="7">
        <f t="shared" si="22"/>
        <v>0.61111111111111116</v>
      </c>
      <c r="AN7" s="7">
        <f t="shared" si="23"/>
        <v>0.62037037037037035</v>
      </c>
      <c r="AO7">
        <f>step3_validation[[#This Row],[AI_OUT1]]</f>
        <v>7</v>
      </c>
      <c r="AP7">
        <f t="shared" si="24"/>
        <v>0.66666666666666663</v>
      </c>
      <c r="AQ7">
        <f>survey_responses[[#This Row],[Sau khi xem xét các quyền lợi và nghĩa vụ, bạn có ủng hộ và tuân thủ chính sách mới hiện nay? - HUMAN-OUT1]]</f>
        <v>6</v>
      </c>
      <c r="AR7">
        <f t="shared" si="25"/>
        <v>0.55555555555555558</v>
      </c>
      <c r="AS7" s="32">
        <f t="shared" si="26"/>
        <v>1</v>
      </c>
      <c r="AT7">
        <f t="shared" si="27"/>
        <v>1</v>
      </c>
    </row>
    <row r="8" spans="1:46" x14ac:dyDescent="0.45">
      <c r="A8">
        <f>step3_validation[[#This Row],[AI_ENF1]]</f>
        <v>7</v>
      </c>
      <c r="B8">
        <f t="shared" si="0"/>
        <v>0.66666666666666663</v>
      </c>
      <c r="C8">
        <f>survey_responses[[#This Row],[Tôi tin rằng với các quy định quản lý thuế hiện nay, hành vi gian lận hoặc trốn thuế sẽ dễ dàng bị phát hiện và xử lý nghiêm. - HUMAN-ENF1]]</f>
        <v>5</v>
      </c>
      <c r="D8">
        <f t="shared" si="1"/>
        <v>0.44444444444444442</v>
      </c>
      <c r="E8">
        <f>step3_validation[[#This Row],[AI_ENF2]]</f>
        <v>8</v>
      </c>
      <c r="F8">
        <f t="shared" si="2"/>
        <v>0.77777777777777779</v>
      </c>
      <c r="G8">
        <f>survey_responses[[#This Row],[Tôi tin rằng Nhà nước, cơ quan thuế có đủ khả năng và công nghệ để phát hiện, xử lý nghiêm các hành vi trốn thuế. - HUMAN-ENF2]]</f>
        <v>4</v>
      </c>
      <c r="H8">
        <f t="shared" si="3"/>
        <v>0.33333333333333331</v>
      </c>
      <c r="I8" s="32">
        <f t="shared" si="4"/>
        <v>0.72222222222222221</v>
      </c>
      <c r="J8" s="32">
        <f t="shared" si="5"/>
        <v>0.38888888888888884</v>
      </c>
      <c r="K8">
        <f>step3_validation[[#This Row],[AI_FAC1]]</f>
        <v>9</v>
      </c>
      <c r="L8">
        <f t="shared" si="6"/>
        <v>0.88888888888888884</v>
      </c>
      <c r="M8">
        <f>survey_responses[[#This Row],[Các thủ tục khai báo thuế VÀ/HOẶC quy trình làm việc với cơ quan thuế đơn giản, tiện lợi, nhanh chóng hơn so với trước đây. - HUMAN-FAC1]]</f>
        <v>4</v>
      </c>
      <c r="N8">
        <f t="shared" si="7"/>
        <v>0.33333333333333331</v>
      </c>
      <c r="O8">
        <f>step3_validation[[#This Row],[AI_FAC2]]</f>
        <v>8</v>
      </c>
      <c r="P8">
        <f t="shared" si="8"/>
        <v>0.77777777777777779</v>
      </c>
      <c r="Q8">
        <f>survey_responses[[#This Row],[So với trước đây, tôi thấy cách tính thuế và các bậc thuế trong phương án mới đơn giản, dễ hiểu và dễ thực hiện hơn. - HUMAN-FAC2]]</f>
        <v>6</v>
      </c>
      <c r="R8">
        <f t="shared" si="9"/>
        <v>0.55555555555555558</v>
      </c>
      <c r="S8" s="32">
        <f t="shared" si="10"/>
        <v>0.83333333333333326</v>
      </c>
      <c r="T8" s="32">
        <f t="shared" si="11"/>
        <v>0.44444444444444442</v>
      </c>
      <c r="U8">
        <f>step3_validation[[#This Row],[AI_TRU1]]</f>
        <v>7</v>
      </c>
      <c r="V8">
        <f t="shared" si="12"/>
        <v>0.66666666666666663</v>
      </c>
      <c r="W8">
        <f>survey_responses[[#This Row],[Tôi tin rằng Nhà nước, cơ quan thuế sẽ thực thi chính sách mới một cách khách quan, công tâm và đối xử bình đẳng với mọi người nộp thuế.  - HUMAN-TRU1]]</f>
        <v>6</v>
      </c>
      <c r="X8">
        <f t="shared" si="13"/>
        <v>0.55555555555555558</v>
      </c>
      <c r="Y8">
        <f>step3_validation[[#This Row],[AI_TRU2]]</f>
        <v>9</v>
      </c>
      <c r="Z8">
        <f t="shared" si="14"/>
        <v>0.88888888888888884</v>
      </c>
      <c r="AA8">
        <f>survey_responses[[#This Row],[Tôi thấy mức thuế tôi phải đóng theo phương án mới là công bằng (người thu nhập như tôi đóng mức này là hợp lý). - HUMAN-TRU2]]</f>
        <v>7</v>
      </c>
      <c r="AB8">
        <f t="shared" si="15"/>
        <v>0.66666666666666663</v>
      </c>
      <c r="AC8">
        <f>step3_validation[[#This Row],[AI_TRU3]]</f>
        <v>6</v>
      </c>
      <c r="AD8">
        <f t="shared" si="16"/>
        <v>0.55555555555555558</v>
      </c>
      <c r="AE8">
        <f>survey_responses[[#This Row],[Tôi tin tưởng số tiền thuế tôi đóng sẽ được Nhà nước sử dụng hiệu quả để cải thiện dịch vụ công (y tế, đường xá...). - HUMAN-TRU3]]</f>
        <v>2</v>
      </c>
      <c r="AF8">
        <f t="shared" si="17"/>
        <v>0.1111111111111111</v>
      </c>
      <c r="AG8">
        <f>step3_validation[[#This Row],[AI_TRU4]]</f>
        <v>8</v>
      </c>
      <c r="AH8">
        <f t="shared" si="18"/>
        <v>0.77777777777777779</v>
      </c>
      <c r="AI8">
        <f>survey_responses[[#This Row],[Tôi thấy Nhà nước đã giải thích rõ ràng, minh bạch về lý do và mục tiêu của việc sửa đổi thuế lần này. - HUMAN-TRU4]]</f>
        <v>4</v>
      </c>
      <c r="AJ8">
        <f t="shared" si="19"/>
        <v>0.33333333333333331</v>
      </c>
      <c r="AK8" s="32">
        <f t="shared" si="20"/>
        <v>0.7222222222222221</v>
      </c>
      <c r="AL8" s="32">
        <f t="shared" si="21"/>
        <v>0.41666666666666669</v>
      </c>
      <c r="AM8" s="7">
        <f t="shared" si="22"/>
        <v>0.75925925925925919</v>
      </c>
      <c r="AN8" s="7">
        <f t="shared" si="23"/>
        <v>0.41666666666666669</v>
      </c>
      <c r="AO8">
        <f>step3_validation[[#This Row],[AI_OUT1]]</f>
        <v>9</v>
      </c>
      <c r="AP8">
        <f t="shared" si="24"/>
        <v>0.88888888888888884</v>
      </c>
      <c r="AQ8">
        <f>survey_responses[[#This Row],[Sau khi xem xét các quyền lợi và nghĩa vụ, bạn có ủng hộ và tuân thủ chính sách mới hiện nay? - HUMAN-OUT1]]</f>
        <v>4</v>
      </c>
      <c r="AR8">
        <f t="shared" si="25"/>
        <v>0.33333333333333331</v>
      </c>
      <c r="AS8" s="32">
        <f t="shared" si="26"/>
        <v>5</v>
      </c>
      <c r="AT8">
        <f t="shared" si="27"/>
        <v>0</v>
      </c>
    </row>
    <row r="9" spans="1:46" x14ac:dyDescent="0.45">
      <c r="A9">
        <f>step3_validation[[#This Row],[AI_ENF1]]</f>
        <v>9</v>
      </c>
      <c r="B9">
        <f t="shared" si="0"/>
        <v>0.88888888888888884</v>
      </c>
      <c r="C9">
        <f>survey_responses[[#This Row],[Tôi tin rằng với các quy định quản lý thuế hiện nay, hành vi gian lận hoặc trốn thuế sẽ dễ dàng bị phát hiện và xử lý nghiêm. - HUMAN-ENF1]]</f>
        <v>1</v>
      </c>
      <c r="D9">
        <f t="shared" si="1"/>
        <v>0</v>
      </c>
      <c r="E9">
        <f>step3_validation[[#This Row],[AI_ENF2]]</f>
        <v>8</v>
      </c>
      <c r="F9">
        <f t="shared" si="2"/>
        <v>0.77777777777777779</v>
      </c>
      <c r="G9">
        <f>survey_responses[[#This Row],[Tôi tin rằng Nhà nước, cơ quan thuế có đủ khả năng và công nghệ để phát hiện, xử lý nghiêm các hành vi trốn thuế. - HUMAN-ENF2]]</f>
        <v>1</v>
      </c>
      <c r="H9">
        <f t="shared" si="3"/>
        <v>0</v>
      </c>
      <c r="I9" s="32">
        <f t="shared" si="4"/>
        <v>0.83333333333333326</v>
      </c>
      <c r="J9" s="32">
        <f t="shared" si="5"/>
        <v>0</v>
      </c>
      <c r="K9">
        <f>step3_validation[[#This Row],[AI_FAC1]]</f>
        <v>7</v>
      </c>
      <c r="L9">
        <f t="shared" si="6"/>
        <v>0.66666666666666663</v>
      </c>
      <c r="M9">
        <f>survey_responses[[#This Row],[Các thủ tục khai báo thuế VÀ/HOẶC quy trình làm việc với cơ quan thuế đơn giản, tiện lợi, nhanh chóng hơn so với trước đây. - HUMAN-FAC1]]</f>
        <v>2</v>
      </c>
      <c r="N9">
        <f t="shared" si="7"/>
        <v>0.1111111111111111</v>
      </c>
      <c r="O9">
        <f>step3_validation[[#This Row],[AI_FAC2]]</f>
        <v>8</v>
      </c>
      <c r="P9">
        <f t="shared" si="8"/>
        <v>0.77777777777777779</v>
      </c>
      <c r="Q9">
        <f>survey_responses[[#This Row],[So với trước đây, tôi thấy cách tính thuế và các bậc thuế trong phương án mới đơn giản, dễ hiểu và dễ thực hiện hơn. - HUMAN-FAC2]]</f>
        <v>3</v>
      </c>
      <c r="R9">
        <f t="shared" si="9"/>
        <v>0.22222222222222221</v>
      </c>
      <c r="S9" s="32">
        <f t="shared" si="10"/>
        <v>0.72222222222222221</v>
      </c>
      <c r="T9" s="32">
        <f t="shared" si="11"/>
        <v>0.16666666666666666</v>
      </c>
      <c r="U9">
        <f>step3_validation[[#This Row],[AI_TRU1]]</f>
        <v>7</v>
      </c>
      <c r="V9">
        <f t="shared" si="12"/>
        <v>0.66666666666666663</v>
      </c>
      <c r="W9">
        <f>survey_responses[[#This Row],[Tôi tin rằng Nhà nước, cơ quan thuế sẽ thực thi chính sách mới một cách khách quan, công tâm và đối xử bình đẳng với mọi người nộp thuế.  - HUMAN-TRU1]]</f>
        <v>6</v>
      </c>
      <c r="X9">
        <f t="shared" si="13"/>
        <v>0.55555555555555558</v>
      </c>
      <c r="Y9">
        <f>step3_validation[[#This Row],[AI_TRU2]]</f>
        <v>8</v>
      </c>
      <c r="Z9">
        <f t="shared" si="14"/>
        <v>0.77777777777777779</v>
      </c>
      <c r="AA9">
        <f>survey_responses[[#This Row],[Tôi thấy mức thuế tôi phải đóng theo phương án mới là công bằng (người thu nhập như tôi đóng mức này là hợp lý). - HUMAN-TRU2]]</f>
        <v>2</v>
      </c>
      <c r="AB9">
        <f t="shared" si="15"/>
        <v>0.1111111111111111</v>
      </c>
      <c r="AC9">
        <f>step3_validation[[#This Row],[AI_TRU3]]</f>
        <v>7</v>
      </c>
      <c r="AD9">
        <f t="shared" si="16"/>
        <v>0.66666666666666663</v>
      </c>
      <c r="AE9">
        <f>survey_responses[[#This Row],[Tôi tin tưởng số tiền thuế tôi đóng sẽ được Nhà nước sử dụng hiệu quả để cải thiện dịch vụ công (y tế, đường xá...). - HUMAN-TRU3]]</f>
        <v>7</v>
      </c>
      <c r="AF9">
        <f t="shared" si="17"/>
        <v>0.66666666666666663</v>
      </c>
      <c r="AG9">
        <f>step3_validation[[#This Row],[AI_TRU4]]</f>
        <v>8</v>
      </c>
      <c r="AH9">
        <f t="shared" si="18"/>
        <v>0.77777777777777779</v>
      </c>
      <c r="AI9">
        <f>survey_responses[[#This Row],[Tôi thấy Nhà nước đã giải thích rõ ràng, minh bạch về lý do và mục tiêu của việc sửa đổi thuế lần này. - HUMAN-TRU4]]</f>
        <v>3</v>
      </c>
      <c r="AJ9">
        <f t="shared" si="19"/>
        <v>0.22222222222222221</v>
      </c>
      <c r="AK9" s="32">
        <f t="shared" si="20"/>
        <v>0.72222222222222221</v>
      </c>
      <c r="AL9" s="32">
        <f t="shared" si="21"/>
        <v>0.38888888888888895</v>
      </c>
      <c r="AM9" s="7">
        <f t="shared" si="22"/>
        <v>0.75925925925925919</v>
      </c>
      <c r="AN9" s="7">
        <f t="shared" si="23"/>
        <v>0.1851851851851852</v>
      </c>
      <c r="AO9">
        <f>step3_validation[[#This Row],[AI_OUT1]]</f>
        <v>9</v>
      </c>
      <c r="AP9">
        <f t="shared" si="24"/>
        <v>0.88888888888888884</v>
      </c>
      <c r="AQ9">
        <f>survey_responses[[#This Row],[Sau khi xem xét các quyền lợi và nghĩa vụ, bạn có ủng hộ và tuân thủ chính sách mới hiện nay? - HUMAN-OUT1]]</f>
        <v>3</v>
      </c>
      <c r="AR9">
        <f t="shared" si="25"/>
        <v>0.22222222222222221</v>
      </c>
      <c r="AS9" s="32">
        <f t="shared" si="26"/>
        <v>6</v>
      </c>
      <c r="AT9">
        <f t="shared" si="27"/>
        <v>0</v>
      </c>
    </row>
    <row r="10" spans="1:46" x14ac:dyDescent="0.45">
      <c r="A10">
        <f>step3_validation[[#This Row],[AI_ENF1]]</f>
        <v>7</v>
      </c>
      <c r="B10">
        <f t="shared" si="0"/>
        <v>0.66666666666666663</v>
      </c>
      <c r="C10">
        <f>survey_responses[[#This Row],[Tôi tin rằng với các quy định quản lý thuế hiện nay, hành vi gian lận hoặc trốn thuế sẽ dễ dàng bị phát hiện và xử lý nghiêm. - HUMAN-ENF1]]</f>
        <v>10</v>
      </c>
      <c r="D10">
        <f t="shared" si="1"/>
        <v>1</v>
      </c>
      <c r="E10">
        <f>step3_validation[[#This Row],[AI_ENF2]]</f>
        <v>6</v>
      </c>
      <c r="F10">
        <f t="shared" si="2"/>
        <v>0.55555555555555558</v>
      </c>
      <c r="G10">
        <f>survey_responses[[#This Row],[Tôi tin rằng Nhà nước, cơ quan thuế có đủ khả năng và công nghệ để phát hiện, xử lý nghiêm các hành vi trốn thuế. - HUMAN-ENF2]]</f>
        <v>10</v>
      </c>
      <c r="H10">
        <f t="shared" si="3"/>
        <v>1</v>
      </c>
      <c r="I10" s="32">
        <f t="shared" si="4"/>
        <v>0.61111111111111116</v>
      </c>
      <c r="J10" s="32">
        <f t="shared" si="5"/>
        <v>1</v>
      </c>
      <c r="K10">
        <f>step3_validation[[#This Row],[AI_FAC1]]</f>
        <v>8</v>
      </c>
      <c r="L10">
        <f t="shared" si="6"/>
        <v>0.77777777777777779</v>
      </c>
      <c r="M10">
        <f>survey_responses[[#This Row],[Các thủ tục khai báo thuế VÀ/HOẶC quy trình làm việc với cơ quan thuế đơn giản, tiện lợi, nhanh chóng hơn so với trước đây. - HUMAN-FAC1]]</f>
        <v>8</v>
      </c>
      <c r="N10">
        <f t="shared" si="7"/>
        <v>0.77777777777777779</v>
      </c>
      <c r="O10">
        <f>step3_validation[[#This Row],[AI_FAC2]]</f>
        <v>9</v>
      </c>
      <c r="P10">
        <f t="shared" si="8"/>
        <v>0.88888888888888884</v>
      </c>
      <c r="Q10">
        <f>survey_responses[[#This Row],[So với trước đây, tôi thấy cách tính thuế và các bậc thuế trong phương án mới đơn giản, dễ hiểu và dễ thực hiện hơn. - HUMAN-FAC2]]</f>
        <v>7</v>
      </c>
      <c r="R10">
        <f t="shared" si="9"/>
        <v>0.66666666666666663</v>
      </c>
      <c r="S10" s="32">
        <f t="shared" si="10"/>
        <v>0.83333333333333326</v>
      </c>
      <c r="T10" s="32">
        <f t="shared" si="11"/>
        <v>0.72222222222222221</v>
      </c>
      <c r="U10">
        <f>step3_validation[[#This Row],[AI_TRU1]]</f>
        <v>7</v>
      </c>
      <c r="V10">
        <f t="shared" si="12"/>
        <v>0.66666666666666663</v>
      </c>
      <c r="W10">
        <f>survey_responses[[#This Row],[Tôi tin rằng Nhà nước, cơ quan thuế sẽ thực thi chính sách mới một cách khách quan, công tâm và đối xử bình đẳng với mọi người nộp thuế.  - HUMAN-TRU1]]</f>
        <v>7</v>
      </c>
      <c r="X10">
        <f t="shared" si="13"/>
        <v>0.66666666666666663</v>
      </c>
      <c r="Y10">
        <f>step3_validation[[#This Row],[AI_TRU2]]</f>
        <v>6</v>
      </c>
      <c r="Z10">
        <f t="shared" si="14"/>
        <v>0.55555555555555558</v>
      </c>
      <c r="AA10">
        <f>survey_responses[[#This Row],[Tôi thấy mức thuế tôi phải đóng theo phương án mới là công bằng (người thu nhập như tôi đóng mức này là hợp lý). - HUMAN-TRU2]]</f>
        <v>5</v>
      </c>
      <c r="AB10">
        <f t="shared" si="15"/>
        <v>0.44444444444444442</v>
      </c>
      <c r="AC10">
        <f>step3_validation[[#This Row],[AI_TRU3]]</f>
        <v>7</v>
      </c>
      <c r="AD10">
        <f t="shared" si="16"/>
        <v>0.66666666666666663</v>
      </c>
      <c r="AE10">
        <f>survey_responses[[#This Row],[Tôi tin tưởng số tiền thuế tôi đóng sẽ được Nhà nước sử dụng hiệu quả để cải thiện dịch vụ công (y tế, đường xá...). - HUMAN-TRU3]]</f>
        <v>5</v>
      </c>
      <c r="AF10">
        <f t="shared" si="17"/>
        <v>0.44444444444444442</v>
      </c>
      <c r="AG10">
        <f>step3_validation[[#This Row],[AI_TRU4]]</f>
        <v>5</v>
      </c>
      <c r="AH10">
        <f t="shared" si="18"/>
        <v>0.44444444444444442</v>
      </c>
      <c r="AI10">
        <f>survey_responses[[#This Row],[Tôi thấy Nhà nước đã giải thích rõ ràng, minh bạch về lý do và mục tiêu của việc sửa đổi thuế lần này. - HUMAN-TRU4]]</f>
        <v>9</v>
      </c>
      <c r="AJ10">
        <f t="shared" si="19"/>
        <v>0.88888888888888884</v>
      </c>
      <c r="AK10" s="32">
        <f t="shared" si="20"/>
        <v>0.58333333333333326</v>
      </c>
      <c r="AL10" s="32">
        <f t="shared" si="21"/>
        <v>0.61111111111111116</v>
      </c>
      <c r="AM10" s="7">
        <f t="shared" si="22"/>
        <v>0.67592592592592593</v>
      </c>
      <c r="AN10" s="7">
        <f t="shared" si="23"/>
        <v>0.77777777777777779</v>
      </c>
      <c r="AO10">
        <f>step3_validation[[#This Row],[AI_OUT1]]</f>
        <v>6</v>
      </c>
      <c r="AP10">
        <f t="shared" si="24"/>
        <v>0.55555555555555558</v>
      </c>
      <c r="AQ10">
        <f>survey_responses[[#This Row],[Sau khi xem xét các quyền lợi và nghĩa vụ, bạn có ủng hộ và tuân thủ chính sách mới hiện nay? - HUMAN-OUT1]]</f>
        <v>8</v>
      </c>
      <c r="AR10">
        <f t="shared" si="25"/>
        <v>0.77777777777777779</v>
      </c>
      <c r="AS10" s="32">
        <f t="shared" si="26"/>
        <v>2</v>
      </c>
      <c r="AT10">
        <f t="shared" si="27"/>
        <v>1</v>
      </c>
    </row>
    <row r="11" spans="1:46" x14ac:dyDescent="0.45">
      <c r="A11">
        <f>step3_validation[[#This Row],[AI_ENF1]]</f>
        <v>7</v>
      </c>
      <c r="B11">
        <f t="shared" si="0"/>
        <v>0.66666666666666663</v>
      </c>
      <c r="C11">
        <f>survey_responses[[#This Row],[Tôi tin rằng với các quy định quản lý thuế hiện nay, hành vi gian lận hoặc trốn thuế sẽ dễ dàng bị phát hiện và xử lý nghiêm. - HUMAN-ENF1]]</f>
        <v>7</v>
      </c>
      <c r="D11">
        <f t="shared" si="1"/>
        <v>0.66666666666666663</v>
      </c>
      <c r="E11">
        <f>step3_validation[[#This Row],[AI_ENF2]]</f>
        <v>8</v>
      </c>
      <c r="F11">
        <f t="shared" si="2"/>
        <v>0.77777777777777779</v>
      </c>
      <c r="G11">
        <f>survey_responses[[#This Row],[Tôi tin rằng Nhà nước, cơ quan thuế có đủ khả năng và công nghệ để phát hiện, xử lý nghiêm các hành vi trốn thuế. - HUMAN-ENF2]]</f>
        <v>10</v>
      </c>
      <c r="H11">
        <f t="shared" si="3"/>
        <v>1</v>
      </c>
      <c r="I11" s="32">
        <f t="shared" si="4"/>
        <v>0.72222222222222221</v>
      </c>
      <c r="J11" s="32">
        <f t="shared" si="5"/>
        <v>0.83333333333333326</v>
      </c>
      <c r="K11">
        <f>step3_validation[[#This Row],[AI_FAC1]]</f>
        <v>6</v>
      </c>
      <c r="L11">
        <f t="shared" si="6"/>
        <v>0.55555555555555558</v>
      </c>
      <c r="M11">
        <f>survey_responses[[#This Row],[Các thủ tục khai báo thuế VÀ/HOẶC quy trình làm việc với cơ quan thuế đơn giản, tiện lợi, nhanh chóng hơn so với trước đây. - HUMAN-FAC1]]</f>
        <v>1</v>
      </c>
      <c r="N11">
        <f t="shared" si="7"/>
        <v>0</v>
      </c>
      <c r="O11">
        <f>step3_validation[[#This Row],[AI_FAC2]]</f>
        <v>9</v>
      </c>
      <c r="P11">
        <f t="shared" si="8"/>
        <v>0.88888888888888884</v>
      </c>
      <c r="Q11">
        <f>survey_responses[[#This Row],[So với trước đây, tôi thấy cách tính thuế và các bậc thuế trong phương án mới đơn giản, dễ hiểu và dễ thực hiện hơn. - HUMAN-FAC2]]</f>
        <v>5</v>
      </c>
      <c r="R11">
        <f t="shared" si="9"/>
        <v>0.44444444444444442</v>
      </c>
      <c r="S11" s="32">
        <f t="shared" si="10"/>
        <v>0.72222222222222221</v>
      </c>
      <c r="T11" s="32">
        <f t="shared" si="11"/>
        <v>0.22222222222222221</v>
      </c>
      <c r="U11">
        <f>step3_validation[[#This Row],[AI_TRU1]]</f>
        <v>7</v>
      </c>
      <c r="V11">
        <f t="shared" si="12"/>
        <v>0.66666666666666663</v>
      </c>
      <c r="W11">
        <f>survey_responses[[#This Row],[Tôi tin rằng Nhà nước, cơ quan thuế sẽ thực thi chính sách mới một cách khách quan, công tâm và đối xử bình đẳng với mọi người nộp thuế.  - HUMAN-TRU1]]</f>
        <v>8</v>
      </c>
      <c r="X11">
        <f t="shared" si="13"/>
        <v>0.77777777777777779</v>
      </c>
      <c r="Y11">
        <f>step3_validation[[#This Row],[AI_TRU2]]</f>
        <v>6</v>
      </c>
      <c r="Z11">
        <f t="shared" si="14"/>
        <v>0.55555555555555558</v>
      </c>
      <c r="AA11">
        <f>survey_responses[[#This Row],[Tôi thấy mức thuế tôi phải đóng theo phương án mới là công bằng (người thu nhập như tôi đóng mức này là hợp lý). - HUMAN-TRU2]]</f>
        <v>5</v>
      </c>
      <c r="AB11">
        <f t="shared" si="15"/>
        <v>0.44444444444444442</v>
      </c>
      <c r="AC11">
        <f>step3_validation[[#This Row],[AI_TRU3]]</f>
        <v>7</v>
      </c>
      <c r="AD11">
        <f t="shared" si="16"/>
        <v>0.66666666666666663</v>
      </c>
      <c r="AE11">
        <f>survey_responses[[#This Row],[Tôi tin tưởng số tiền thuế tôi đóng sẽ được Nhà nước sử dụng hiệu quả để cải thiện dịch vụ công (y tế, đường xá...). - HUMAN-TRU3]]</f>
        <v>5</v>
      </c>
      <c r="AF11">
        <f t="shared" si="17"/>
        <v>0.44444444444444442</v>
      </c>
      <c r="AG11">
        <f>step3_validation[[#This Row],[AI_TRU4]]</f>
        <v>5</v>
      </c>
      <c r="AH11">
        <f t="shared" si="18"/>
        <v>0.44444444444444442</v>
      </c>
      <c r="AI11">
        <f>survey_responses[[#This Row],[Tôi thấy Nhà nước đã giải thích rõ ràng, minh bạch về lý do và mục tiêu của việc sửa đổi thuế lần này. - HUMAN-TRU4]]</f>
        <v>5</v>
      </c>
      <c r="AJ11">
        <f t="shared" si="19"/>
        <v>0.44444444444444442</v>
      </c>
      <c r="AK11" s="32">
        <f t="shared" si="20"/>
        <v>0.58333333333333326</v>
      </c>
      <c r="AL11" s="32">
        <f t="shared" si="21"/>
        <v>0.52777777777777779</v>
      </c>
      <c r="AM11" s="7">
        <f t="shared" si="22"/>
        <v>0.67592592592592593</v>
      </c>
      <c r="AN11" s="7">
        <f t="shared" si="23"/>
        <v>0.52777777777777768</v>
      </c>
      <c r="AO11">
        <f>step3_validation[[#This Row],[AI_OUT1]]</f>
        <v>7</v>
      </c>
      <c r="AP11">
        <f t="shared" si="24"/>
        <v>0.66666666666666663</v>
      </c>
      <c r="AQ11">
        <f>survey_responses[[#This Row],[Sau khi xem xét các quyền lợi và nghĩa vụ, bạn có ủng hộ và tuân thủ chính sách mới hiện nay? - HUMAN-OUT1]]</f>
        <v>10</v>
      </c>
      <c r="AR11">
        <f t="shared" si="25"/>
        <v>1</v>
      </c>
      <c r="AS11" s="32">
        <f t="shared" si="26"/>
        <v>3</v>
      </c>
      <c r="AT11">
        <f t="shared" si="27"/>
        <v>1</v>
      </c>
    </row>
    <row r="12" spans="1:46" x14ac:dyDescent="0.45">
      <c r="A12">
        <f>step3_validation[[#This Row],[AI_ENF1]]</f>
        <v>7</v>
      </c>
      <c r="B12">
        <f t="shared" si="0"/>
        <v>0.66666666666666663</v>
      </c>
      <c r="C12">
        <f>survey_responses[[#This Row],[Tôi tin rằng với các quy định quản lý thuế hiện nay, hành vi gian lận hoặc trốn thuế sẽ dễ dàng bị phát hiện và xử lý nghiêm. - HUMAN-ENF1]]</f>
        <v>10</v>
      </c>
      <c r="D12">
        <f t="shared" si="1"/>
        <v>1</v>
      </c>
      <c r="E12">
        <f>step3_validation[[#This Row],[AI_ENF2]]</f>
        <v>8</v>
      </c>
      <c r="F12">
        <f t="shared" si="2"/>
        <v>0.77777777777777779</v>
      </c>
      <c r="G12">
        <f>survey_responses[[#This Row],[Tôi tin rằng Nhà nước, cơ quan thuế có đủ khả năng và công nghệ để phát hiện, xử lý nghiêm các hành vi trốn thuế. - HUMAN-ENF2]]</f>
        <v>3</v>
      </c>
      <c r="H12">
        <f t="shared" si="3"/>
        <v>0.22222222222222221</v>
      </c>
      <c r="I12" s="32">
        <f t="shared" si="4"/>
        <v>0.72222222222222221</v>
      </c>
      <c r="J12" s="32">
        <f t="shared" si="5"/>
        <v>0.61111111111111116</v>
      </c>
      <c r="K12">
        <f>step3_validation[[#This Row],[AI_FAC1]]</f>
        <v>8</v>
      </c>
      <c r="L12">
        <f t="shared" si="6"/>
        <v>0.77777777777777779</v>
      </c>
      <c r="M12">
        <f>survey_responses[[#This Row],[Các thủ tục khai báo thuế VÀ/HOẶC quy trình làm việc với cơ quan thuế đơn giản, tiện lợi, nhanh chóng hơn so với trước đây. - HUMAN-FAC1]]</f>
        <v>1</v>
      </c>
      <c r="N12">
        <f t="shared" si="7"/>
        <v>0</v>
      </c>
      <c r="O12">
        <f>step3_validation[[#This Row],[AI_FAC2]]</f>
        <v>6</v>
      </c>
      <c r="P12">
        <f t="shared" si="8"/>
        <v>0.55555555555555558</v>
      </c>
      <c r="Q12">
        <f>survey_responses[[#This Row],[So với trước đây, tôi thấy cách tính thuế và các bậc thuế trong phương án mới đơn giản, dễ hiểu và dễ thực hiện hơn. - HUMAN-FAC2]]</f>
        <v>7</v>
      </c>
      <c r="R12">
        <f t="shared" si="9"/>
        <v>0.66666666666666663</v>
      </c>
      <c r="S12" s="32">
        <f t="shared" si="10"/>
        <v>0.66666666666666674</v>
      </c>
      <c r="T12" s="32">
        <f t="shared" si="11"/>
        <v>0.33333333333333331</v>
      </c>
      <c r="U12">
        <f>step3_validation[[#This Row],[AI_TRU1]]</f>
        <v>7</v>
      </c>
      <c r="V12">
        <f t="shared" si="12"/>
        <v>0.66666666666666663</v>
      </c>
      <c r="W12">
        <f>survey_responses[[#This Row],[Tôi tin rằng Nhà nước, cơ quan thuế sẽ thực thi chính sách mới một cách khách quan, công tâm và đối xử bình đẳng với mọi người nộp thuế.  - HUMAN-TRU1]]</f>
        <v>1</v>
      </c>
      <c r="X12">
        <f t="shared" si="13"/>
        <v>0</v>
      </c>
      <c r="Y12">
        <f>step3_validation[[#This Row],[AI_TRU2]]</f>
        <v>8</v>
      </c>
      <c r="Z12">
        <f t="shared" si="14"/>
        <v>0.77777777777777779</v>
      </c>
      <c r="AA12">
        <f>survey_responses[[#This Row],[Tôi thấy mức thuế tôi phải đóng theo phương án mới là công bằng (người thu nhập như tôi đóng mức này là hợp lý). - HUMAN-TRU2]]</f>
        <v>5</v>
      </c>
      <c r="AB12">
        <f t="shared" si="15"/>
        <v>0.44444444444444442</v>
      </c>
      <c r="AC12">
        <f>step3_validation[[#This Row],[AI_TRU3]]</f>
        <v>7</v>
      </c>
      <c r="AD12">
        <f t="shared" si="16"/>
        <v>0.66666666666666663</v>
      </c>
      <c r="AE12">
        <f>survey_responses[[#This Row],[Tôi tin tưởng số tiền thuế tôi đóng sẽ được Nhà nước sử dụng hiệu quả để cải thiện dịch vụ công (y tế, đường xá...). - HUMAN-TRU3]]</f>
        <v>1</v>
      </c>
      <c r="AF12">
        <f t="shared" si="17"/>
        <v>0</v>
      </c>
      <c r="AG12">
        <f>step3_validation[[#This Row],[AI_TRU4]]</f>
        <v>6</v>
      </c>
      <c r="AH12">
        <f t="shared" si="18"/>
        <v>0.55555555555555558</v>
      </c>
      <c r="AI12">
        <f>survey_responses[[#This Row],[Tôi thấy Nhà nước đã giải thích rõ ràng, minh bạch về lý do và mục tiêu của việc sửa đổi thuế lần này. - HUMAN-TRU4]]</f>
        <v>8</v>
      </c>
      <c r="AJ12">
        <f t="shared" si="19"/>
        <v>0.77777777777777779</v>
      </c>
      <c r="AK12" s="32">
        <f t="shared" si="20"/>
        <v>0.66666666666666674</v>
      </c>
      <c r="AL12" s="32">
        <f t="shared" si="21"/>
        <v>0.30555555555555558</v>
      </c>
      <c r="AM12" s="7">
        <f t="shared" si="22"/>
        <v>0.68518518518518512</v>
      </c>
      <c r="AN12" s="7">
        <f t="shared" si="23"/>
        <v>0.41666666666666669</v>
      </c>
      <c r="AO12">
        <f>step3_validation[[#This Row],[AI_OUT1]]</f>
        <v>8</v>
      </c>
      <c r="AP12">
        <f t="shared" si="24"/>
        <v>0.77777777777777779</v>
      </c>
      <c r="AQ12">
        <f>survey_responses[[#This Row],[Sau khi xem xét các quyền lợi và nghĩa vụ, bạn có ủng hộ và tuân thủ chính sách mới hiện nay? - HUMAN-OUT1]]</f>
        <v>6</v>
      </c>
      <c r="AR12">
        <f t="shared" si="25"/>
        <v>0.55555555555555558</v>
      </c>
      <c r="AS12" s="32">
        <f t="shared" si="26"/>
        <v>2</v>
      </c>
      <c r="AT12">
        <f t="shared" si="27"/>
        <v>1</v>
      </c>
    </row>
    <row r="13" spans="1:46" x14ac:dyDescent="0.45">
      <c r="A13">
        <f>step3_validation[[#This Row],[AI_ENF1]]</f>
        <v>6</v>
      </c>
      <c r="B13">
        <f t="shared" si="0"/>
        <v>0.55555555555555558</v>
      </c>
      <c r="C13">
        <f>survey_responses[[#This Row],[Tôi tin rằng với các quy định quản lý thuế hiện nay, hành vi gian lận hoặc trốn thuế sẽ dễ dàng bị phát hiện và xử lý nghiêm. - HUMAN-ENF1]]</f>
        <v>5</v>
      </c>
      <c r="D13">
        <f t="shared" si="1"/>
        <v>0.44444444444444442</v>
      </c>
      <c r="E13">
        <f>step3_validation[[#This Row],[AI_ENF2]]</f>
        <v>7</v>
      </c>
      <c r="F13">
        <f t="shared" si="2"/>
        <v>0.66666666666666663</v>
      </c>
      <c r="G13">
        <f>survey_responses[[#This Row],[Tôi tin rằng Nhà nước, cơ quan thuế có đủ khả năng và công nghệ để phát hiện, xử lý nghiêm các hành vi trốn thuế. - HUMAN-ENF2]]</f>
        <v>8</v>
      </c>
      <c r="H13">
        <f t="shared" si="3"/>
        <v>0.77777777777777779</v>
      </c>
      <c r="I13" s="32">
        <f t="shared" si="4"/>
        <v>0.61111111111111116</v>
      </c>
      <c r="J13" s="32">
        <f t="shared" si="5"/>
        <v>0.61111111111111116</v>
      </c>
      <c r="K13">
        <f>step3_validation[[#This Row],[AI_FAC1]]</f>
        <v>8</v>
      </c>
      <c r="L13">
        <f t="shared" si="6"/>
        <v>0.77777777777777779</v>
      </c>
      <c r="M13">
        <f>survey_responses[[#This Row],[Các thủ tục khai báo thuế VÀ/HOẶC quy trình làm việc với cơ quan thuế đơn giản, tiện lợi, nhanh chóng hơn so với trước đây. - HUMAN-FAC1]]</f>
        <v>5</v>
      </c>
      <c r="N13">
        <f t="shared" si="7"/>
        <v>0.44444444444444442</v>
      </c>
      <c r="O13">
        <f>step3_validation[[#This Row],[AI_FAC2]]</f>
        <v>7</v>
      </c>
      <c r="P13">
        <f t="shared" si="8"/>
        <v>0.66666666666666663</v>
      </c>
      <c r="Q13">
        <f>survey_responses[[#This Row],[So với trước đây, tôi thấy cách tính thuế và các bậc thuế trong phương án mới đơn giản, dễ hiểu và dễ thực hiện hơn. - HUMAN-FAC2]]</f>
        <v>5</v>
      </c>
      <c r="R13">
        <f t="shared" si="9"/>
        <v>0.44444444444444442</v>
      </c>
      <c r="S13" s="32">
        <f t="shared" si="10"/>
        <v>0.72222222222222221</v>
      </c>
      <c r="T13" s="32">
        <f t="shared" si="11"/>
        <v>0.44444444444444442</v>
      </c>
      <c r="U13">
        <f>step3_validation[[#This Row],[AI_TRU1]]</f>
        <v>8</v>
      </c>
      <c r="V13">
        <f t="shared" si="12"/>
        <v>0.77777777777777779</v>
      </c>
      <c r="W13">
        <f>survey_responses[[#This Row],[Tôi tin rằng Nhà nước, cơ quan thuế sẽ thực thi chính sách mới một cách khách quan, công tâm và đối xử bình đẳng với mọi người nộp thuế.  - HUMAN-TRU1]]</f>
        <v>6</v>
      </c>
      <c r="X13">
        <f t="shared" si="13"/>
        <v>0.55555555555555558</v>
      </c>
      <c r="Y13">
        <f>step3_validation[[#This Row],[AI_TRU2]]</f>
        <v>6</v>
      </c>
      <c r="Z13">
        <f t="shared" si="14"/>
        <v>0.55555555555555558</v>
      </c>
      <c r="AA13">
        <f>survey_responses[[#This Row],[Tôi thấy mức thuế tôi phải đóng theo phương án mới là công bằng (người thu nhập như tôi đóng mức này là hợp lý). - HUMAN-TRU2]]</f>
        <v>5</v>
      </c>
      <c r="AB13">
        <f t="shared" si="15"/>
        <v>0.44444444444444442</v>
      </c>
      <c r="AC13">
        <f>step3_validation[[#This Row],[AI_TRU3]]</f>
        <v>7</v>
      </c>
      <c r="AD13">
        <f t="shared" si="16"/>
        <v>0.66666666666666663</v>
      </c>
      <c r="AE13">
        <f>survey_responses[[#This Row],[Tôi tin tưởng số tiền thuế tôi đóng sẽ được Nhà nước sử dụng hiệu quả để cải thiện dịch vụ công (y tế, đường xá...). - HUMAN-TRU3]]</f>
        <v>5</v>
      </c>
      <c r="AF13">
        <f t="shared" si="17"/>
        <v>0.44444444444444442</v>
      </c>
      <c r="AG13">
        <f>step3_validation[[#This Row],[AI_TRU4]]</f>
        <v>6</v>
      </c>
      <c r="AH13">
        <f t="shared" si="18"/>
        <v>0.55555555555555558</v>
      </c>
      <c r="AI13">
        <f>survey_responses[[#This Row],[Tôi thấy Nhà nước đã giải thích rõ ràng, minh bạch về lý do và mục tiêu của việc sửa đổi thuế lần này. - HUMAN-TRU4]]</f>
        <v>5</v>
      </c>
      <c r="AJ13">
        <f t="shared" si="19"/>
        <v>0.44444444444444442</v>
      </c>
      <c r="AK13" s="32">
        <f t="shared" si="20"/>
        <v>0.63888888888888884</v>
      </c>
      <c r="AL13" s="32">
        <f t="shared" si="21"/>
        <v>0.47222222222222221</v>
      </c>
      <c r="AM13" s="7">
        <f t="shared" si="22"/>
        <v>0.65740740740740744</v>
      </c>
      <c r="AN13" s="7">
        <f t="shared" si="23"/>
        <v>0.50925925925925919</v>
      </c>
      <c r="AO13">
        <f>step3_validation[[#This Row],[AI_OUT1]]</f>
        <v>7</v>
      </c>
      <c r="AP13">
        <f t="shared" si="24"/>
        <v>0.66666666666666663</v>
      </c>
      <c r="AQ13">
        <f>survey_responses[[#This Row],[Sau khi xem xét các quyền lợi và nghĩa vụ, bạn có ủng hộ và tuân thủ chính sách mới hiện nay? - HUMAN-OUT1]]</f>
        <v>5</v>
      </c>
      <c r="AR13">
        <f t="shared" si="25"/>
        <v>0.44444444444444442</v>
      </c>
      <c r="AS13" s="32">
        <f t="shared" si="26"/>
        <v>2</v>
      </c>
      <c r="AT13">
        <f t="shared" si="27"/>
        <v>0</v>
      </c>
    </row>
    <row r="14" spans="1:46" x14ac:dyDescent="0.45">
      <c r="A14">
        <f>step3_validation[[#This Row],[AI_ENF1]]</f>
        <v>6</v>
      </c>
      <c r="B14">
        <f t="shared" si="0"/>
        <v>0.55555555555555558</v>
      </c>
      <c r="C14">
        <f>survey_responses[[#This Row],[Tôi tin rằng với các quy định quản lý thuế hiện nay, hành vi gian lận hoặc trốn thuế sẽ dễ dàng bị phát hiện và xử lý nghiêm. - HUMAN-ENF1]]</f>
        <v>8</v>
      </c>
      <c r="D14">
        <f t="shared" si="1"/>
        <v>0.77777777777777779</v>
      </c>
      <c r="E14">
        <f>step3_validation[[#This Row],[AI_ENF2]]</f>
        <v>7</v>
      </c>
      <c r="F14">
        <f t="shared" si="2"/>
        <v>0.66666666666666663</v>
      </c>
      <c r="G14">
        <f>survey_responses[[#This Row],[Tôi tin rằng Nhà nước, cơ quan thuế có đủ khả năng và công nghệ để phát hiện, xử lý nghiêm các hành vi trốn thuế. - HUMAN-ENF2]]</f>
        <v>7</v>
      </c>
      <c r="H14">
        <f t="shared" si="3"/>
        <v>0.66666666666666663</v>
      </c>
      <c r="I14" s="32">
        <f t="shared" si="4"/>
        <v>0.61111111111111116</v>
      </c>
      <c r="J14" s="32">
        <f t="shared" si="5"/>
        <v>0.72222222222222221</v>
      </c>
      <c r="K14">
        <f>step3_validation[[#This Row],[AI_FAC1]]</f>
        <v>5</v>
      </c>
      <c r="L14">
        <f t="shared" si="6"/>
        <v>0.44444444444444442</v>
      </c>
      <c r="M14">
        <f>survey_responses[[#This Row],[Các thủ tục khai báo thuế VÀ/HOẶC quy trình làm việc với cơ quan thuế đơn giản, tiện lợi, nhanh chóng hơn so với trước đây. - HUMAN-FAC1]]</f>
        <v>7</v>
      </c>
      <c r="N14">
        <f t="shared" si="7"/>
        <v>0.66666666666666663</v>
      </c>
      <c r="O14">
        <f>step3_validation[[#This Row],[AI_FAC2]]</f>
        <v>8</v>
      </c>
      <c r="P14">
        <f t="shared" si="8"/>
        <v>0.77777777777777779</v>
      </c>
      <c r="Q14">
        <f>survey_responses[[#This Row],[So với trước đây, tôi thấy cách tính thuế và các bậc thuế trong phương án mới đơn giản, dễ hiểu và dễ thực hiện hơn. - HUMAN-FAC2]]</f>
        <v>7</v>
      </c>
      <c r="R14">
        <f t="shared" si="9"/>
        <v>0.66666666666666663</v>
      </c>
      <c r="S14" s="32">
        <f t="shared" si="10"/>
        <v>0.61111111111111116</v>
      </c>
      <c r="T14" s="32">
        <f t="shared" si="11"/>
        <v>0.66666666666666663</v>
      </c>
      <c r="U14">
        <f>step3_validation[[#This Row],[AI_TRU1]]</f>
        <v>7</v>
      </c>
      <c r="V14">
        <f t="shared" si="12"/>
        <v>0.66666666666666663</v>
      </c>
      <c r="W14">
        <f>survey_responses[[#This Row],[Tôi tin rằng Nhà nước, cơ quan thuế sẽ thực thi chính sách mới một cách khách quan, công tâm và đối xử bình đẳng với mọi người nộp thuế.  - HUMAN-TRU1]]</f>
        <v>7</v>
      </c>
      <c r="X14">
        <f t="shared" si="13"/>
        <v>0.66666666666666663</v>
      </c>
      <c r="Y14">
        <f>step3_validation[[#This Row],[AI_TRU2]]</f>
        <v>6</v>
      </c>
      <c r="Z14">
        <f t="shared" si="14"/>
        <v>0.55555555555555558</v>
      </c>
      <c r="AA14">
        <f>survey_responses[[#This Row],[Tôi thấy mức thuế tôi phải đóng theo phương án mới là công bằng (người thu nhập như tôi đóng mức này là hợp lý). - HUMAN-TRU2]]</f>
        <v>8</v>
      </c>
      <c r="AB14">
        <f t="shared" si="15"/>
        <v>0.77777777777777779</v>
      </c>
      <c r="AC14">
        <f>step3_validation[[#This Row],[AI_TRU3]]</f>
        <v>7</v>
      </c>
      <c r="AD14">
        <f t="shared" si="16"/>
        <v>0.66666666666666663</v>
      </c>
      <c r="AE14">
        <f>survey_responses[[#This Row],[Tôi tin tưởng số tiền thuế tôi đóng sẽ được Nhà nước sử dụng hiệu quả để cải thiện dịch vụ công (y tế, đường xá...). - HUMAN-TRU3]]</f>
        <v>7</v>
      </c>
      <c r="AF14">
        <f t="shared" si="17"/>
        <v>0.66666666666666663</v>
      </c>
      <c r="AG14">
        <f>step3_validation[[#This Row],[AI_TRU4]]</f>
        <v>5</v>
      </c>
      <c r="AH14">
        <f t="shared" si="18"/>
        <v>0.44444444444444442</v>
      </c>
      <c r="AI14">
        <f>survey_responses[[#This Row],[Tôi thấy Nhà nước đã giải thích rõ ràng, minh bạch về lý do và mục tiêu của việc sửa đổi thuế lần này. - HUMAN-TRU4]]</f>
        <v>7</v>
      </c>
      <c r="AJ14">
        <f t="shared" si="19"/>
        <v>0.66666666666666663</v>
      </c>
      <c r="AK14" s="32">
        <f t="shared" si="20"/>
        <v>0.58333333333333326</v>
      </c>
      <c r="AL14" s="32">
        <f t="shared" si="21"/>
        <v>0.69444444444444442</v>
      </c>
      <c r="AM14" s="7">
        <f t="shared" si="22"/>
        <v>0.60185185185185186</v>
      </c>
      <c r="AN14" s="7">
        <f t="shared" si="23"/>
        <v>0.69444444444444431</v>
      </c>
      <c r="AO14">
        <f>step3_validation[[#This Row],[AI_OUT1]]</f>
        <v>8</v>
      </c>
      <c r="AP14">
        <f t="shared" si="24"/>
        <v>0.77777777777777779</v>
      </c>
      <c r="AQ14">
        <f>survey_responses[[#This Row],[Sau khi xem xét các quyền lợi và nghĩa vụ, bạn có ủng hộ và tuân thủ chính sách mới hiện nay? - HUMAN-OUT1]]</f>
        <v>7</v>
      </c>
      <c r="AR14">
        <f t="shared" si="25"/>
        <v>0.66666666666666663</v>
      </c>
      <c r="AS14" s="32">
        <f t="shared" si="26"/>
        <v>1</v>
      </c>
      <c r="AT14">
        <f t="shared" si="27"/>
        <v>1</v>
      </c>
    </row>
    <row r="15" spans="1:46" x14ac:dyDescent="0.45">
      <c r="A15">
        <f>step3_validation[[#This Row],[AI_ENF1]]</f>
        <v>8</v>
      </c>
      <c r="B15">
        <f t="shared" si="0"/>
        <v>0.77777777777777779</v>
      </c>
      <c r="C15">
        <f>survey_responses[[#This Row],[Tôi tin rằng với các quy định quản lý thuế hiện nay, hành vi gian lận hoặc trốn thuế sẽ dễ dàng bị phát hiện và xử lý nghiêm. - HUMAN-ENF1]]</f>
        <v>10</v>
      </c>
      <c r="D15">
        <f t="shared" si="1"/>
        <v>1</v>
      </c>
      <c r="E15">
        <f>step3_validation[[#This Row],[AI_ENF2]]</f>
        <v>7</v>
      </c>
      <c r="F15">
        <f t="shared" si="2"/>
        <v>0.66666666666666663</v>
      </c>
      <c r="G15">
        <f>survey_responses[[#This Row],[Tôi tin rằng Nhà nước, cơ quan thuế có đủ khả năng và công nghệ để phát hiện, xử lý nghiêm các hành vi trốn thuế. - HUMAN-ENF2]]</f>
        <v>10</v>
      </c>
      <c r="H15">
        <f t="shared" si="3"/>
        <v>1</v>
      </c>
      <c r="I15" s="32">
        <f t="shared" si="4"/>
        <v>0.72222222222222221</v>
      </c>
      <c r="J15" s="32">
        <f t="shared" si="5"/>
        <v>1</v>
      </c>
      <c r="K15">
        <f>step3_validation[[#This Row],[AI_FAC1]]</f>
        <v>9</v>
      </c>
      <c r="L15">
        <f t="shared" si="6"/>
        <v>0.88888888888888884</v>
      </c>
      <c r="M15">
        <f>survey_responses[[#This Row],[Các thủ tục khai báo thuế VÀ/HOẶC quy trình làm việc với cơ quan thuế đơn giản, tiện lợi, nhanh chóng hơn so với trước đây. - HUMAN-FAC1]]</f>
        <v>8</v>
      </c>
      <c r="N15">
        <f t="shared" si="7"/>
        <v>0.77777777777777779</v>
      </c>
      <c r="O15">
        <f>step3_validation[[#This Row],[AI_FAC2]]</f>
        <v>8</v>
      </c>
      <c r="P15">
        <f t="shared" si="8"/>
        <v>0.77777777777777779</v>
      </c>
      <c r="Q15">
        <f>survey_responses[[#This Row],[So với trước đây, tôi thấy cách tính thuế và các bậc thuế trong phương án mới đơn giản, dễ hiểu và dễ thực hiện hơn. - HUMAN-FAC2]]</f>
        <v>8</v>
      </c>
      <c r="R15">
        <f t="shared" si="9"/>
        <v>0.77777777777777779</v>
      </c>
      <c r="S15" s="32">
        <f t="shared" si="10"/>
        <v>0.83333333333333326</v>
      </c>
      <c r="T15" s="32">
        <f t="shared" si="11"/>
        <v>0.77777777777777779</v>
      </c>
      <c r="U15">
        <f>step3_validation[[#This Row],[AI_TRU1]]</f>
        <v>9</v>
      </c>
      <c r="V15">
        <f t="shared" si="12"/>
        <v>0.88888888888888884</v>
      </c>
      <c r="W15">
        <f>survey_responses[[#This Row],[Tôi tin rằng Nhà nước, cơ quan thuế sẽ thực thi chính sách mới một cách khách quan, công tâm và đối xử bình đẳng với mọi người nộp thuế.  - HUMAN-TRU1]]</f>
        <v>8</v>
      </c>
      <c r="X15">
        <f t="shared" si="13"/>
        <v>0.77777777777777779</v>
      </c>
      <c r="Y15">
        <f>step3_validation[[#This Row],[AI_TRU2]]</f>
        <v>7</v>
      </c>
      <c r="Z15">
        <f t="shared" si="14"/>
        <v>0.66666666666666663</v>
      </c>
      <c r="AA15">
        <f>survey_responses[[#This Row],[Tôi thấy mức thuế tôi phải đóng theo phương án mới là công bằng (người thu nhập như tôi đóng mức này là hợp lý). - HUMAN-TRU2]]</f>
        <v>6</v>
      </c>
      <c r="AB15">
        <f t="shared" si="15"/>
        <v>0.55555555555555558</v>
      </c>
      <c r="AC15">
        <f>step3_validation[[#This Row],[AI_TRU3]]</f>
        <v>8</v>
      </c>
      <c r="AD15">
        <f t="shared" si="16"/>
        <v>0.77777777777777779</v>
      </c>
      <c r="AE15">
        <f>survey_responses[[#This Row],[Tôi tin tưởng số tiền thuế tôi đóng sẽ được Nhà nước sử dụng hiệu quả để cải thiện dịch vụ công (y tế, đường xá...). - HUMAN-TRU3]]</f>
        <v>6</v>
      </c>
      <c r="AF15">
        <f t="shared" si="17"/>
        <v>0.55555555555555558</v>
      </c>
      <c r="AG15">
        <f>step3_validation[[#This Row],[AI_TRU4]]</f>
        <v>6</v>
      </c>
      <c r="AH15">
        <f t="shared" si="18"/>
        <v>0.55555555555555558</v>
      </c>
      <c r="AI15">
        <f>survey_responses[[#This Row],[Tôi thấy Nhà nước đã giải thích rõ ràng, minh bạch về lý do và mục tiêu của việc sửa đổi thuế lần này. - HUMAN-TRU4]]</f>
        <v>5</v>
      </c>
      <c r="AJ15">
        <f t="shared" si="19"/>
        <v>0.44444444444444442</v>
      </c>
      <c r="AK15" s="32">
        <f t="shared" si="20"/>
        <v>0.7222222222222221</v>
      </c>
      <c r="AL15" s="32">
        <f t="shared" si="21"/>
        <v>0.58333333333333337</v>
      </c>
      <c r="AM15" s="7">
        <f t="shared" si="22"/>
        <v>0.75925925925925919</v>
      </c>
      <c r="AN15" s="7">
        <f t="shared" si="23"/>
        <v>0.78703703703703709</v>
      </c>
      <c r="AO15">
        <f>step3_validation[[#This Row],[AI_OUT1]]</f>
        <v>7</v>
      </c>
      <c r="AP15">
        <f t="shared" si="24"/>
        <v>0.66666666666666663</v>
      </c>
      <c r="AQ15">
        <f>survey_responses[[#This Row],[Sau khi xem xét các quyền lợi và nghĩa vụ, bạn có ủng hộ và tuân thủ chính sách mới hiện nay? - HUMAN-OUT1]]</f>
        <v>5</v>
      </c>
      <c r="AR15">
        <f t="shared" si="25"/>
        <v>0.44444444444444442</v>
      </c>
      <c r="AS15" s="32">
        <f t="shared" si="26"/>
        <v>2</v>
      </c>
      <c r="AT15">
        <f t="shared" si="27"/>
        <v>0</v>
      </c>
    </row>
    <row r="16" spans="1:46" x14ac:dyDescent="0.45">
      <c r="A16">
        <f>step3_validation[[#This Row],[AI_ENF1]]</f>
        <v>7</v>
      </c>
      <c r="B16">
        <f t="shared" si="0"/>
        <v>0.66666666666666663</v>
      </c>
      <c r="C16">
        <f>survey_responses[[#This Row],[Tôi tin rằng với các quy định quản lý thuế hiện nay, hành vi gian lận hoặc trốn thuế sẽ dễ dàng bị phát hiện và xử lý nghiêm. - HUMAN-ENF1]]</f>
        <v>7</v>
      </c>
      <c r="D16">
        <f t="shared" si="1"/>
        <v>0.66666666666666663</v>
      </c>
      <c r="E16">
        <f>step3_validation[[#This Row],[AI_ENF2]]</f>
        <v>6</v>
      </c>
      <c r="F16">
        <f t="shared" si="2"/>
        <v>0.55555555555555558</v>
      </c>
      <c r="G16">
        <f>survey_responses[[#This Row],[Tôi tin rằng Nhà nước, cơ quan thuế có đủ khả năng và công nghệ để phát hiện, xử lý nghiêm các hành vi trốn thuế. - HUMAN-ENF2]]</f>
        <v>9</v>
      </c>
      <c r="H16">
        <f t="shared" si="3"/>
        <v>0.88888888888888884</v>
      </c>
      <c r="I16" s="32">
        <f t="shared" si="4"/>
        <v>0.61111111111111116</v>
      </c>
      <c r="J16" s="32">
        <f t="shared" si="5"/>
        <v>0.77777777777777768</v>
      </c>
      <c r="K16">
        <f>step3_validation[[#This Row],[AI_FAC1]]</f>
        <v>8</v>
      </c>
      <c r="L16">
        <f t="shared" si="6"/>
        <v>0.77777777777777779</v>
      </c>
      <c r="M16">
        <f>survey_responses[[#This Row],[Các thủ tục khai báo thuế VÀ/HOẶC quy trình làm việc với cơ quan thuế đơn giản, tiện lợi, nhanh chóng hơn so với trước đây. - HUMAN-FAC1]]</f>
        <v>3</v>
      </c>
      <c r="N16">
        <f t="shared" si="7"/>
        <v>0.22222222222222221</v>
      </c>
      <c r="O16">
        <f>step3_validation[[#This Row],[AI_FAC2]]</f>
        <v>7</v>
      </c>
      <c r="P16">
        <f t="shared" si="8"/>
        <v>0.66666666666666663</v>
      </c>
      <c r="Q16">
        <f>survey_responses[[#This Row],[So với trước đây, tôi thấy cách tính thuế và các bậc thuế trong phương án mới đơn giản, dễ hiểu và dễ thực hiện hơn. - HUMAN-FAC2]]</f>
        <v>6</v>
      </c>
      <c r="R16">
        <f t="shared" si="9"/>
        <v>0.55555555555555558</v>
      </c>
      <c r="S16" s="32">
        <f t="shared" si="10"/>
        <v>0.72222222222222221</v>
      </c>
      <c r="T16" s="32">
        <f t="shared" si="11"/>
        <v>0.3888888888888889</v>
      </c>
      <c r="U16">
        <f>step3_validation[[#This Row],[AI_TRU1]]</f>
        <v>6</v>
      </c>
      <c r="V16">
        <f t="shared" si="12"/>
        <v>0.55555555555555558</v>
      </c>
      <c r="W16">
        <f>survey_responses[[#This Row],[Tôi tin rằng Nhà nước, cơ quan thuế sẽ thực thi chính sách mới một cách khách quan, công tâm và đối xử bình đẳng với mọi người nộp thuế.  - HUMAN-TRU1]]</f>
        <v>1</v>
      </c>
      <c r="X16">
        <f t="shared" si="13"/>
        <v>0</v>
      </c>
      <c r="Y16">
        <f>step3_validation[[#This Row],[AI_TRU2]]</f>
        <v>5</v>
      </c>
      <c r="Z16">
        <f t="shared" si="14"/>
        <v>0.44444444444444442</v>
      </c>
      <c r="AA16">
        <f>survey_responses[[#This Row],[Tôi thấy mức thuế tôi phải đóng theo phương án mới là công bằng (người thu nhập như tôi đóng mức này là hợp lý). - HUMAN-TRU2]]</f>
        <v>1</v>
      </c>
      <c r="AB16">
        <f t="shared" si="15"/>
        <v>0</v>
      </c>
      <c r="AC16">
        <f>step3_validation[[#This Row],[AI_TRU3]]</f>
        <v>6</v>
      </c>
      <c r="AD16">
        <f t="shared" si="16"/>
        <v>0.55555555555555558</v>
      </c>
      <c r="AE16">
        <f>survey_responses[[#This Row],[Tôi tin tưởng số tiền thuế tôi đóng sẽ được Nhà nước sử dụng hiệu quả để cải thiện dịch vụ công (y tế, đường xá...). - HUMAN-TRU3]]</f>
        <v>1</v>
      </c>
      <c r="AF16">
        <f t="shared" si="17"/>
        <v>0</v>
      </c>
      <c r="AG16">
        <f>step3_validation[[#This Row],[AI_TRU4]]</f>
        <v>5</v>
      </c>
      <c r="AH16">
        <f t="shared" si="18"/>
        <v>0.44444444444444442</v>
      </c>
      <c r="AI16">
        <f>survey_responses[[#This Row],[Tôi thấy Nhà nước đã giải thích rõ ràng, minh bạch về lý do và mục tiêu của việc sửa đổi thuế lần này. - HUMAN-TRU4]]</f>
        <v>1</v>
      </c>
      <c r="AJ16">
        <f t="shared" si="19"/>
        <v>0</v>
      </c>
      <c r="AK16" s="32">
        <f t="shared" si="20"/>
        <v>0.5</v>
      </c>
      <c r="AL16" s="32">
        <f t="shared" si="21"/>
        <v>0</v>
      </c>
      <c r="AM16" s="7">
        <f t="shared" si="22"/>
        <v>0.61111111111111116</v>
      </c>
      <c r="AN16" s="7">
        <f t="shared" si="23"/>
        <v>0.38888888888888884</v>
      </c>
      <c r="AO16">
        <f>step3_validation[[#This Row],[AI_OUT1]]</f>
        <v>7</v>
      </c>
      <c r="AP16">
        <f t="shared" si="24"/>
        <v>0.66666666666666663</v>
      </c>
      <c r="AQ16">
        <f>survey_responses[[#This Row],[Sau khi xem xét các quyền lợi và nghĩa vụ, bạn có ủng hộ và tuân thủ chính sách mới hiện nay? - HUMAN-OUT1]]</f>
        <v>1</v>
      </c>
      <c r="AR16">
        <f t="shared" si="25"/>
        <v>0</v>
      </c>
      <c r="AS16" s="32">
        <f t="shared" si="26"/>
        <v>6</v>
      </c>
      <c r="AT16">
        <f t="shared" si="27"/>
        <v>0</v>
      </c>
    </row>
    <row r="17" spans="1:46" x14ac:dyDescent="0.45">
      <c r="A17">
        <f>step3_validation[[#This Row],[AI_ENF1]]</f>
        <v>7</v>
      </c>
      <c r="B17">
        <f t="shared" si="0"/>
        <v>0.66666666666666663</v>
      </c>
      <c r="C17">
        <f>survey_responses[[#This Row],[Tôi tin rằng với các quy định quản lý thuế hiện nay, hành vi gian lận hoặc trốn thuế sẽ dễ dàng bị phát hiện và xử lý nghiêm. - HUMAN-ENF1]]</f>
        <v>8</v>
      </c>
      <c r="D17">
        <f t="shared" si="1"/>
        <v>0.77777777777777779</v>
      </c>
      <c r="E17">
        <f>step3_validation[[#This Row],[AI_ENF2]]</f>
        <v>8</v>
      </c>
      <c r="F17">
        <f t="shared" si="2"/>
        <v>0.77777777777777779</v>
      </c>
      <c r="G17">
        <f>survey_responses[[#This Row],[Tôi tin rằng Nhà nước, cơ quan thuế có đủ khả năng và công nghệ để phát hiện, xử lý nghiêm các hành vi trốn thuế. - HUMAN-ENF2]]</f>
        <v>8</v>
      </c>
      <c r="H17">
        <f t="shared" si="3"/>
        <v>0.77777777777777779</v>
      </c>
      <c r="I17" s="32">
        <f t="shared" si="4"/>
        <v>0.72222222222222221</v>
      </c>
      <c r="J17" s="32">
        <f t="shared" si="5"/>
        <v>0.77777777777777779</v>
      </c>
      <c r="K17">
        <f>step3_validation[[#This Row],[AI_FAC1]]</f>
        <v>9</v>
      </c>
      <c r="L17">
        <f t="shared" si="6"/>
        <v>0.88888888888888884</v>
      </c>
      <c r="M17">
        <f>survey_responses[[#This Row],[Các thủ tục khai báo thuế VÀ/HOẶC quy trình làm việc với cơ quan thuế đơn giản, tiện lợi, nhanh chóng hơn so với trước đây. - HUMAN-FAC1]]</f>
        <v>8</v>
      </c>
      <c r="N17">
        <f t="shared" si="7"/>
        <v>0.77777777777777779</v>
      </c>
      <c r="O17">
        <f>step3_validation[[#This Row],[AI_FAC2]]</f>
        <v>8</v>
      </c>
      <c r="P17">
        <f t="shared" si="8"/>
        <v>0.77777777777777779</v>
      </c>
      <c r="Q17">
        <f>survey_responses[[#This Row],[So với trước đây, tôi thấy cách tính thuế và các bậc thuế trong phương án mới đơn giản, dễ hiểu và dễ thực hiện hơn. - HUMAN-FAC2]]</f>
        <v>9</v>
      </c>
      <c r="R17">
        <f t="shared" si="9"/>
        <v>0.88888888888888884</v>
      </c>
      <c r="S17" s="32">
        <f t="shared" si="10"/>
        <v>0.83333333333333326</v>
      </c>
      <c r="T17" s="32">
        <f t="shared" si="11"/>
        <v>0.83333333333333326</v>
      </c>
      <c r="U17">
        <f>step3_validation[[#This Row],[AI_TRU1]]</f>
        <v>9</v>
      </c>
      <c r="V17">
        <f t="shared" si="12"/>
        <v>0.88888888888888884</v>
      </c>
      <c r="W17">
        <f>survey_responses[[#This Row],[Tôi tin rằng Nhà nước, cơ quan thuế sẽ thực thi chính sách mới một cách khách quan, công tâm và đối xử bình đẳng với mọi người nộp thuế.  - HUMAN-TRU1]]</f>
        <v>7</v>
      </c>
      <c r="X17">
        <f t="shared" si="13"/>
        <v>0.66666666666666663</v>
      </c>
      <c r="Y17">
        <f>step3_validation[[#This Row],[AI_TRU2]]</f>
        <v>7</v>
      </c>
      <c r="Z17">
        <f t="shared" si="14"/>
        <v>0.66666666666666663</v>
      </c>
      <c r="AA17">
        <f>survey_responses[[#This Row],[Tôi thấy mức thuế tôi phải đóng theo phương án mới là công bằng (người thu nhập như tôi đóng mức này là hợp lý). - HUMAN-TRU2]]</f>
        <v>7</v>
      </c>
      <c r="AB17">
        <f t="shared" si="15"/>
        <v>0.66666666666666663</v>
      </c>
      <c r="AC17">
        <f>step3_validation[[#This Row],[AI_TRU3]]</f>
        <v>8</v>
      </c>
      <c r="AD17">
        <f t="shared" si="16"/>
        <v>0.77777777777777779</v>
      </c>
      <c r="AE17">
        <f>survey_responses[[#This Row],[Tôi tin tưởng số tiền thuế tôi đóng sẽ được Nhà nước sử dụng hiệu quả để cải thiện dịch vụ công (y tế, đường xá...). - HUMAN-TRU3]]</f>
        <v>9</v>
      </c>
      <c r="AF17">
        <f t="shared" si="17"/>
        <v>0.88888888888888884</v>
      </c>
      <c r="AG17">
        <f>step3_validation[[#This Row],[AI_TRU4]]</f>
        <v>6</v>
      </c>
      <c r="AH17">
        <f t="shared" si="18"/>
        <v>0.55555555555555558</v>
      </c>
      <c r="AI17">
        <f>survey_responses[[#This Row],[Tôi thấy Nhà nước đã giải thích rõ ràng, minh bạch về lý do và mục tiêu của việc sửa đổi thuế lần này. - HUMAN-TRU4]]</f>
        <v>8</v>
      </c>
      <c r="AJ17">
        <f t="shared" si="19"/>
        <v>0.77777777777777779</v>
      </c>
      <c r="AK17" s="32">
        <f t="shared" si="20"/>
        <v>0.7222222222222221</v>
      </c>
      <c r="AL17" s="32">
        <f t="shared" si="21"/>
        <v>0.75</v>
      </c>
      <c r="AM17" s="7">
        <f t="shared" si="22"/>
        <v>0.75925925925925919</v>
      </c>
      <c r="AN17" s="7">
        <f t="shared" si="23"/>
        <v>0.78703703703703709</v>
      </c>
      <c r="AO17">
        <f>step3_validation[[#This Row],[AI_OUT1]]</f>
        <v>7</v>
      </c>
      <c r="AP17">
        <f t="shared" si="24"/>
        <v>0.66666666666666663</v>
      </c>
      <c r="AQ17">
        <f>survey_responses[[#This Row],[Sau khi xem xét các quyền lợi và nghĩa vụ, bạn có ủng hộ và tuân thủ chính sách mới hiện nay? - HUMAN-OUT1]]</f>
        <v>7</v>
      </c>
      <c r="AR17">
        <f t="shared" si="25"/>
        <v>0.66666666666666663</v>
      </c>
      <c r="AS17" s="32">
        <f t="shared" si="26"/>
        <v>0</v>
      </c>
      <c r="AT17">
        <f t="shared" si="27"/>
        <v>1</v>
      </c>
    </row>
    <row r="18" spans="1:46" x14ac:dyDescent="0.45">
      <c r="A18">
        <f>step3_validation[[#This Row],[AI_ENF1]]</f>
        <v>7</v>
      </c>
      <c r="B18">
        <f t="shared" si="0"/>
        <v>0.66666666666666663</v>
      </c>
      <c r="C18">
        <f>survey_responses[[#This Row],[Tôi tin rằng với các quy định quản lý thuế hiện nay, hành vi gian lận hoặc trốn thuế sẽ dễ dàng bị phát hiện và xử lý nghiêm. - HUMAN-ENF1]]</f>
        <v>6</v>
      </c>
      <c r="D18">
        <f t="shared" si="1"/>
        <v>0.55555555555555558</v>
      </c>
      <c r="E18">
        <f>step3_validation[[#This Row],[AI_ENF2]]</f>
        <v>8</v>
      </c>
      <c r="F18">
        <f t="shared" si="2"/>
        <v>0.77777777777777779</v>
      </c>
      <c r="G18">
        <f>survey_responses[[#This Row],[Tôi tin rằng Nhà nước, cơ quan thuế có đủ khả năng và công nghệ để phát hiện, xử lý nghiêm các hành vi trốn thuế. - HUMAN-ENF2]]</f>
        <v>7</v>
      </c>
      <c r="H18">
        <f t="shared" si="3"/>
        <v>0.66666666666666663</v>
      </c>
      <c r="I18" s="32">
        <f t="shared" si="4"/>
        <v>0.72222222222222221</v>
      </c>
      <c r="J18" s="32">
        <f t="shared" si="5"/>
        <v>0.61111111111111116</v>
      </c>
      <c r="K18">
        <f>step3_validation[[#This Row],[AI_FAC1]]</f>
        <v>6</v>
      </c>
      <c r="L18">
        <f t="shared" si="6"/>
        <v>0.55555555555555558</v>
      </c>
      <c r="M18">
        <f>survey_responses[[#This Row],[Các thủ tục khai báo thuế VÀ/HOẶC quy trình làm việc với cơ quan thuế đơn giản, tiện lợi, nhanh chóng hơn so với trước đây. - HUMAN-FAC1]]</f>
        <v>5</v>
      </c>
      <c r="N18">
        <f t="shared" si="7"/>
        <v>0.44444444444444442</v>
      </c>
      <c r="O18">
        <f>step3_validation[[#This Row],[AI_FAC2]]</f>
        <v>8</v>
      </c>
      <c r="P18">
        <f t="shared" si="8"/>
        <v>0.77777777777777779</v>
      </c>
      <c r="Q18">
        <f>survey_responses[[#This Row],[So với trước đây, tôi thấy cách tính thuế và các bậc thuế trong phương án mới đơn giản, dễ hiểu và dễ thực hiện hơn. - HUMAN-FAC2]]</f>
        <v>5</v>
      </c>
      <c r="R18">
        <f t="shared" si="9"/>
        <v>0.44444444444444442</v>
      </c>
      <c r="S18" s="32">
        <f t="shared" si="10"/>
        <v>0.66666666666666674</v>
      </c>
      <c r="T18" s="32">
        <f t="shared" si="11"/>
        <v>0.44444444444444442</v>
      </c>
      <c r="U18">
        <f>step3_validation[[#This Row],[AI_TRU1]]</f>
        <v>7</v>
      </c>
      <c r="V18">
        <f t="shared" si="12"/>
        <v>0.66666666666666663</v>
      </c>
      <c r="W18">
        <f>survey_responses[[#This Row],[Tôi tin rằng Nhà nước, cơ quan thuế sẽ thực thi chính sách mới một cách khách quan, công tâm và đối xử bình đẳng với mọi người nộp thuế.  - HUMAN-TRU1]]</f>
        <v>6</v>
      </c>
      <c r="X18">
        <f t="shared" si="13"/>
        <v>0.55555555555555558</v>
      </c>
      <c r="Y18">
        <f>step3_validation[[#This Row],[AI_TRU2]]</f>
        <v>6</v>
      </c>
      <c r="Z18">
        <f t="shared" si="14"/>
        <v>0.55555555555555558</v>
      </c>
      <c r="AA18">
        <f>survey_responses[[#This Row],[Tôi thấy mức thuế tôi phải đóng theo phương án mới là công bằng (người thu nhập như tôi đóng mức này là hợp lý). - HUMAN-TRU2]]</f>
        <v>7</v>
      </c>
      <c r="AB18">
        <f t="shared" si="15"/>
        <v>0.66666666666666663</v>
      </c>
      <c r="AC18">
        <f>step3_validation[[#This Row],[AI_TRU3]]</f>
        <v>7</v>
      </c>
      <c r="AD18">
        <f t="shared" si="16"/>
        <v>0.66666666666666663</v>
      </c>
      <c r="AE18">
        <f>survey_responses[[#This Row],[Tôi tin tưởng số tiền thuế tôi đóng sẽ được Nhà nước sử dụng hiệu quả để cải thiện dịch vụ công (y tế, đường xá...). - HUMAN-TRU3]]</f>
        <v>3</v>
      </c>
      <c r="AF18">
        <f t="shared" si="17"/>
        <v>0.22222222222222221</v>
      </c>
      <c r="AG18">
        <f>step3_validation[[#This Row],[AI_TRU4]]</f>
        <v>6</v>
      </c>
      <c r="AH18">
        <f t="shared" si="18"/>
        <v>0.55555555555555558</v>
      </c>
      <c r="AI18">
        <f>survey_responses[[#This Row],[Tôi thấy Nhà nước đã giải thích rõ ràng, minh bạch về lý do và mục tiêu của việc sửa đổi thuế lần này. - HUMAN-TRU4]]</f>
        <v>4</v>
      </c>
      <c r="AJ18">
        <f t="shared" si="19"/>
        <v>0.33333333333333331</v>
      </c>
      <c r="AK18" s="32">
        <f t="shared" si="20"/>
        <v>0.61111111111111116</v>
      </c>
      <c r="AL18" s="32">
        <f t="shared" si="21"/>
        <v>0.44444444444444448</v>
      </c>
      <c r="AM18" s="7">
        <f t="shared" si="22"/>
        <v>0.66666666666666663</v>
      </c>
      <c r="AN18" s="7">
        <f t="shared" si="23"/>
        <v>0.5</v>
      </c>
      <c r="AO18">
        <f>step3_validation[[#This Row],[AI_OUT1]]</f>
        <v>7</v>
      </c>
      <c r="AP18">
        <f t="shared" si="24"/>
        <v>0.66666666666666663</v>
      </c>
      <c r="AQ18">
        <f>survey_responses[[#This Row],[Sau khi xem xét các quyền lợi và nghĩa vụ, bạn có ủng hộ và tuân thủ chính sách mới hiện nay? - HUMAN-OUT1]]</f>
        <v>5</v>
      </c>
      <c r="AR18">
        <f t="shared" si="25"/>
        <v>0.44444444444444442</v>
      </c>
      <c r="AS18" s="32">
        <f t="shared" si="26"/>
        <v>2</v>
      </c>
      <c r="AT18">
        <f t="shared" si="27"/>
        <v>0</v>
      </c>
    </row>
    <row r="19" spans="1:46" x14ac:dyDescent="0.45">
      <c r="A19">
        <f>step3_validation[[#This Row],[AI_ENF1]]</f>
        <v>7</v>
      </c>
      <c r="B19">
        <f t="shared" si="0"/>
        <v>0.66666666666666663</v>
      </c>
      <c r="C19">
        <f>survey_responses[[#This Row],[Tôi tin rằng với các quy định quản lý thuế hiện nay, hành vi gian lận hoặc trốn thuế sẽ dễ dàng bị phát hiện và xử lý nghiêm. - HUMAN-ENF1]]</f>
        <v>6</v>
      </c>
      <c r="D19">
        <f t="shared" si="1"/>
        <v>0.55555555555555558</v>
      </c>
      <c r="E19">
        <f>step3_validation[[#This Row],[AI_ENF2]]</f>
        <v>8</v>
      </c>
      <c r="F19">
        <f t="shared" si="2"/>
        <v>0.77777777777777779</v>
      </c>
      <c r="G19">
        <f>survey_responses[[#This Row],[Tôi tin rằng Nhà nước, cơ quan thuế có đủ khả năng và công nghệ để phát hiện, xử lý nghiêm các hành vi trốn thuế. - HUMAN-ENF2]]</f>
        <v>8</v>
      </c>
      <c r="H19">
        <f t="shared" si="3"/>
        <v>0.77777777777777779</v>
      </c>
      <c r="I19" s="32">
        <f t="shared" si="4"/>
        <v>0.72222222222222221</v>
      </c>
      <c r="J19" s="32">
        <f t="shared" si="5"/>
        <v>0.66666666666666674</v>
      </c>
      <c r="K19">
        <f>step3_validation[[#This Row],[AI_FAC1]]</f>
        <v>9</v>
      </c>
      <c r="L19">
        <f t="shared" si="6"/>
        <v>0.88888888888888884</v>
      </c>
      <c r="M19">
        <f>survey_responses[[#This Row],[Các thủ tục khai báo thuế VÀ/HOẶC quy trình làm việc với cơ quan thuế đơn giản, tiện lợi, nhanh chóng hơn so với trước đây. - HUMAN-FAC1]]</f>
        <v>7</v>
      </c>
      <c r="N19">
        <f t="shared" si="7"/>
        <v>0.66666666666666663</v>
      </c>
      <c r="O19">
        <f>step3_validation[[#This Row],[AI_FAC2]]</f>
        <v>9</v>
      </c>
      <c r="P19">
        <f t="shared" si="8"/>
        <v>0.88888888888888884</v>
      </c>
      <c r="Q19">
        <f>survey_responses[[#This Row],[So với trước đây, tôi thấy cách tính thuế và các bậc thuế trong phương án mới đơn giản, dễ hiểu và dễ thực hiện hơn. - HUMAN-FAC2]]</f>
        <v>8</v>
      </c>
      <c r="R19">
        <f t="shared" si="9"/>
        <v>0.77777777777777779</v>
      </c>
      <c r="S19" s="32">
        <f t="shared" si="10"/>
        <v>0.88888888888888884</v>
      </c>
      <c r="T19" s="32">
        <f t="shared" si="11"/>
        <v>0.72222222222222221</v>
      </c>
      <c r="U19">
        <f>step3_validation[[#This Row],[AI_TRU1]]</f>
        <v>7</v>
      </c>
      <c r="V19">
        <f t="shared" si="12"/>
        <v>0.66666666666666663</v>
      </c>
      <c r="W19">
        <f>survey_responses[[#This Row],[Tôi tin rằng Nhà nước, cơ quan thuế sẽ thực thi chính sách mới một cách khách quan, công tâm và đối xử bình đẳng với mọi người nộp thuế.  - HUMAN-TRU1]]</f>
        <v>8</v>
      </c>
      <c r="X19">
        <f t="shared" si="13"/>
        <v>0.77777777777777779</v>
      </c>
      <c r="Y19">
        <f>step3_validation[[#This Row],[AI_TRU2]]</f>
        <v>8</v>
      </c>
      <c r="Z19">
        <f t="shared" si="14"/>
        <v>0.77777777777777779</v>
      </c>
      <c r="AA19">
        <f>survey_responses[[#This Row],[Tôi thấy mức thuế tôi phải đóng theo phương án mới là công bằng (người thu nhập như tôi đóng mức này là hợp lý). - HUMAN-TRU2]]</f>
        <v>7</v>
      </c>
      <c r="AB19">
        <f t="shared" si="15"/>
        <v>0.66666666666666663</v>
      </c>
      <c r="AC19">
        <f>step3_validation[[#This Row],[AI_TRU3]]</f>
        <v>6</v>
      </c>
      <c r="AD19">
        <f t="shared" si="16"/>
        <v>0.55555555555555558</v>
      </c>
      <c r="AE19">
        <f>survey_responses[[#This Row],[Tôi tin tưởng số tiền thuế tôi đóng sẽ được Nhà nước sử dụng hiệu quả để cải thiện dịch vụ công (y tế, đường xá...). - HUMAN-TRU3]]</f>
        <v>7</v>
      </c>
      <c r="AF19">
        <f t="shared" si="17"/>
        <v>0.66666666666666663</v>
      </c>
      <c r="AG19">
        <f>step3_validation[[#This Row],[AI_TRU4]]</f>
        <v>7</v>
      </c>
      <c r="AH19">
        <f t="shared" si="18"/>
        <v>0.66666666666666663</v>
      </c>
      <c r="AI19">
        <f>survey_responses[[#This Row],[Tôi thấy Nhà nước đã giải thích rõ ràng, minh bạch về lý do và mục tiêu của việc sửa đổi thuế lần này. - HUMAN-TRU4]]</f>
        <v>6</v>
      </c>
      <c r="AJ19">
        <f t="shared" si="19"/>
        <v>0.55555555555555558</v>
      </c>
      <c r="AK19" s="32">
        <f t="shared" si="20"/>
        <v>0.66666666666666663</v>
      </c>
      <c r="AL19" s="32">
        <f t="shared" si="21"/>
        <v>0.66666666666666674</v>
      </c>
      <c r="AM19" s="7">
        <f t="shared" si="22"/>
        <v>0.75925925925925919</v>
      </c>
      <c r="AN19" s="7">
        <f t="shared" si="23"/>
        <v>0.68518518518518512</v>
      </c>
      <c r="AO19">
        <f>step3_validation[[#This Row],[AI_OUT1]]</f>
        <v>8</v>
      </c>
      <c r="AP19">
        <f t="shared" si="24"/>
        <v>0.77777777777777779</v>
      </c>
      <c r="AQ19">
        <f>survey_responses[[#This Row],[Sau khi xem xét các quyền lợi và nghĩa vụ, bạn có ủng hộ và tuân thủ chính sách mới hiện nay? - HUMAN-OUT1]]</f>
        <v>8</v>
      </c>
      <c r="AR19">
        <f t="shared" si="25"/>
        <v>0.77777777777777779</v>
      </c>
      <c r="AS19" s="32">
        <f t="shared" si="26"/>
        <v>0</v>
      </c>
      <c r="AT19">
        <f t="shared" si="27"/>
        <v>1</v>
      </c>
    </row>
    <row r="20" spans="1:46" x14ac:dyDescent="0.45">
      <c r="A20">
        <f>step3_validation[[#This Row],[AI_ENF1]]</f>
        <v>6</v>
      </c>
      <c r="B20">
        <f t="shared" si="0"/>
        <v>0.55555555555555558</v>
      </c>
      <c r="C20">
        <f>survey_responses[[#This Row],[Tôi tin rằng với các quy định quản lý thuế hiện nay, hành vi gian lận hoặc trốn thuế sẽ dễ dàng bị phát hiện và xử lý nghiêm. - HUMAN-ENF1]]</f>
        <v>10</v>
      </c>
      <c r="D20">
        <f t="shared" si="1"/>
        <v>1</v>
      </c>
      <c r="E20">
        <f>step3_validation[[#This Row],[AI_ENF2]]</f>
        <v>5</v>
      </c>
      <c r="F20">
        <f t="shared" si="2"/>
        <v>0.44444444444444442</v>
      </c>
      <c r="G20">
        <f>survey_responses[[#This Row],[Tôi tin rằng Nhà nước, cơ quan thuế có đủ khả năng và công nghệ để phát hiện, xử lý nghiêm các hành vi trốn thuế. - HUMAN-ENF2]]</f>
        <v>10</v>
      </c>
      <c r="H20">
        <f t="shared" si="3"/>
        <v>1</v>
      </c>
      <c r="I20" s="32">
        <f t="shared" si="4"/>
        <v>0.5</v>
      </c>
      <c r="J20" s="32">
        <f t="shared" si="5"/>
        <v>1</v>
      </c>
      <c r="K20">
        <f>step3_validation[[#This Row],[AI_FAC1]]</f>
        <v>8</v>
      </c>
      <c r="L20">
        <f t="shared" si="6"/>
        <v>0.77777777777777779</v>
      </c>
      <c r="M20">
        <f>survey_responses[[#This Row],[Các thủ tục khai báo thuế VÀ/HOẶC quy trình làm việc với cơ quan thuế đơn giản, tiện lợi, nhanh chóng hơn so với trước đây. - HUMAN-FAC1]]</f>
        <v>5</v>
      </c>
      <c r="N20">
        <f t="shared" si="7"/>
        <v>0.44444444444444442</v>
      </c>
      <c r="O20">
        <f>step3_validation[[#This Row],[AI_FAC2]]</f>
        <v>7</v>
      </c>
      <c r="P20">
        <f t="shared" si="8"/>
        <v>0.66666666666666663</v>
      </c>
      <c r="Q20">
        <f>survey_responses[[#This Row],[So với trước đây, tôi thấy cách tính thuế và các bậc thuế trong phương án mới đơn giản, dễ hiểu và dễ thực hiện hơn. - HUMAN-FAC2]]</f>
        <v>5</v>
      </c>
      <c r="R20">
        <f t="shared" si="9"/>
        <v>0.44444444444444442</v>
      </c>
      <c r="S20" s="32">
        <f t="shared" si="10"/>
        <v>0.72222222222222221</v>
      </c>
      <c r="T20" s="32">
        <f t="shared" si="11"/>
        <v>0.44444444444444442</v>
      </c>
      <c r="U20">
        <f>step3_validation[[#This Row],[AI_TRU1]]</f>
        <v>8</v>
      </c>
      <c r="V20">
        <f t="shared" si="12"/>
        <v>0.77777777777777779</v>
      </c>
      <c r="W20">
        <f>survey_responses[[#This Row],[Tôi tin rằng Nhà nước, cơ quan thuế sẽ thực thi chính sách mới một cách khách quan, công tâm và đối xử bình đẳng với mọi người nộp thuế.  - HUMAN-TRU1]]</f>
        <v>5</v>
      </c>
      <c r="X20">
        <f t="shared" si="13"/>
        <v>0.44444444444444442</v>
      </c>
      <c r="Y20">
        <f>step3_validation[[#This Row],[AI_TRU2]]</f>
        <v>7</v>
      </c>
      <c r="Z20">
        <f t="shared" si="14"/>
        <v>0.66666666666666663</v>
      </c>
      <c r="AA20">
        <f>survey_responses[[#This Row],[Tôi thấy mức thuế tôi phải đóng theo phương án mới là công bằng (người thu nhập như tôi đóng mức này là hợp lý). - HUMAN-TRU2]]</f>
        <v>3</v>
      </c>
      <c r="AB20">
        <f t="shared" si="15"/>
        <v>0.22222222222222221</v>
      </c>
      <c r="AC20">
        <f>step3_validation[[#This Row],[AI_TRU3]]</f>
        <v>6</v>
      </c>
      <c r="AD20">
        <f t="shared" si="16"/>
        <v>0.55555555555555558</v>
      </c>
      <c r="AE20">
        <f>survey_responses[[#This Row],[Tôi tin tưởng số tiền thuế tôi đóng sẽ được Nhà nước sử dụng hiệu quả để cải thiện dịch vụ công (y tế, đường xá...). - HUMAN-TRU3]]</f>
        <v>2</v>
      </c>
      <c r="AF20">
        <f t="shared" si="17"/>
        <v>0.1111111111111111</v>
      </c>
      <c r="AG20">
        <f>step3_validation[[#This Row],[AI_TRU4]]</f>
        <v>5</v>
      </c>
      <c r="AH20">
        <f t="shared" si="18"/>
        <v>0.44444444444444442</v>
      </c>
      <c r="AI20">
        <f>survey_responses[[#This Row],[Tôi thấy Nhà nước đã giải thích rõ ràng, minh bạch về lý do và mục tiêu của việc sửa đổi thuế lần này. - HUMAN-TRU4]]</f>
        <v>5</v>
      </c>
      <c r="AJ20">
        <f t="shared" si="19"/>
        <v>0.44444444444444442</v>
      </c>
      <c r="AK20" s="32">
        <f t="shared" si="20"/>
        <v>0.61111111111111116</v>
      </c>
      <c r="AL20" s="32">
        <f t="shared" si="21"/>
        <v>0.30555555555555552</v>
      </c>
      <c r="AM20" s="7">
        <f t="shared" si="22"/>
        <v>0.61111111111111116</v>
      </c>
      <c r="AN20" s="7">
        <f t="shared" si="23"/>
        <v>0.58333333333333337</v>
      </c>
      <c r="AO20">
        <f>step3_validation[[#This Row],[AI_OUT1]]</f>
        <v>7</v>
      </c>
      <c r="AP20">
        <f t="shared" si="24"/>
        <v>0.66666666666666663</v>
      </c>
      <c r="AQ20">
        <f>survey_responses[[#This Row],[Sau khi xem xét các quyền lợi và nghĩa vụ, bạn có ủng hộ và tuân thủ chính sách mới hiện nay? - HUMAN-OUT1]]</f>
        <v>8</v>
      </c>
      <c r="AR20">
        <f t="shared" si="25"/>
        <v>0.77777777777777779</v>
      </c>
      <c r="AS20" s="32">
        <f t="shared" si="26"/>
        <v>1</v>
      </c>
      <c r="AT20">
        <f t="shared" si="27"/>
        <v>1</v>
      </c>
    </row>
    <row r="21" spans="1:46" x14ac:dyDescent="0.45">
      <c r="A21">
        <f>step3_validation[[#This Row],[AI_ENF1]]</f>
        <v>8</v>
      </c>
      <c r="B21">
        <f t="shared" si="0"/>
        <v>0.77777777777777779</v>
      </c>
      <c r="C21">
        <f>survey_responses[[#This Row],[Tôi tin rằng với các quy định quản lý thuế hiện nay, hành vi gian lận hoặc trốn thuế sẽ dễ dàng bị phát hiện và xử lý nghiêm. - HUMAN-ENF1]]</f>
        <v>9</v>
      </c>
      <c r="D21">
        <f t="shared" si="1"/>
        <v>0.88888888888888884</v>
      </c>
      <c r="E21">
        <f>step3_validation[[#This Row],[AI_ENF2]]</f>
        <v>9</v>
      </c>
      <c r="F21">
        <f t="shared" si="2"/>
        <v>0.88888888888888884</v>
      </c>
      <c r="G21">
        <f>survey_responses[[#This Row],[Tôi tin rằng Nhà nước, cơ quan thuế có đủ khả năng và công nghệ để phát hiện, xử lý nghiêm các hành vi trốn thuế. - HUMAN-ENF2]]</f>
        <v>9</v>
      </c>
      <c r="H21">
        <f t="shared" si="3"/>
        <v>0.88888888888888884</v>
      </c>
      <c r="I21" s="32">
        <f t="shared" si="4"/>
        <v>0.83333333333333326</v>
      </c>
      <c r="J21" s="32">
        <f t="shared" si="5"/>
        <v>0.88888888888888884</v>
      </c>
      <c r="K21">
        <f>step3_validation[[#This Row],[AI_FAC1]]</f>
        <v>7</v>
      </c>
      <c r="L21">
        <f t="shared" si="6"/>
        <v>0.66666666666666663</v>
      </c>
      <c r="M21">
        <f>survey_responses[[#This Row],[Các thủ tục khai báo thuế VÀ/HOẶC quy trình làm việc với cơ quan thuế đơn giản, tiện lợi, nhanh chóng hơn so với trước đây. - HUMAN-FAC1]]</f>
        <v>7</v>
      </c>
      <c r="N21">
        <f t="shared" si="7"/>
        <v>0.66666666666666663</v>
      </c>
      <c r="O21">
        <f>step3_validation[[#This Row],[AI_FAC2]]</f>
        <v>8</v>
      </c>
      <c r="P21">
        <f t="shared" si="8"/>
        <v>0.77777777777777779</v>
      </c>
      <c r="Q21">
        <f>survey_responses[[#This Row],[So với trước đây, tôi thấy cách tính thuế và các bậc thuế trong phương án mới đơn giản, dễ hiểu và dễ thực hiện hơn. - HUMAN-FAC2]]</f>
        <v>9</v>
      </c>
      <c r="R21">
        <f t="shared" si="9"/>
        <v>0.88888888888888884</v>
      </c>
      <c r="S21" s="32">
        <f t="shared" si="10"/>
        <v>0.72222222222222221</v>
      </c>
      <c r="T21" s="32">
        <f t="shared" si="11"/>
        <v>0.77777777777777768</v>
      </c>
      <c r="U21">
        <f>step3_validation[[#This Row],[AI_TRU1]]</f>
        <v>7</v>
      </c>
      <c r="V21">
        <f t="shared" si="12"/>
        <v>0.66666666666666663</v>
      </c>
      <c r="W21">
        <f>survey_responses[[#This Row],[Tôi tin rằng Nhà nước, cơ quan thuế sẽ thực thi chính sách mới một cách khách quan, công tâm và đối xử bình đẳng với mọi người nộp thuế.  - HUMAN-TRU1]]</f>
        <v>7</v>
      </c>
      <c r="X21">
        <f t="shared" si="13"/>
        <v>0.66666666666666663</v>
      </c>
      <c r="Y21">
        <f>step3_validation[[#This Row],[AI_TRU2]]</f>
        <v>8</v>
      </c>
      <c r="Z21">
        <f t="shared" si="14"/>
        <v>0.77777777777777779</v>
      </c>
      <c r="AA21">
        <f>survey_responses[[#This Row],[Tôi thấy mức thuế tôi phải đóng theo phương án mới là công bằng (người thu nhập như tôi đóng mức này là hợp lý). - HUMAN-TRU2]]</f>
        <v>8</v>
      </c>
      <c r="AB21">
        <f t="shared" si="15"/>
        <v>0.77777777777777779</v>
      </c>
      <c r="AC21">
        <f>step3_validation[[#This Row],[AI_TRU3]]</f>
        <v>7</v>
      </c>
      <c r="AD21">
        <f t="shared" si="16"/>
        <v>0.66666666666666663</v>
      </c>
      <c r="AE21">
        <f>survey_responses[[#This Row],[Tôi tin tưởng số tiền thuế tôi đóng sẽ được Nhà nước sử dụng hiệu quả để cải thiện dịch vụ công (y tế, đường xá...). - HUMAN-TRU3]]</f>
        <v>5</v>
      </c>
      <c r="AF21">
        <f t="shared" si="17"/>
        <v>0.44444444444444442</v>
      </c>
      <c r="AG21">
        <f>step3_validation[[#This Row],[AI_TRU4]]</f>
        <v>8</v>
      </c>
      <c r="AH21">
        <f t="shared" si="18"/>
        <v>0.77777777777777779</v>
      </c>
      <c r="AI21">
        <f>survey_responses[[#This Row],[Tôi thấy Nhà nước đã giải thích rõ ràng, minh bạch về lý do và mục tiêu của việc sửa đổi thuế lần này. - HUMAN-TRU4]]</f>
        <v>5</v>
      </c>
      <c r="AJ21">
        <f t="shared" si="19"/>
        <v>0.44444444444444442</v>
      </c>
      <c r="AK21" s="32">
        <f t="shared" si="20"/>
        <v>0.72222222222222221</v>
      </c>
      <c r="AL21" s="32">
        <f t="shared" si="21"/>
        <v>0.58333333333333326</v>
      </c>
      <c r="AM21" s="7">
        <f t="shared" si="22"/>
        <v>0.75925925925925919</v>
      </c>
      <c r="AN21" s="7">
        <f t="shared" si="23"/>
        <v>0.75</v>
      </c>
      <c r="AO21">
        <f>step3_validation[[#This Row],[AI_OUT1]]</f>
        <v>9</v>
      </c>
      <c r="AP21">
        <f t="shared" si="24"/>
        <v>0.88888888888888884</v>
      </c>
      <c r="AQ21">
        <f>survey_responses[[#This Row],[Sau khi xem xét các quyền lợi và nghĩa vụ, bạn có ủng hộ và tuân thủ chính sách mới hiện nay? - HUMAN-OUT1]]</f>
        <v>6</v>
      </c>
      <c r="AR21">
        <f t="shared" si="25"/>
        <v>0.55555555555555558</v>
      </c>
      <c r="AS21" s="32">
        <f t="shared" si="26"/>
        <v>3</v>
      </c>
      <c r="AT21">
        <f t="shared" si="27"/>
        <v>1</v>
      </c>
    </row>
    <row r="22" spans="1:46" x14ac:dyDescent="0.45">
      <c r="A22">
        <f>step3_validation[[#This Row],[AI_ENF1]]</f>
        <v>6</v>
      </c>
      <c r="B22">
        <f t="shared" si="0"/>
        <v>0.55555555555555558</v>
      </c>
      <c r="C22">
        <f>survey_responses[[#This Row],[Tôi tin rằng với các quy định quản lý thuế hiện nay, hành vi gian lận hoặc trốn thuế sẽ dễ dàng bị phát hiện và xử lý nghiêm. - HUMAN-ENF1]]</f>
        <v>10</v>
      </c>
      <c r="D22">
        <f t="shared" si="1"/>
        <v>1</v>
      </c>
      <c r="E22">
        <f>step3_validation[[#This Row],[AI_ENF2]]</f>
        <v>7</v>
      </c>
      <c r="F22">
        <f t="shared" si="2"/>
        <v>0.66666666666666663</v>
      </c>
      <c r="G22">
        <f>survey_responses[[#This Row],[Tôi tin rằng Nhà nước, cơ quan thuế có đủ khả năng và công nghệ để phát hiện, xử lý nghiêm các hành vi trốn thuế. - HUMAN-ENF2]]</f>
        <v>10</v>
      </c>
      <c r="H22">
        <f t="shared" si="3"/>
        <v>1</v>
      </c>
      <c r="I22" s="32">
        <f t="shared" si="4"/>
        <v>0.61111111111111116</v>
      </c>
      <c r="J22" s="32">
        <f t="shared" si="5"/>
        <v>1</v>
      </c>
      <c r="K22">
        <f>step3_validation[[#This Row],[AI_FAC1]]</f>
        <v>8</v>
      </c>
      <c r="L22">
        <f t="shared" si="6"/>
        <v>0.77777777777777779</v>
      </c>
      <c r="M22">
        <f>survey_responses[[#This Row],[Các thủ tục khai báo thuế VÀ/HOẶC quy trình làm việc với cơ quan thuế đơn giản, tiện lợi, nhanh chóng hơn so với trước đây. - HUMAN-FAC1]]</f>
        <v>8</v>
      </c>
      <c r="N22">
        <f t="shared" si="7"/>
        <v>0.77777777777777779</v>
      </c>
      <c r="O22">
        <f>step3_validation[[#This Row],[AI_FAC2]]</f>
        <v>9</v>
      </c>
      <c r="P22">
        <f t="shared" si="8"/>
        <v>0.88888888888888884</v>
      </c>
      <c r="Q22">
        <f>survey_responses[[#This Row],[So với trước đây, tôi thấy cách tính thuế và các bậc thuế trong phương án mới đơn giản, dễ hiểu và dễ thực hiện hơn. - HUMAN-FAC2]]</f>
        <v>7</v>
      </c>
      <c r="R22">
        <f t="shared" si="9"/>
        <v>0.66666666666666663</v>
      </c>
      <c r="S22" s="32">
        <f t="shared" si="10"/>
        <v>0.83333333333333326</v>
      </c>
      <c r="T22" s="32">
        <f t="shared" si="11"/>
        <v>0.72222222222222221</v>
      </c>
      <c r="U22">
        <f>step3_validation[[#This Row],[AI_TRU1]]</f>
        <v>7</v>
      </c>
      <c r="V22">
        <f t="shared" si="12"/>
        <v>0.66666666666666663</v>
      </c>
      <c r="W22">
        <f>survey_responses[[#This Row],[Tôi tin rằng Nhà nước, cơ quan thuế sẽ thực thi chính sách mới một cách khách quan, công tâm và đối xử bình đẳng với mọi người nộp thuế.  - HUMAN-TRU1]]</f>
        <v>7</v>
      </c>
      <c r="X22">
        <f t="shared" si="13"/>
        <v>0.66666666666666663</v>
      </c>
      <c r="Y22">
        <f>step3_validation[[#This Row],[AI_TRU2]]</f>
        <v>8</v>
      </c>
      <c r="Z22">
        <f t="shared" si="14"/>
        <v>0.77777777777777779</v>
      </c>
      <c r="AA22">
        <f>survey_responses[[#This Row],[Tôi thấy mức thuế tôi phải đóng theo phương án mới là công bằng (người thu nhập như tôi đóng mức này là hợp lý). - HUMAN-TRU2]]</f>
        <v>7</v>
      </c>
      <c r="AB22">
        <f t="shared" si="15"/>
        <v>0.66666666666666663</v>
      </c>
      <c r="AC22">
        <f>step3_validation[[#This Row],[AI_TRU3]]</f>
        <v>7</v>
      </c>
      <c r="AD22">
        <f t="shared" si="16"/>
        <v>0.66666666666666663</v>
      </c>
      <c r="AE22">
        <f>survey_responses[[#This Row],[Tôi tin tưởng số tiền thuế tôi đóng sẽ được Nhà nước sử dụng hiệu quả để cải thiện dịch vụ công (y tế, đường xá...). - HUMAN-TRU3]]</f>
        <v>2</v>
      </c>
      <c r="AF22">
        <f t="shared" si="17"/>
        <v>0.1111111111111111</v>
      </c>
      <c r="AG22">
        <f>step3_validation[[#This Row],[AI_TRU4]]</f>
        <v>6</v>
      </c>
      <c r="AH22">
        <f t="shared" si="18"/>
        <v>0.55555555555555558</v>
      </c>
      <c r="AI22">
        <f>survey_responses[[#This Row],[Tôi thấy Nhà nước đã giải thích rõ ràng, minh bạch về lý do và mục tiêu của việc sửa đổi thuế lần này. - HUMAN-TRU4]]</f>
        <v>3</v>
      </c>
      <c r="AJ22">
        <f t="shared" si="19"/>
        <v>0.22222222222222221</v>
      </c>
      <c r="AK22" s="32">
        <f t="shared" si="20"/>
        <v>0.66666666666666674</v>
      </c>
      <c r="AL22" s="32">
        <f t="shared" si="21"/>
        <v>0.41666666666666663</v>
      </c>
      <c r="AM22" s="7">
        <f t="shared" si="22"/>
        <v>0.70370370370370372</v>
      </c>
      <c r="AN22" s="7">
        <f t="shared" si="23"/>
        <v>0.71296296296296291</v>
      </c>
      <c r="AO22">
        <f>step3_validation[[#This Row],[AI_OUT1]]</f>
        <v>0</v>
      </c>
      <c r="AP22">
        <f t="shared" si="24"/>
        <v>-0.1111111111111111</v>
      </c>
      <c r="AQ22">
        <f>survey_responses[[#This Row],[Sau khi xem xét các quyền lợi và nghĩa vụ, bạn có ủng hộ và tuân thủ chính sách mới hiện nay? - HUMAN-OUT1]]</f>
        <v>3</v>
      </c>
      <c r="AR22">
        <f t="shared" si="25"/>
        <v>0.22222222222222221</v>
      </c>
      <c r="AS22" s="32">
        <f t="shared" si="26"/>
        <v>3</v>
      </c>
      <c r="AT22">
        <f t="shared" si="27"/>
        <v>0</v>
      </c>
    </row>
    <row r="23" spans="1:46" x14ac:dyDescent="0.45">
      <c r="A23">
        <f>step3_validation[[#This Row],[AI_ENF1]]</f>
        <v>9</v>
      </c>
      <c r="B23">
        <f t="shared" si="0"/>
        <v>0.88888888888888884</v>
      </c>
      <c r="C23">
        <f>survey_responses[[#This Row],[Tôi tin rằng với các quy định quản lý thuế hiện nay, hành vi gian lận hoặc trốn thuế sẽ dễ dàng bị phát hiện và xử lý nghiêm. - HUMAN-ENF1]]</f>
        <v>8</v>
      </c>
      <c r="D23">
        <f t="shared" si="1"/>
        <v>0.77777777777777779</v>
      </c>
      <c r="E23">
        <f>step3_validation[[#This Row],[AI_ENF2]]</f>
        <v>8</v>
      </c>
      <c r="F23">
        <f t="shared" si="2"/>
        <v>0.77777777777777779</v>
      </c>
      <c r="G23">
        <f>survey_responses[[#This Row],[Tôi tin rằng Nhà nước, cơ quan thuế có đủ khả năng và công nghệ để phát hiện, xử lý nghiêm các hành vi trốn thuế. - HUMAN-ENF2]]</f>
        <v>8</v>
      </c>
      <c r="H23">
        <f t="shared" si="3"/>
        <v>0.77777777777777779</v>
      </c>
      <c r="I23" s="32">
        <f t="shared" si="4"/>
        <v>0.83333333333333326</v>
      </c>
      <c r="J23" s="32">
        <f t="shared" si="5"/>
        <v>0.77777777777777779</v>
      </c>
      <c r="K23">
        <f>step3_validation[[#This Row],[AI_FAC1]]</f>
        <v>8</v>
      </c>
      <c r="L23">
        <f t="shared" si="6"/>
        <v>0.77777777777777779</v>
      </c>
      <c r="M23">
        <f>survey_responses[[#This Row],[Các thủ tục khai báo thuế VÀ/HOẶC quy trình làm việc với cơ quan thuế đơn giản, tiện lợi, nhanh chóng hơn so với trước đây. - HUMAN-FAC1]]</f>
        <v>5</v>
      </c>
      <c r="N23">
        <f t="shared" si="7"/>
        <v>0.44444444444444442</v>
      </c>
      <c r="O23">
        <f>step3_validation[[#This Row],[AI_FAC2]]</f>
        <v>8</v>
      </c>
      <c r="P23">
        <f t="shared" si="8"/>
        <v>0.77777777777777779</v>
      </c>
      <c r="Q23">
        <f>survey_responses[[#This Row],[So với trước đây, tôi thấy cách tính thuế và các bậc thuế trong phương án mới đơn giản, dễ hiểu và dễ thực hiện hơn. - HUMAN-FAC2]]</f>
        <v>8</v>
      </c>
      <c r="R23">
        <f t="shared" si="9"/>
        <v>0.77777777777777779</v>
      </c>
      <c r="S23" s="32">
        <f t="shared" si="10"/>
        <v>0.77777777777777779</v>
      </c>
      <c r="T23" s="32">
        <f t="shared" si="11"/>
        <v>0.61111111111111116</v>
      </c>
      <c r="U23">
        <f>step3_validation[[#This Row],[AI_TRU1]]</f>
        <v>8</v>
      </c>
      <c r="V23">
        <f t="shared" si="12"/>
        <v>0.77777777777777779</v>
      </c>
      <c r="W23">
        <f>survey_responses[[#This Row],[Tôi tin rằng Nhà nước, cơ quan thuế sẽ thực thi chính sách mới một cách khách quan, công tâm và đối xử bình đẳng với mọi người nộp thuế.  - HUMAN-TRU1]]</f>
        <v>8</v>
      </c>
      <c r="X23">
        <f t="shared" si="13"/>
        <v>0.77777777777777779</v>
      </c>
      <c r="Y23">
        <f>step3_validation[[#This Row],[AI_TRU2]]</f>
        <v>6</v>
      </c>
      <c r="Z23">
        <f t="shared" si="14"/>
        <v>0.55555555555555558</v>
      </c>
      <c r="AA23">
        <f>survey_responses[[#This Row],[Tôi thấy mức thuế tôi phải đóng theo phương án mới là công bằng (người thu nhập như tôi đóng mức này là hợp lý). - HUMAN-TRU2]]</f>
        <v>8</v>
      </c>
      <c r="AB23">
        <f t="shared" si="15"/>
        <v>0.77777777777777779</v>
      </c>
      <c r="AC23">
        <f>step3_validation[[#This Row],[AI_TRU3]]</f>
        <v>5</v>
      </c>
      <c r="AD23">
        <f t="shared" si="16"/>
        <v>0.44444444444444442</v>
      </c>
      <c r="AE23">
        <f>survey_responses[[#This Row],[Tôi tin tưởng số tiền thuế tôi đóng sẽ được Nhà nước sử dụng hiệu quả để cải thiện dịch vụ công (y tế, đường xá...). - HUMAN-TRU3]]</f>
        <v>8</v>
      </c>
      <c r="AF23">
        <f t="shared" si="17"/>
        <v>0.77777777777777779</v>
      </c>
      <c r="AG23">
        <f>step3_validation[[#This Row],[AI_TRU4]]</f>
        <v>6</v>
      </c>
      <c r="AH23">
        <f t="shared" si="18"/>
        <v>0.55555555555555558</v>
      </c>
      <c r="AI23">
        <f>survey_responses[[#This Row],[Tôi thấy Nhà nước đã giải thích rõ ràng, minh bạch về lý do và mục tiêu của việc sửa đổi thuế lần này. - HUMAN-TRU4]]</f>
        <v>8</v>
      </c>
      <c r="AJ23">
        <f t="shared" si="19"/>
        <v>0.77777777777777779</v>
      </c>
      <c r="AK23" s="32">
        <f t="shared" si="20"/>
        <v>0.58333333333333337</v>
      </c>
      <c r="AL23" s="32">
        <f t="shared" si="21"/>
        <v>0.77777777777777779</v>
      </c>
      <c r="AM23" s="7">
        <f t="shared" si="22"/>
        <v>0.73148148148148151</v>
      </c>
      <c r="AN23" s="7">
        <f t="shared" si="23"/>
        <v>0.72222222222222221</v>
      </c>
      <c r="AO23">
        <f>step3_validation[[#This Row],[AI_OUT1]]</f>
        <v>7</v>
      </c>
      <c r="AP23">
        <f t="shared" si="24"/>
        <v>0.66666666666666663</v>
      </c>
      <c r="AQ23">
        <f>survey_responses[[#This Row],[Sau khi xem xét các quyền lợi và nghĩa vụ, bạn có ủng hộ và tuân thủ chính sách mới hiện nay? - HUMAN-OUT1]]</f>
        <v>8</v>
      </c>
      <c r="AR23">
        <f t="shared" si="25"/>
        <v>0.77777777777777779</v>
      </c>
      <c r="AS23" s="32">
        <f t="shared" si="26"/>
        <v>1</v>
      </c>
      <c r="AT23">
        <f t="shared" si="27"/>
        <v>1</v>
      </c>
    </row>
    <row r="24" spans="1:46" x14ac:dyDescent="0.45">
      <c r="A24">
        <f>step3_validation[[#This Row],[AI_ENF1]]</f>
        <v>6</v>
      </c>
      <c r="B24">
        <f t="shared" si="0"/>
        <v>0.55555555555555558</v>
      </c>
      <c r="C24">
        <f>survey_responses[[#This Row],[Tôi tin rằng với các quy định quản lý thuế hiện nay, hành vi gian lận hoặc trốn thuế sẽ dễ dàng bị phát hiện và xử lý nghiêm. - HUMAN-ENF1]]</f>
        <v>5</v>
      </c>
      <c r="D24">
        <f t="shared" si="1"/>
        <v>0.44444444444444442</v>
      </c>
      <c r="E24">
        <f>step3_validation[[#This Row],[AI_ENF2]]</f>
        <v>5</v>
      </c>
      <c r="F24">
        <f t="shared" si="2"/>
        <v>0.44444444444444442</v>
      </c>
      <c r="G24">
        <f>survey_responses[[#This Row],[Tôi tin rằng Nhà nước, cơ quan thuế có đủ khả năng và công nghệ để phát hiện, xử lý nghiêm các hành vi trốn thuế. - HUMAN-ENF2]]</f>
        <v>5</v>
      </c>
      <c r="H24">
        <f t="shared" si="3"/>
        <v>0.44444444444444442</v>
      </c>
      <c r="I24" s="32">
        <f t="shared" si="4"/>
        <v>0.5</v>
      </c>
      <c r="J24" s="32">
        <f t="shared" si="5"/>
        <v>0.44444444444444442</v>
      </c>
      <c r="K24">
        <f>step3_validation[[#This Row],[AI_FAC1]]</f>
        <v>8</v>
      </c>
      <c r="L24">
        <f t="shared" si="6"/>
        <v>0.77777777777777779</v>
      </c>
      <c r="M24">
        <f>survey_responses[[#This Row],[Các thủ tục khai báo thuế VÀ/HOẶC quy trình làm việc với cơ quan thuế đơn giản, tiện lợi, nhanh chóng hơn so với trước đây. - HUMAN-FAC1]]</f>
        <v>5</v>
      </c>
      <c r="N24">
        <f t="shared" si="7"/>
        <v>0.44444444444444442</v>
      </c>
      <c r="O24">
        <f>step3_validation[[#This Row],[AI_FAC2]]</f>
        <v>7</v>
      </c>
      <c r="P24">
        <f t="shared" si="8"/>
        <v>0.66666666666666663</v>
      </c>
      <c r="Q24">
        <f>survey_responses[[#This Row],[So với trước đây, tôi thấy cách tính thuế và các bậc thuế trong phương án mới đơn giản, dễ hiểu và dễ thực hiện hơn. - HUMAN-FAC2]]</f>
        <v>5</v>
      </c>
      <c r="R24">
        <f t="shared" si="9"/>
        <v>0.44444444444444442</v>
      </c>
      <c r="S24" s="32">
        <f t="shared" si="10"/>
        <v>0.72222222222222221</v>
      </c>
      <c r="T24" s="32">
        <f t="shared" si="11"/>
        <v>0.44444444444444442</v>
      </c>
      <c r="U24">
        <f>step3_validation[[#This Row],[AI_TRU1]]</f>
        <v>7</v>
      </c>
      <c r="V24">
        <f t="shared" si="12"/>
        <v>0.66666666666666663</v>
      </c>
      <c r="W24">
        <f>survey_responses[[#This Row],[Tôi tin rằng Nhà nước, cơ quan thuế sẽ thực thi chính sách mới một cách khách quan, công tâm và đối xử bình đẳng với mọi người nộp thuế.  - HUMAN-TRU1]]</f>
        <v>5</v>
      </c>
      <c r="X24">
        <f t="shared" si="13"/>
        <v>0.44444444444444442</v>
      </c>
      <c r="Y24">
        <f>step3_validation[[#This Row],[AI_TRU2]]</f>
        <v>6</v>
      </c>
      <c r="Z24">
        <f t="shared" si="14"/>
        <v>0.55555555555555558</v>
      </c>
      <c r="AA24">
        <f>survey_responses[[#This Row],[Tôi thấy mức thuế tôi phải đóng theo phương án mới là công bằng (người thu nhập như tôi đóng mức này là hợp lý). - HUMAN-TRU2]]</f>
        <v>5</v>
      </c>
      <c r="AB24">
        <f t="shared" si="15"/>
        <v>0.44444444444444442</v>
      </c>
      <c r="AC24">
        <f>step3_validation[[#This Row],[AI_TRU3]]</f>
        <v>5</v>
      </c>
      <c r="AD24">
        <f t="shared" si="16"/>
        <v>0.44444444444444442</v>
      </c>
      <c r="AE24">
        <f>survey_responses[[#This Row],[Tôi tin tưởng số tiền thuế tôi đóng sẽ được Nhà nước sử dụng hiệu quả để cải thiện dịch vụ công (y tế, đường xá...). - HUMAN-TRU3]]</f>
        <v>5</v>
      </c>
      <c r="AF24">
        <f t="shared" si="17"/>
        <v>0.44444444444444442</v>
      </c>
      <c r="AG24">
        <f>step3_validation[[#This Row],[AI_TRU4]]</f>
        <v>6</v>
      </c>
      <c r="AH24">
        <f t="shared" si="18"/>
        <v>0.55555555555555558</v>
      </c>
      <c r="AI24">
        <f>survey_responses[[#This Row],[Tôi thấy Nhà nước đã giải thích rõ ràng, minh bạch về lý do và mục tiêu của việc sửa đổi thuế lần này. - HUMAN-TRU4]]</f>
        <v>5</v>
      </c>
      <c r="AJ24">
        <f t="shared" si="19"/>
        <v>0.44444444444444442</v>
      </c>
      <c r="AK24" s="32">
        <f t="shared" si="20"/>
        <v>0.55555555555555558</v>
      </c>
      <c r="AL24" s="32">
        <f t="shared" si="21"/>
        <v>0.44444444444444442</v>
      </c>
      <c r="AM24" s="7">
        <f t="shared" si="22"/>
        <v>0.59259259259259267</v>
      </c>
      <c r="AN24" s="7">
        <f t="shared" si="23"/>
        <v>0.44444444444444442</v>
      </c>
      <c r="AO24">
        <f>step3_validation[[#This Row],[AI_OUT1]]</f>
        <v>7</v>
      </c>
      <c r="AP24">
        <f t="shared" si="24"/>
        <v>0.66666666666666663</v>
      </c>
      <c r="AQ24">
        <f>survey_responses[[#This Row],[Sau khi xem xét các quyền lợi và nghĩa vụ, bạn có ủng hộ và tuân thủ chính sách mới hiện nay? - HUMAN-OUT1]]</f>
        <v>5</v>
      </c>
      <c r="AR24">
        <f t="shared" si="25"/>
        <v>0.44444444444444442</v>
      </c>
      <c r="AS24" s="32">
        <f t="shared" si="26"/>
        <v>2</v>
      </c>
      <c r="AT24">
        <f t="shared" si="27"/>
        <v>0</v>
      </c>
    </row>
    <row r="25" spans="1:46" x14ac:dyDescent="0.45">
      <c r="A25">
        <f>step3_validation[[#This Row],[AI_ENF1]]</f>
        <v>8</v>
      </c>
      <c r="B25">
        <f t="shared" si="0"/>
        <v>0.77777777777777779</v>
      </c>
      <c r="C25">
        <f>survey_responses[[#This Row],[Tôi tin rằng với các quy định quản lý thuế hiện nay, hành vi gian lận hoặc trốn thuế sẽ dễ dàng bị phát hiện và xử lý nghiêm. - HUMAN-ENF1]]</f>
        <v>9</v>
      </c>
      <c r="D25">
        <f t="shared" si="1"/>
        <v>0.88888888888888884</v>
      </c>
      <c r="E25">
        <f>step3_validation[[#This Row],[AI_ENF2]]</f>
        <v>7</v>
      </c>
      <c r="F25">
        <f t="shared" si="2"/>
        <v>0.66666666666666663</v>
      </c>
      <c r="G25">
        <f>survey_responses[[#This Row],[Tôi tin rằng Nhà nước, cơ quan thuế có đủ khả năng và công nghệ để phát hiện, xử lý nghiêm các hành vi trốn thuế. - HUMAN-ENF2]]</f>
        <v>8</v>
      </c>
      <c r="H25">
        <f t="shared" si="3"/>
        <v>0.77777777777777779</v>
      </c>
      <c r="I25" s="32">
        <f t="shared" si="4"/>
        <v>0.72222222222222221</v>
      </c>
      <c r="J25" s="32">
        <f t="shared" si="5"/>
        <v>0.83333333333333326</v>
      </c>
      <c r="K25">
        <f>step3_validation[[#This Row],[AI_FAC1]]</f>
        <v>9</v>
      </c>
      <c r="L25">
        <f t="shared" si="6"/>
        <v>0.88888888888888884</v>
      </c>
      <c r="M25">
        <f>survey_responses[[#This Row],[Các thủ tục khai báo thuế VÀ/HOẶC quy trình làm việc với cơ quan thuế đơn giản, tiện lợi, nhanh chóng hơn so với trước đây. - HUMAN-FAC1]]</f>
        <v>6</v>
      </c>
      <c r="N25">
        <f t="shared" si="7"/>
        <v>0.55555555555555558</v>
      </c>
      <c r="O25">
        <f>step3_validation[[#This Row],[AI_FAC2]]</f>
        <v>8</v>
      </c>
      <c r="P25">
        <f t="shared" si="8"/>
        <v>0.77777777777777779</v>
      </c>
      <c r="Q25">
        <f>survey_responses[[#This Row],[So với trước đây, tôi thấy cách tính thuế và các bậc thuế trong phương án mới đơn giản, dễ hiểu và dễ thực hiện hơn. - HUMAN-FAC2]]</f>
        <v>9</v>
      </c>
      <c r="R25">
        <f t="shared" si="9"/>
        <v>0.88888888888888884</v>
      </c>
      <c r="S25" s="32">
        <f t="shared" si="10"/>
        <v>0.83333333333333326</v>
      </c>
      <c r="T25" s="32">
        <f t="shared" si="11"/>
        <v>0.72222222222222221</v>
      </c>
      <c r="U25">
        <f>step3_validation[[#This Row],[AI_TRU1]]</f>
        <v>7</v>
      </c>
      <c r="V25">
        <f t="shared" si="12"/>
        <v>0.66666666666666663</v>
      </c>
      <c r="W25">
        <f>survey_responses[[#This Row],[Tôi tin rằng Nhà nước, cơ quan thuế sẽ thực thi chính sách mới một cách khách quan, công tâm và đối xử bình đẳng với mọi người nộp thuế.  - HUMAN-TRU1]]</f>
        <v>8</v>
      </c>
      <c r="X25">
        <f t="shared" si="13"/>
        <v>0.77777777777777779</v>
      </c>
      <c r="Y25">
        <f>step3_validation[[#This Row],[AI_TRU2]]</f>
        <v>8</v>
      </c>
      <c r="Z25">
        <f t="shared" si="14"/>
        <v>0.77777777777777779</v>
      </c>
      <c r="AA25">
        <f>survey_responses[[#This Row],[Tôi thấy mức thuế tôi phải đóng theo phương án mới là công bằng (người thu nhập như tôi đóng mức này là hợp lý). - HUMAN-TRU2]]</f>
        <v>10</v>
      </c>
      <c r="AB25">
        <f t="shared" si="15"/>
        <v>1</v>
      </c>
      <c r="AC25">
        <f>step3_validation[[#This Row],[AI_TRU3]]</f>
        <v>6</v>
      </c>
      <c r="AD25">
        <f t="shared" si="16"/>
        <v>0.55555555555555558</v>
      </c>
      <c r="AE25">
        <f>survey_responses[[#This Row],[Tôi tin tưởng số tiền thuế tôi đóng sẽ được Nhà nước sử dụng hiệu quả để cải thiện dịch vụ công (y tế, đường xá...). - HUMAN-TRU3]]</f>
        <v>6</v>
      </c>
      <c r="AF25">
        <f t="shared" si="17"/>
        <v>0.55555555555555558</v>
      </c>
      <c r="AG25">
        <f>step3_validation[[#This Row],[AI_TRU4]]</f>
        <v>7</v>
      </c>
      <c r="AH25">
        <f t="shared" si="18"/>
        <v>0.66666666666666663</v>
      </c>
      <c r="AI25">
        <f>survey_responses[[#This Row],[Tôi thấy Nhà nước đã giải thích rõ ràng, minh bạch về lý do và mục tiêu của việc sửa đổi thuế lần này. - HUMAN-TRU4]]</f>
        <v>6</v>
      </c>
      <c r="AJ25">
        <f t="shared" si="19"/>
        <v>0.55555555555555558</v>
      </c>
      <c r="AK25" s="32">
        <f t="shared" si="20"/>
        <v>0.66666666666666663</v>
      </c>
      <c r="AL25" s="32">
        <f t="shared" si="21"/>
        <v>0.7222222222222221</v>
      </c>
      <c r="AM25" s="7">
        <f t="shared" si="22"/>
        <v>0.74074074074074059</v>
      </c>
      <c r="AN25" s="7">
        <f t="shared" si="23"/>
        <v>0.75925925925925919</v>
      </c>
      <c r="AO25">
        <f>step3_validation[[#This Row],[AI_OUT1]]</f>
        <v>6</v>
      </c>
      <c r="AP25">
        <f t="shared" si="24"/>
        <v>0.55555555555555558</v>
      </c>
      <c r="AQ25">
        <f>survey_responses[[#This Row],[Sau khi xem xét các quyền lợi và nghĩa vụ, bạn có ủng hộ và tuân thủ chính sách mới hiện nay? - HUMAN-OUT1]]</f>
        <v>8</v>
      </c>
      <c r="AR25">
        <f t="shared" si="25"/>
        <v>0.77777777777777779</v>
      </c>
      <c r="AS25" s="32">
        <f t="shared" si="26"/>
        <v>2</v>
      </c>
      <c r="AT25">
        <f t="shared" si="27"/>
        <v>1</v>
      </c>
    </row>
    <row r="26" spans="1:46" x14ac:dyDescent="0.45">
      <c r="A26">
        <f>step3_validation[[#This Row],[AI_ENF1]]</f>
        <v>5</v>
      </c>
      <c r="B26">
        <f t="shared" si="0"/>
        <v>0.44444444444444442</v>
      </c>
      <c r="C26">
        <f>survey_responses[[#This Row],[Tôi tin rằng với các quy định quản lý thuế hiện nay, hành vi gian lận hoặc trốn thuế sẽ dễ dàng bị phát hiện và xử lý nghiêm. - HUMAN-ENF1]]</f>
        <v>6</v>
      </c>
      <c r="D26">
        <f t="shared" si="1"/>
        <v>0.55555555555555558</v>
      </c>
      <c r="E26">
        <f>step3_validation[[#This Row],[AI_ENF2]]</f>
        <v>6</v>
      </c>
      <c r="F26">
        <f t="shared" si="2"/>
        <v>0.55555555555555558</v>
      </c>
      <c r="G26">
        <f>survey_responses[[#This Row],[Tôi tin rằng Nhà nước, cơ quan thuế có đủ khả năng và công nghệ để phát hiện, xử lý nghiêm các hành vi trốn thuế. - HUMAN-ENF2]]</f>
        <v>7</v>
      </c>
      <c r="H26">
        <f t="shared" si="3"/>
        <v>0.66666666666666663</v>
      </c>
      <c r="I26" s="32">
        <f t="shared" si="4"/>
        <v>0.5</v>
      </c>
      <c r="J26" s="32">
        <f t="shared" si="5"/>
        <v>0.61111111111111116</v>
      </c>
      <c r="K26">
        <f>step3_validation[[#This Row],[AI_FAC1]]</f>
        <v>7</v>
      </c>
      <c r="L26">
        <f t="shared" si="6"/>
        <v>0.66666666666666663</v>
      </c>
      <c r="M26">
        <f>survey_responses[[#This Row],[Các thủ tục khai báo thuế VÀ/HOẶC quy trình làm việc với cơ quan thuế đơn giản, tiện lợi, nhanh chóng hơn so với trước đây. - HUMAN-FAC1]]</f>
        <v>5</v>
      </c>
      <c r="N26">
        <f t="shared" si="7"/>
        <v>0.44444444444444442</v>
      </c>
      <c r="O26">
        <f>step3_validation[[#This Row],[AI_FAC2]]</f>
        <v>8</v>
      </c>
      <c r="P26">
        <f t="shared" si="8"/>
        <v>0.77777777777777779</v>
      </c>
      <c r="Q26">
        <f>survey_responses[[#This Row],[So với trước đây, tôi thấy cách tính thuế và các bậc thuế trong phương án mới đơn giản, dễ hiểu và dễ thực hiện hơn. - HUMAN-FAC2]]</f>
        <v>6</v>
      </c>
      <c r="R26">
        <f t="shared" si="9"/>
        <v>0.55555555555555558</v>
      </c>
      <c r="S26" s="32">
        <f t="shared" si="10"/>
        <v>0.72222222222222221</v>
      </c>
      <c r="T26" s="32">
        <f t="shared" si="11"/>
        <v>0.5</v>
      </c>
      <c r="U26">
        <f>step3_validation[[#This Row],[AI_TRU1]]</f>
        <v>7</v>
      </c>
      <c r="V26">
        <f t="shared" si="12"/>
        <v>0.66666666666666663</v>
      </c>
      <c r="W26">
        <f>survey_responses[[#This Row],[Tôi tin rằng Nhà nước, cơ quan thuế sẽ thực thi chính sách mới một cách khách quan, công tâm và đối xử bình đẳng với mọi người nộp thuế.  - HUMAN-TRU1]]</f>
        <v>7</v>
      </c>
      <c r="X26">
        <f t="shared" si="13"/>
        <v>0.66666666666666663</v>
      </c>
      <c r="Y26">
        <f>step3_validation[[#This Row],[AI_TRU2]]</f>
        <v>6</v>
      </c>
      <c r="Z26">
        <f t="shared" si="14"/>
        <v>0.55555555555555558</v>
      </c>
      <c r="AA26">
        <f>survey_responses[[#This Row],[Tôi thấy mức thuế tôi phải đóng theo phương án mới là công bằng (người thu nhập như tôi đóng mức này là hợp lý). - HUMAN-TRU2]]</f>
        <v>7</v>
      </c>
      <c r="AB26">
        <f t="shared" si="15"/>
        <v>0.66666666666666663</v>
      </c>
      <c r="AC26">
        <f>step3_validation[[#This Row],[AI_TRU3]]</f>
        <v>5</v>
      </c>
      <c r="AD26">
        <f t="shared" si="16"/>
        <v>0.44444444444444442</v>
      </c>
      <c r="AE26">
        <f>survey_responses[[#This Row],[Tôi tin tưởng số tiền thuế tôi đóng sẽ được Nhà nước sử dụng hiệu quả để cải thiện dịch vụ công (y tế, đường xá...). - HUMAN-TRU3]]</f>
        <v>3</v>
      </c>
      <c r="AF26">
        <f t="shared" si="17"/>
        <v>0.22222222222222221</v>
      </c>
      <c r="AG26">
        <f>step3_validation[[#This Row],[AI_TRU4]]</f>
        <v>4</v>
      </c>
      <c r="AH26">
        <f t="shared" si="18"/>
        <v>0.33333333333333331</v>
      </c>
      <c r="AI26">
        <f>survey_responses[[#This Row],[Tôi thấy Nhà nước đã giải thích rõ ràng, minh bạch về lý do và mục tiêu của việc sửa đổi thuế lần này. - HUMAN-TRU4]]</f>
        <v>3</v>
      </c>
      <c r="AJ26">
        <f t="shared" si="19"/>
        <v>0.22222222222222221</v>
      </c>
      <c r="AK26" s="32">
        <f t="shared" si="20"/>
        <v>0.5</v>
      </c>
      <c r="AL26" s="32">
        <f t="shared" si="21"/>
        <v>0.44444444444444442</v>
      </c>
      <c r="AM26" s="7">
        <f t="shared" si="22"/>
        <v>0.57407407407407407</v>
      </c>
      <c r="AN26" s="7">
        <f t="shared" si="23"/>
        <v>0.51851851851851849</v>
      </c>
      <c r="AO26">
        <f>step3_validation[[#This Row],[AI_OUT1]]</f>
        <v>8</v>
      </c>
      <c r="AP26">
        <f t="shared" si="24"/>
        <v>0.77777777777777779</v>
      </c>
      <c r="AQ26">
        <f>survey_responses[[#This Row],[Sau khi xem xét các quyền lợi và nghĩa vụ, bạn có ủng hộ và tuân thủ chính sách mới hiện nay? - HUMAN-OUT1]]</f>
        <v>5</v>
      </c>
      <c r="AR26">
        <f t="shared" si="25"/>
        <v>0.44444444444444442</v>
      </c>
      <c r="AS26" s="32">
        <f t="shared" si="26"/>
        <v>3</v>
      </c>
      <c r="AT26">
        <f t="shared" si="27"/>
        <v>0</v>
      </c>
    </row>
    <row r="27" spans="1:46" x14ac:dyDescent="0.45">
      <c r="A27">
        <f>step3_validation[[#This Row],[AI_ENF1]]</f>
        <v>7</v>
      </c>
      <c r="B27">
        <f t="shared" si="0"/>
        <v>0.66666666666666663</v>
      </c>
      <c r="C27">
        <f>survey_responses[[#This Row],[Tôi tin rằng với các quy định quản lý thuế hiện nay, hành vi gian lận hoặc trốn thuế sẽ dễ dàng bị phát hiện và xử lý nghiêm. - HUMAN-ENF1]]</f>
        <v>10</v>
      </c>
      <c r="D27">
        <f t="shared" si="1"/>
        <v>1</v>
      </c>
      <c r="E27">
        <f>step3_validation[[#This Row],[AI_ENF2]]</f>
        <v>8</v>
      </c>
      <c r="F27">
        <f t="shared" si="2"/>
        <v>0.77777777777777779</v>
      </c>
      <c r="G27">
        <f>survey_responses[[#This Row],[Tôi tin rằng Nhà nước, cơ quan thuế có đủ khả năng và công nghệ để phát hiện, xử lý nghiêm các hành vi trốn thuế. - HUMAN-ENF2]]</f>
        <v>10</v>
      </c>
      <c r="H27">
        <f t="shared" si="3"/>
        <v>1</v>
      </c>
      <c r="I27" s="32">
        <f t="shared" si="4"/>
        <v>0.72222222222222221</v>
      </c>
      <c r="J27" s="32">
        <f t="shared" si="5"/>
        <v>1</v>
      </c>
      <c r="K27">
        <f>step3_validation[[#This Row],[AI_FAC1]]</f>
        <v>6</v>
      </c>
      <c r="L27">
        <f t="shared" si="6"/>
        <v>0.55555555555555558</v>
      </c>
      <c r="M27">
        <f>survey_responses[[#This Row],[Các thủ tục khai báo thuế VÀ/HOẶC quy trình làm việc với cơ quan thuế đơn giản, tiện lợi, nhanh chóng hơn so với trước đây. - HUMAN-FAC1]]</f>
        <v>10</v>
      </c>
      <c r="N27">
        <f t="shared" si="7"/>
        <v>1</v>
      </c>
      <c r="O27">
        <f>step3_validation[[#This Row],[AI_FAC2]]</f>
        <v>8</v>
      </c>
      <c r="P27">
        <f t="shared" si="8"/>
        <v>0.77777777777777779</v>
      </c>
      <c r="Q27">
        <f>survey_responses[[#This Row],[So với trước đây, tôi thấy cách tính thuế và các bậc thuế trong phương án mới đơn giản, dễ hiểu và dễ thực hiện hơn. - HUMAN-FAC2]]</f>
        <v>6</v>
      </c>
      <c r="R27">
        <f t="shared" si="9"/>
        <v>0.55555555555555558</v>
      </c>
      <c r="S27" s="32">
        <f t="shared" si="10"/>
        <v>0.66666666666666674</v>
      </c>
      <c r="T27" s="32">
        <f t="shared" si="11"/>
        <v>0.77777777777777779</v>
      </c>
      <c r="U27">
        <f>step3_validation[[#This Row],[AI_TRU1]]</f>
        <v>6</v>
      </c>
      <c r="V27">
        <f t="shared" si="12"/>
        <v>0.55555555555555558</v>
      </c>
      <c r="W27">
        <f>survey_responses[[#This Row],[Tôi tin rằng Nhà nước, cơ quan thuế sẽ thực thi chính sách mới một cách khách quan, công tâm và đối xử bình đẳng với mọi người nộp thuế.  - HUMAN-TRU1]]</f>
        <v>6</v>
      </c>
      <c r="X27">
        <f t="shared" si="13"/>
        <v>0.55555555555555558</v>
      </c>
      <c r="Y27">
        <f>step3_validation[[#This Row],[AI_TRU2]]</f>
        <v>7</v>
      </c>
      <c r="Z27">
        <f t="shared" si="14"/>
        <v>0.66666666666666663</v>
      </c>
      <c r="AA27">
        <f>survey_responses[[#This Row],[Tôi thấy mức thuế tôi phải đóng theo phương án mới là công bằng (người thu nhập như tôi đóng mức này là hợp lý). - HUMAN-TRU2]]</f>
        <v>10</v>
      </c>
      <c r="AB27">
        <f t="shared" si="15"/>
        <v>1</v>
      </c>
      <c r="AC27">
        <f>step3_validation[[#This Row],[AI_TRU3]]</f>
        <v>5</v>
      </c>
      <c r="AD27">
        <f t="shared" si="16"/>
        <v>0.44444444444444442</v>
      </c>
      <c r="AE27">
        <f>survey_responses[[#This Row],[Tôi tin tưởng số tiền thuế tôi đóng sẽ được Nhà nước sử dụng hiệu quả để cải thiện dịch vụ công (y tế, đường xá...). - HUMAN-TRU3]]</f>
        <v>1</v>
      </c>
      <c r="AF27">
        <f t="shared" si="17"/>
        <v>0</v>
      </c>
      <c r="AG27">
        <f>step3_validation[[#This Row],[AI_TRU4]]</f>
        <v>6</v>
      </c>
      <c r="AH27">
        <f t="shared" si="18"/>
        <v>0.55555555555555558</v>
      </c>
      <c r="AI27">
        <f>survey_responses[[#This Row],[Tôi thấy Nhà nước đã giải thích rõ ràng, minh bạch về lý do và mục tiêu của việc sửa đổi thuế lần này. - HUMAN-TRU4]]</f>
        <v>4</v>
      </c>
      <c r="AJ27">
        <f t="shared" si="19"/>
        <v>0.33333333333333331</v>
      </c>
      <c r="AK27" s="32">
        <f t="shared" si="20"/>
        <v>0.55555555555555558</v>
      </c>
      <c r="AL27" s="32">
        <f t="shared" si="21"/>
        <v>0.47222222222222221</v>
      </c>
      <c r="AM27" s="7">
        <f t="shared" si="22"/>
        <v>0.64814814814814814</v>
      </c>
      <c r="AN27" s="7">
        <f t="shared" si="23"/>
        <v>0.75</v>
      </c>
      <c r="AO27">
        <f>step3_validation[[#This Row],[AI_OUT1]]</f>
        <v>7</v>
      </c>
      <c r="AP27">
        <f t="shared" si="24"/>
        <v>0.66666666666666663</v>
      </c>
      <c r="AQ27">
        <f>survey_responses[[#This Row],[Sau khi xem xét các quyền lợi và nghĩa vụ, bạn có ủng hộ và tuân thủ chính sách mới hiện nay? - HUMAN-OUT1]]</f>
        <v>10</v>
      </c>
      <c r="AR27">
        <f t="shared" si="25"/>
        <v>1</v>
      </c>
      <c r="AS27" s="32">
        <f t="shared" si="26"/>
        <v>3</v>
      </c>
      <c r="AT27">
        <f t="shared" si="27"/>
        <v>1</v>
      </c>
    </row>
    <row r="28" spans="1:46" x14ac:dyDescent="0.45">
      <c r="A28">
        <f>step3_validation[[#This Row],[AI_ENF1]]</f>
        <v>8</v>
      </c>
      <c r="B28">
        <f t="shared" si="0"/>
        <v>0.77777777777777779</v>
      </c>
      <c r="C28">
        <f>survey_responses[[#This Row],[Tôi tin rằng với các quy định quản lý thuế hiện nay, hành vi gian lận hoặc trốn thuế sẽ dễ dàng bị phát hiện và xử lý nghiêm. - HUMAN-ENF1]]</f>
        <v>1</v>
      </c>
      <c r="D28">
        <f t="shared" si="1"/>
        <v>0</v>
      </c>
      <c r="E28">
        <f>step3_validation[[#This Row],[AI_ENF2]]</f>
        <v>7</v>
      </c>
      <c r="F28">
        <f t="shared" si="2"/>
        <v>0.66666666666666663</v>
      </c>
      <c r="G28">
        <f>survey_responses[[#This Row],[Tôi tin rằng Nhà nước, cơ quan thuế có đủ khả năng và công nghệ để phát hiện, xử lý nghiêm các hành vi trốn thuế. - HUMAN-ENF2]]</f>
        <v>1</v>
      </c>
      <c r="H28">
        <f t="shared" si="3"/>
        <v>0</v>
      </c>
      <c r="I28" s="32">
        <f t="shared" si="4"/>
        <v>0.72222222222222221</v>
      </c>
      <c r="J28" s="32">
        <f t="shared" si="5"/>
        <v>0</v>
      </c>
      <c r="K28">
        <f>step3_validation[[#This Row],[AI_FAC1]]</f>
        <v>9</v>
      </c>
      <c r="L28">
        <f t="shared" si="6"/>
        <v>0.88888888888888884</v>
      </c>
      <c r="M28">
        <f>survey_responses[[#This Row],[Các thủ tục khai báo thuế VÀ/HOẶC quy trình làm việc với cơ quan thuế đơn giản, tiện lợi, nhanh chóng hơn so với trước đây. - HUMAN-FAC1]]</f>
        <v>1</v>
      </c>
      <c r="N28">
        <f t="shared" si="7"/>
        <v>0</v>
      </c>
      <c r="O28">
        <f>step3_validation[[#This Row],[AI_FAC2]]</f>
        <v>8</v>
      </c>
      <c r="P28">
        <f t="shared" si="8"/>
        <v>0.77777777777777779</v>
      </c>
      <c r="Q28">
        <f>survey_responses[[#This Row],[So với trước đây, tôi thấy cách tính thuế và các bậc thuế trong phương án mới đơn giản, dễ hiểu và dễ thực hiện hơn. - HUMAN-FAC2]]</f>
        <v>1</v>
      </c>
      <c r="R28">
        <f t="shared" si="9"/>
        <v>0</v>
      </c>
      <c r="S28" s="32">
        <f t="shared" si="10"/>
        <v>0.83333333333333326</v>
      </c>
      <c r="T28" s="32">
        <f t="shared" si="11"/>
        <v>0</v>
      </c>
      <c r="U28">
        <f>step3_validation[[#This Row],[AI_TRU1]]</f>
        <v>7</v>
      </c>
      <c r="V28">
        <f t="shared" si="12"/>
        <v>0.66666666666666663</v>
      </c>
      <c r="W28">
        <f>survey_responses[[#This Row],[Tôi tin rằng Nhà nước, cơ quan thuế sẽ thực thi chính sách mới một cách khách quan, công tâm và đối xử bình đẳng với mọi người nộp thuế.  - HUMAN-TRU1]]</f>
        <v>1</v>
      </c>
      <c r="X28">
        <f t="shared" si="13"/>
        <v>0</v>
      </c>
      <c r="Y28">
        <f>step3_validation[[#This Row],[AI_TRU2]]</f>
        <v>6</v>
      </c>
      <c r="Z28">
        <f t="shared" si="14"/>
        <v>0.55555555555555558</v>
      </c>
      <c r="AA28">
        <f>survey_responses[[#This Row],[Tôi thấy mức thuế tôi phải đóng theo phương án mới là công bằng (người thu nhập như tôi đóng mức này là hợp lý). - HUMAN-TRU2]]</f>
        <v>1</v>
      </c>
      <c r="AB28">
        <f t="shared" si="15"/>
        <v>0</v>
      </c>
      <c r="AC28">
        <f>step3_validation[[#This Row],[AI_TRU3]]</f>
        <v>5</v>
      </c>
      <c r="AD28">
        <f t="shared" si="16"/>
        <v>0.44444444444444442</v>
      </c>
      <c r="AE28">
        <f>survey_responses[[#This Row],[Tôi tin tưởng số tiền thuế tôi đóng sẽ được Nhà nước sử dụng hiệu quả để cải thiện dịch vụ công (y tế, đường xá...). - HUMAN-TRU3]]</f>
        <v>1</v>
      </c>
      <c r="AF28">
        <f t="shared" si="17"/>
        <v>0</v>
      </c>
      <c r="AG28">
        <f>step3_validation[[#This Row],[AI_TRU4]]</f>
        <v>4</v>
      </c>
      <c r="AH28">
        <f t="shared" si="18"/>
        <v>0.33333333333333331</v>
      </c>
      <c r="AI28">
        <f>survey_responses[[#This Row],[Tôi thấy Nhà nước đã giải thích rõ ràng, minh bạch về lý do và mục tiêu của việc sửa đổi thuế lần này. - HUMAN-TRU4]]</f>
        <v>1</v>
      </c>
      <c r="AJ28">
        <f t="shared" si="19"/>
        <v>0</v>
      </c>
      <c r="AK28" s="32">
        <f t="shared" si="20"/>
        <v>0.5</v>
      </c>
      <c r="AL28" s="32">
        <f t="shared" si="21"/>
        <v>0</v>
      </c>
      <c r="AM28" s="7">
        <f t="shared" si="22"/>
        <v>0.68518518518518512</v>
      </c>
      <c r="AN28" s="7">
        <f t="shared" si="23"/>
        <v>0</v>
      </c>
      <c r="AO28">
        <f>step3_validation[[#This Row],[AI_OUT1]]</f>
        <v>7</v>
      </c>
      <c r="AP28">
        <f t="shared" si="24"/>
        <v>0.66666666666666663</v>
      </c>
      <c r="AQ28">
        <f>survey_responses[[#This Row],[Sau khi xem xét các quyền lợi và nghĩa vụ, bạn có ủng hộ và tuân thủ chính sách mới hiện nay? - HUMAN-OUT1]]</f>
        <v>1</v>
      </c>
      <c r="AR28">
        <f t="shared" si="25"/>
        <v>0</v>
      </c>
      <c r="AS28" s="32">
        <f t="shared" si="26"/>
        <v>6</v>
      </c>
      <c r="AT28">
        <f t="shared" si="27"/>
        <v>0</v>
      </c>
    </row>
    <row r="29" spans="1:46" x14ac:dyDescent="0.45">
      <c r="A29">
        <f>step3_validation[[#This Row],[AI_ENF1]]</f>
        <v>8</v>
      </c>
      <c r="B29">
        <f t="shared" si="0"/>
        <v>0.77777777777777779</v>
      </c>
      <c r="C29">
        <f>survey_responses[[#This Row],[Tôi tin rằng với các quy định quản lý thuế hiện nay, hành vi gian lận hoặc trốn thuế sẽ dễ dàng bị phát hiện và xử lý nghiêm. - HUMAN-ENF1]]</f>
        <v>1</v>
      </c>
      <c r="D29">
        <f t="shared" si="1"/>
        <v>0</v>
      </c>
      <c r="E29">
        <f>step3_validation[[#This Row],[AI_ENF2]]</f>
        <v>7</v>
      </c>
      <c r="F29">
        <f t="shared" si="2"/>
        <v>0.66666666666666663</v>
      </c>
      <c r="G29">
        <f>survey_responses[[#This Row],[Tôi tin rằng Nhà nước, cơ quan thuế có đủ khả năng và công nghệ để phát hiện, xử lý nghiêm các hành vi trốn thuế. - HUMAN-ENF2]]</f>
        <v>1</v>
      </c>
      <c r="H29">
        <f t="shared" si="3"/>
        <v>0</v>
      </c>
      <c r="I29" s="32">
        <f t="shared" si="4"/>
        <v>0.72222222222222221</v>
      </c>
      <c r="J29" s="32">
        <f t="shared" si="5"/>
        <v>0</v>
      </c>
      <c r="K29">
        <f>step3_validation[[#This Row],[AI_FAC1]]</f>
        <v>9</v>
      </c>
      <c r="L29">
        <f t="shared" si="6"/>
        <v>0.88888888888888884</v>
      </c>
      <c r="M29">
        <f>survey_responses[[#This Row],[Các thủ tục khai báo thuế VÀ/HOẶC quy trình làm việc với cơ quan thuế đơn giản, tiện lợi, nhanh chóng hơn so với trước đây. - HUMAN-FAC1]]</f>
        <v>1</v>
      </c>
      <c r="N29">
        <f t="shared" si="7"/>
        <v>0</v>
      </c>
      <c r="O29">
        <f>step3_validation[[#This Row],[AI_FAC2]]</f>
        <v>8</v>
      </c>
      <c r="P29">
        <f t="shared" si="8"/>
        <v>0.77777777777777779</v>
      </c>
      <c r="Q29">
        <f>survey_responses[[#This Row],[So với trước đây, tôi thấy cách tính thuế và các bậc thuế trong phương án mới đơn giản, dễ hiểu và dễ thực hiện hơn. - HUMAN-FAC2]]</f>
        <v>1</v>
      </c>
      <c r="R29">
        <f t="shared" si="9"/>
        <v>0</v>
      </c>
      <c r="S29" s="32">
        <f t="shared" si="10"/>
        <v>0.83333333333333326</v>
      </c>
      <c r="T29" s="32">
        <f t="shared" si="11"/>
        <v>0</v>
      </c>
      <c r="U29">
        <f>step3_validation[[#This Row],[AI_TRU1]]</f>
        <v>7</v>
      </c>
      <c r="V29">
        <f t="shared" si="12"/>
        <v>0.66666666666666663</v>
      </c>
      <c r="W29">
        <f>survey_responses[[#This Row],[Tôi tin rằng Nhà nước, cơ quan thuế sẽ thực thi chính sách mới một cách khách quan, công tâm và đối xử bình đẳng với mọi người nộp thuế.  - HUMAN-TRU1]]</f>
        <v>1</v>
      </c>
      <c r="X29">
        <f t="shared" si="13"/>
        <v>0</v>
      </c>
      <c r="Y29">
        <f>step3_validation[[#This Row],[AI_TRU2]]</f>
        <v>8</v>
      </c>
      <c r="Z29">
        <f t="shared" si="14"/>
        <v>0.77777777777777779</v>
      </c>
      <c r="AA29">
        <f>survey_responses[[#This Row],[Tôi thấy mức thuế tôi phải đóng theo phương án mới là công bằng (người thu nhập như tôi đóng mức này là hợp lý). - HUMAN-TRU2]]</f>
        <v>1</v>
      </c>
      <c r="AB29">
        <f t="shared" si="15"/>
        <v>0</v>
      </c>
      <c r="AC29">
        <f>step3_validation[[#This Row],[AI_TRU3]]</f>
        <v>7</v>
      </c>
      <c r="AD29">
        <f t="shared" si="16"/>
        <v>0.66666666666666663</v>
      </c>
      <c r="AE29">
        <f>survey_responses[[#This Row],[Tôi tin tưởng số tiền thuế tôi đóng sẽ được Nhà nước sử dụng hiệu quả để cải thiện dịch vụ công (y tế, đường xá...). - HUMAN-TRU3]]</f>
        <v>1</v>
      </c>
      <c r="AF29">
        <f t="shared" si="17"/>
        <v>0</v>
      </c>
      <c r="AG29">
        <f>step3_validation[[#This Row],[AI_TRU4]]</f>
        <v>6</v>
      </c>
      <c r="AH29">
        <f t="shared" si="18"/>
        <v>0.55555555555555558</v>
      </c>
      <c r="AI29">
        <f>survey_responses[[#This Row],[Tôi thấy Nhà nước đã giải thích rõ ràng, minh bạch về lý do và mục tiêu của việc sửa đổi thuế lần này. - HUMAN-TRU4]]</f>
        <v>1</v>
      </c>
      <c r="AJ29">
        <f t="shared" si="19"/>
        <v>0</v>
      </c>
      <c r="AK29" s="32">
        <f t="shared" si="20"/>
        <v>0.66666666666666674</v>
      </c>
      <c r="AL29" s="32">
        <f t="shared" si="21"/>
        <v>0</v>
      </c>
      <c r="AM29" s="7">
        <f t="shared" si="22"/>
        <v>0.74074074074074081</v>
      </c>
      <c r="AN29" s="7">
        <f t="shared" si="23"/>
        <v>0</v>
      </c>
      <c r="AO29">
        <f>step3_validation[[#This Row],[AI_OUT1]]</f>
        <v>7</v>
      </c>
      <c r="AP29">
        <f t="shared" si="24"/>
        <v>0.66666666666666663</v>
      </c>
      <c r="AQ29">
        <f>survey_responses[[#This Row],[Sau khi xem xét các quyền lợi và nghĩa vụ, bạn có ủng hộ và tuân thủ chính sách mới hiện nay? - HUMAN-OUT1]]</f>
        <v>1</v>
      </c>
      <c r="AR29">
        <f t="shared" si="25"/>
        <v>0</v>
      </c>
      <c r="AS29" s="32">
        <f t="shared" si="26"/>
        <v>6</v>
      </c>
      <c r="AT29">
        <f t="shared" si="27"/>
        <v>0</v>
      </c>
    </row>
    <row r="30" spans="1:46" x14ac:dyDescent="0.45">
      <c r="A30">
        <f>step3_validation[[#This Row],[AI_ENF1]]</f>
        <v>7</v>
      </c>
      <c r="B30">
        <f t="shared" si="0"/>
        <v>0.66666666666666663</v>
      </c>
      <c r="C30">
        <f>survey_responses[[#This Row],[Tôi tin rằng với các quy định quản lý thuế hiện nay, hành vi gian lận hoặc trốn thuế sẽ dễ dàng bị phát hiện và xử lý nghiêm. - HUMAN-ENF1]]</f>
        <v>10</v>
      </c>
      <c r="D30">
        <f t="shared" si="1"/>
        <v>1</v>
      </c>
      <c r="E30">
        <f>step3_validation[[#This Row],[AI_ENF2]]</f>
        <v>8</v>
      </c>
      <c r="F30">
        <f t="shared" si="2"/>
        <v>0.77777777777777779</v>
      </c>
      <c r="G30">
        <f>survey_responses[[#This Row],[Tôi tin rằng Nhà nước, cơ quan thuế có đủ khả năng và công nghệ để phát hiện, xử lý nghiêm các hành vi trốn thuế. - HUMAN-ENF2]]</f>
        <v>10</v>
      </c>
      <c r="H30">
        <f t="shared" si="3"/>
        <v>1</v>
      </c>
      <c r="I30" s="32">
        <f t="shared" si="4"/>
        <v>0.72222222222222221</v>
      </c>
      <c r="J30" s="32">
        <f t="shared" si="5"/>
        <v>1</v>
      </c>
      <c r="K30">
        <f>step3_validation[[#This Row],[AI_FAC1]]</f>
        <v>6</v>
      </c>
      <c r="L30">
        <f t="shared" si="6"/>
        <v>0.55555555555555558</v>
      </c>
      <c r="M30">
        <f>survey_responses[[#This Row],[Các thủ tục khai báo thuế VÀ/HOẶC quy trình làm việc với cơ quan thuế đơn giản, tiện lợi, nhanh chóng hơn so với trước đây. - HUMAN-FAC1]]</f>
        <v>9</v>
      </c>
      <c r="N30">
        <f t="shared" si="7"/>
        <v>0.88888888888888884</v>
      </c>
      <c r="O30">
        <f>step3_validation[[#This Row],[AI_FAC2]]</f>
        <v>8</v>
      </c>
      <c r="P30">
        <f t="shared" si="8"/>
        <v>0.77777777777777779</v>
      </c>
      <c r="Q30">
        <f>survey_responses[[#This Row],[So với trước đây, tôi thấy cách tính thuế và các bậc thuế trong phương án mới đơn giản, dễ hiểu và dễ thực hiện hơn. - HUMAN-FAC2]]</f>
        <v>10</v>
      </c>
      <c r="R30">
        <f t="shared" si="9"/>
        <v>1</v>
      </c>
      <c r="S30" s="32">
        <f t="shared" si="10"/>
        <v>0.66666666666666674</v>
      </c>
      <c r="T30" s="32">
        <f t="shared" si="11"/>
        <v>0.94444444444444442</v>
      </c>
      <c r="U30">
        <f>step3_validation[[#This Row],[AI_TRU1]]</f>
        <v>7</v>
      </c>
      <c r="V30">
        <f t="shared" si="12"/>
        <v>0.66666666666666663</v>
      </c>
      <c r="W30">
        <f>survey_responses[[#This Row],[Tôi tin rằng Nhà nước, cơ quan thuế sẽ thực thi chính sách mới một cách khách quan, công tâm và đối xử bình đẳng với mọi người nộp thuế.  - HUMAN-TRU1]]</f>
        <v>10</v>
      </c>
      <c r="X30">
        <f t="shared" si="13"/>
        <v>1</v>
      </c>
      <c r="Y30">
        <f>step3_validation[[#This Row],[AI_TRU2]]</f>
        <v>6</v>
      </c>
      <c r="Z30">
        <f t="shared" si="14"/>
        <v>0.55555555555555558</v>
      </c>
      <c r="AA30">
        <f>survey_responses[[#This Row],[Tôi thấy mức thuế tôi phải đóng theo phương án mới là công bằng (người thu nhập như tôi đóng mức này là hợp lý). - HUMAN-TRU2]]</f>
        <v>9</v>
      </c>
      <c r="AB30">
        <f t="shared" si="15"/>
        <v>0.88888888888888884</v>
      </c>
      <c r="AC30">
        <f>step3_validation[[#This Row],[AI_TRU3]]</f>
        <v>7</v>
      </c>
      <c r="AD30">
        <f t="shared" si="16"/>
        <v>0.66666666666666663</v>
      </c>
      <c r="AE30">
        <f>survey_responses[[#This Row],[Tôi tin tưởng số tiền thuế tôi đóng sẽ được Nhà nước sử dụng hiệu quả để cải thiện dịch vụ công (y tế, đường xá...). - HUMAN-TRU3]]</f>
        <v>10</v>
      </c>
      <c r="AF30">
        <f t="shared" si="17"/>
        <v>1</v>
      </c>
      <c r="AG30">
        <f>step3_validation[[#This Row],[AI_TRU4]]</f>
        <v>6</v>
      </c>
      <c r="AH30">
        <f t="shared" si="18"/>
        <v>0.55555555555555558</v>
      </c>
      <c r="AI30">
        <f>survey_responses[[#This Row],[Tôi thấy Nhà nước đã giải thích rõ ràng, minh bạch về lý do và mục tiêu của việc sửa đổi thuế lần này. - HUMAN-TRU4]]</f>
        <v>10</v>
      </c>
      <c r="AJ30">
        <f t="shared" si="19"/>
        <v>1</v>
      </c>
      <c r="AK30" s="32">
        <f t="shared" si="20"/>
        <v>0.61111111111111116</v>
      </c>
      <c r="AL30" s="32">
        <f t="shared" si="21"/>
        <v>0.97222222222222221</v>
      </c>
      <c r="AM30" s="7">
        <f t="shared" si="22"/>
        <v>0.66666666666666663</v>
      </c>
      <c r="AN30" s="7">
        <f t="shared" si="23"/>
        <v>0.97222222222222221</v>
      </c>
      <c r="AO30">
        <f>step3_validation[[#This Row],[AI_OUT1]]</f>
        <v>7</v>
      </c>
      <c r="AP30">
        <f t="shared" si="24"/>
        <v>0.66666666666666663</v>
      </c>
      <c r="AQ30">
        <f>survey_responses[[#This Row],[Sau khi xem xét các quyền lợi và nghĩa vụ, bạn có ủng hộ và tuân thủ chính sách mới hiện nay? - HUMAN-OUT1]]</f>
        <v>10</v>
      </c>
      <c r="AR30">
        <f t="shared" si="25"/>
        <v>1</v>
      </c>
      <c r="AS30" s="32">
        <f t="shared" si="26"/>
        <v>3</v>
      </c>
      <c r="AT30">
        <f t="shared" si="27"/>
        <v>1</v>
      </c>
    </row>
    <row r="31" spans="1:46" x14ac:dyDescent="0.45">
      <c r="A31">
        <f>step3_validation[[#This Row],[AI_ENF1]]</f>
        <v>8</v>
      </c>
      <c r="B31">
        <f t="shared" si="0"/>
        <v>0.77777777777777779</v>
      </c>
      <c r="C31">
        <f>survey_responses[[#This Row],[Tôi tin rằng với các quy định quản lý thuế hiện nay, hành vi gian lận hoặc trốn thuế sẽ dễ dàng bị phát hiện và xử lý nghiêm. - HUMAN-ENF1]]</f>
        <v>10</v>
      </c>
      <c r="D31">
        <f t="shared" si="1"/>
        <v>1</v>
      </c>
      <c r="E31">
        <f>step3_validation[[#This Row],[AI_ENF2]]</f>
        <v>9</v>
      </c>
      <c r="F31">
        <f t="shared" si="2"/>
        <v>0.88888888888888884</v>
      </c>
      <c r="G31">
        <f>survey_responses[[#This Row],[Tôi tin rằng Nhà nước, cơ quan thuế có đủ khả năng và công nghệ để phát hiện, xử lý nghiêm các hành vi trốn thuế. - HUMAN-ENF2]]</f>
        <v>10</v>
      </c>
      <c r="H31">
        <f t="shared" si="3"/>
        <v>1</v>
      </c>
      <c r="I31" s="32">
        <f t="shared" si="4"/>
        <v>0.83333333333333326</v>
      </c>
      <c r="J31" s="32">
        <f t="shared" si="5"/>
        <v>1</v>
      </c>
      <c r="K31">
        <f>step3_validation[[#This Row],[AI_FAC1]]</f>
        <v>6</v>
      </c>
      <c r="L31">
        <f t="shared" si="6"/>
        <v>0.55555555555555558</v>
      </c>
      <c r="M31">
        <f>survey_responses[[#This Row],[Các thủ tục khai báo thuế VÀ/HOẶC quy trình làm việc với cơ quan thuế đơn giản, tiện lợi, nhanh chóng hơn so với trước đây. - HUMAN-FAC1]]</f>
        <v>9</v>
      </c>
      <c r="N31">
        <f t="shared" si="7"/>
        <v>0.88888888888888884</v>
      </c>
      <c r="O31">
        <f>step3_validation[[#This Row],[AI_FAC2]]</f>
        <v>7</v>
      </c>
      <c r="P31">
        <f t="shared" si="8"/>
        <v>0.66666666666666663</v>
      </c>
      <c r="Q31">
        <f>survey_responses[[#This Row],[So với trước đây, tôi thấy cách tính thuế và các bậc thuế trong phương án mới đơn giản, dễ hiểu và dễ thực hiện hơn. - HUMAN-FAC2]]</f>
        <v>10</v>
      </c>
      <c r="R31">
        <f t="shared" si="9"/>
        <v>1</v>
      </c>
      <c r="S31" s="32">
        <f t="shared" si="10"/>
        <v>0.61111111111111116</v>
      </c>
      <c r="T31" s="32">
        <f t="shared" si="11"/>
        <v>0.94444444444444442</v>
      </c>
      <c r="U31">
        <f>step3_validation[[#This Row],[AI_TRU1]]</f>
        <v>6</v>
      </c>
      <c r="V31">
        <f t="shared" si="12"/>
        <v>0.55555555555555558</v>
      </c>
      <c r="W31">
        <f>survey_responses[[#This Row],[Tôi tin rằng Nhà nước, cơ quan thuế sẽ thực thi chính sách mới một cách khách quan, công tâm và đối xử bình đẳng với mọi người nộp thuế.  - HUMAN-TRU1]]</f>
        <v>10</v>
      </c>
      <c r="X31">
        <f t="shared" si="13"/>
        <v>1</v>
      </c>
      <c r="Y31">
        <f>step3_validation[[#This Row],[AI_TRU2]]</f>
        <v>8</v>
      </c>
      <c r="Z31">
        <f t="shared" si="14"/>
        <v>0.77777777777777779</v>
      </c>
      <c r="AA31">
        <f>survey_responses[[#This Row],[Tôi thấy mức thuế tôi phải đóng theo phương án mới là công bằng (người thu nhập như tôi đóng mức này là hợp lý). - HUMAN-TRU2]]</f>
        <v>10</v>
      </c>
      <c r="AB31">
        <f t="shared" si="15"/>
        <v>1</v>
      </c>
      <c r="AC31">
        <f>step3_validation[[#This Row],[AI_TRU3]]</f>
        <v>4</v>
      </c>
      <c r="AD31">
        <f t="shared" si="16"/>
        <v>0.33333333333333331</v>
      </c>
      <c r="AE31">
        <f>survey_responses[[#This Row],[Tôi tin tưởng số tiền thuế tôi đóng sẽ được Nhà nước sử dụng hiệu quả để cải thiện dịch vụ công (y tế, đường xá...). - HUMAN-TRU3]]</f>
        <v>10</v>
      </c>
      <c r="AF31">
        <f t="shared" si="17"/>
        <v>1</v>
      </c>
      <c r="AG31">
        <f>step3_validation[[#This Row],[AI_TRU4]]</f>
        <v>6</v>
      </c>
      <c r="AH31">
        <f t="shared" si="18"/>
        <v>0.55555555555555558</v>
      </c>
      <c r="AI31">
        <f>survey_responses[[#This Row],[Tôi thấy Nhà nước đã giải thích rõ ràng, minh bạch về lý do và mục tiêu của việc sửa đổi thuế lần này. - HUMAN-TRU4]]</f>
        <v>10</v>
      </c>
      <c r="AJ31">
        <f t="shared" si="19"/>
        <v>1</v>
      </c>
      <c r="AK31" s="32">
        <f t="shared" si="20"/>
        <v>0.55555555555555558</v>
      </c>
      <c r="AL31" s="32">
        <f t="shared" si="21"/>
        <v>1</v>
      </c>
      <c r="AM31" s="7">
        <f t="shared" si="22"/>
        <v>0.66666666666666663</v>
      </c>
      <c r="AN31" s="7">
        <f t="shared" si="23"/>
        <v>0.98148148148148151</v>
      </c>
      <c r="AO31">
        <f>step3_validation[[#This Row],[AI_OUT1]]</f>
        <v>7</v>
      </c>
      <c r="AP31">
        <f t="shared" si="24"/>
        <v>0.66666666666666663</v>
      </c>
      <c r="AQ31">
        <f>survey_responses[[#This Row],[Sau khi xem xét các quyền lợi và nghĩa vụ, bạn có ủng hộ và tuân thủ chính sách mới hiện nay? - HUMAN-OUT1]]</f>
        <v>10</v>
      </c>
      <c r="AR31">
        <f t="shared" si="25"/>
        <v>1</v>
      </c>
      <c r="AS31" s="32">
        <f t="shared" si="26"/>
        <v>3</v>
      </c>
      <c r="AT31">
        <f t="shared" si="27"/>
        <v>1</v>
      </c>
    </row>
    <row r="32" spans="1:46" x14ac:dyDescent="0.45">
      <c r="A32">
        <f>step3_validation[[#This Row],[AI_ENF1]]</f>
        <v>8</v>
      </c>
      <c r="B32">
        <f t="shared" si="0"/>
        <v>0.77777777777777779</v>
      </c>
      <c r="C32">
        <f>survey_responses[[#This Row],[Tôi tin rằng với các quy định quản lý thuế hiện nay, hành vi gian lận hoặc trốn thuế sẽ dễ dàng bị phát hiện và xử lý nghiêm. - HUMAN-ENF1]]</f>
        <v>10</v>
      </c>
      <c r="D32">
        <f t="shared" si="1"/>
        <v>1</v>
      </c>
      <c r="E32">
        <f>step3_validation[[#This Row],[AI_ENF2]]</f>
        <v>7</v>
      </c>
      <c r="F32">
        <f t="shared" si="2"/>
        <v>0.66666666666666663</v>
      </c>
      <c r="G32">
        <f>survey_responses[[#This Row],[Tôi tin rằng Nhà nước, cơ quan thuế có đủ khả năng và công nghệ để phát hiện, xử lý nghiêm các hành vi trốn thuế. - HUMAN-ENF2]]</f>
        <v>7</v>
      </c>
      <c r="H32">
        <f t="shared" si="3"/>
        <v>0.66666666666666663</v>
      </c>
      <c r="I32" s="32">
        <f t="shared" si="4"/>
        <v>0.72222222222222221</v>
      </c>
      <c r="J32" s="32">
        <f t="shared" si="5"/>
        <v>0.83333333333333326</v>
      </c>
      <c r="K32">
        <f>step3_validation[[#This Row],[AI_FAC1]]</f>
        <v>6</v>
      </c>
      <c r="L32">
        <f t="shared" si="6"/>
        <v>0.55555555555555558</v>
      </c>
      <c r="M32">
        <f>survey_responses[[#This Row],[Các thủ tục khai báo thuế VÀ/HOẶC quy trình làm việc với cơ quan thuế đơn giản, tiện lợi, nhanh chóng hơn so với trước đây. - HUMAN-FAC1]]</f>
        <v>10</v>
      </c>
      <c r="N32">
        <f t="shared" si="7"/>
        <v>1</v>
      </c>
      <c r="O32">
        <f>step3_validation[[#This Row],[AI_FAC2]]</f>
        <v>8</v>
      </c>
      <c r="P32">
        <f t="shared" si="8"/>
        <v>0.77777777777777779</v>
      </c>
      <c r="Q32">
        <f>survey_responses[[#This Row],[So với trước đây, tôi thấy cách tính thuế và các bậc thuế trong phương án mới đơn giản, dễ hiểu và dễ thực hiện hơn. - HUMAN-FAC2]]</f>
        <v>7</v>
      </c>
      <c r="R32">
        <f t="shared" si="9"/>
        <v>0.66666666666666663</v>
      </c>
      <c r="S32" s="32">
        <f t="shared" si="10"/>
        <v>0.66666666666666674</v>
      </c>
      <c r="T32" s="32">
        <f t="shared" si="11"/>
        <v>0.83333333333333326</v>
      </c>
      <c r="U32">
        <f>step3_validation[[#This Row],[AI_TRU1]]</f>
        <v>7</v>
      </c>
      <c r="V32">
        <f t="shared" si="12"/>
        <v>0.66666666666666663</v>
      </c>
      <c r="W32">
        <f>survey_responses[[#This Row],[Tôi tin rằng Nhà nước, cơ quan thuế sẽ thực thi chính sách mới một cách khách quan, công tâm và đối xử bình đẳng với mọi người nộp thuế.  - HUMAN-TRU1]]</f>
        <v>10</v>
      </c>
      <c r="X32">
        <f t="shared" si="13"/>
        <v>1</v>
      </c>
      <c r="Y32">
        <f>step3_validation[[#This Row],[AI_TRU2]]</f>
        <v>6</v>
      </c>
      <c r="Z32">
        <f t="shared" si="14"/>
        <v>0.55555555555555558</v>
      </c>
      <c r="AA32">
        <f>survey_responses[[#This Row],[Tôi thấy mức thuế tôi phải đóng theo phương án mới là công bằng (người thu nhập như tôi đóng mức này là hợp lý). - HUMAN-TRU2]]</f>
        <v>10</v>
      </c>
      <c r="AB32">
        <f t="shared" si="15"/>
        <v>1</v>
      </c>
      <c r="AC32">
        <f>step3_validation[[#This Row],[AI_TRU3]]</f>
        <v>5</v>
      </c>
      <c r="AD32">
        <f t="shared" si="16"/>
        <v>0.44444444444444442</v>
      </c>
      <c r="AE32">
        <f>survey_responses[[#This Row],[Tôi tin tưởng số tiền thuế tôi đóng sẽ được Nhà nước sử dụng hiệu quả để cải thiện dịch vụ công (y tế, đường xá...). - HUMAN-TRU3]]</f>
        <v>3</v>
      </c>
      <c r="AF32">
        <f t="shared" si="17"/>
        <v>0.22222222222222221</v>
      </c>
      <c r="AG32">
        <f>step3_validation[[#This Row],[AI_TRU4]]</f>
        <v>6</v>
      </c>
      <c r="AH32">
        <f t="shared" si="18"/>
        <v>0.55555555555555558</v>
      </c>
      <c r="AI32">
        <f>survey_responses[[#This Row],[Tôi thấy Nhà nước đã giải thích rõ ràng, minh bạch về lý do và mục tiêu của việc sửa đổi thuế lần này. - HUMAN-TRU4]]</f>
        <v>5</v>
      </c>
      <c r="AJ32">
        <f t="shared" si="19"/>
        <v>0.44444444444444442</v>
      </c>
      <c r="AK32" s="32">
        <f t="shared" si="20"/>
        <v>0.55555555555555558</v>
      </c>
      <c r="AL32" s="32">
        <f t="shared" si="21"/>
        <v>0.66666666666666674</v>
      </c>
      <c r="AM32" s="7">
        <f t="shared" si="22"/>
        <v>0.64814814814814814</v>
      </c>
      <c r="AN32" s="7">
        <f t="shared" si="23"/>
        <v>0.77777777777777768</v>
      </c>
      <c r="AO32">
        <f>step3_validation[[#This Row],[AI_OUT1]]</f>
        <v>7</v>
      </c>
      <c r="AP32">
        <f t="shared" si="24"/>
        <v>0.66666666666666663</v>
      </c>
      <c r="AQ32">
        <f>survey_responses[[#This Row],[Sau khi xem xét các quyền lợi và nghĩa vụ, bạn có ủng hộ và tuân thủ chính sách mới hiện nay? - HUMAN-OUT1]]</f>
        <v>8</v>
      </c>
      <c r="AR32">
        <f t="shared" si="25"/>
        <v>0.77777777777777779</v>
      </c>
      <c r="AS32" s="32">
        <f t="shared" si="26"/>
        <v>1</v>
      </c>
      <c r="AT32">
        <f t="shared" si="27"/>
        <v>1</v>
      </c>
    </row>
    <row r="33" spans="1:46" x14ac:dyDescent="0.45">
      <c r="A33">
        <f>step3_validation[[#This Row],[AI_ENF1]]</f>
        <v>7</v>
      </c>
      <c r="B33">
        <f t="shared" si="0"/>
        <v>0.66666666666666663</v>
      </c>
      <c r="C33">
        <f>survey_responses[[#This Row],[Tôi tin rằng với các quy định quản lý thuế hiện nay, hành vi gian lận hoặc trốn thuế sẽ dễ dàng bị phát hiện và xử lý nghiêm. - HUMAN-ENF1]]</f>
        <v>5</v>
      </c>
      <c r="D33">
        <f t="shared" si="1"/>
        <v>0.44444444444444442</v>
      </c>
      <c r="E33">
        <f>step3_validation[[#This Row],[AI_ENF2]]</f>
        <v>6</v>
      </c>
      <c r="F33">
        <f t="shared" si="2"/>
        <v>0.55555555555555558</v>
      </c>
      <c r="G33">
        <f>survey_responses[[#This Row],[Tôi tin rằng Nhà nước, cơ quan thuế có đủ khả năng và công nghệ để phát hiện, xử lý nghiêm các hành vi trốn thuế. - HUMAN-ENF2]]</f>
        <v>5</v>
      </c>
      <c r="H33">
        <f t="shared" si="3"/>
        <v>0.44444444444444442</v>
      </c>
      <c r="I33" s="32">
        <f t="shared" si="4"/>
        <v>0.61111111111111116</v>
      </c>
      <c r="J33" s="32">
        <f t="shared" si="5"/>
        <v>0.44444444444444442</v>
      </c>
      <c r="K33">
        <f>step3_validation[[#This Row],[AI_FAC1]]</f>
        <v>8</v>
      </c>
      <c r="L33">
        <f t="shared" si="6"/>
        <v>0.77777777777777779</v>
      </c>
      <c r="M33">
        <f>survey_responses[[#This Row],[Các thủ tục khai báo thuế VÀ/HOẶC quy trình làm việc với cơ quan thuế đơn giản, tiện lợi, nhanh chóng hơn so với trước đây. - HUMAN-FAC1]]</f>
        <v>5</v>
      </c>
      <c r="N33">
        <f t="shared" si="7"/>
        <v>0.44444444444444442</v>
      </c>
      <c r="O33">
        <f>step3_validation[[#This Row],[AI_FAC2]]</f>
        <v>9</v>
      </c>
      <c r="P33">
        <f t="shared" si="8"/>
        <v>0.88888888888888884</v>
      </c>
      <c r="Q33">
        <f>survey_responses[[#This Row],[So với trước đây, tôi thấy cách tính thuế và các bậc thuế trong phương án mới đơn giản, dễ hiểu và dễ thực hiện hơn. - HUMAN-FAC2]]</f>
        <v>5</v>
      </c>
      <c r="R33">
        <f t="shared" si="9"/>
        <v>0.44444444444444442</v>
      </c>
      <c r="S33" s="32">
        <f t="shared" si="10"/>
        <v>0.83333333333333326</v>
      </c>
      <c r="T33" s="32">
        <f t="shared" si="11"/>
        <v>0.44444444444444442</v>
      </c>
      <c r="U33">
        <f>step3_validation[[#This Row],[AI_TRU1]]</f>
        <v>6</v>
      </c>
      <c r="V33">
        <f t="shared" si="12"/>
        <v>0.55555555555555558</v>
      </c>
      <c r="W33">
        <f>survey_responses[[#This Row],[Tôi tin rằng Nhà nước, cơ quan thuế sẽ thực thi chính sách mới một cách khách quan, công tâm và đối xử bình đẳng với mọi người nộp thuế.  - HUMAN-TRU1]]</f>
        <v>5</v>
      </c>
      <c r="X33">
        <f t="shared" si="13"/>
        <v>0.44444444444444442</v>
      </c>
      <c r="Y33">
        <f>step3_validation[[#This Row],[AI_TRU2]]</f>
        <v>8</v>
      </c>
      <c r="Z33">
        <f t="shared" si="14"/>
        <v>0.77777777777777779</v>
      </c>
      <c r="AA33">
        <f>survey_responses[[#This Row],[Tôi thấy mức thuế tôi phải đóng theo phương án mới là công bằng (người thu nhập như tôi đóng mức này là hợp lý). - HUMAN-TRU2]]</f>
        <v>5</v>
      </c>
      <c r="AB33">
        <f t="shared" si="15"/>
        <v>0.44444444444444442</v>
      </c>
      <c r="AC33">
        <f>step3_validation[[#This Row],[AI_TRU3]]</f>
        <v>7</v>
      </c>
      <c r="AD33">
        <f t="shared" si="16"/>
        <v>0.66666666666666663</v>
      </c>
      <c r="AE33">
        <f>survey_responses[[#This Row],[Tôi tin tưởng số tiền thuế tôi đóng sẽ được Nhà nước sử dụng hiệu quả để cải thiện dịch vụ công (y tế, đường xá...). - HUMAN-TRU3]]</f>
        <v>5</v>
      </c>
      <c r="AF33">
        <f t="shared" si="17"/>
        <v>0.44444444444444442</v>
      </c>
      <c r="AG33">
        <f>step3_validation[[#This Row],[AI_TRU4]]</f>
        <v>6</v>
      </c>
      <c r="AH33">
        <f t="shared" si="18"/>
        <v>0.55555555555555558</v>
      </c>
      <c r="AI33">
        <f>survey_responses[[#This Row],[Tôi thấy Nhà nước đã giải thích rõ ràng, minh bạch về lý do và mục tiêu của việc sửa đổi thuế lần này. - HUMAN-TRU4]]</f>
        <v>5</v>
      </c>
      <c r="AJ33">
        <f t="shared" si="19"/>
        <v>0.44444444444444442</v>
      </c>
      <c r="AK33" s="32">
        <f t="shared" si="20"/>
        <v>0.63888888888888884</v>
      </c>
      <c r="AL33" s="32">
        <f t="shared" si="21"/>
        <v>0.44444444444444442</v>
      </c>
      <c r="AM33" s="7">
        <f t="shared" si="22"/>
        <v>0.69444444444444431</v>
      </c>
      <c r="AN33" s="7">
        <f t="shared" si="23"/>
        <v>0.44444444444444442</v>
      </c>
      <c r="AO33">
        <f>step3_validation[[#This Row],[AI_OUT1]]</f>
        <v>8</v>
      </c>
      <c r="AP33">
        <f t="shared" si="24"/>
        <v>0.77777777777777779</v>
      </c>
      <c r="AQ33">
        <f>survey_responses[[#This Row],[Sau khi xem xét các quyền lợi và nghĩa vụ, bạn có ủng hộ và tuân thủ chính sách mới hiện nay? - HUMAN-OUT1]]</f>
        <v>5</v>
      </c>
      <c r="AR33">
        <f t="shared" si="25"/>
        <v>0.44444444444444442</v>
      </c>
      <c r="AS33" s="32">
        <f t="shared" si="26"/>
        <v>3</v>
      </c>
      <c r="AT33">
        <f t="shared" si="27"/>
        <v>0</v>
      </c>
    </row>
    <row r="34" spans="1:46" x14ac:dyDescent="0.45">
      <c r="A34">
        <f>step3_validation[[#This Row],[AI_ENF1]]</f>
        <v>8</v>
      </c>
      <c r="B34">
        <f t="shared" si="0"/>
        <v>0.77777777777777779</v>
      </c>
      <c r="C34">
        <f>survey_responses[[#This Row],[Tôi tin rằng với các quy định quản lý thuế hiện nay, hành vi gian lận hoặc trốn thuế sẽ dễ dàng bị phát hiện và xử lý nghiêm. - HUMAN-ENF1]]</f>
        <v>8</v>
      </c>
      <c r="D34">
        <f t="shared" si="1"/>
        <v>0.77777777777777779</v>
      </c>
      <c r="E34">
        <f>step3_validation[[#This Row],[AI_ENF2]]</f>
        <v>9</v>
      </c>
      <c r="F34">
        <f t="shared" si="2"/>
        <v>0.88888888888888884</v>
      </c>
      <c r="G34">
        <f>survey_responses[[#This Row],[Tôi tin rằng Nhà nước, cơ quan thuế có đủ khả năng và công nghệ để phát hiện, xử lý nghiêm các hành vi trốn thuế. - HUMAN-ENF2]]</f>
        <v>9</v>
      </c>
      <c r="H34">
        <f t="shared" si="3"/>
        <v>0.88888888888888884</v>
      </c>
      <c r="I34" s="32">
        <f t="shared" si="4"/>
        <v>0.83333333333333326</v>
      </c>
      <c r="J34" s="32">
        <f t="shared" si="5"/>
        <v>0.83333333333333326</v>
      </c>
      <c r="K34">
        <f>step3_validation[[#This Row],[AI_FAC1]]</f>
        <v>8</v>
      </c>
      <c r="L34">
        <f t="shared" si="6"/>
        <v>0.77777777777777779</v>
      </c>
      <c r="M34">
        <f>survey_responses[[#This Row],[Các thủ tục khai báo thuế VÀ/HOẶC quy trình làm việc với cơ quan thuế đơn giản, tiện lợi, nhanh chóng hơn so với trước đây. - HUMAN-FAC1]]</f>
        <v>7</v>
      </c>
      <c r="N34">
        <f t="shared" si="7"/>
        <v>0.66666666666666663</v>
      </c>
      <c r="O34">
        <f>step3_validation[[#This Row],[AI_FAC2]]</f>
        <v>7</v>
      </c>
      <c r="P34">
        <f t="shared" si="8"/>
        <v>0.66666666666666663</v>
      </c>
      <c r="Q34">
        <f>survey_responses[[#This Row],[So với trước đây, tôi thấy cách tính thuế và các bậc thuế trong phương án mới đơn giản, dễ hiểu và dễ thực hiện hơn. - HUMAN-FAC2]]</f>
        <v>8</v>
      </c>
      <c r="R34">
        <f t="shared" si="9"/>
        <v>0.77777777777777779</v>
      </c>
      <c r="S34" s="32">
        <f t="shared" si="10"/>
        <v>0.72222222222222221</v>
      </c>
      <c r="T34" s="32">
        <f t="shared" si="11"/>
        <v>0.72222222222222221</v>
      </c>
      <c r="U34">
        <f>step3_validation[[#This Row],[AI_TRU1]]</f>
        <v>8</v>
      </c>
      <c r="V34">
        <f t="shared" si="12"/>
        <v>0.77777777777777779</v>
      </c>
      <c r="W34">
        <f>survey_responses[[#This Row],[Tôi tin rằng Nhà nước, cơ quan thuế sẽ thực thi chính sách mới một cách khách quan, công tâm và đối xử bình đẳng với mọi người nộp thuế.  - HUMAN-TRU1]]</f>
        <v>8</v>
      </c>
      <c r="X34">
        <f t="shared" si="13"/>
        <v>0.77777777777777779</v>
      </c>
      <c r="Y34">
        <f>step3_validation[[#This Row],[AI_TRU2]]</f>
        <v>7</v>
      </c>
      <c r="Z34">
        <f t="shared" si="14"/>
        <v>0.66666666666666663</v>
      </c>
      <c r="AA34">
        <f>survey_responses[[#This Row],[Tôi thấy mức thuế tôi phải đóng theo phương án mới là công bằng (người thu nhập như tôi đóng mức này là hợp lý). - HUMAN-TRU2]]</f>
        <v>8</v>
      </c>
      <c r="AB34">
        <f t="shared" si="15"/>
        <v>0.77777777777777779</v>
      </c>
      <c r="AC34">
        <f>step3_validation[[#This Row],[AI_TRU3]]</f>
        <v>6</v>
      </c>
      <c r="AD34">
        <f t="shared" si="16"/>
        <v>0.55555555555555558</v>
      </c>
      <c r="AE34">
        <f>survey_responses[[#This Row],[Tôi tin tưởng số tiền thuế tôi đóng sẽ được Nhà nước sử dụng hiệu quả để cải thiện dịch vụ công (y tế, đường xá...). - HUMAN-TRU3]]</f>
        <v>3</v>
      </c>
      <c r="AF34">
        <f t="shared" si="17"/>
        <v>0.22222222222222221</v>
      </c>
      <c r="AG34">
        <f>step3_validation[[#This Row],[AI_TRU4]]</f>
        <v>7</v>
      </c>
      <c r="AH34">
        <f t="shared" si="18"/>
        <v>0.66666666666666663</v>
      </c>
      <c r="AI34">
        <f>survey_responses[[#This Row],[Tôi thấy Nhà nước đã giải thích rõ ràng, minh bạch về lý do và mục tiêu của việc sửa đổi thuế lần này. - HUMAN-TRU4]]</f>
        <v>6</v>
      </c>
      <c r="AJ34">
        <f t="shared" si="19"/>
        <v>0.55555555555555558</v>
      </c>
      <c r="AK34" s="32">
        <f t="shared" si="20"/>
        <v>0.66666666666666663</v>
      </c>
      <c r="AL34" s="32">
        <f t="shared" si="21"/>
        <v>0.58333333333333326</v>
      </c>
      <c r="AM34" s="7">
        <f t="shared" si="22"/>
        <v>0.74074074074074059</v>
      </c>
      <c r="AN34" s="7">
        <f t="shared" si="23"/>
        <v>0.7129629629629628</v>
      </c>
      <c r="AO34">
        <f>step3_validation[[#This Row],[AI_OUT1]]</f>
        <v>8</v>
      </c>
      <c r="AP34">
        <f t="shared" si="24"/>
        <v>0.77777777777777779</v>
      </c>
      <c r="AQ34">
        <f>survey_responses[[#This Row],[Sau khi xem xét các quyền lợi và nghĩa vụ, bạn có ủng hộ và tuân thủ chính sách mới hiện nay? - HUMAN-OUT1]]</f>
        <v>7</v>
      </c>
      <c r="AR34">
        <f t="shared" si="25"/>
        <v>0.66666666666666663</v>
      </c>
      <c r="AS34" s="32">
        <f t="shared" si="26"/>
        <v>1</v>
      </c>
      <c r="AT34">
        <f t="shared" si="27"/>
        <v>1</v>
      </c>
    </row>
    <row r="35" spans="1:46" x14ac:dyDescent="0.45">
      <c r="A35">
        <f>step3_validation[[#This Row],[AI_ENF1]]</f>
        <v>6</v>
      </c>
      <c r="B35">
        <f t="shared" si="0"/>
        <v>0.55555555555555558</v>
      </c>
      <c r="C35">
        <f>survey_responses[[#This Row],[Tôi tin rằng với các quy định quản lý thuế hiện nay, hành vi gian lận hoặc trốn thuế sẽ dễ dàng bị phát hiện và xử lý nghiêm. - HUMAN-ENF1]]</f>
        <v>10</v>
      </c>
      <c r="D35">
        <f t="shared" si="1"/>
        <v>1</v>
      </c>
      <c r="E35">
        <f>step3_validation[[#This Row],[AI_ENF2]]</f>
        <v>7</v>
      </c>
      <c r="F35">
        <f t="shared" si="2"/>
        <v>0.66666666666666663</v>
      </c>
      <c r="G35">
        <f>survey_responses[[#This Row],[Tôi tin rằng Nhà nước, cơ quan thuế có đủ khả năng và công nghệ để phát hiện, xử lý nghiêm các hành vi trốn thuế. - HUMAN-ENF2]]</f>
        <v>10</v>
      </c>
      <c r="H35">
        <f t="shared" si="3"/>
        <v>1</v>
      </c>
      <c r="I35" s="32">
        <f t="shared" si="4"/>
        <v>0.61111111111111116</v>
      </c>
      <c r="J35" s="32">
        <f t="shared" si="5"/>
        <v>1</v>
      </c>
      <c r="K35">
        <f>step3_validation[[#This Row],[AI_FAC1]]</f>
        <v>5</v>
      </c>
      <c r="L35">
        <f t="shared" si="6"/>
        <v>0.44444444444444442</v>
      </c>
      <c r="M35">
        <f>survey_responses[[#This Row],[Các thủ tục khai báo thuế VÀ/HOẶC quy trình làm việc với cơ quan thuế đơn giản, tiện lợi, nhanh chóng hơn so với trước đây. - HUMAN-FAC1]]</f>
        <v>10</v>
      </c>
      <c r="N35">
        <f t="shared" si="7"/>
        <v>1</v>
      </c>
      <c r="O35">
        <f>step3_validation[[#This Row],[AI_FAC2]]</f>
        <v>8</v>
      </c>
      <c r="P35">
        <f t="shared" si="8"/>
        <v>0.77777777777777779</v>
      </c>
      <c r="Q35">
        <f>survey_responses[[#This Row],[So với trước đây, tôi thấy cách tính thuế và các bậc thuế trong phương án mới đơn giản, dễ hiểu và dễ thực hiện hơn. - HUMAN-FAC2]]</f>
        <v>10</v>
      </c>
      <c r="R35">
        <f t="shared" si="9"/>
        <v>1</v>
      </c>
      <c r="S35" s="32">
        <f t="shared" si="10"/>
        <v>0.61111111111111116</v>
      </c>
      <c r="T35" s="32">
        <f t="shared" si="11"/>
        <v>1</v>
      </c>
      <c r="U35">
        <f>step3_validation[[#This Row],[AI_TRU1]]</f>
        <v>4</v>
      </c>
      <c r="V35">
        <f t="shared" si="12"/>
        <v>0.33333333333333331</v>
      </c>
      <c r="W35">
        <f>survey_responses[[#This Row],[Tôi tin rằng Nhà nước, cơ quan thuế sẽ thực thi chính sách mới một cách khách quan, công tâm và đối xử bình đẳng với mọi người nộp thuế.  - HUMAN-TRU1]]</f>
        <v>10</v>
      </c>
      <c r="X35">
        <f t="shared" si="13"/>
        <v>1</v>
      </c>
      <c r="Y35">
        <f>step3_validation[[#This Row],[AI_TRU2]]</f>
        <v>6</v>
      </c>
      <c r="Z35">
        <f t="shared" si="14"/>
        <v>0.55555555555555558</v>
      </c>
      <c r="AA35">
        <f>survey_responses[[#This Row],[Tôi thấy mức thuế tôi phải đóng theo phương án mới là công bằng (người thu nhập như tôi đóng mức này là hợp lý). - HUMAN-TRU2]]</f>
        <v>10</v>
      </c>
      <c r="AB35">
        <f t="shared" si="15"/>
        <v>1</v>
      </c>
      <c r="AC35">
        <f>step3_validation[[#This Row],[AI_TRU3]]</f>
        <v>5</v>
      </c>
      <c r="AD35">
        <f t="shared" si="16"/>
        <v>0.44444444444444442</v>
      </c>
      <c r="AE35">
        <f>survey_responses[[#This Row],[Tôi tin tưởng số tiền thuế tôi đóng sẽ được Nhà nước sử dụng hiệu quả để cải thiện dịch vụ công (y tế, đường xá...). - HUMAN-TRU3]]</f>
        <v>10</v>
      </c>
      <c r="AF35">
        <f t="shared" si="17"/>
        <v>1</v>
      </c>
      <c r="AG35">
        <f>step3_validation[[#This Row],[AI_TRU4]]</f>
        <v>3</v>
      </c>
      <c r="AH35">
        <f t="shared" si="18"/>
        <v>0.22222222222222221</v>
      </c>
      <c r="AI35">
        <f>survey_responses[[#This Row],[Tôi thấy Nhà nước đã giải thích rõ ràng, minh bạch về lý do và mục tiêu của việc sửa đổi thuế lần này. - HUMAN-TRU4]]</f>
        <v>10</v>
      </c>
      <c r="AJ35">
        <f t="shared" si="19"/>
        <v>1</v>
      </c>
      <c r="AK35" s="32">
        <f t="shared" si="20"/>
        <v>0.38888888888888884</v>
      </c>
      <c r="AL35" s="32">
        <f t="shared" si="21"/>
        <v>1</v>
      </c>
      <c r="AM35" s="7">
        <f t="shared" si="22"/>
        <v>0.53703703703703709</v>
      </c>
      <c r="AN35" s="7">
        <f t="shared" si="23"/>
        <v>1</v>
      </c>
      <c r="AO35">
        <f>step3_validation[[#This Row],[AI_OUT1]]</f>
        <v>5</v>
      </c>
      <c r="AP35">
        <f t="shared" si="24"/>
        <v>0.44444444444444442</v>
      </c>
      <c r="AQ35">
        <f>survey_responses[[#This Row],[Sau khi xem xét các quyền lợi và nghĩa vụ, bạn có ủng hộ và tuân thủ chính sách mới hiện nay? - HUMAN-OUT1]]</f>
        <v>10</v>
      </c>
      <c r="AR35">
        <f t="shared" si="25"/>
        <v>1</v>
      </c>
      <c r="AS35" s="32">
        <f t="shared" si="26"/>
        <v>5</v>
      </c>
      <c r="AT35">
        <f t="shared" si="27"/>
        <v>1</v>
      </c>
    </row>
    <row r="36" spans="1:46" x14ac:dyDescent="0.45">
      <c r="A36">
        <f>step3_validation[[#This Row],[AI_ENF1]]</f>
        <v>7</v>
      </c>
      <c r="B36">
        <f t="shared" si="0"/>
        <v>0.66666666666666663</v>
      </c>
      <c r="C36">
        <f>survey_responses[[#This Row],[Tôi tin rằng với các quy định quản lý thuế hiện nay, hành vi gian lận hoặc trốn thuế sẽ dễ dàng bị phát hiện và xử lý nghiêm. - HUMAN-ENF1]]</f>
        <v>10</v>
      </c>
      <c r="D36">
        <f t="shared" si="1"/>
        <v>1</v>
      </c>
      <c r="E36">
        <f>step3_validation[[#This Row],[AI_ENF2]]</f>
        <v>8</v>
      </c>
      <c r="F36">
        <f t="shared" si="2"/>
        <v>0.77777777777777779</v>
      </c>
      <c r="G36">
        <f>survey_responses[[#This Row],[Tôi tin rằng Nhà nước, cơ quan thuế có đủ khả năng và công nghệ để phát hiện, xử lý nghiêm các hành vi trốn thuế. - HUMAN-ENF2]]</f>
        <v>10</v>
      </c>
      <c r="H36">
        <f t="shared" si="3"/>
        <v>1</v>
      </c>
      <c r="I36" s="32">
        <f t="shared" si="4"/>
        <v>0.72222222222222221</v>
      </c>
      <c r="J36" s="32">
        <f t="shared" si="5"/>
        <v>1</v>
      </c>
      <c r="K36">
        <f>step3_validation[[#This Row],[AI_FAC1]]</f>
        <v>6</v>
      </c>
      <c r="L36">
        <f t="shared" si="6"/>
        <v>0.55555555555555558</v>
      </c>
      <c r="M36">
        <f>survey_responses[[#This Row],[Các thủ tục khai báo thuế VÀ/HOẶC quy trình làm việc với cơ quan thuế đơn giản, tiện lợi, nhanh chóng hơn so với trước đây. - HUMAN-FAC1]]</f>
        <v>10</v>
      </c>
      <c r="N36">
        <f t="shared" si="7"/>
        <v>1</v>
      </c>
      <c r="O36">
        <f>step3_validation[[#This Row],[AI_FAC2]]</f>
        <v>7</v>
      </c>
      <c r="P36">
        <f t="shared" si="8"/>
        <v>0.66666666666666663</v>
      </c>
      <c r="Q36">
        <f>survey_responses[[#This Row],[So với trước đây, tôi thấy cách tính thuế và các bậc thuế trong phương án mới đơn giản, dễ hiểu và dễ thực hiện hơn. - HUMAN-FAC2]]</f>
        <v>10</v>
      </c>
      <c r="R36">
        <f t="shared" si="9"/>
        <v>1</v>
      </c>
      <c r="S36" s="32">
        <f t="shared" si="10"/>
        <v>0.61111111111111116</v>
      </c>
      <c r="T36" s="32">
        <f t="shared" si="11"/>
        <v>1</v>
      </c>
      <c r="U36">
        <f>step3_validation[[#This Row],[AI_TRU1]]</f>
        <v>8</v>
      </c>
      <c r="V36">
        <f t="shared" si="12"/>
        <v>0.77777777777777779</v>
      </c>
      <c r="W36">
        <f>survey_responses[[#This Row],[Tôi tin rằng Nhà nước, cơ quan thuế sẽ thực thi chính sách mới một cách khách quan, công tâm và đối xử bình đẳng với mọi người nộp thuế.  - HUMAN-TRU1]]</f>
        <v>10</v>
      </c>
      <c r="X36">
        <f t="shared" si="13"/>
        <v>1</v>
      </c>
      <c r="Y36">
        <f>step3_validation[[#This Row],[AI_TRU2]]</f>
        <v>8</v>
      </c>
      <c r="Z36">
        <f t="shared" si="14"/>
        <v>0.77777777777777779</v>
      </c>
      <c r="AA36">
        <f>survey_responses[[#This Row],[Tôi thấy mức thuế tôi phải đóng theo phương án mới là công bằng (người thu nhập như tôi đóng mức này là hợp lý). - HUMAN-TRU2]]</f>
        <v>10</v>
      </c>
      <c r="AB36">
        <f t="shared" si="15"/>
        <v>1</v>
      </c>
      <c r="AC36">
        <f>step3_validation[[#This Row],[AI_TRU3]]</f>
        <v>6</v>
      </c>
      <c r="AD36">
        <f t="shared" si="16"/>
        <v>0.55555555555555558</v>
      </c>
      <c r="AE36">
        <f>survey_responses[[#This Row],[Tôi tin tưởng số tiền thuế tôi đóng sẽ được Nhà nước sử dụng hiệu quả để cải thiện dịch vụ công (y tế, đường xá...). - HUMAN-TRU3]]</f>
        <v>10</v>
      </c>
      <c r="AF36">
        <f t="shared" si="17"/>
        <v>1</v>
      </c>
      <c r="AG36">
        <f>step3_validation[[#This Row],[AI_TRU4]]</f>
        <v>7</v>
      </c>
      <c r="AH36">
        <f t="shared" si="18"/>
        <v>0.66666666666666663</v>
      </c>
      <c r="AI36">
        <f>survey_responses[[#This Row],[Tôi thấy Nhà nước đã giải thích rõ ràng, minh bạch về lý do và mục tiêu của việc sửa đổi thuế lần này. - HUMAN-TRU4]]</f>
        <v>10</v>
      </c>
      <c r="AJ36">
        <f t="shared" si="19"/>
        <v>1</v>
      </c>
      <c r="AK36" s="32">
        <f t="shared" si="20"/>
        <v>0.69444444444444442</v>
      </c>
      <c r="AL36" s="32">
        <f t="shared" si="21"/>
        <v>1</v>
      </c>
      <c r="AM36" s="7">
        <f t="shared" si="22"/>
        <v>0.67592592592592593</v>
      </c>
      <c r="AN36" s="7">
        <f t="shared" si="23"/>
        <v>1</v>
      </c>
      <c r="AO36">
        <f>step3_validation[[#This Row],[AI_OUT1]]</f>
        <v>8</v>
      </c>
      <c r="AP36">
        <f t="shared" si="24"/>
        <v>0.77777777777777779</v>
      </c>
      <c r="AQ36">
        <f>survey_responses[[#This Row],[Sau khi xem xét các quyền lợi và nghĩa vụ, bạn có ủng hộ và tuân thủ chính sách mới hiện nay? - HUMAN-OUT1]]</f>
        <v>10</v>
      </c>
      <c r="AR36">
        <f t="shared" si="25"/>
        <v>1</v>
      </c>
      <c r="AS36" s="32">
        <f t="shared" si="26"/>
        <v>2</v>
      </c>
      <c r="AT36">
        <f t="shared" si="27"/>
        <v>1</v>
      </c>
    </row>
    <row r="37" spans="1:46" x14ac:dyDescent="0.45">
      <c r="A37">
        <f>step3_validation[[#This Row],[AI_ENF1]]</f>
        <v>8</v>
      </c>
      <c r="B37">
        <f t="shared" si="0"/>
        <v>0.77777777777777779</v>
      </c>
      <c r="C37">
        <f>survey_responses[[#This Row],[Tôi tin rằng với các quy định quản lý thuế hiện nay, hành vi gian lận hoặc trốn thuế sẽ dễ dàng bị phát hiện và xử lý nghiêm. - HUMAN-ENF1]]</f>
        <v>10</v>
      </c>
      <c r="D37">
        <f t="shared" si="1"/>
        <v>1</v>
      </c>
      <c r="E37">
        <f>step3_validation[[#This Row],[AI_ENF2]]</f>
        <v>9</v>
      </c>
      <c r="F37">
        <f t="shared" si="2"/>
        <v>0.88888888888888884</v>
      </c>
      <c r="G37">
        <f>survey_responses[[#This Row],[Tôi tin rằng Nhà nước, cơ quan thuế có đủ khả năng và công nghệ để phát hiện, xử lý nghiêm các hành vi trốn thuế. - HUMAN-ENF2]]</f>
        <v>9</v>
      </c>
      <c r="H37">
        <f t="shared" si="3"/>
        <v>0.88888888888888884</v>
      </c>
      <c r="I37" s="32">
        <f t="shared" si="4"/>
        <v>0.83333333333333326</v>
      </c>
      <c r="J37" s="32">
        <f t="shared" si="5"/>
        <v>0.94444444444444442</v>
      </c>
      <c r="K37">
        <f>step3_validation[[#This Row],[AI_FAC1]]</f>
        <v>7</v>
      </c>
      <c r="L37">
        <f t="shared" si="6"/>
        <v>0.66666666666666663</v>
      </c>
      <c r="M37">
        <f>survey_responses[[#This Row],[Các thủ tục khai báo thuế VÀ/HOẶC quy trình làm việc với cơ quan thuế đơn giản, tiện lợi, nhanh chóng hơn so với trước đây. - HUMAN-FAC1]]</f>
        <v>10</v>
      </c>
      <c r="N37">
        <f t="shared" si="7"/>
        <v>1</v>
      </c>
      <c r="O37">
        <f>step3_validation[[#This Row],[AI_FAC2]]</f>
        <v>8</v>
      </c>
      <c r="P37">
        <f t="shared" si="8"/>
        <v>0.77777777777777779</v>
      </c>
      <c r="Q37">
        <f>survey_responses[[#This Row],[So với trước đây, tôi thấy cách tính thuế và các bậc thuế trong phương án mới đơn giản, dễ hiểu và dễ thực hiện hơn. - HUMAN-FAC2]]</f>
        <v>8</v>
      </c>
      <c r="R37">
        <f t="shared" si="9"/>
        <v>0.77777777777777779</v>
      </c>
      <c r="S37" s="32">
        <f t="shared" si="10"/>
        <v>0.72222222222222221</v>
      </c>
      <c r="T37" s="32">
        <f t="shared" si="11"/>
        <v>0.88888888888888884</v>
      </c>
      <c r="U37">
        <f>step3_validation[[#This Row],[AI_TRU1]]</f>
        <v>7</v>
      </c>
      <c r="V37">
        <f t="shared" si="12"/>
        <v>0.66666666666666663</v>
      </c>
      <c r="W37">
        <f>survey_responses[[#This Row],[Tôi tin rằng Nhà nước, cơ quan thuế sẽ thực thi chính sách mới một cách khách quan, công tâm và đối xử bình đẳng với mọi người nộp thuế.  - HUMAN-TRU1]]</f>
        <v>10</v>
      </c>
      <c r="X37">
        <f t="shared" si="13"/>
        <v>1</v>
      </c>
      <c r="Y37">
        <f>step3_validation[[#This Row],[AI_TRU2]]</f>
        <v>6</v>
      </c>
      <c r="Z37">
        <f t="shared" si="14"/>
        <v>0.55555555555555558</v>
      </c>
      <c r="AA37">
        <f>survey_responses[[#This Row],[Tôi thấy mức thuế tôi phải đóng theo phương án mới là công bằng (người thu nhập như tôi đóng mức này là hợp lý). - HUMAN-TRU2]]</f>
        <v>9</v>
      </c>
      <c r="AB37">
        <f t="shared" si="15"/>
        <v>0.88888888888888884</v>
      </c>
      <c r="AC37">
        <f>step3_validation[[#This Row],[AI_TRU3]]</f>
        <v>6</v>
      </c>
      <c r="AD37">
        <f t="shared" si="16"/>
        <v>0.55555555555555558</v>
      </c>
      <c r="AE37">
        <f>survey_responses[[#This Row],[Tôi tin tưởng số tiền thuế tôi đóng sẽ được Nhà nước sử dụng hiệu quả để cải thiện dịch vụ công (y tế, đường xá...). - HUMAN-TRU3]]</f>
        <v>10</v>
      </c>
      <c r="AF37">
        <f t="shared" si="17"/>
        <v>1</v>
      </c>
      <c r="AG37">
        <f>step3_validation[[#This Row],[AI_TRU4]]</f>
        <v>5</v>
      </c>
      <c r="AH37">
        <f t="shared" si="18"/>
        <v>0.44444444444444442</v>
      </c>
      <c r="AI37">
        <f>survey_responses[[#This Row],[Tôi thấy Nhà nước đã giải thích rõ ràng, minh bạch về lý do và mục tiêu của việc sửa đổi thuế lần này. - HUMAN-TRU4]]</f>
        <v>10</v>
      </c>
      <c r="AJ37">
        <f t="shared" si="19"/>
        <v>1</v>
      </c>
      <c r="AK37" s="32">
        <f t="shared" si="20"/>
        <v>0.55555555555555558</v>
      </c>
      <c r="AL37" s="32">
        <f t="shared" si="21"/>
        <v>0.97222222222222221</v>
      </c>
      <c r="AM37" s="7">
        <f t="shared" si="22"/>
        <v>0.70370370370370361</v>
      </c>
      <c r="AN37" s="7">
        <f t="shared" si="23"/>
        <v>0.93518518518518512</v>
      </c>
      <c r="AO37">
        <f>step3_validation[[#This Row],[AI_OUT1]]</f>
        <v>7</v>
      </c>
      <c r="AP37">
        <f t="shared" si="24"/>
        <v>0.66666666666666663</v>
      </c>
      <c r="AQ37">
        <f>survey_responses[[#This Row],[Sau khi xem xét các quyền lợi và nghĩa vụ, bạn có ủng hộ và tuân thủ chính sách mới hiện nay? - HUMAN-OUT1]]</f>
        <v>10</v>
      </c>
      <c r="AR37">
        <f t="shared" si="25"/>
        <v>1</v>
      </c>
      <c r="AS37" s="32">
        <f t="shared" si="26"/>
        <v>3</v>
      </c>
      <c r="AT37">
        <f t="shared" si="27"/>
        <v>1</v>
      </c>
    </row>
    <row r="38" spans="1:46" x14ac:dyDescent="0.45">
      <c r="A38">
        <f>step3_validation[[#This Row],[AI_ENF1]]</f>
        <v>8</v>
      </c>
      <c r="B38">
        <f t="shared" si="0"/>
        <v>0.77777777777777779</v>
      </c>
      <c r="C38">
        <f>survey_responses[[#This Row],[Tôi tin rằng với các quy định quản lý thuế hiện nay, hành vi gian lận hoặc trốn thuế sẽ dễ dàng bị phát hiện và xử lý nghiêm. - HUMAN-ENF1]]</f>
        <v>10</v>
      </c>
      <c r="D38">
        <f t="shared" si="1"/>
        <v>1</v>
      </c>
      <c r="E38">
        <f>step3_validation[[#This Row],[AI_ENF2]]</f>
        <v>7</v>
      </c>
      <c r="F38">
        <f t="shared" si="2"/>
        <v>0.66666666666666663</v>
      </c>
      <c r="G38">
        <f>survey_responses[[#This Row],[Tôi tin rằng Nhà nước, cơ quan thuế có đủ khả năng và công nghệ để phát hiện, xử lý nghiêm các hành vi trốn thuế. - HUMAN-ENF2]]</f>
        <v>10</v>
      </c>
      <c r="H38">
        <f t="shared" si="3"/>
        <v>1</v>
      </c>
      <c r="I38" s="32">
        <f t="shared" si="4"/>
        <v>0.72222222222222221</v>
      </c>
      <c r="J38" s="32">
        <f t="shared" si="5"/>
        <v>1</v>
      </c>
      <c r="K38">
        <f>step3_validation[[#This Row],[AI_FAC1]]</f>
        <v>6</v>
      </c>
      <c r="L38">
        <f t="shared" si="6"/>
        <v>0.55555555555555558</v>
      </c>
      <c r="M38">
        <f>survey_responses[[#This Row],[Các thủ tục khai báo thuế VÀ/HOẶC quy trình làm việc với cơ quan thuế đơn giản, tiện lợi, nhanh chóng hơn so với trước đây. - HUMAN-FAC1]]</f>
        <v>10</v>
      </c>
      <c r="N38">
        <f t="shared" si="7"/>
        <v>1</v>
      </c>
      <c r="O38">
        <f>step3_validation[[#This Row],[AI_FAC2]]</f>
        <v>6</v>
      </c>
      <c r="P38">
        <f t="shared" si="8"/>
        <v>0.55555555555555558</v>
      </c>
      <c r="Q38">
        <f>survey_responses[[#This Row],[So với trước đây, tôi thấy cách tính thuế và các bậc thuế trong phương án mới đơn giản, dễ hiểu và dễ thực hiện hơn. - HUMAN-FAC2]]</f>
        <v>10</v>
      </c>
      <c r="R38">
        <f t="shared" si="9"/>
        <v>1</v>
      </c>
      <c r="S38" s="32">
        <f t="shared" si="10"/>
        <v>0.55555555555555558</v>
      </c>
      <c r="T38" s="32">
        <f t="shared" si="11"/>
        <v>1</v>
      </c>
      <c r="U38">
        <f>step3_validation[[#This Row],[AI_TRU1]]</f>
        <v>7</v>
      </c>
      <c r="V38">
        <f t="shared" si="12"/>
        <v>0.66666666666666663</v>
      </c>
      <c r="W38">
        <f>survey_responses[[#This Row],[Tôi tin rằng Nhà nước, cơ quan thuế sẽ thực thi chính sách mới một cách khách quan, công tâm và đối xử bình đẳng với mọi người nộp thuế.  - HUMAN-TRU1]]</f>
        <v>9</v>
      </c>
      <c r="X38">
        <f t="shared" si="13"/>
        <v>0.88888888888888884</v>
      </c>
      <c r="Y38">
        <f>step3_validation[[#This Row],[AI_TRU2]]</f>
        <v>6</v>
      </c>
      <c r="Z38">
        <f t="shared" si="14"/>
        <v>0.55555555555555558</v>
      </c>
      <c r="AA38">
        <f>survey_responses[[#This Row],[Tôi thấy mức thuế tôi phải đóng theo phương án mới là công bằng (người thu nhập như tôi đóng mức này là hợp lý). - HUMAN-TRU2]]</f>
        <v>9</v>
      </c>
      <c r="AB38">
        <f t="shared" si="15"/>
        <v>0.88888888888888884</v>
      </c>
      <c r="AC38">
        <f>step3_validation[[#This Row],[AI_TRU3]]</f>
        <v>5</v>
      </c>
      <c r="AD38">
        <f t="shared" si="16"/>
        <v>0.44444444444444442</v>
      </c>
      <c r="AE38">
        <f>survey_responses[[#This Row],[Tôi tin tưởng số tiền thuế tôi đóng sẽ được Nhà nước sử dụng hiệu quả để cải thiện dịch vụ công (y tế, đường xá...). - HUMAN-TRU3]]</f>
        <v>9</v>
      </c>
      <c r="AF38">
        <f t="shared" si="17"/>
        <v>0.88888888888888884</v>
      </c>
      <c r="AG38">
        <f>step3_validation[[#This Row],[AI_TRU4]]</f>
        <v>6</v>
      </c>
      <c r="AH38">
        <f t="shared" si="18"/>
        <v>0.55555555555555558</v>
      </c>
      <c r="AI38">
        <f>survey_responses[[#This Row],[Tôi thấy Nhà nước đã giải thích rõ ràng, minh bạch về lý do và mục tiêu của việc sửa đổi thuế lần này. - HUMAN-TRU4]]</f>
        <v>9</v>
      </c>
      <c r="AJ38">
        <f t="shared" si="19"/>
        <v>0.88888888888888884</v>
      </c>
      <c r="AK38" s="32">
        <f t="shared" si="20"/>
        <v>0.55555555555555558</v>
      </c>
      <c r="AL38" s="32">
        <f t="shared" si="21"/>
        <v>0.88888888888888884</v>
      </c>
      <c r="AM38" s="7">
        <f t="shared" si="22"/>
        <v>0.61111111111111105</v>
      </c>
      <c r="AN38" s="7">
        <f t="shared" si="23"/>
        <v>0.96296296296296291</v>
      </c>
      <c r="AO38">
        <f>step3_validation[[#This Row],[AI_OUT1]]</f>
        <v>7</v>
      </c>
      <c r="AP38">
        <f t="shared" si="24"/>
        <v>0.66666666666666663</v>
      </c>
      <c r="AQ38">
        <f>survey_responses[[#This Row],[Sau khi xem xét các quyền lợi và nghĩa vụ, bạn có ủng hộ và tuân thủ chính sách mới hiện nay? - HUMAN-OUT1]]</f>
        <v>8</v>
      </c>
      <c r="AR38">
        <f t="shared" si="25"/>
        <v>0.77777777777777779</v>
      </c>
      <c r="AS38" s="32">
        <f t="shared" si="26"/>
        <v>1</v>
      </c>
      <c r="AT38">
        <f t="shared" si="27"/>
        <v>1</v>
      </c>
    </row>
    <row r="39" spans="1:46" x14ac:dyDescent="0.45">
      <c r="A39">
        <f>step3_validation[[#This Row],[AI_ENF1]]</f>
        <v>8</v>
      </c>
      <c r="B39">
        <f t="shared" si="0"/>
        <v>0.77777777777777779</v>
      </c>
      <c r="C39">
        <f>survey_responses[[#This Row],[Tôi tin rằng với các quy định quản lý thuế hiện nay, hành vi gian lận hoặc trốn thuế sẽ dễ dàng bị phát hiện và xử lý nghiêm. - HUMAN-ENF1]]</f>
        <v>8</v>
      </c>
      <c r="D39">
        <f t="shared" si="1"/>
        <v>0.77777777777777779</v>
      </c>
      <c r="E39">
        <f>step3_validation[[#This Row],[AI_ENF2]]</f>
        <v>7</v>
      </c>
      <c r="F39">
        <f t="shared" si="2"/>
        <v>0.66666666666666663</v>
      </c>
      <c r="G39">
        <f>survey_responses[[#This Row],[Tôi tin rằng Nhà nước, cơ quan thuế có đủ khả năng và công nghệ để phát hiện, xử lý nghiêm các hành vi trốn thuế. - HUMAN-ENF2]]</f>
        <v>8</v>
      </c>
      <c r="H39">
        <f t="shared" si="3"/>
        <v>0.77777777777777779</v>
      </c>
      <c r="I39" s="32">
        <f t="shared" si="4"/>
        <v>0.72222222222222221</v>
      </c>
      <c r="J39" s="32">
        <f t="shared" si="5"/>
        <v>0.77777777777777779</v>
      </c>
      <c r="K39">
        <f>step3_validation[[#This Row],[AI_FAC1]]</f>
        <v>9</v>
      </c>
      <c r="L39">
        <f t="shared" si="6"/>
        <v>0.88888888888888884</v>
      </c>
      <c r="M39">
        <f>survey_responses[[#This Row],[Các thủ tục khai báo thuế VÀ/HOẶC quy trình làm việc với cơ quan thuế đơn giản, tiện lợi, nhanh chóng hơn so với trước đây. - HUMAN-FAC1]]</f>
        <v>8</v>
      </c>
      <c r="N39">
        <f t="shared" si="7"/>
        <v>0.77777777777777779</v>
      </c>
      <c r="O39">
        <f>step3_validation[[#This Row],[AI_FAC2]]</f>
        <v>9</v>
      </c>
      <c r="P39">
        <f t="shared" si="8"/>
        <v>0.88888888888888884</v>
      </c>
      <c r="Q39">
        <f>survey_responses[[#This Row],[So với trước đây, tôi thấy cách tính thuế và các bậc thuế trong phương án mới đơn giản, dễ hiểu và dễ thực hiện hơn. - HUMAN-FAC2]]</f>
        <v>8</v>
      </c>
      <c r="R39">
        <f t="shared" si="9"/>
        <v>0.77777777777777779</v>
      </c>
      <c r="S39" s="32">
        <f t="shared" si="10"/>
        <v>0.88888888888888884</v>
      </c>
      <c r="T39" s="32">
        <f t="shared" si="11"/>
        <v>0.77777777777777779</v>
      </c>
      <c r="U39">
        <f>step3_validation[[#This Row],[AI_TRU1]]</f>
        <v>8</v>
      </c>
      <c r="V39">
        <f t="shared" si="12"/>
        <v>0.77777777777777779</v>
      </c>
      <c r="W39">
        <f>survey_responses[[#This Row],[Tôi tin rằng Nhà nước, cơ quan thuế sẽ thực thi chính sách mới một cách khách quan, công tâm và đối xử bình đẳng với mọi người nộp thuế.  - HUMAN-TRU1]]</f>
        <v>8</v>
      </c>
      <c r="X39">
        <f t="shared" si="13"/>
        <v>0.77777777777777779</v>
      </c>
      <c r="Y39">
        <f>step3_validation[[#This Row],[AI_TRU2]]</f>
        <v>8</v>
      </c>
      <c r="Z39">
        <f t="shared" si="14"/>
        <v>0.77777777777777779</v>
      </c>
      <c r="AA39">
        <f>survey_responses[[#This Row],[Tôi thấy mức thuế tôi phải đóng theo phương án mới là công bằng (người thu nhập như tôi đóng mức này là hợp lý). - HUMAN-TRU2]]</f>
        <v>8</v>
      </c>
      <c r="AB39">
        <f t="shared" si="15"/>
        <v>0.77777777777777779</v>
      </c>
      <c r="AC39">
        <f>step3_validation[[#This Row],[AI_TRU3]]</f>
        <v>7</v>
      </c>
      <c r="AD39">
        <f t="shared" si="16"/>
        <v>0.66666666666666663</v>
      </c>
      <c r="AE39">
        <f>survey_responses[[#This Row],[Tôi tin tưởng số tiền thuế tôi đóng sẽ được Nhà nước sử dụng hiệu quả để cải thiện dịch vụ công (y tế, đường xá...). - HUMAN-TRU3]]</f>
        <v>8</v>
      </c>
      <c r="AF39">
        <f t="shared" si="17"/>
        <v>0.77777777777777779</v>
      </c>
      <c r="AG39">
        <f>step3_validation[[#This Row],[AI_TRU4]]</f>
        <v>6</v>
      </c>
      <c r="AH39">
        <f t="shared" si="18"/>
        <v>0.55555555555555558</v>
      </c>
      <c r="AI39">
        <f>survey_responses[[#This Row],[Tôi thấy Nhà nước đã giải thích rõ ràng, minh bạch về lý do và mục tiêu của việc sửa đổi thuế lần này. - HUMAN-TRU4]]</f>
        <v>8</v>
      </c>
      <c r="AJ39">
        <f t="shared" si="19"/>
        <v>0.77777777777777779</v>
      </c>
      <c r="AK39" s="32">
        <f t="shared" si="20"/>
        <v>0.69444444444444442</v>
      </c>
      <c r="AL39" s="32">
        <f t="shared" si="21"/>
        <v>0.77777777777777779</v>
      </c>
      <c r="AM39" s="7">
        <f t="shared" si="22"/>
        <v>0.76851851851851849</v>
      </c>
      <c r="AN39" s="7">
        <f t="shared" si="23"/>
        <v>0.77777777777777779</v>
      </c>
      <c r="AO39">
        <f>step3_validation[[#This Row],[AI_OUT1]]</f>
        <v>7</v>
      </c>
      <c r="AP39">
        <f t="shared" si="24"/>
        <v>0.66666666666666663</v>
      </c>
      <c r="AQ39">
        <f>survey_responses[[#This Row],[Sau khi xem xét các quyền lợi và nghĩa vụ, bạn có ủng hộ và tuân thủ chính sách mới hiện nay? - HUMAN-OUT1]]</f>
        <v>8</v>
      </c>
      <c r="AR39">
        <f t="shared" si="25"/>
        <v>0.77777777777777779</v>
      </c>
      <c r="AS39" s="32">
        <f t="shared" si="26"/>
        <v>1</v>
      </c>
      <c r="AT39">
        <f t="shared" si="27"/>
        <v>1</v>
      </c>
    </row>
    <row r="40" spans="1:46" x14ac:dyDescent="0.45">
      <c r="A40">
        <f>step3_validation[[#This Row],[AI_ENF1]]</f>
        <v>7</v>
      </c>
      <c r="B40">
        <f t="shared" si="0"/>
        <v>0.66666666666666663</v>
      </c>
      <c r="C40">
        <f>survey_responses[[#This Row],[Tôi tin rằng với các quy định quản lý thuế hiện nay, hành vi gian lận hoặc trốn thuế sẽ dễ dàng bị phát hiện và xử lý nghiêm. - HUMAN-ENF1]]</f>
        <v>10</v>
      </c>
      <c r="D40">
        <f t="shared" si="1"/>
        <v>1</v>
      </c>
      <c r="E40">
        <f>step3_validation[[#This Row],[AI_ENF2]]</f>
        <v>8</v>
      </c>
      <c r="F40">
        <f t="shared" si="2"/>
        <v>0.77777777777777779</v>
      </c>
      <c r="G40">
        <f>survey_responses[[#This Row],[Tôi tin rằng Nhà nước, cơ quan thuế có đủ khả năng và công nghệ để phát hiện, xử lý nghiêm các hành vi trốn thuế. - HUMAN-ENF2]]</f>
        <v>10</v>
      </c>
      <c r="H40">
        <f t="shared" si="3"/>
        <v>1</v>
      </c>
      <c r="I40" s="32">
        <f t="shared" si="4"/>
        <v>0.72222222222222221</v>
      </c>
      <c r="J40" s="32">
        <f t="shared" si="5"/>
        <v>1</v>
      </c>
      <c r="K40">
        <f>step3_validation[[#This Row],[AI_FAC1]]</f>
        <v>9</v>
      </c>
      <c r="L40">
        <f t="shared" si="6"/>
        <v>0.88888888888888884</v>
      </c>
      <c r="M40">
        <f>survey_responses[[#This Row],[Các thủ tục khai báo thuế VÀ/HOẶC quy trình làm việc với cơ quan thuế đơn giản, tiện lợi, nhanh chóng hơn so với trước đây. - HUMAN-FAC1]]</f>
        <v>10</v>
      </c>
      <c r="N40">
        <f t="shared" si="7"/>
        <v>1</v>
      </c>
      <c r="O40">
        <f>step3_validation[[#This Row],[AI_FAC2]]</f>
        <v>8</v>
      </c>
      <c r="P40">
        <f t="shared" si="8"/>
        <v>0.77777777777777779</v>
      </c>
      <c r="Q40">
        <f>survey_responses[[#This Row],[So với trước đây, tôi thấy cách tính thuế và các bậc thuế trong phương án mới đơn giản, dễ hiểu và dễ thực hiện hơn. - HUMAN-FAC2]]</f>
        <v>10</v>
      </c>
      <c r="R40">
        <f t="shared" si="9"/>
        <v>1</v>
      </c>
      <c r="S40" s="32">
        <f t="shared" si="10"/>
        <v>0.83333333333333326</v>
      </c>
      <c r="T40" s="32">
        <f t="shared" si="11"/>
        <v>1</v>
      </c>
      <c r="U40">
        <f>step3_validation[[#This Row],[AI_TRU1]]</f>
        <v>7</v>
      </c>
      <c r="V40">
        <f t="shared" si="12"/>
        <v>0.66666666666666663</v>
      </c>
      <c r="W40">
        <f>survey_responses[[#This Row],[Tôi tin rằng Nhà nước, cơ quan thuế sẽ thực thi chính sách mới một cách khách quan, công tâm và đối xử bình đẳng với mọi người nộp thuế.  - HUMAN-TRU1]]</f>
        <v>10</v>
      </c>
      <c r="X40">
        <f t="shared" si="13"/>
        <v>1</v>
      </c>
      <c r="Y40">
        <f>step3_validation[[#This Row],[AI_TRU2]]</f>
        <v>8</v>
      </c>
      <c r="Z40">
        <f t="shared" si="14"/>
        <v>0.77777777777777779</v>
      </c>
      <c r="AA40">
        <f>survey_responses[[#This Row],[Tôi thấy mức thuế tôi phải đóng theo phương án mới là công bằng (người thu nhập như tôi đóng mức này là hợp lý). - HUMAN-TRU2]]</f>
        <v>10</v>
      </c>
      <c r="AB40">
        <f t="shared" si="15"/>
        <v>1</v>
      </c>
      <c r="AC40">
        <f>step3_validation[[#This Row],[AI_TRU3]]</f>
        <v>7</v>
      </c>
      <c r="AD40">
        <f t="shared" si="16"/>
        <v>0.66666666666666663</v>
      </c>
      <c r="AE40">
        <f>survey_responses[[#This Row],[Tôi tin tưởng số tiền thuế tôi đóng sẽ được Nhà nước sử dụng hiệu quả để cải thiện dịch vụ công (y tế, đường xá...). - HUMAN-TRU3]]</f>
        <v>10</v>
      </c>
      <c r="AF40">
        <f t="shared" si="17"/>
        <v>1</v>
      </c>
      <c r="AG40">
        <f>step3_validation[[#This Row],[AI_TRU4]]</f>
        <v>6</v>
      </c>
      <c r="AH40">
        <f t="shared" si="18"/>
        <v>0.55555555555555558</v>
      </c>
      <c r="AI40">
        <f>survey_responses[[#This Row],[Tôi thấy Nhà nước đã giải thích rõ ràng, minh bạch về lý do và mục tiêu của việc sửa đổi thuế lần này. - HUMAN-TRU4]]</f>
        <v>10</v>
      </c>
      <c r="AJ40">
        <f t="shared" si="19"/>
        <v>1</v>
      </c>
      <c r="AK40" s="32">
        <f t="shared" si="20"/>
        <v>0.66666666666666674</v>
      </c>
      <c r="AL40" s="32">
        <f t="shared" si="21"/>
        <v>1</v>
      </c>
      <c r="AM40" s="7">
        <f t="shared" si="22"/>
        <v>0.74074074074074081</v>
      </c>
      <c r="AN40" s="7">
        <f t="shared" si="23"/>
        <v>1</v>
      </c>
      <c r="AO40">
        <f>step3_validation[[#This Row],[AI_OUT1]]</f>
        <v>9</v>
      </c>
      <c r="AP40">
        <f t="shared" si="24"/>
        <v>0.88888888888888884</v>
      </c>
      <c r="AQ40">
        <f>survey_responses[[#This Row],[Sau khi xem xét các quyền lợi và nghĩa vụ, bạn có ủng hộ và tuân thủ chính sách mới hiện nay? - HUMAN-OUT1]]</f>
        <v>10</v>
      </c>
      <c r="AR40">
        <f t="shared" si="25"/>
        <v>1</v>
      </c>
      <c r="AS40" s="32">
        <f t="shared" si="26"/>
        <v>1</v>
      </c>
      <c r="AT40">
        <f t="shared" si="27"/>
        <v>1</v>
      </c>
    </row>
    <row r="41" spans="1:46" x14ac:dyDescent="0.45">
      <c r="A41">
        <f>step3_validation[[#This Row],[AI_ENF1]]</f>
        <v>7</v>
      </c>
      <c r="B41">
        <f t="shared" si="0"/>
        <v>0.66666666666666663</v>
      </c>
      <c r="C41">
        <f>survey_responses[[#This Row],[Tôi tin rằng với các quy định quản lý thuế hiện nay, hành vi gian lận hoặc trốn thuế sẽ dễ dàng bị phát hiện và xử lý nghiêm. - HUMAN-ENF1]]</f>
        <v>8</v>
      </c>
      <c r="D41">
        <f t="shared" si="1"/>
        <v>0.77777777777777779</v>
      </c>
      <c r="E41">
        <f>step3_validation[[#This Row],[AI_ENF2]]</f>
        <v>8</v>
      </c>
      <c r="F41">
        <f t="shared" si="2"/>
        <v>0.77777777777777779</v>
      </c>
      <c r="G41">
        <f>survey_responses[[#This Row],[Tôi tin rằng Nhà nước, cơ quan thuế có đủ khả năng và công nghệ để phát hiện, xử lý nghiêm các hành vi trốn thuế. - HUMAN-ENF2]]</f>
        <v>8</v>
      </c>
      <c r="H41">
        <f t="shared" si="3"/>
        <v>0.77777777777777779</v>
      </c>
      <c r="I41" s="32">
        <f t="shared" si="4"/>
        <v>0.72222222222222221</v>
      </c>
      <c r="J41" s="32">
        <f t="shared" si="5"/>
        <v>0.77777777777777779</v>
      </c>
      <c r="K41">
        <f>step3_validation[[#This Row],[AI_FAC1]]</f>
        <v>9</v>
      </c>
      <c r="L41">
        <f t="shared" si="6"/>
        <v>0.88888888888888884</v>
      </c>
      <c r="M41">
        <f>survey_responses[[#This Row],[Các thủ tục khai báo thuế VÀ/HOẶC quy trình làm việc với cơ quan thuế đơn giản, tiện lợi, nhanh chóng hơn so với trước đây. - HUMAN-FAC1]]</f>
        <v>6</v>
      </c>
      <c r="N41">
        <f t="shared" si="7"/>
        <v>0.55555555555555558</v>
      </c>
      <c r="O41">
        <f>step3_validation[[#This Row],[AI_FAC2]]</f>
        <v>8</v>
      </c>
      <c r="P41">
        <f t="shared" si="8"/>
        <v>0.77777777777777779</v>
      </c>
      <c r="Q41">
        <f>survey_responses[[#This Row],[So với trước đây, tôi thấy cách tính thuế và các bậc thuế trong phương án mới đơn giản, dễ hiểu và dễ thực hiện hơn. - HUMAN-FAC2]]</f>
        <v>8</v>
      </c>
      <c r="R41">
        <f t="shared" si="9"/>
        <v>0.77777777777777779</v>
      </c>
      <c r="S41" s="32">
        <f t="shared" si="10"/>
        <v>0.83333333333333326</v>
      </c>
      <c r="T41" s="32">
        <f t="shared" si="11"/>
        <v>0.66666666666666674</v>
      </c>
      <c r="U41">
        <f>step3_validation[[#This Row],[AI_TRU1]]</f>
        <v>9</v>
      </c>
      <c r="V41">
        <f t="shared" si="12"/>
        <v>0.88888888888888884</v>
      </c>
      <c r="W41">
        <f>survey_responses[[#This Row],[Tôi tin rằng Nhà nước, cơ quan thuế sẽ thực thi chính sách mới một cách khách quan, công tâm và đối xử bình đẳng với mọi người nộp thuế.  - HUMAN-TRU1]]</f>
        <v>7</v>
      </c>
      <c r="X41">
        <f t="shared" si="13"/>
        <v>0.66666666666666663</v>
      </c>
      <c r="Y41">
        <f>step3_validation[[#This Row],[AI_TRU2]]</f>
        <v>7</v>
      </c>
      <c r="Z41">
        <f t="shared" si="14"/>
        <v>0.66666666666666663</v>
      </c>
      <c r="AA41">
        <f>survey_responses[[#This Row],[Tôi thấy mức thuế tôi phải đóng theo phương án mới là công bằng (người thu nhập như tôi đóng mức này là hợp lý). - HUMAN-TRU2]]</f>
        <v>8</v>
      </c>
      <c r="AB41">
        <f t="shared" si="15"/>
        <v>0.77777777777777779</v>
      </c>
      <c r="AC41">
        <f>step3_validation[[#This Row],[AI_TRU3]]</f>
        <v>6</v>
      </c>
      <c r="AD41">
        <f t="shared" si="16"/>
        <v>0.55555555555555558</v>
      </c>
      <c r="AE41">
        <f>survey_responses[[#This Row],[Tôi tin tưởng số tiền thuế tôi đóng sẽ được Nhà nước sử dụng hiệu quả để cải thiện dịch vụ công (y tế, đường xá...). - HUMAN-TRU3]]</f>
        <v>5</v>
      </c>
      <c r="AF41">
        <f t="shared" si="17"/>
        <v>0.44444444444444442</v>
      </c>
      <c r="AG41">
        <f>step3_validation[[#This Row],[AI_TRU4]]</f>
        <v>5</v>
      </c>
      <c r="AH41">
        <f t="shared" si="18"/>
        <v>0.44444444444444442</v>
      </c>
      <c r="AI41">
        <f>survey_responses[[#This Row],[Tôi thấy Nhà nước đã giải thích rõ ràng, minh bạch về lý do và mục tiêu của việc sửa đổi thuế lần này. - HUMAN-TRU4]]</f>
        <v>6</v>
      </c>
      <c r="AJ41">
        <f t="shared" si="19"/>
        <v>0.55555555555555558</v>
      </c>
      <c r="AK41" s="32">
        <f t="shared" si="20"/>
        <v>0.63888888888888884</v>
      </c>
      <c r="AL41" s="32">
        <f t="shared" si="21"/>
        <v>0.61111111111111116</v>
      </c>
      <c r="AM41" s="7">
        <f t="shared" si="22"/>
        <v>0.7314814814814814</v>
      </c>
      <c r="AN41" s="7">
        <f t="shared" si="23"/>
        <v>0.68518518518518523</v>
      </c>
      <c r="AO41">
        <f>step3_validation[[#This Row],[AI_OUT1]]</f>
        <v>7</v>
      </c>
      <c r="AP41">
        <f t="shared" si="24"/>
        <v>0.66666666666666663</v>
      </c>
      <c r="AQ41">
        <f>survey_responses[[#This Row],[Sau khi xem xét các quyền lợi và nghĩa vụ, bạn có ủng hộ và tuân thủ chính sách mới hiện nay? - HUMAN-OUT1]]</f>
        <v>7</v>
      </c>
      <c r="AR41">
        <f t="shared" si="25"/>
        <v>0.66666666666666663</v>
      </c>
      <c r="AS41" s="32">
        <f t="shared" si="26"/>
        <v>0</v>
      </c>
      <c r="AT41">
        <f t="shared" si="27"/>
        <v>1</v>
      </c>
    </row>
    <row r="42" spans="1:46" x14ac:dyDescent="0.45">
      <c r="A42">
        <f>step3_validation[[#This Row],[AI_ENF1]]</f>
        <v>7</v>
      </c>
      <c r="B42">
        <f t="shared" si="0"/>
        <v>0.66666666666666663</v>
      </c>
      <c r="C42">
        <f>survey_responses[[#This Row],[Tôi tin rằng với các quy định quản lý thuế hiện nay, hành vi gian lận hoặc trốn thuế sẽ dễ dàng bị phát hiện và xử lý nghiêm. - HUMAN-ENF1]]</f>
        <v>9</v>
      </c>
      <c r="D42">
        <f t="shared" si="1"/>
        <v>0.88888888888888884</v>
      </c>
      <c r="E42">
        <f>step3_validation[[#This Row],[AI_ENF2]]</f>
        <v>8</v>
      </c>
      <c r="F42">
        <f t="shared" si="2"/>
        <v>0.77777777777777779</v>
      </c>
      <c r="G42">
        <f>survey_responses[[#This Row],[Tôi tin rằng Nhà nước, cơ quan thuế có đủ khả năng và công nghệ để phát hiện, xử lý nghiêm các hành vi trốn thuế. - HUMAN-ENF2]]</f>
        <v>8</v>
      </c>
      <c r="H42">
        <f t="shared" si="3"/>
        <v>0.77777777777777779</v>
      </c>
      <c r="I42" s="32">
        <f t="shared" si="4"/>
        <v>0.72222222222222221</v>
      </c>
      <c r="J42" s="32">
        <f t="shared" si="5"/>
        <v>0.83333333333333326</v>
      </c>
      <c r="K42">
        <f>step3_validation[[#This Row],[AI_FAC1]]</f>
        <v>6</v>
      </c>
      <c r="L42">
        <f t="shared" si="6"/>
        <v>0.55555555555555558</v>
      </c>
      <c r="M42">
        <f>survey_responses[[#This Row],[Các thủ tục khai báo thuế VÀ/HOẶC quy trình làm việc với cơ quan thuế đơn giản, tiện lợi, nhanh chóng hơn so với trước đây. - HUMAN-FAC1]]</f>
        <v>7</v>
      </c>
      <c r="N42">
        <f t="shared" si="7"/>
        <v>0.66666666666666663</v>
      </c>
      <c r="O42">
        <f>step3_validation[[#This Row],[AI_FAC2]]</f>
        <v>9</v>
      </c>
      <c r="P42">
        <f t="shared" si="8"/>
        <v>0.88888888888888884</v>
      </c>
      <c r="Q42">
        <f>survey_responses[[#This Row],[So với trước đây, tôi thấy cách tính thuế và các bậc thuế trong phương án mới đơn giản, dễ hiểu và dễ thực hiện hơn. - HUMAN-FAC2]]</f>
        <v>8</v>
      </c>
      <c r="R42">
        <f t="shared" si="9"/>
        <v>0.77777777777777779</v>
      </c>
      <c r="S42" s="32">
        <f t="shared" si="10"/>
        <v>0.72222222222222221</v>
      </c>
      <c r="T42" s="32">
        <f t="shared" si="11"/>
        <v>0.72222222222222221</v>
      </c>
      <c r="U42">
        <f>step3_validation[[#This Row],[AI_TRU1]]</f>
        <v>8</v>
      </c>
      <c r="V42">
        <f t="shared" si="12"/>
        <v>0.77777777777777779</v>
      </c>
      <c r="W42">
        <f>survey_responses[[#This Row],[Tôi tin rằng Nhà nước, cơ quan thuế sẽ thực thi chính sách mới một cách khách quan, công tâm và đối xử bình đẳng với mọi người nộp thuế.  - HUMAN-TRU1]]</f>
        <v>7</v>
      </c>
      <c r="X42">
        <f t="shared" si="13"/>
        <v>0.66666666666666663</v>
      </c>
      <c r="Y42">
        <f>step3_validation[[#This Row],[AI_TRU2]]</f>
        <v>9</v>
      </c>
      <c r="Z42">
        <f t="shared" si="14"/>
        <v>0.88888888888888884</v>
      </c>
      <c r="AA42">
        <f>survey_responses[[#This Row],[Tôi thấy mức thuế tôi phải đóng theo phương án mới là công bằng (người thu nhập như tôi đóng mức này là hợp lý). - HUMAN-TRU2]]</f>
        <v>4</v>
      </c>
      <c r="AB42">
        <f t="shared" si="15"/>
        <v>0.33333333333333331</v>
      </c>
      <c r="AC42">
        <f>step3_validation[[#This Row],[AI_TRU3]]</f>
        <v>7</v>
      </c>
      <c r="AD42">
        <f t="shared" si="16"/>
        <v>0.66666666666666663</v>
      </c>
      <c r="AE42">
        <f>survey_responses[[#This Row],[Tôi tin tưởng số tiền thuế tôi đóng sẽ được Nhà nước sử dụng hiệu quả để cải thiện dịch vụ công (y tế, đường xá...). - HUMAN-TRU3]]</f>
        <v>2</v>
      </c>
      <c r="AF42">
        <f t="shared" si="17"/>
        <v>0.1111111111111111</v>
      </c>
      <c r="AG42">
        <f>step3_validation[[#This Row],[AI_TRU4]]</f>
        <v>6</v>
      </c>
      <c r="AH42">
        <f t="shared" si="18"/>
        <v>0.55555555555555558</v>
      </c>
      <c r="AI42">
        <f>survey_responses[[#This Row],[Tôi thấy Nhà nước đã giải thích rõ ràng, minh bạch về lý do và mục tiêu của việc sửa đổi thuế lần này. - HUMAN-TRU4]]</f>
        <v>8</v>
      </c>
      <c r="AJ42">
        <f t="shared" si="19"/>
        <v>0.77777777777777779</v>
      </c>
      <c r="AK42" s="32">
        <f t="shared" si="20"/>
        <v>0.7222222222222221</v>
      </c>
      <c r="AL42" s="32">
        <f t="shared" si="21"/>
        <v>0.47222222222222221</v>
      </c>
      <c r="AM42" s="7">
        <f t="shared" si="22"/>
        <v>0.72222222222222221</v>
      </c>
      <c r="AN42" s="7">
        <f t="shared" si="23"/>
        <v>0.67592592592592593</v>
      </c>
      <c r="AO42">
        <f>step3_validation[[#This Row],[AI_OUT1]]</f>
        <v>8</v>
      </c>
      <c r="AP42">
        <f t="shared" si="24"/>
        <v>0.77777777777777779</v>
      </c>
      <c r="AQ42">
        <f>survey_responses[[#This Row],[Sau khi xem xét các quyền lợi và nghĩa vụ, bạn có ủng hộ và tuân thủ chính sách mới hiện nay? - HUMAN-OUT1]]</f>
        <v>8</v>
      </c>
      <c r="AR42">
        <f t="shared" si="25"/>
        <v>0.77777777777777779</v>
      </c>
      <c r="AS42" s="32">
        <f t="shared" si="26"/>
        <v>0</v>
      </c>
      <c r="AT42">
        <f t="shared" si="27"/>
        <v>1</v>
      </c>
    </row>
    <row r="43" spans="1:46" x14ac:dyDescent="0.45">
      <c r="A43">
        <f>step3_validation[[#This Row],[AI_ENF1]]</f>
        <v>7</v>
      </c>
      <c r="B43">
        <f t="shared" si="0"/>
        <v>0.66666666666666663</v>
      </c>
      <c r="C43">
        <f>survey_responses[[#This Row],[Tôi tin rằng với các quy định quản lý thuế hiện nay, hành vi gian lận hoặc trốn thuế sẽ dễ dàng bị phát hiện và xử lý nghiêm. - HUMAN-ENF1]]</f>
        <v>10</v>
      </c>
      <c r="D43">
        <f t="shared" si="1"/>
        <v>1</v>
      </c>
      <c r="E43">
        <f>step3_validation[[#This Row],[AI_ENF2]]</f>
        <v>8</v>
      </c>
      <c r="F43">
        <f t="shared" si="2"/>
        <v>0.77777777777777779</v>
      </c>
      <c r="G43">
        <f>survey_responses[[#This Row],[Tôi tin rằng Nhà nước, cơ quan thuế có đủ khả năng và công nghệ để phát hiện, xử lý nghiêm các hành vi trốn thuế. - HUMAN-ENF2]]</f>
        <v>10</v>
      </c>
      <c r="H43">
        <f t="shared" si="3"/>
        <v>1</v>
      </c>
      <c r="I43" s="32">
        <f t="shared" si="4"/>
        <v>0.72222222222222221</v>
      </c>
      <c r="J43" s="32">
        <f t="shared" si="5"/>
        <v>1</v>
      </c>
      <c r="K43">
        <f>step3_validation[[#This Row],[AI_FAC1]]</f>
        <v>9</v>
      </c>
      <c r="L43">
        <f t="shared" si="6"/>
        <v>0.88888888888888884</v>
      </c>
      <c r="M43">
        <f>survey_responses[[#This Row],[Các thủ tục khai báo thuế VÀ/HOẶC quy trình làm việc với cơ quan thuế đơn giản, tiện lợi, nhanh chóng hơn so với trước đây. - HUMAN-FAC1]]</f>
        <v>9</v>
      </c>
      <c r="N43">
        <f t="shared" si="7"/>
        <v>0.88888888888888884</v>
      </c>
      <c r="O43">
        <f>step3_validation[[#This Row],[AI_FAC2]]</f>
        <v>8</v>
      </c>
      <c r="P43">
        <f t="shared" si="8"/>
        <v>0.77777777777777779</v>
      </c>
      <c r="Q43">
        <f>survey_responses[[#This Row],[So với trước đây, tôi thấy cách tính thuế và các bậc thuế trong phương án mới đơn giản, dễ hiểu và dễ thực hiện hơn. - HUMAN-FAC2]]</f>
        <v>8</v>
      </c>
      <c r="R43">
        <f t="shared" si="9"/>
        <v>0.77777777777777779</v>
      </c>
      <c r="S43" s="32">
        <f t="shared" si="10"/>
        <v>0.83333333333333326</v>
      </c>
      <c r="T43" s="32">
        <f t="shared" si="11"/>
        <v>0.83333333333333326</v>
      </c>
      <c r="U43">
        <f>step3_validation[[#This Row],[AI_TRU1]]</f>
        <v>9</v>
      </c>
      <c r="V43">
        <f t="shared" si="12"/>
        <v>0.88888888888888884</v>
      </c>
      <c r="W43">
        <f>survey_responses[[#This Row],[Tôi tin rằng Nhà nước, cơ quan thuế sẽ thực thi chính sách mới một cách khách quan, công tâm và đối xử bình đẳng với mọi người nộp thuế.  - HUMAN-TRU1]]</f>
        <v>7</v>
      </c>
      <c r="X43">
        <f t="shared" si="13"/>
        <v>0.66666666666666663</v>
      </c>
      <c r="Y43">
        <f>step3_validation[[#This Row],[AI_TRU2]]</f>
        <v>7</v>
      </c>
      <c r="Z43">
        <f t="shared" si="14"/>
        <v>0.66666666666666663</v>
      </c>
      <c r="AA43">
        <f>survey_responses[[#This Row],[Tôi thấy mức thuế tôi phải đóng theo phương án mới là công bằng (người thu nhập như tôi đóng mức này là hợp lý). - HUMAN-TRU2]]</f>
        <v>9</v>
      </c>
      <c r="AB43">
        <f t="shared" si="15"/>
        <v>0.88888888888888884</v>
      </c>
      <c r="AC43">
        <f>step3_validation[[#This Row],[AI_TRU3]]</f>
        <v>8</v>
      </c>
      <c r="AD43">
        <f t="shared" si="16"/>
        <v>0.77777777777777779</v>
      </c>
      <c r="AE43">
        <f>survey_responses[[#This Row],[Tôi tin tưởng số tiền thuế tôi đóng sẽ được Nhà nước sử dụng hiệu quả để cải thiện dịch vụ công (y tế, đường xá...). - HUMAN-TRU3]]</f>
        <v>9</v>
      </c>
      <c r="AF43">
        <f t="shared" si="17"/>
        <v>0.88888888888888884</v>
      </c>
      <c r="AG43">
        <f>step3_validation[[#This Row],[AI_TRU4]]</f>
        <v>5</v>
      </c>
      <c r="AH43">
        <f t="shared" si="18"/>
        <v>0.44444444444444442</v>
      </c>
      <c r="AI43">
        <f>survey_responses[[#This Row],[Tôi thấy Nhà nước đã giải thích rõ ràng, minh bạch về lý do và mục tiêu của việc sửa đổi thuế lần này. - HUMAN-TRU4]]</f>
        <v>8</v>
      </c>
      <c r="AJ43">
        <f t="shared" si="19"/>
        <v>0.77777777777777779</v>
      </c>
      <c r="AK43" s="32">
        <f t="shared" si="20"/>
        <v>0.69444444444444442</v>
      </c>
      <c r="AL43" s="32">
        <f t="shared" si="21"/>
        <v>0.80555555555555547</v>
      </c>
      <c r="AM43" s="7">
        <f t="shared" si="22"/>
        <v>0.75</v>
      </c>
      <c r="AN43" s="7">
        <f t="shared" si="23"/>
        <v>0.87962962962962965</v>
      </c>
      <c r="AO43">
        <f>step3_validation[[#This Row],[AI_OUT1]]</f>
        <v>6</v>
      </c>
      <c r="AP43">
        <f t="shared" si="24"/>
        <v>0.55555555555555558</v>
      </c>
      <c r="AQ43">
        <f>survey_responses[[#This Row],[Sau khi xem xét các quyền lợi và nghĩa vụ, bạn có ủng hộ và tuân thủ chính sách mới hiện nay? - HUMAN-OUT1]]</f>
        <v>8</v>
      </c>
      <c r="AR43">
        <f t="shared" si="25"/>
        <v>0.77777777777777779</v>
      </c>
      <c r="AS43" s="32">
        <f t="shared" si="26"/>
        <v>2</v>
      </c>
      <c r="AT43">
        <f t="shared" si="27"/>
        <v>1</v>
      </c>
    </row>
    <row r="44" spans="1:46" x14ac:dyDescent="0.45">
      <c r="A44">
        <f>step3_validation[[#This Row],[AI_ENF1]]</f>
        <v>7</v>
      </c>
      <c r="B44">
        <f t="shared" si="0"/>
        <v>0.66666666666666663</v>
      </c>
      <c r="C44">
        <f>survey_responses[[#This Row],[Tôi tin rằng với các quy định quản lý thuế hiện nay, hành vi gian lận hoặc trốn thuế sẽ dễ dàng bị phát hiện và xử lý nghiêm. - HUMAN-ENF1]]</f>
        <v>6</v>
      </c>
      <c r="D44">
        <f t="shared" si="1"/>
        <v>0.55555555555555558</v>
      </c>
      <c r="E44">
        <f>step3_validation[[#This Row],[AI_ENF2]]</f>
        <v>8</v>
      </c>
      <c r="F44">
        <f t="shared" si="2"/>
        <v>0.77777777777777779</v>
      </c>
      <c r="G44">
        <f>survey_responses[[#This Row],[Tôi tin rằng Nhà nước, cơ quan thuế có đủ khả năng và công nghệ để phát hiện, xử lý nghiêm các hành vi trốn thuế. - HUMAN-ENF2]]</f>
        <v>6</v>
      </c>
      <c r="H44">
        <f t="shared" si="3"/>
        <v>0.55555555555555558</v>
      </c>
      <c r="I44" s="32">
        <f t="shared" si="4"/>
        <v>0.72222222222222221</v>
      </c>
      <c r="J44" s="32">
        <f t="shared" si="5"/>
        <v>0.55555555555555558</v>
      </c>
      <c r="K44">
        <f>step3_validation[[#This Row],[AI_FAC1]]</f>
        <v>6</v>
      </c>
      <c r="L44">
        <f t="shared" si="6"/>
        <v>0.55555555555555558</v>
      </c>
      <c r="M44">
        <f>survey_responses[[#This Row],[Các thủ tục khai báo thuế VÀ/HOẶC quy trình làm việc với cơ quan thuế đơn giản, tiện lợi, nhanh chóng hơn so với trước đây. - HUMAN-FAC1]]</f>
        <v>8</v>
      </c>
      <c r="N44">
        <f t="shared" si="7"/>
        <v>0.77777777777777779</v>
      </c>
      <c r="O44">
        <f>step3_validation[[#This Row],[AI_FAC2]]</f>
        <v>5</v>
      </c>
      <c r="P44">
        <f t="shared" si="8"/>
        <v>0.44444444444444442</v>
      </c>
      <c r="Q44">
        <f>survey_responses[[#This Row],[So với trước đây, tôi thấy cách tính thuế và các bậc thuế trong phương án mới đơn giản, dễ hiểu và dễ thực hiện hơn. - HUMAN-FAC2]]</f>
        <v>10</v>
      </c>
      <c r="R44">
        <f t="shared" si="9"/>
        <v>1</v>
      </c>
      <c r="S44" s="32">
        <f t="shared" si="10"/>
        <v>0.5</v>
      </c>
      <c r="T44" s="32">
        <f t="shared" si="11"/>
        <v>0.88888888888888884</v>
      </c>
      <c r="U44">
        <f>step3_validation[[#This Row],[AI_TRU1]]</f>
        <v>7</v>
      </c>
      <c r="V44">
        <f t="shared" si="12"/>
        <v>0.66666666666666663</v>
      </c>
      <c r="W44">
        <f>survey_responses[[#This Row],[Tôi tin rằng Nhà nước, cơ quan thuế sẽ thực thi chính sách mới một cách khách quan, công tâm và đối xử bình đẳng với mọi người nộp thuế.  - HUMAN-TRU1]]</f>
        <v>9</v>
      </c>
      <c r="X44">
        <f t="shared" si="13"/>
        <v>0.88888888888888884</v>
      </c>
      <c r="Y44">
        <f>step3_validation[[#This Row],[AI_TRU2]]</f>
        <v>6</v>
      </c>
      <c r="Z44">
        <f t="shared" si="14"/>
        <v>0.55555555555555558</v>
      </c>
      <c r="AA44">
        <f>survey_responses[[#This Row],[Tôi thấy mức thuế tôi phải đóng theo phương án mới là công bằng (người thu nhập như tôi đóng mức này là hợp lý). - HUMAN-TRU2]]</f>
        <v>1</v>
      </c>
      <c r="AB44">
        <f t="shared" si="15"/>
        <v>0</v>
      </c>
      <c r="AC44">
        <f>step3_validation[[#This Row],[AI_TRU3]]</f>
        <v>7</v>
      </c>
      <c r="AD44">
        <f t="shared" si="16"/>
        <v>0.66666666666666663</v>
      </c>
      <c r="AE44">
        <f>survey_responses[[#This Row],[Tôi tin tưởng số tiền thuế tôi đóng sẽ được Nhà nước sử dụng hiệu quả để cải thiện dịch vụ công (y tế, đường xá...). - HUMAN-TRU3]]</f>
        <v>7</v>
      </c>
      <c r="AF44">
        <f t="shared" si="17"/>
        <v>0.66666666666666663</v>
      </c>
      <c r="AG44">
        <f>step3_validation[[#This Row],[AI_TRU4]]</f>
        <v>5</v>
      </c>
      <c r="AH44">
        <f t="shared" si="18"/>
        <v>0.44444444444444442</v>
      </c>
      <c r="AI44">
        <f>survey_responses[[#This Row],[Tôi thấy Nhà nước đã giải thích rõ ràng, minh bạch về lý do và mục tiêu của việc sửa đổi thuế lần này. - HUMAN-TRU4]]</f>
        <v>7</v>
      </c>
      <c r="AJ44">
        <f t="shared" si="19"/>
        <v>0.66666666666666663</v>
      </c>
      <c r="AK44" s="32">
        <f t="shared" si="20"/>
        <v>0.58333333333333326</v>
      </c>
      <c r="AL44" s="32">
        <f t="shared" si="21"/>
        <v>0.55555555555555547</v>
      </c>
      <c r="AM44" s="7">
        <f t="shared" si="22"/>
        <v>0.60185185185185186</v>
      </c>
      <c r="AN44" s="7">
        <f t="shared" si="23"/>
        <v>0.66666666666666663</v>
      </c>
      <c r="AO44">
        <f>step3_validation[[#This Row],[AI_OUT1]]</f>
        <v>6</v>
      </c>
      <c r="AP44">
        <f t="shared" si="24"/>
        <v>0.55555555555555558</v>
      </c>
      <c r="AQ44">
        <f>survey_responses[[#This Row],[Sau khi xem xét các quyền lợi và nghĩa vụ, bạn có ủng hộ và tuân thủ chính sách mới hiện nay? - HUMAN-OUT1]]</f>
        <v>8</v>
      </c>
      <c r="AR44">
        <f t="shared" si="25"/>
        <v>0.77777777777777779</v>
      </c>
      <c r="AS44" s="32">
        <f t="shared" si="26"/>
        <v>2</v>
      </c>
      <c r="AT44">
        <f t="shared" si="27"/>
        <v>1</v>
      </c>
    </row>
    <row r="45" spans="1:46" x14ac:dyDescent="0.45">
      <c r="A45">
        <f>step3_validation[[#This Row],[AI_ENF1]]</f>
        <v>8</v>
      </c>
      <c r="B45">
        <f t="shared" si="0"/>
        <v>0.77777777777777779</v>
      </c>
      <c r="C45">
        <f>survey_responses[[#This Row],[Tôi tin rằng với các quy định quản lý thuế hiện nay, hành vi gian lận hoặc trốn thuế sẽ dễ dàng bị phát hiện và xử lý nghiêm. - HUMAN-ENF1]]</f>
        <v>8</v>
      </c>
      <c r="D45">
        <f t="shared" si="1"/>
        <v>0.77777777777777779</v>
      </c>
      <c r="E45">
        <f>step3_validation[[#This Row],[AI_ENF2]]</f>
        <v>7</v>
      </c>
      <c r="F45">
        <f t="shared" si="2"/>
        <v>0.66666666666666663</v>
      </c>
      <c r="G45">
        <f>survey_responses[[#This Row],[Tôi tin rằng Nhà nước, cơ quan thuế có đủ khả năng và công nghệ để phát hiện, xử lý nghiêm các hành vi trốn thuế. - HUMAN-ENF2]]</f>
        <v>8</v>
      </c>
      <c r="H45">
        <f t="shared" si="3"/>
        <v>0.77777777777777779</v>
      </c>
      <c r="I45" s="32">
        <f t="shared" si="4"/>
        <v>0.72222222222222221</v>
      </c>
      <c r="J45" s="32">
        <f t="shared" si="5"/>
        <v>0.77777777777777779</v>
      </c>
      <c r="K45">
        <f>step3_validation[[#This Row],[AI_FAC1]]</f>
        <v>6</v>
      </c>
      <c r="L45">
        <f t="shared" si="6"/>
        <v>0.55555555555555558</v>
      </c>
      <c r="M45">
        <f>survey_responses[[#This Row],[Các thủ tục khai báo thuế VÀ/HOẶC quy trình làm việc với cơ quan thuế đơn giản, tiện lợi, nhanh chóng hơn so với trước đây. - HUMAN-FAC1]]</f>
        <v>8</v>
      </c>
      <c r="N45">
        <f t="shared" si="7"/>
        <v>0.77777777777777779</v>
      </c>
      <c r="O45">
        <f>step3_validation[[#This Row],[AI_FAC2]]</f>
        <v>9</v>
      </c>
      <c r="P45">
        <f t="shared" si="8"/>
        <v>0.88888888888888884</v>
      </c>
      <c r="Q45">
        <f>survey_responses[[#This Row],[So với trước đây, tôi thấy cách tính thuế và các bậc thuế trong phương án mới đơn giản, dễ hiểu và dễ thực hiện hơn. - HUMAN-FAC2]]</f>
        <v>8</v>
      </c>
      <c r="R45">
        <f t="shared" si="9"/>
        <v>0.77777777777777779</v>
      </c>
      <c r="S45" s="32">
        <f t="shared" si="10"/>
        <v>0.72222222222222221</v>
      </c>
      <c r="T45" s="32">
        <f t="shared" si="11"/>
        <v>0.77777777777777779</v>
      </c>
      <c r="U45">
        <f>step3_validation[[#This Row],[AI_TRU1]]</f>
        <v>7</v>
      </c>
      <c r="V45">
        <f t="shared" si="12"/>
        <v>0.66666666666666663</v>
      </c>
      <c r="W45">
        <f>survey_responses[[#This Row],[Tôi tin rằng Nhà nước, cơ quan thuế sẽ thực thi chính sách mới một cách khách quan, công tâm và đối xử bình đẳng với mọi người nộp thuế.  - HUMAN-TRU1]]</f>
        <v>8</v>
      </c>
      <c r="X45">
        <f t="shared" si="13"/>
        <v>0.77777777777777779</v>
      </c>
      <c r="Y45">
        <f>step3_validation[[#This Row],[AI_TRU2]]</f>
        <v>8</v>
      </c>
      <c r="Z45">
        <f t="shared" si="14"/>
        <v>0.77777777777777779</v>
      </c>
      <c r="AA45">
        <f>survey_responses[[#This Row],[Tôi thấy mức thuế tôi phải đóng theo phương án mới là công bằng (người thu nhập như tôi đóng mức này là hợp lý). - HUMAN-TRU2]]</f>
        <v>8</v>
      </c>
      <c r="AB45">
        <f t="shared" si="15"/>
        <v>0.77777777777777779</v>
      </c>
      <c r="AC45">
        <f>step3_validation[[#This Row],[AI_TRU3]]</f>
        <v>6</v>
      </c>
      <c r="AD45">
        <f t="shared" si="16"/>
        <v>0.55555555555555558</v>
      </c>
      <c r="AE45">
        <f>survey_responses[[#This Row],[Tôi tin tưởng số tiền thuế tôi đóng sẽ được Nhà nước sử dụng hiệu quả để cải thiện dịch vụ công (y tế, đường xá...). - HUMAN-TRU3]]</f>
        <v>9</v>
      </c>
      <c r="AF45">
        <f t="shared" si="17"/>
        <v>0.88888888888888884</v>
      </c>
      <c r="AG45">
        <f>step3_validation[[#This Row],[AI_TRU4]]</f>
        <v>7</v>
      </c>
      <c r="AH45">
        <f t="shared" si="18"/>
        <v>0.66666666666666663</v>
      </c>
      <c r="AI45">
        <f>survey_responses[[#This Row],[Tôi thấy Nhà nước đã giải thích rõ ràng, minh bạch về lý do và mục tiêu của việc sửa đổi thuế lần này. - HUMAN-TRU4]]</f>
        <v>5</v>
      </c>
      <c r="AJ45">
        <f t="shared" si="19"/>
        <v>0.44444444444444442</v>
      </c>
      <c r="AK45" s="32">
        <f t="shared" si="20"/>
        <v>0.66666666666666663</v>
      </c>
      <c r="AL45" s="32">
        <f t="shared" si="21"/>
        <v>0.72222222222222232</v>
      </c>
      <c r="AM45" s="7">
        <f t="shared" si="22"/>
        <v>0.70370370370370372</v>
      </c>
      <c r="AN45" s="7">
        <f t="shared" si="23"/>
        <v>0.75925925925925919</v>
      </c>
      <c r="AO45">
        <f>step3_validation[[#This Row],[AI_OUT1]]</f>
        <v>8</v>
      </c>
      <c r="AP45">
        <f t="shared" si="24"/>
        <v>0.77777777777777779</v>
      </c>
      <c r="AQ45">
        <f>survey_responses[[#This Row],[Sau khi xem xét các quyền lợi và nghĩa vụ, bạn có ủng hộ và tuân thủ chính sách mới hiện nay? - HUMAN-OUT1]]</f>
        <v>9</v>
      </c>
      <c r="AR45">
        <f t="shared" si="25"/>
        <v>0.88888888888888884</v>
      </c>
      <c r="AS45" s="32">
        <f t="shared" si="26"/>
        <v>1</v>
      </c>
      <c r="AT45">
        <f t="shared" si="27"/>
        <v>1</v>
      </c>
    </row>
    <row r="46" spans="1:46" x14ac:dyDescent="0.45">
      <c r="A46">
        <f>step3_validation[[#This Row],[AI_ENF1]]</f>
        <v>6</v>
      </c>
      <c r="B46">
        <f t="shared" si="0"/>
        <v>0.55555555555555558</v>
      </c>
      <c r="C46">
        <f>survey_responses[[#This Row],[Tôi tin rằng với các quy định quản lý thuế hiện nay, hành vi gian lận hoặc trốn thuế sẽ dễ dàng bị phát hiện và xử lý nghiêm. - HUMAN-ENF1]]</f>
        <v>10</v>
      </c>
      <c r="D46">
        <f t="shared" si="1"/>
        <v>1</v>
      </c>
      <c r="E46">
        <f>step3_validation[[#This Row],[AI_ENF2]]</f>
        <v>7</v>
      </c>
      <c r="F46">
        <f t="shared" si="2"/>
        <v>0.66666666666666663</v>
      </c>
      <c r="G46">
        <f>survey_responses[[#This Row],[Tôi tin rằng Nhà nước, cơ quan thuế có đủ khả năng và công nghệ để phát hiện, xử lý nghiêm các hành vi trốn thuế. - HUMAN-ENF2]]</f>
        <v>10</v>
      </c>
      <c r="H46">
        <f t="shared" si="3"/>
        <v>1</v>
      </c>
      <c r="I46" s="32">
        <f t="shared" si="4"/>
        <v>0.61111111111111116</v>
      </c>
      <c r="J46" s="32">
        <f t="shared" si="5"/>
        <v>1</v>
      </c>
      <c r="K46">
        <f>step3_validation[[#This Row],[AI_FAC1]]</f>
        <v>8</v>
      </c>
      <c r="L46">
        <f t="shared" si="6"/>
        <v>0.77777777777777779</v>
      </c>
      <c r="M46">
        <f>survey_responses[[#This Row],[Các thủ tục khai báo thuế VÀ/HOẶC quy trình làm việc với cơ quan thuế đơn giản, tiện lợi, nhanh chóng hơn so với trước đây. - HUMAN-FAC1]]</f>
        <v>10</v>
      </c>
      <c r="N46">
        <f t="shared" si="7"/>
        <v>1</v>
      </c>
      <c r="O46">
        <f>step3_validation[[#This Row],[AI_FAC2]]</f>
        <v>9</v>
      </c>
      <c r="P46">
        <f t="shared" si="8"/>
        <v>0.88888888888888884</v>
      </c>
      <c r="Q46">
        <f>survey_responses[[#This Row],[So với trước đây, tôi thấy cách tính thuế và các bậc thuế trong phương án mới đơn giản, dễ hiểu và dễ thực hiện hơn. - HUMAN-FAC2]]</f>
        <v>9</v>
      </c>
      <c r="R46">
        <f t="shared" si="9"/>
        <v>0.88888888888888884</v>
      </c>
      <c r="S46" s="32">
        <f t="shared" si="10"/>
        <v>0.83333333333333326</v>
      </c>
      <c r="T46" s="32">
        <f t="shared" si="11"/>
        <v>0.94444444444444442</v>
      </c>
      <c r="U46">
        <f>step3_validation[[#This Row],[AI_TRU1]]</f>
        <v>7</v>
      </c>
      <c r="V46">
        <f t="shared" si="12"/>
        <v>0.66666666666666663</v>
      </c>
      <c r="W46">
        <f>survey_responses[[#This Row],[Tôi tin rằng Nhà nước, cơ quan thuế sẽ thực thi chính sách mới một cách khách quan, công tâm và đối xử bình đẳng với mọi người nộp thuế.  - HUMAN-TRU1]]</f>
        <v>10</v>
      </c>
      <c r="X46">
        <f t="shared" si="13"/>
        <v>1</v>
      </c>
      <c r="Y46">
        <f>step3_validation[[#This Row],[AI_TRU2]]</f>
        <v>8</v>
      </c>
      <c r="Z46">
        <f t="shared" si="14"/>
        <v>0.77777777777777779</v>
      </c>
      <c r="AA46">
        <f>survey_responses[[#This Row],[Tôi thấy mức thuế tôi phải đóng theo phương án mới là công bằng (người thu nhập như tôi đóng mức này là hợp lý). - HUMAN-TRU2]]</f>
        <v>10</v>
      </c>
      <c r="AB46">
        <f t="shared" si="15"/>
        <v>1</v>
      </c>
      <c r="AC46">
        <f>step3_validation[[#This Row],[AI_TRU3]]</f>
        <v>6</v>
      </c>
      <c r="AD46">
        <f t="shared" si="16"/>
        <v>0.55555555555555558</v>
      </c>
      <c r="AE46">
        <f>survey_responses[[#This Row],[Tôi tin tưởng số tiền thuế tôi đóng sẽ được Nhà nước sử dụng hiệu quả để cải thiện dịch vụ công (y tế, đường xá...). - HUMAN-TRU3]]</f>
        <v>10</v>
      </c>
      <c r="AF46">
        <f t="shared" si="17"/>
        <v>1</v>
      </c>
      <c r="AG46">
        <f>step3_validation[[#This Row],[AI_TRU4]]</f>
        <v>5</v>
      </c>
      <c r="AH46">
        <f t="shared" si="18"/>
        <v>0.44444444444444442</v>
      </c>
      <c r="AI46">
        <f>survey_responses[[#This Row],[Tôi thấy Nhà nước đã giải thích rõ ràng, minh bạch về lý do và mục tiêu của việc sửa đổi thuế lần này. - HUMAN-TRU4]]</f>
        <v>10</v>
      </c>
      <c r="AJ46">
        <f t="shared" si="19"/>
        <v>1</v>
      </c>
      <c r="AK46" s="32">
        <f t="shared" si="20"/>
        <v>0.61111111111111116</v>
      </c>
      <c r="AL46" s="32">
        <f t="shared" si="21"/>
        <v>1</v>
      </c>
      <c r="AM46" s="7">
        <f t="shared" si="22"/>
        <v>0.68518518518518512</v>
      </c>
      <c r="AN46" s="7">
        <f t="shared" si="23"/>
        <v>0.98148148148148151</v>
      </c>
      <c r="AO46">
        <f>step3_validation[[#This Row],[AI_OUT1]]</f>
        <v>7</v>
      </c>
      <c r="AP46">
        <f t="shared" si="24"/>
        <v>0.66666666666666663</v>
      </c>
      <c r="AQ46">
        <f>survey_responses[[#This Row],[Sau khi xem xét các quyền lợi và nghĩa vụ, bạn có ủng hộ và tuân thủ chính sách mới hiện nay? - HUMAN-OUT1]]</f>
        <v>10</v>
      </c>
      <c r="AR46">
        <f t="shared" si="25"/>
        <v>1</v>
      </c>
      <c r="AS46" s="32">
        <f t="shared" si="26"/>
        <v>3</v>
      </c>
      <c r="AT46">
        <f t="shared" si="27"/>
        <v>1</v>
      </c>
    </row>
    <row r="47" spans="1:46" x14ac:dyDescent="0.45">
      <c r="A47">
        <f>step3_validation[[#This Row],[AI_ENF1]]</f>
        <v>7</v>
      </c>
      <c r="B47">
        <f t="shared" si="0"/>
        <v>0.66666666666666663</v>
      </c>
      <c r="C47">
        <f>survey_responses[[#This Row],[Tôi tin rằng với các quy định quản lý thuế hiện nay, hành vi gian lận hoặc trốn thuế sẽ dễ dàng bị phát hiện và xử lý nghiêm. - HUMAN-ENF1]]</f>
        <v>1</v>
      </c>
      <c r="D47">
        <f t="shared" si="1"/>
        <v>0</v>
      </c>
      <c r="E47">
        <f>step3_validation[[#This Row],[AI_ENF2]]</f>
        <v>6</v>
      </c>
      <c r="F47">
        <f t="shared" si="2"/>
        <v>0.55555555555555558</v>
      </c>
      <c r="G47">
        <f>survey_responses[[#This Row],[Tôi tin rằng Nhà nước, cơ quan thuế có đủ khả năng và công nghệ để phát hiện, xử lý nghiêm các hành vi trốn thuế. - HUMAN-ENF2]]</f>
        <v>1</v>
      </c>
      <c r="H47">
        <f t="shared" si="3"/>
        <v>0</v>
      </c>
      <c r="I47" s="32">
        <f t="shared" si="4"/>
        <v>0.61111111111111116</v>
      </c>
      <c r="J47" s="32">
        <f t="shared" si="5"/>
        <v>0</v>
      </c>
      <c r="K47">
        <f>step3_validation[[#This Row],[AI_FAC1]]</f>
        <v>6</v>
      </c>
      <c r="L47">
        <f t="shared" si="6"/>
        <v>0.55555555555555558</v>
      </c>
      <c r="M47">
        <f>survey_responses[[#This Row],[Các thủ tục khai báo thuế VÀ/HOẶC quy trình làm việc với cơ quan thuế đơn giản, tiện lợi, nhanh chóng hơn so với trước đây. - HUMAN-FAC1]]</f>
        <v>2</v>
      </c>
      <c r="N47">
        <f t="shared" si="7"/>
        <v>0.1111111111111111</v>
      </c>
      <c r="O47">
        <f>step3_validation[[#This Row],[AI_FAC2]]</f>
        <v>7</v>
      </c>
      <c r="P47">
        <f t="shared" si="8"/>
        <v>0.66666666666666663</v>
      </c>
      <c r="Q47">
        <f>survey_responses[[#This Row],[So với trước đây, tôi thấy cách tính thuế và các bậc thuế trong phương án mới đơn giản, dễ hiểu và dễ thực hiện hơn. - HUMAN-FAC2]]</f>
        <v>1</v>
      </c>
      <c r="R47">
        <f t="shared" si="9"/>
        <v>0</v>
      </c>
      <c r="S47" s="32">
        <f t="shared" si="10"/>
        <v>0.61111111111111116</v>
      </c>
      <c r="T47" s="32">
        <f t="shared" si="11"/>
        <v>5.5555555555555552E-2</v>
      </c>
      <c r="U47">
        <f>step3_validation[[#This Row],[AI_TRU1]]</f>
        <v>8</v>
      </c>
      <c r="V47">
        <f t="shared" si="12"/>
        <v>0.77777777777777779</v>
      </c>
      <c r="W47">
        <f>survey_responses[[#This Row],[Tôi tin rằng Nhà nước, cơ quan thuế sẽ thực thi chính sách mới một cách khách quan, công tâm và đối xử bình đẳng với mọi người nộp thuế.  - HUMAN-TRU1]]</f>
        <v>1</v>
      </c>
      <c r="X47">
        <f t="shared" si="13"/>
        <v>0</v>
      </c>
      <c r="Y47">
        <f>step3_validation[[#This Row],[AI_TRU2]]</f>
        <v>7</v>
      </c>
      <c r="Z47">
        <f t="shared" si="14"/>
        <v>0.66666666666666663</v>
      </c>
      <c r="AA47">
        <f>survey_responses[[#This Row],[Tôi thấy mức thuế tôi phải đóng theo phương án mới là công bằng (người thu nhập như tôi đóng mức này là hợp lý). - HUMAN-TRU2]]</f>
        <v>1</v>
      </c>
      <c r="AB47">
        <f t="shared" si="15"/>
        <v>0</v>
      </c>
      <c r="AC47">
        <f>step3_validation[[#This Row],[AI_TRU3]]</f>
        <v>8</v>
      </c>
      <c r="AD47">
        <f t="shared" si="16"/>
        <v>0.77777777777777779</v>
      </c>
      <c r="AE47">
        <f>survey_responses[[#This Row],[Tôi tin tưởng số tiền thuế tôi đóng sẽ được Nhà nước sử dụng hiệu quả để cải thiện dịch vụ công (y tế, đường xá...). - HUMAN-TRU3]]</f>
        <v>1</v>
      </c>
      <c r="AF47">
        <f t="shared" si="17"/>
        <v>0</v>
      </c>
      <c r="AG47">
        <f>step3_validation[[#This Row],[AI_TRU4]]</f>
        <v>6</v>
      </c>
      <c r="AH47">
        <f t="shared" si="18"/>
        <v>0.55555555555555558</v>
      </c>
      <c r="AI47">
        <f>survey_responses[[#This Row],[Tôi thấy Nhà nước đã giải thích rõ ràng, minh bạch về lý do và mục tiêu của việc sửa đổi thuế lần này. - HUMAN-TRU4]]</f>
        <v>1</v>
      </c>
      <c r="AJ47">
        <f t="shared" si="19"/>
        <v>0</v>
      </c>
      <c r="AK47" s="32">
        <f t="shared" si="20"/>
        <v>0.69444444444444442</v>
      </c>
      <c r="AL47" s="32">
        <f t="shared" si="21"/>
        <v>0</v>
      </c>
      <c r="AM47" s="7">
        <f t="shared" si="22"/>
        <v>0.63888888888888895</v>
      </c>
      <c r="AN47" s="7">
        <f t="shared" si="23"/>
        <v>1.8518518518518517E-2</v>
      </c>
      <c r="AO47">
        <f>step3_validation[[#This Row],[AI_OUT1]]</f>
        <v>7</v>
      </c>
      <c r="AP47">
        <f t="shared" si="24"/>
        <v>0.66666666666666663</v>
      </c>
      <c r="AQ47">
        <f>survey_responses[[#This Row],[Sau khi xem xét các quyền lợi và nghĩa vụ, bạn có ủng hộ và tuân thủ chính sách mới hiện nay? - HUMAN-OUT1]]</f>
        <v>1</v>
      </c>
      <c r="AR47">
        <f t="shared" si="25"/>
        <v>0</v>
      </c>
      <c r="AS47" s="32">
        <f t="shared" si="26"/>
        <v>6</v>
      </c>
      <c r="AT47">
        <f t="shared" si="27"/>
        <v>0</v>
      </c>
    </row>
    <row r="48" spans="1:46" x14ac:dyDescent="0.45">
      <c r="A48">
        <f>step3_validation[[#This Row],[AI_ENF1]]</f>
        <v>7</v>
      </c>
      <c r="B48">
        <f t="shared" si="0"/>
        <v>0.66666666666666663</v>
      </c>
      <c r="C48">
        <f>survey_responses[[#This Row],[Tôi tin rằng với các quy định quản lý thuế hiện nay, hành vi gian lận hoặc trốn thuế sẽ dễ dàng bị phát hiện và xử lý nghiêm. - HUMAN-ENF1]]</f>
        <v>8</v>
      </c>
      <c r="D48">
        <f t="shared" si="1"/>
        <v>0.77777777777777779</v>
      </c>
      <c r="E48">
        <f>step3_validation[[#This Row],[AI_ENF2]]</f>
        <v>6</v>
      </c>
      <c r="F48">
        <f t="shared" si="2"/>
        <v>0.55555555555555558</v>
      </c>
      <c r="G48">
        <f>survey_responses[[#This Row],[Tôi tin rằng Nhà nước, cơ quan thuế có đủ khả năng và công nghệ để phát hiện, xử lý nghiêm các hành vi trốn thuế. - HUMAN-ENF2]]</f>
        <v>8</v>
      </c>
      <c r="H48">
        <f t="shared" si="3"/>
        <v>0.77777777777777779</v>
      </c>
      <c r="I48" s="32">
        <f t="shared" si="4"/>
        <v>0.61111111111111116</v>
      </c>
      <c r="J48" s="32">
        <f t="shared" si="5"/>
        <v>0.77777777777777779</v>
      </c>
      <c r="K48">
        <f>step3_validation[[#This Row],[AI_FAC1]]</f>
        <v>8</v>
      </c>
      <c r="L48">
        <f t="shared" si="6"/>
        <v>0.77777777777777779</v>
      </c>
      <c r="M48">
        <f>survey_responses[[#This Row],[Các thủ tục khai báo thuế VÀ/HOẶC quy trình làm việc với cơ quan thuế đơn giản, tiện lợi, nhanh chóng hơn so với trước đây. - HUMAN-FAC1]]</f>
        <v>8</v>
      </c>
      <c r="N48">
        <f t="shared" si="7"/>
        <v>0.77777777777777779</v>
      </c>
      <c r="O48">
        <f>step3_validation[[#This Row],[AI_FAC2]]</f>
        <v>9</v>
      </c>
      <c r="P48">
        <f t="shared" si="8"/>
        <v>0.88888888888888884</v>
      </c>
      <c r="Q48">
        <f>survey_responses[[#This Row],[So với trước đây, tôi thấy cách tính thuế và các bậc thuế trong phương án mới đơn giản, dễ hiểu và dễ thực hiện hơn. - HUMAN-FAC2]]</f>
        <v>7</v>
      </c>
      <c r="R48">
        <f t="shared" si="9"/>
        <v>0.66666666666666663</v>
      </c>
      <c r="S48" s="32">
        <f t="shared" si="10"/>
        <v>0.83333333333333326</v>
      </c>
      <c r="T48" s="32">
        <f t="shared" si="11"/>
        <v>0.72222222222222221</v>
      </c>
      <c r="U48">
        <f>step3_validation[[#This Row],[AI_TRU1]]</f>
        <v>8</v>
      </c>
      <c r="V48">
        <f t="shared" si="12"/>
        <v>0.77777777777777779</v>
      </c>
      <c r="W48">
        <f>survey_responses[[#This Row],[Tôi tin rằng Nhà nước, cơ quan thuế sẽ thực thi chính sách mới một cách khách quan, công tâm và đối xử bình đẳng với mọi người nộp thuế.  - HUMAN-TRU1]]</f>
        <v>6</v>
      </c>
      <c r="X48">
        <f t="shared" si="13"/>
        <v>0.55555555555555558</v>
      </c>
      <c r="Y48">
        <f>step3_validation[[#This Row],[AI_TRU2]]</f>
        <v>7</v>
      </c>
      <c r="Z48">
        <f t="shared" si="14"/>
        <v>0.66666666666666663</v>
      </c>
      <c r="AA48">
        <f>survey_responses[[#This Row],[Tôi thấy mức thuế tôi phải đóng theo phương án mới là công bằng (người thu nhập như tôi đóng mức này là hợp lý). - HUMAN-TRU2]]</f>
        <v>8</v>
      </c>
      <c r="AB48">
        <f t="shared" si="15"/>
        <v>0.77777777777777779</v>
      </c>
      <c r="AC48">
        <f>step3_validation[[#This Row],[AI_TRU3]]</f>
        <v>8</v>
      </c>
      <c r="AD48">
        <f t="shared" si="16"/>
        <v>0.77777777777777779</v>
      </c>
      <c r="AE48">
        <f>survey_responses[[#This Row],[Tôi tin tưởng số tiền thuế tôi đóng sẽ được Nhà nước sử dụng hiệu quả để cải thiện dịch vụ công (y tế, đường xá...). - HUMAN-TRU3]]</f>
        <v>8</v>
      </c>
      <c r="AF48">
        <f t="shared" si="17"/>
        <v>0.77777777777777779</v>
      </c>
      <c r="AG48">
        <f>step3_validation[[#This Row],[AI_TRU4]]</f>
        <v>5</v>
      </c>
      <c r="AH48">
        <f t="shared" si="18"/>
        <v>0.44444444444444442</v>
      </c>
      <c r="AI48">
        <f>survey_responses[[#This Row],[Tôi thấy Nhà nước đã giải thích rõ ràng, minh bạch về lý do và mục tiêu của việc sửa đổi thuế lần này. - HUMAN-TRU4]]</f>
        <v>9</v>
      </c>
      <c r="AJ48">
        <f t="shared" si="19"/>
        <v>0.88888888888888884</v>
      </c>
      <c r="AK48" s="32">
        <f t="shared" si="20"/>
        <v>0.66666666666666674</v>
      </c>
      <c r="AL48" s="32">
        <f t="shared" si="21"/>
        <v>0.75</v>
      </c>
      <c r="AM48" s="7">
        <f t="shared" si="22"/>
        <v>0.70370370370370372</v>
      </c>
      <c r="AN48" s="7">
        <f t="shared" si="23"/>
        <v>0.75</v>
      </c>
      <c r="AO48">
        <f>step3_validation[[#This Row],[AI_OUT1]]</f>
        <v>8</v>
      </c>
      <c r="AP48">
        <f t="shared" si="24"/>
        <v>0.77777777777777779</v>
      </c>
      <c r="AQ48">
        <f>survey_responses[[#This Row],[Sau khi xem xét các quyền lợi và nghĩa vụ, bạn có ủng hộ và tuân thủ chính sách mới hiện nay? - HUMAN-OUT1]]</f>
        <v>8</v>
      </c>
      <c r="AR48">
        <f t="shared" si="25"/>
        <v>0.77777777777777779</v>
      </c>
      <c r="AS48" s="32">
        <f t="shared" si="26"/>
        <v>0</v>
      </c>
      <c r="AT48">
        <f t="shared" si="27"/>
        <v>1</v>
      </c>
    </row>
    <row r="49" spans="1:46" x14ac:dyDescent="0.45">
      <c r="A49">
        <f>step3_validation[[#This Row],[AI_ENF1]]</f>
        <v>7</v>
      </c>
      <c r="B49">
        <f t="shared" si="0"/>
        <v>0.66666666666666663</v>
      </c>
      <c r="C49">
        <f>survey_responses[[#This Row],[Tôi tin rằng với các quy định quản lý thuế hiện nay, hành vi gian lận hoặc trốn thuế sẽ dễ dàng bị phát hiện và xử lý nghiêm. - HUMAN-ENF1]]</f>
        <v>10</v>
      </c>
      <c r="D49">
        <f t="shared" si="1"/>
        <v>1</v>
      </c>
      <c r="E49">
        <f>step3_validation[[#This Row],[AI_ENF2]]</f>
        <v>6</v>
      </c>
      <c r="F49">
        <f t="shared" si="2"/>
        <v>0.55555555555555558</v>
      </c>
      <c r="G49">
        <f>survey_responses[[#This Row],[Tôi tin rằng Nhà nước, cơ quan thuế có đủ khả năng và công nghệ để phát hiện, xử lý nghiêm các hành vi trốn thuế. - HUMAN-ENF2]]</f>
        <v>10</v>
      </c>
      <c r="H49">
        <f t="shared" si="3"/>
        <v>1</v>
      </c>
      <c r="I49" s="32">
        <f t="shared" si="4"/>
        <v>0.61111111111111116</v>
      </c>
      <c r="J49" s="32">
        <f t="shared" si="5"/>
        <v>1</v>
      </c>
      <c r="K49">
        <f>step3_validation[[#This Row],[AI_FAC1]]</f>
        <v>8</v>
      </c>
      <c r="L49">
        <f t="shared" si="6"/>
        <v>0.77777777777777779</v>
      </c>
      <c r="M49">
        <f>survey_responses[[#This Row],[Các thủ tục khai báo thuế VÀ/HOẶC quy trình làm việc với cơ quan thuế đơn giản, tiện lợi, nhanh chóng hơn so với trước đây. - HUMAN-FAC1]]</f>
        <v>10</v>
      </c>
      <c r="N49">
        <f t="shared" si="7"/>
        <v>1</v>
      </c>
      <c r="O49">
        <f>step3_validation[[#This Row],[AI_FAC2]]</f>
        <v>9</v>
      </c>
      <c r="P49">
        <f t="shared" si="8"/>
        <v>0.88888888888888884</v>
      </c>
      <c r="Q49">
        <f>survey_responses[[#This Row],[So với trước đây, tôi thấy cách tính thuế và các bậc thuế trong phương án mới đơn giản, dễ hiểu và dễ thực hiện hơn. - HUMAN-FAC2]]</f>
        <v>10</v>
      </c>
      <c r="R49">
        <f t="shared" si="9"/>
        <v>1</v>
      </c>
      <c r="S49" s="32">
        <f t="shared" si="10"/>
        <v>0.83333333333333326</v>
      </c>
      <c r="T49" s="32">
        <f t="shared" si="11"/>
        <v>1</v>
      </c>
      <c r="U49">
        <f>step3_validation[[#This Row],[AI_TRU1]]</f>
        <v>7</v>
      </c>
      <c r="V49">
        <f t="shared" si="12"/>
        <v>0.66666666666666663</v>
      </c>
      <c r="W49">
        <f>survey_responses[[#This Row],[Tôi tin rằng Nhà nước, cơ quan thuế sẽ thực thi chính sách mới một cách khách quan, công tâm và đối xử bình đẳng với mọi người nộp thuế.  - HUMAN-TRU1]]</f>
        <v>10</v>
      </c>
      <c r="X49">
        <f t="shared" si="13"/>
        <v>1</v>
      </c>
      <c r="Y49">
        <f>step3_validation[[#This Row],[AI_TRU2]]</f>
        <v>6</v>
      </c>
      <c r="Z49">
        <f t="shared" si="14"/>
        <v>0.55555555555555558</v>
      </c>
      <c r="AA49">
        <f>survey_responses[[#This Row],[Tôi thấy mức thuế tôi phải đóng theo phương án mới là công bằng (người thu nhập như tôi đóng mức này là hợp lý). - HUMAN-TRU2]]</f>
        <v>10</v>
      </c>
      <c r="AB49">
        <f t="shared" si="15"/>
        <v>1</v>
      </c>
      <c r="AC49">
        <f>step3_validation[[#This Row],[AI_TRU3]]</f>
        <v>7</v>
      </c>
      <c r="AD49">
        <f t="shared" si="16"/>
        <v>0.66666666666666663</v>
      </c>
      <c r="AE49">
        <f>survey_responses[[#This Row],[Tôi tin tưởng số tiền thuế tôi đóng sẽ được Nhà nước sử dụng hiệu quả để cải thiện dịch vụ công (y tế, đường xá...). - HUMAN-TRU3]]</f>
        <v>10</v>
      </c>
      <c r="AF49">
        <f t="shared" si="17"/>
        <v>1</v>
      </c>
      <c r="AG49">
        <f>step3_validation[[#This Row],[AI_TRU4]]</f>
        <v>6</v>
      </c>
      <c r="AH49">
        <f t="shared" si="18"/>
        <v>0.55555555555555558</v>
      </c>
      <c r="AI49">
        <f>survey_responses[[#This Row],[Tôi thấy Nhà nước đã giải thích rõ ràng, minh bạch về lý do và mục tiêu của việc sửa đổi thuế lần này. - HUMAN-TRU4]]</f>
        <v>10</v>
      </c>
      <c r="AJ49">
        <f t="shared" si="19"/>
        <v>1</v>
      </c>
      <c r="AK49" s="32">
        <f t="shared" si="20"/>
        <v>0.61111111111111116</v>
      </c>
      <c r="AL49" s="32">
        <f t="shared" si="21"/>
        <v>1</v>
      </c>
      <c r="AM49" s="7">
        <f t="shared" si="22"/>
        <v>0.68518518518518512</v>
      </c>
      <c r="AN49" s="7">
        <f t="shared" si="23"/>
        <v>1</v>
      </c>
      <c r="AO49">
        <f>step3_validation[[#This Row],[AI_OUT1]]</f>
        <v>8</v>
      </c>
      <c r="AP49">
        <f t="shared" si="24"/>
        <v>0.77777777777777779</v>
      </c>
      <c r="AQ49">
        <f>survey_responses[[#This Row],[Sau khi xem xét các quyền lợi và nghĩa vụ, bạn có ủng hộ và tuân thủ chính sách mới hiện nay? - HUMAN-OUT1]]</f>
        <v>10</v>
      </c>
      <c r="AR49">
        <f t="shared" si="25"/>
        <v>1</v>
      </c>
      <c r="AS49" s="32">
        <f t="shared" si="26"/>
        <v>2</v>
      </c>
      <c r="AT49">
        <f t="shared" si="27"/>
        <v>1</v>
      </c>
    </row>
    <row r="50" spans="1:46" x14ac:dyDescent="0.45">
      <c r="A50">
        <f>step3_validation[[#This Row],[AI_ENF1]]</f>
        <v>7</v>
      </c>
      <c r="B50">
        <f t="shared" si="0"/>
        <v>0.66666666666666663</v>
      </c>
      <c r="C50">
        <f>survey_responses[[#This Row],[Tôi tin rằng với các quy định quản lý thuế hiện nay, hành vi gian lận hoặc trốn thuế sẽ dễ dàng bị phát hiện và xử lý nghiêm. - HUMAN-ENF1]]</f>
        <v>8</v>
      </c>
      <c r="D50">
        <f t="shared" si="1"/>
        <v>0.77777777777777779</v>
      </c>
      <c r="E50">
        <f>step3_validation[[#This Row],[AI_ENF2]]</f>
        <v>8</v>
      </c>
      <c r="F50">
        <f t="shared" si="2"/>
        <v>0.77777777777777779</v>
      </c>
      <c r="G50">
        <f>survey_responses[[#This Row],[Tôi tin rằng Nhà nước, cơ quan thuế có đủ khả năng và công nghệ để phát hiện, xử lý nghiêm các hành vi trốn thuế. - HUMAN-ENF2]]</f>
        <v>8</v>
      </c>
      <c r="H50">
        <f t="shared" si="3"/>
        <v>0.77777777777777779</v>
      </c>
      <c r="I50" s="32">
        <f t="shared" si="4"/>
        <v>0.72222222222222221</v>
      </c>
      <c r="J50" s="32">
        <f t="shared" si="5"/>
        <v>0.77777777777777779</v>
      </c>
      <c r="K50">
        <f>step3_validation[[#This Row],[AI_FAC1]]</f>
        <v>6</v>
      </c>
      <c r="L50">
        <f t="shared" si="6"/>
        <v>0.55555555555555558</v>
      </c>
      <c r="M50">
        <f>survey_responses[[#This Row],[Các thủ tục khai báo thuế VÀ/HOẶC quy trình làm việc với cơ quan thuế đơn giản, tiện lợi, nhanh chóng hơn so với trước đây. - HUMAN-FAC1]]</f>
        <v>7</v>
      </c>
      <c r="N50">
        <f t="shared" si="7"/>
        <v>0.66666666666666663</v>
      </c>
      <c r="O50">
        <f>step3_validation[[#This Row],[AI_FAC2]]</f>
        <v>7</v>
      </c>
      <c r="P50">
        <f t="shared" si="8"/>
        <v>0.66666666666666663</v>
      </c>
      <c r="Q50">
        <f>survey_responses[[#This Row],[So với trước đây, tôi thấy cách tính thuế và các bậc thuế trong phương án mới đơn giản, dễ hiểu và dễ thực hiện hơn. - HUMAN-FAC2]]</f>
        <v>8</v>
      </c>
      <c r="R50">
        <f t="shared" si="9"/>
        <v>0.77777777777777779</v>
      </c>
      <c r="S50" s="32">
        <f t="shared" si="10"/>
        <v>0.61111111111111116</v>
      </c>
      <c r="T50" s="32">
        <f t="shared" si="11"/>
        <v>0.72222222222222221</v>
      </c>
      <c r="U50">
        <f>step3_validation[[#This Row],[AI_TRU1]]</f>
        <v>6</v>
      </c>
      <c r="V50">
        <f t="shared" si="12"/>
        <v>0.55555555555555558</v>
      </c>
      <c r="W50">
        <f>survey_responses[[#This Row],[Tôi tin rằng Nhà nước, cơ quan thuế sẽ thực thi chính sách mới một cách khách quan, công tâm và đối xử bình đẳng với mọi người nộp thuế.  - HUMAN-TRU1]]</f>
        <v>6</v>
      </c>
      <c r="X50">
        <f t="shared" si="13"/>
        <v>0.55555555555555558</v>
      </c>
      <c r="Y50">
        <f>step3_validation[[#This Row],[AI_TRU2]]</f>
        <v>6</v>
      </c>
      <c r="Z50">
        <f t="shared" si="14"/>
        <v>0.55555555555555558</v>
      </c>
      <c r="AA50">
        <f>survey_responses[[#This Row],[Tôi thấy mức thuế tôi phải đóng theo phương án mới là công bằng (người thu nhập như tôi đóng mức này là hợp lý). - HUMAN-TRU2]]</f>
        <v>8</v>
      </c>
      <c r="AB50">
        <f t="shared" si="15"/>
        <v>0.77777777777777779</v>
      </c>
      <c r="AC50">
        <f>step3_validation[[#This Row],[AI_TRU3]]</f>
        <v>6</v>
      </c>
      <c r="AD50">
        <f t="shared" si="16"/>
        <v>0.55555555555555558</v>
      </c>
      <c r="AE50">
        <f>survey_responses[[#This Row],[Tôi tin tưởng số tiền thuế tôi đóng sẽ được Nhà nước sử dụng hiệu quả để cải thiện dịch vụ công (y tế, đường xá...). - HUMAN-TRU3]]</f>
        <v>6</v>
      </c>
      <c r="AF50">
        <f t="shared" si="17"/>
        <v>0.55555555555555558</v>
      </c>
      <c r="AG50">
        <f>step3_validation[[#This Row],[AI_TRU4]]</f>
        <v>5</v>
      </c>
      <c r="AH50">
        <f t="shared" si="18"/>
        <v>0.44444444444444442</v>
      </c>
      <c r="AI50">
        <f>survey_responses[[#This Row],[Tôi thấy Nhà nước đã giải thích rõ ràng, minh bạch về lý do và mục tiêu của việc sửa đổi thuế lần này. - HUMAN-TRU4]]</f>
        <v>5</v>
      </c>
      <c r="AJ50">
        <f t="shared" si="19"/>
        <v>0.44444444444444442</v>
      </c>
      <c r="AK50" s="32">
        <f t="shared" si="20"/>
        <v>0.52777777777777779</v>
      </c>
      <c r="AL50" s="32">
        <f t="shared" si="21"/>
        <v>0.58333333333333337</v>
      </c>
      <c r="AM50" s="7">
        <f t="shared" si="22"/>
        <v>0.62037037037037035</v>
      </c>
      <c r="AN50" s="7">
        <f t="shared" si="23"/>
        <v>0.69444444444444453</v>
      </c>
      <c r="AO50">
        <f>step3_validation[[#This Row],[AI_OUT1]]</f>
        <v>6</v>
      </c>
      <c r="AP50">
        <f t="shared" si="24"/>
        <v>0.55555555555555558</v>
      </c>
      <c r="AQ50">
        <f>survey_responses[[#This Row],[Sau khi xem xét các quyền lợi và nghĩa vụ, bạn có ủng hộ và tuân thủ chính sách mới hiện nay? - HUMAN-OUT1]]</f>
        <v>8</v>
      </c>
      <c r="AR50">
        <f t="shared" si="25"/>
        <v>0.77777777777777779</v>
      </c>
      <c r="AS50" s="32">
        <f t="shared" si="26"/>
        <v>2</v>
      </c>
      <c r="AT50">
        <f t="shared" si="27"/>
        <v>1</v>
      </c>
    </row>
    <row r="51" spans="1:46" x14ac:dyDescent="0.45">
      <c r="A51">
        <f>step3_validation[[#This Row],[AI_ENF1]]</f>
        <v>8</v>
      </c>
      <c r="B51">
        <f t="shared" si="0"/>
        <v>0.77777777777777779</v>
      </c>
      <c r="C51">
        <f>survey_responses[[#This Row],[Tôi tin rằng với các quy định quản lý thuế hiện nay, hành vi gian lận hoặc trốn thuế sẽ dễ dàng bị phát hiện và xử lý nghiêm. - HUMAN-ENF1]]</f>
        <v>10</v>
      </c>
      <c r="D51">
        <f t="shared" si="1"/>
        <v>1</v>
      </c>
      <c r="E51">
        <f>step3_validation[[#This Row],[AI_ENF2]]</f>
        <v>9</v>
      </c>
      <c r="F51">
        <f t="shared" si="2"/>
        <v>0.88888888888888884</v>
      </c>
      <c r="G51">
        <f>survey_responses[[#This Row],[Tôi tin rằng Nhà nước, cơ quan thuế có đủ khả năng và công nghệ để phát hiện, xử lý nghiêm các hành vi trốn thuế. - HUMAN-ENF2]]</f>
        <v>10</v>
      </c>
      <c r="H51">
        <f t="shared" si="3"/>
        <v>1</v>
      </c>
      <c r="I51" s="32">
        <f t="shared" si="4"/>
        <v>0.83333333333333326</v>
      </c>
      <c r="J51" s="32">
        <f t="shared" si="5"/>
        <v>1</v>
      </c>
      <c r="K51">
        <f>step3_validation[[#This Row],[AI_FAC1]]</f>
        <v>8</v>
      </c>
      <c r="L51">
        <f t="shared" si="6"/>
        <v>0.77777777777777779</v>
      </c>
      <c r="M51">
        <f>survey_responses[[#This Row],[Các thủ tục khai báo thuế VÀ/HOẶC quy trình làm việc với cơ quan thuế đơn giản, tiện lợi, nhanh chóng hơn so với trước đây. - HUMAN-FAC1]]</f>
        <v>10</v>
      </c>
      <c r="N51">
        <f t="shared" si="7"/>
        <v>1</v>
      </c>
      <c r="O51">
        <f>step3_validation[[#This Row],[AI_FAC2]]</f>
        <v>7</v>
      </c>
      <c r="P51">
        <f t="shared" si="8"/>
        <v>0.66666666666666663</v>
      </c>
      <c r="Q51">
        <f>survey_responses[[#This Row],[So với trước đây, tôi thấy cách tính thuế và các bậc thuế trong phương án mới đơn giản, dễ hiểu và dễ thực hiện hơn. - HUMAN-FAC2]]</f>
        <v>8</v>
      </c>
      <c r="R51">
        <f t="shared" si="9"/>
        <v>0.77777777777777779</v>
      </c>
      <c r="S51" s="32">
        <f t="shared" si="10"/>
        <v>0.72222222222222221</v>
      </c>
      <c r="T51" s="32">
        <f t="shared" si="11"/>
        <v>0.88888888888888884</v>
      </c>
      <c r="U51">
        <f>step3_validation[[#This Row],[AI_TRU1]]</f>
        <v>8</v>
      </c>
      <c r="V51">
        <f t="shared" si="12"/>
        <v>0.77777777777777779</v>
      </c>
      <c r="W51">
        <f>survey_responses[[#This Row],[Tôi tin rằng Nhà nước, cơ quan thuế sẽ thực thi chính sách mới một cách khách quan, công tâm và đối xử bình đẳng với mọi người nộp thuế.  - HUMAN-TRU1]]</f>
        <v>8</v>
      </c>
      <c r="X51">
        <f t="shared" si="13"/>
        <v>0.77777777777777779</v>
      </c>
      <c r="Y51">
        <f>step3_validation[[#This Row],[AI_TRU2]]</f>
        <v>7</v>
      </c>
      <c r="Z51">
        <f t="shared" si="14"/>
        <v>0.66666666666666663</v>
      </c>
      <c r="AA51">
        <f>survey_responses[[#This Row],[Tôi thấy mức thuế tôi phải đóng theo phương án mới là công bằng (người thu nhập như tôi đóng mức này là hợp lý). - HUMAN-TRU2]]</f>
        <v>8</v>
      </c>
      <c r="AB51">
        <f t="shared" si="15"/>
        <v>0.77777777777777779</v>
      </c>
      <c r="AC51">
        <f>step3_validation[[#This Row],[AI_TRU3]]</f>
        <v>8</v>
      </c>
      <c r="AD51">
        <f t="shared" si="16"/>
        <v>0.77777777777777779</v>
      </c>
      <c r="AE51">
        <f>survey_responses[[#This Row],[Tôi tin tưởng số tiền thuế tôi đóng sẽ được Nhà nước sử dụng hiệu quả để cải thiện dịch vụ công (y tế, đường xá...). - HUMAN-TRU3]]</f>
        <v>8</v>
      </c>
      <c r="AF51">
        <f t="shared" si="17"/>
        <v>0.77777777777777779</v>
      </c>
      <c r="AG51">
        <f>step3_validation[[#This Row],[AI_TRU4]]</f>
        <v>7</v>
      </c>
      <c r="AH51">
        <f t="shared" si="18"/>
        <v>0.66666666666666663</v>
      </c>
      <c r="AI51">
        <f>survey_responses[[#This Row],[Tôi thấy Nhà nước đã giải thích rõ ràng, minh bạch về lý do và mục tiêu của việc sửa đổi thuế lần này. - HUMAN-TRU4]]</f>
        <v>8</v>
      </c>
      <c r="AJ51">
        <f t="shared" si="19"/>
        <v>0.77777777777777779</v>
      </c>
      <c r="AK51" s="32">
        <f t="shared" si="20"/>
        <v>0.72222222222222221</v>
      </c>
      <c r="AL51" s="32">
        <f t="shared" si="21"/>
        <v>0.77777777777777779</v>
      </c>
      <c r="AM51" s="7">
        <f t="shared" si="22"/>
        <v>0.75925925925925919</v>
      </c>
      <c r="AN51" s="7">
        <f t="shared" si="23"/>
        <v>0.88888888888888884</v>
      </c>
      <c r="AO51">
        <f>step3_validation[[#This Row],[AI_OUT1]]</f>
        <v>8</v>
      </c>
      <c r="AP51">
        <f t="shared" si="24"/>
        <v>0.77777777777777779</v>
      </c>
      <c r="AQ51">
        <f>survey_responses[[#This Row],[Sau khi xem xét các quyền lợi và nghĩa vụ, bạn có ủng hộ và tuân thủ chính sách mới hiện nay? - HUMAN-OUT1]]</f>
        <v>8</v>
      </c>
      <c r="AR51">
        <f t="shared" si="25"/>
        <v>0.77777777777777779</v>
      </c>
      <c r="AS51" s="32">
        <f t="shared" si="26"/>
        <v>0</v>
      </c>
      <c r="AT51">
        <f t="shared" si="27"/>
        <v>1</v>
      </c>
    </row>
    <row r="52" spans="1:46" x14ac:dyDescent="0.45">
      <c r="A52">
        <f>step3_validation[[#This Row],[AI_ENF1]]</f>
        <v>9</v>
      </c>
      <c r="B52">
        <f t="shared" si="0"/>
        <v>0.88888888888888884</v>
      </c>
      <c r="C52">
        <f>survey_responses[[#This Row],[Tôi tin rằng với các quy định quản lý thuế hiện nay, hành vi gian lận hoặc trốn thuế sẽ dễ dàng bị phát hiện và xử lý nghiêm. - HUMAN-ENF1]]</f>
        <v>10</v>
      </c>
      <c r="D52">
        <f t="shared" si="1"/>
        <v>1</v>
      </c>
      <c r="E52">
        <f>step3_validation[[#This Row],[AI_ENF2]]</f>
        <v>7</v>
      </c>
      <c r="F52">
        <f t="shared" si="2"/>
        <v>0.66666666666666663</v>
      </c>
      <c r="G52">
        <f>survey_responses[[#This Row],[Tôi tin rằng Nhà nước, cơ quan thuế có đủ khả năng và công nghệ để phát hiện, xử lý nghiêm các hành vi trốn thuế. - HUMAN-ENF2]]</f>
        <v>10</v>
      </c>
      <c r="H52">
        <f t="shared" si="3"/>
        <v>1</v>
      </c>
      <c r="I52" s="32">
        <f t="shared" si="4"/>
        <v>0.77777777777777768</v>
      </c>
      <c r="J52" s="32">
        <f t="shared" si="5"/>
        <v>1</v>
      </c>
      <c r="K52">
        <f>step3_validation[[#This Row],[AI_FAC1]]</f>
        <v>8</v>
      </c>
      <c r="L52">
        <f t="shared" si="6"/>
        <v>0.77777777777777779</v>
      </c>
      <c r="M52">
        <f>survey_responses[[#This Row],[Các thủ tục khai báo thuế VÀ/HOẶC quy trình làm việc với cơ quan thuế đơn giản, tiện lợi, nhanh chóng hơn so với trước đây. - HUMAN-FAC1]]</f>
        <v>10</v>
      </c>
      <c r="N52">
        <f t="shared" si="7"/>
        <v>1</v>
      </c>
      <c r="O52">
        <f>step3_validation[[#This Row],[AI_FAC2]]</f>
        <v>7</v>
      </c>
      <c r="P52">
        <f t="shared" si="8"/>
        <v>0.66666666666666663</v>
      </c>
      <c r="Q52">
        <f>survey_responses[[#This Row],[So với trước đây, tôi thấy cách tính thuế và các bậc thuế trong phương án mới đơn giản, dễ hiểu và dễ thực hiện hơn. - HUMAN-FAC2]]</f>
        <v>10</v>
      </c>
      <c r="R52">
        <f t="shared" si="9"/>
        <v>1</v>
      </c>
      <c r="S52" s="32">
        <f t="shared" si="10"/>
        <v>0.72222222222222221</v>
      </c>
      <c r="T52" s="32">
        <f t="shared" si="11"/>
        <v>1</v>
      </c>
      <c r="U52">
        <f>step3_validation[[#This Row],[AI_TRU1]]</f>
        <v>8</v>
      </c>
      <c r="V52">
        <f t="shared" si="12"/>
        <v>0.77777777777777779</v>
      </c>
      <c r="W52">
        <f>survey_responses[[#This Row],[Tôi tin rằng Nhà nước, cơ quan thuế sẽ thực thi chính sách mới một cách khách quan, công tâm và đối xử bình đẳng với mọi người nộp thuế.  - HUMAN-TRU1]]</f>
        <v>10</v>
      </c>
      <c r="X52">
        <f t="shared" si="13"/>
        <v>1</v>
      </c>
      <c r="Y52">
        <f>step3_validation[[#This Row],[AI_TRU2]]</f>
        <v>7</v>
      </c>
      <c r="Z52">
        <f t="shared" si="14"/>
        <v>0.66666666666666663</v>
      </c>
      <c r="AA52">
        <f>survey_responses[[#This Row],[Tôi thấy mức thuế tôi phải đóng theo phương án mới là công bằng (người thu nhập như tôi đóng mức này là hợp lý). - HUMAN-TRU2]]</f>
        <v>10</v>
      </c>
      <c r="AB52">
        <f t="shared" si="15"/>
        <v>1</v>
      </c>
      <c r="AC52">
        <f>step3_validation[[#This Row],[AI_TRU3]]</f>
        <v>7</v>
      </c>
      <c r="AD52">
        <f t="shared" si="16"/>
        <v>0.66666666666666663</v>
      </c>
      <c r="AE52">
        <f>survey_responses[[#This Row],[Tôi tin tưởng số tiền thuế tôi đóng sẽ được Nhà nước sử dụng hiệu quả để cải thiện dịch vụ công (y tế, đường xá...). - HUMAN-TRU3]]</f>
        <v>10</v>
      </c>
      <c r="AF52">
        <f t="shared" si="17"/>
        <v>1</v>
      </c>
      <c r="AG52">
        <f>step3_validation[[#This Row],[AI_TRU4]]</f>
        <v>7</v>
      </c>
      <c r="AH52">
        <f t="shared" si="18"/>
        <v>0.66666666666666663</v>
      </c>
      <c r="AI52">
        <f>survey_responses[[#This Row],[Tôi thấy Nhà nước đã giải thích rõ ràng, minh bạch về lý do và mục tiêu của việc sửa đổi thuế lần này. - HUMAN-TRU4]]</f>
        <v>10</v>
      </c>
      <c r="AJ52">
        <f t="shared" si="19"/>
        <v>1</v>
      </c>
      <c r="AK52" s="32">
        <f t="shared" si="20"/>
        <v>0.69444444444444442</v>
      </c>
      <c r="AL52" s="32">
        <f t="shared" si="21"/>
        <v>1</v>
      </c>
      <c r="AM52" s="7">
        <f t="shared" si="22"/>
        <v>0.73148148148148151</v>
      </c>
      <c r="AN52" s="7">
        <f t="shared" si="23"/>
        <v>1</v>
      </c>
      <c r="AO52">
        <f>step3_validation[[#This Row],[AI_OUT1]]</f>
        <v>8</v>
      </c>
      <c r="AP52">
        <f t="shared" si="24"/>
        <v>0.77777777777777779</v>
      </c>
      <c r="AQ52">
        <f>survey_responses[[#This Row],[Sau khi xem xét các quyền lợi và nghĩa vụ, bạn có ủng hộ và tuân thủ chính sách mới hiện nay? - HUMAN-OUT1]]</f>
        <v>10</v>
      </c>
      <c r="AR52">
        <f t="shared" si="25"/>
        <v>1</v>
      </c>
      <c r="AS52" s="32">
        <f t="shared" si="26"/>
        <v>2</v>
      </c>
      <c r="AT52">
        <f t="shared" si="27"/>
        <v>1</v>
      </c>
    </row>
    <row r="53" spans="1:46" x14ac:dyDescent="0.45">
      <c r="A53">
        <f>step3_validation[[#This Row],[AI_ENF1]]</f>
        <v>7</v>
      </c>
      <c r="B53">
        <f t="shared" si="0"/>
        <v>0.66666666666666663</v>
      </c>
      <c r="C53">
        <f>survey_responses[[#This Row],[Tôi tin rằng với các quy định quản lý thuế hiện nay, hành vi gian lận hoặc trốn thuế sẽ dễ dàng bị phát hiện và xử lý nghiêm. - HUMAN-ENF1]]</f>
        <v>10</v>
      </c>
      <c r="D53">
        <f t="shared" si="1"/>
        <v>1</v>
      </c>
      <c r="E53">
        <f>step3_validation[[#This Row],[AI_ENF2]]</f>
        <v>8</v>
      </c>
      <c r="F53">
        <f t="shared" si="2"/>
        <v>0.77777777777777779</v>
      </c>
      <c r="G53">
        <f>survey_responses[[#This Row],[Tôi tin rằng Nhà nước, cơ quan thuế có đủ khả năng và công nghệ để phát hiện, xử lý nghiêm các hành vi trốn thuế. - HUMAN-ENF2]]</f>
        <v>10</v>
      </c>
      <c r="H53">
        <f t="shared" si="3"/>
        <v>1</v>
      </c>
      <c r="I53" s="32">
        <f t="shared" si="4"/>
        <v>0.72222222222222221</v>
      </c>
      <c r="J53" s="32">
        <f t="shared" si="5"/>
        <v>1</v>
      </c>
      <c r="K53">
        <f>step3_validation[[#This Row],[AI_FAC1]]</f>
        <v>9</v>
      </c>
      <c r="L53">
        <f t="shared" si="6"/>
        <v>0.88888888888888884</v>
      </c>
      <c r="M53">
        <f>survey_responses[[#This Row],[Các thủ tục khai báo thuế VÀ/HOẶC quy trình làm việc với cơ quan thuế đơn giản, tiện lợi, nhanh chóng hơn so với trước đây. - HUMAN-FAC1]]</f>
        <v>10</v>
      </c>
      <c r="N53">
        <f t="shared" si="7"/>
        <v>1</v>
      </c>
      <c r="O53">
        <f>step3_validation[[#This Row],[AI_FAC2]]</f>
        <v>8</v>
      </c>
      <c r="P53">
        <f t="shared" si="8"/>
        <v>0.77777777777777779</v>
      </c>
      <c r="Q53">
        <f>survey_responses[[#This Row],[So với trước đây, tôi thấy cách tính thuế và các bậc thuế trong phương án mới đơn giản, dễ hiểu và dễ thực hiện hơn. - HUMAN-FAC2]]</f>
        <v>10</v>
      </c>
      <c r="R53">
        <f t="shared" si="9"/>
        <v>1</v>
      </c>
      <c r="S53" s="32">
        <f t="shared" si="10"/>
        <v>0.83333333333333326</v>
      </c>
      <c r="T53" s="32">
        <f t="shared" si="11"/>
        <v>1</v>
      </c>
      <c r="U53">
        <f>step3_validation[[#This Row],[AI_TRU1]]</f>
        <v>7</v>
      </c>
      <c r="V53">
        <f t="shared" si="12"/>
        <v>0.66666666666666663</v>
      </c>
      <c r="W53">
        <f>survey_responses[[#This Row],[Tôi tin rằng Nhà nước, cơ quan thuế sẽ thực thi chính sách mới một cách khách quan, công tâm và đối xử bình đẳng với mọi người nộp thuế.  - HUMAN-TRU1]]</f>
        <v>10</v>
      </c>
      <c r="X53">
        <f t="shared" si="13"/>
        <v>1</v>
      </c>
      <c r="Y53">
        <f>step3_validation[[#This Row],[AI_TRU2]]</f>
        <v>6</v>
      </c>
      <c r="Z53">
        <f t="shared" si="14"/>
        <v>0.55555555555555558</v>
      </c>
      <c r="AA53">
        <f>survey_responses[[#This Row],[Tôi thấy mức thuế tôi phải đóng theo phương án mới là công bằng (người thu nhập như tôi đóng mức này là hợp lý). - HUMAN-TRU2]]</f>
        <v>10</v>
      </c>
      <c r="AB53">
        <f t="shared" si="15"/>
        <v>1</v>
      </c>
      <c r="AC53">
        <f>step3_validation[[#This Row],[AI_TRU3]]</f>
        <v>7</v>
      </c>
      <c r="AD53">
        <f t="shared" si="16"/>
        <v>0.66666666666666663</v>
      </c>
      <c r="AE53">
        <f>survey_responses[[#This Row],[Tôi tin tưởng số tiền thuế tôi đóng sẽ được Nhà nước sử dụng hiệu quả để cải thiện dịch vụ công (y tế, đường xá...). - HUMAN-TRU3]]</f>
        <v>10</v>
      </c>
      <c r="AF53">
        <f t="shared" si="17"/>
        <v>1</v>
      </c>
      <c r="AG53">
        <f>step3_validation[[#This Row],[AI_TRU4]]</f>
        <v>6</v>
      </c>
      <c r="AH53">
        <f t="shared" si="18"/>
        <v>0.55555555555555558</v>
      </c>
      <c r="AI53">
        <f>survey_responses[[#This Row],[Tôi thấy Nhà nước đã giải thích rõ ràng, minh bạch về lý do và mục tiêu của việc sửa đổi thuế lần này. - HUMAN-TRU4]]</f>
        <v>10</v>
      </c>
      <c r="AJ53">
        <f t="shared" si="19"/>
        <v>1</v>
      </c>
      <c r="AK53" s="32">
        <f t="shared" si="20"/>
        <v>0.61111111111111116</v>
      </c>
      <c r="AL53" s="32">
        <f t="shared" si="21"/>
        <v>1</v>
      </c>
      <c r="AM53" s="7">
        <f t="shared" si="22"/>
        <v>0.72222222222222221</v>
      </c>
      <c r="AN53" s="7">
        <f t="shared" si="23"/>
        <v>1</v>
      </c>
      <c r="AO53">
        <f>step3_validation[[#This Row],[AI_OUT1]]</f>
        <v>7</v>
      </c>
      <c r="AP53">
        <f t="shared" si="24"/>
        <v>0.66666666666666663</v>
      </c>
      <c r="AQ53">
        <f>survey_responses[[#This Row],[Sau khi xem xét các quyền lợi và nghĩa vụ, bạn có ủng hộ và tuân thủ chính sách mới hiện nay? - HUMAN-OUT1]]</f>
        <v>8</v>
      </c>
      <c r="AR53">
        <f t="shared" si="25"/>
        <v>0.77777777777777779</v>
      </c>
      <c r="AS53" s="32">
        <f t="shared" si="26"/>
        <v>1</v>
      </c>
      <c r="AT53">
        <f t="shared" si="27"/>
        <v>1</v>
      </c>
    </row>
    <row r="54" spans="1:46" x14ac:dyDescent="0.45">
      <c r="A54">
        <f>step3_validation[[#This Row],[AI_ENF1]]</f>
        <v>6</v>
      </c>
      <c r="B54">
        <f t="shared" si="0"/>
        <v>0.55555555555555558</v>
      </c>
      <c r="C54">
        <f>survey_responses[[#This Row],[Tôi tin rằng với các quy định quản lý thuế hiện nay, hành vi gian lận hoặc trốn thuế sẽ dễ dàng bị phát hiện và xử lý nghiêm. - HUMAN-ENF1]]</f>
        <v>10</v>
      </c>
      <c r="D54">
        <f t="shared" si="1"/>
        <v>1</v>
      </c>
      <c r="E54">
        <f>step3_validation[[#This Row],[AI_ENF2]]</f>
        <v>6</v>
      </c>
      <c r="F54">
        <f t="shared" si="2"/>
        <v>0.55555555555555558</v>
      </c>
      <c r="G54">
        <f>survey_responses[[#This Row],[Tôi tin rằng Nhà nước, cơ quan thuế có đủ khả năng và công nghệ để phát hiện, xử lý nghiêm các hành vi trốn thuế. - HUMAN-ENF2]]</f>
        <v>10</v>
      </c>
      <c r="H54">
        <f t="shared" si="3"/>
        <v>1</v>
      </c>
      <c r="I54" s="32">
        <f t="shared" si="4"/>
        <v>0.55555555555555558</v>
      </c>
      <c r="J54" s="32">
        <f t="shared" si="5"/>
        <v>1</v>
      </c>
      <c r="K54">
        <f>step3_validation[[#This Row],[AI_FAC1]]</f>
        <v>8</v>
      </c>
      <c r="L54">
        <f t="shared" si="6"/>
        <v>0.77777777777777779</v>
      </c>
      <c r="M54">
        <f>survey_responses[[#This Row],[Các thủ tục khai báo thuế VÀ/HOẶC quy trình làm việc với cơ quan thuế đơn giản, tiện lợi, nhanh chóng hơn so với trước đây. - HUMAN-FAC1]]</f>
        <v>10</v>
      </c>
      <c r="N54">
        <f t="shared" si="7"/>
        <v>1</v>
      </c>
      <c r="O54">
        <f>step3_validation[[#This Row],[AI_FAC2]]</f>
        <v>8</v>
      </c>
      <c r="P54">
        <f t="shared" si="8"/>
        <v>0.77777777777777779</v>
      </c>
      <c r="Q54">
        <f>survey_responses[[#This Row],[So với trước đây, tôi thấy cách tính thuế và các bậc thuế trong phương án mới đơn giản, dễ hiểu và dễ thực hiện hơn. - HUMAN-FAC2]]</f>
        <v>10</v>
      </c>
      <c r="R54">
        <f t="shared" si="9"/>
        <v>1</v>
      </c>
      <c r="S54" s="32">
        <f t="shared" si="10"/>
        <v>0.77777777777777779</v>
      </c>
      <c r="T54" s="32">
        <f t="shared" si="11"/>
        <v>1</v>
      </c>
      <c r="U54">
        <f>step3_validation[[#This Row],[AI_TRU1]]</f>
        <v>7</v>
      </c>
      <c r="V54">
        <f t="shared" si="12"/>
        <v>0.66666666666666663</v>
      </c>
      <c r="W54">
        <f>survey_responses[[#This Row],[Tôi tin rằng Nhà nước, cơ quan thuế sẽ thực thi chính sách mới một cách khách quan, công tâm và đối xử bình đẳng với mọi người nộp thuế.  - HUMAN-TRU1]]</f>
        <v>10</v>
      </c>
      <c r="X54">
        <f t="shared" si="13"/>
        <v>1</v>
      </c>
      <c r="Y54">
        <f>step3_validation[[#This Row],[AI_TRU2]]</f>
        <v>7</v>
      </c>
      <c r="Z54">
        <f t="shared" si="14"/>
        <v>0.66666666666666663</v>
      </c>
      <c r="AA54">
        <f>survey_responses[[#This Row],[Tôi thấy mức thuế tôi phải đóng theo phương án mới là công bằng (người thu nhập như tôi đóng mức này là hợp lý). - HUMAN-TRU2]]</f>
        <v>10</v>
      </c>
      <c r="AB54">
        <f t="shared" si="15"/>
        <v>1</v>
      </c>
      <c r="AC54">
        <f>step3_validation[[#This Row],[AI_TRU3]]</f>
        <v>7</v>
      </c>
      <c r="AD54">
        <f t="shared" si="16"/>
        <v>0.66666666666666663</v>
      </c>
      <c r="AE54">
        <f>survey_responses[[#This Row],[Tôi tin tưởng số tiền thuế tôi đóng sẽ được Nhà nước sử dụng hiệu quả để cải thiện dịch vụ công (y tế, đường xá...). - HUMAN-TRU3]]</f>
        <v>10</v>
      </c>
      <c r="AF54">
        <f t="shared" si="17"/>
        <v>1</v>
      </c>
      <c r="AG54">
        <f>step3_validation[[#This Row],[AI_TRU4]]</f>
        <v>7</v>
      </c>
      <c r="AH54">
        <f t="shared" si="18"/>
        <v>0.66666666666666663</v>
      </c>
      <c r="AI54">
        <f>survey_responses[[#This Row],[Tôi thấy Nhà nước đã giải thích rõ ràng, minh bạch về lý do và mục tiêu của việc sửa đổi thuế lần này. - HUMAN-TRU4]]</f>
        <v>10</v>
      </c>
      <c r="AJ54">
        <f t="shared" si="19"/>
        <v>1</v>
      </c>
      <c r="AK54" s="32">
        <f t="shared" si="20"/>
        <v>0.66666666666666663</v>
      </c>
      <c r="AL54" s="32">
        <f t="shared" si="21"/>
        <v>1</v>
      </c>
      <c r="AM54" s="7">
        <f t="shared" si="22"/>
        <v>0.66666666666666663</v>
      </c>
      <c r="AN54" s="7">
        <f t="shared" si="23"/>
        <v>1</v>
      </c>
      <c r="AO54">
        <f>step3_validation[[#This Row],[AI_OUT1]]</f>
        <v>6</v>
      </c>
      <c r="AP54">
        <f t="shared" si="24"/>
        <v>0.55555555555555558</v>
      </c>
      <c r="AQ54">
        <f>survey_responses[[#This Row],[Sau khi xem xét các quyền lợi và nghĩa vụ, bạn có ủng hộ và tuân thủ chính sách mới hiện nay? - HUMAN-OUT1]]</f>
        <v>10</v>
      </c>
      <c r="AR54">
        <f t="shared" si="25"/>
        <v>1</v>
      </c>
      <c r="AS54" s="32">
        <f t="shared" si="26"/>
        <v>4</v>
      </c>
      <c r="AT54">
        <f t="shared" si="27"/>
        <v>1</v>
      </c>
    </row>
    <row r="55" spans="1:46" x14ac:dyDescent="0.45">
      <c r="A55">
        <f>step3_validation[[#This Row],[AI_ENF1]]</f>
        <v>7</v>
      </c>
      <c r="B55">
        <f t="shared" si="0"/>
        <v>0.66666666666666663</v>
      </c>
      <c r="C55">
        <f>survey_responses[[#This Row],[Tôi tin rằng với các quy định quản lý thuế hiện nay, hành vi gian lận hoặc trốn thuế sẽ dễ dàng bị phát hiện và xử lý nghiêm. - HUMAN-ENF1]]</f>
        <v>8</v>
      </c>
      <c r="D55">
        <f t="shared" si="1"/>
        <v>0.77777777777777779</v>
      </c>
      <c r="E55">
        <f>step3_validation[[#This Row],[AI_ENF2]]</f>
        <v>6</v>
      </c>
      <c r="F55">
        <f t="shared" si="2"/>
        <v>0.55555555555555558</v>
      </c>
      <c r="G55">
        <f>survey_responses[[#This Row],[Tôi tin rằng Nhà nước, cơ quan thuế có đủ khả năng và công nghệ để phát hiện, xử lý nghiêm các hành vi trốn thuế. - HUMAN-ENF2]]</f>
        <v>7</v>
      </c>
      <c r="H55">
        <f t="shared" si="3"/>
        <v>0.66666666666666663</v>
      </c>
      <c r="I55" s="32">
        <f t="shared" si="4"/>
        <v>0.61111111111111116</v>
      </c>
      <c r="J55" s="32">
        <f t="shared" si="5"/>
        <v>0.72222222222222221</v>
      </c>
      <c r="K55">
        <f>step3_validation[[#This Row],[AI_FAC1]]</f>
        <v>8</v>
      </c>
      <c r="L55">
        <f t="shared" si="6"/>
        <v>0.77777777777777779</v>
      </c>
      <c r="M55">
        <f>survey_responses[[#This Row],[Các thủ tục khai báo thuế VÀ/HOẶC quy trình làm việc với cơ quan thuế đơn giản, tiện lợi, nhanh chóng hơn so với trước đây. - HUMAN-FAC1]]</f>
        <v>7</v>
      </c>
      <c r="N55">
        <f t="shared" si="7"/>
        <v>0.66666666666666663</v>
      </c>
      <c r="O55">
        <f>step3_validation[[#This Row],[AI_FAC2]]</f>
        <v>9</v>
      </c>
      <c r="P55">
        <f t="shared" si="8"/>
        <v>0.88888888888888884</v>
      </c>
      <c r="Q55">
        <f>survey_responses[[#This Row],[So với trước đây, tôi thấy cách tính thuế và các bậc thuế trong phương án mới đơn giản, dễ hiểu và dễ thực hiện hơn. - HUMAN-FAC2]]</f>
        <v>8</v>
      </c>
      <c r="R55">
        <f t="shared" si="9"/>
        <v>0.77777777777777779</v>
      </c>
      <c r="S55" s="32">
        <f t="shared" si="10"/>
        <v>0.83333333333333326</v>
      </c>
      <c r="T55" s="32">
        <f t="shared" si="11"/>
        <v>0.72222222222222221</v>
      </c>
      <c r="U55">
        <f>step3_validation[[#This Row],[AI_TRU1]]</f>
        <v>8</v>
      </c>
      <c r="V55">
        <f t="shared" si="12"/>
        <v>0.77777777777777779</v>
      </c>
      <c r="W55">
        <f>survey_responses[[#This Row],[Tôi tin rằng Nhà nước, cơ quan thuế sẽ thực thi chính sách mới một cách khách quan, công tâm và đối xử bình đẳng với mọi người nộp thuế.  - HUMAN-TRU1]]</f>
        <v>7</v>
      </c>
      <c r="X55">
        <f t="shared" si="13"/>
        <v>0.66666666666666663</v>
      </c>
      <c r="Y55">
        <f>step3_validation[[#This Row],[AI_TRU2]]</f>
        <v>7</v>
      </c>
      <c r="Z55">
        <f t="shared" si="14"/>
        <v>0.66666666666666663</v>
      </c>
      <c r="AA55">
        <f>survey_responses[[#This Row],[Tôi thấy mức thuế tôi phải đóng theo phương án mới là công bằng (người thu nhập như tôi đóng mức này là hợp lý). - HUMAN-TRU2]]</f>
        <v>8</v>
      </c>
      <c r="AB55">
        <f t="shared" si="15"/>
        <v>0.77777777777777779</v>
      </c>
      <c r="AC55">
        <f>step3_validation[[#This Row],[AI_TRU3]]</f>
        <v>6</v>
      </c>
      <c r="AD55">
        <f t="shared" si="16"/>
        <v>0.55555555555555558</v>
      </c>
      <c r="AE55">
        <f>survey_responses[[#This Row],[Tôi tin tưởng số tiền thuế tôi đóng sẽ được Nhà nước sử dụng hiệu quả để cải thiện dịch vụ công (y tế, đường xá...). - HUMAN-TRU3]]</f>
        <v>7</v>
      </c>
      <c r="AF55">
        <f t="shared" si="17"/>
        <v>0.66666666666666663</v>
      </c>
      <c r="AG55">
        <f>step3_validation[[#This Row],[AI_TRU4]]</f>
        <v>5</v>
      </c>
      <c r="AH55">
        <f t="shared" si="18"/>
        <v>0.44444444444444442</v>
      </c>
      <c r="AI55">
        <f>survey_responses[[#This Row],[Tôi thấy Nhà nước đã giải thích rõ ràng, minh bạch về lý do và mục tiêu của việc sửa đổi thuế lần này. - HUMAN-TRU4]]</f>
        <v>7</v>
      </c>
      <c r="AJ55">
        <f t="shared" si="19"/>
        <v>0.66666666666666663</v>
      </c>
      <c r="AK55" s="32">
        <f t="shared" si="20"/>
        <v>0.61111111111111116</v>
      </c>
      <c r="AL55" s="32">
        <f t="shared" si="21"/>
        <v>0.69444444444444442</v>
      </c>
      <c r="AM55" s="7">
        <f t="shared" si="22"/>
        <v>0.68518518518518512</v>
      </c>
      <c r="AN55" s="7">
        <f t="shared" si="23"/>
        <v>0.71296296296296291</v>
      </c>
      <c r="AO55">
        <f>step3_validation[[#This Row],[AI_OUT1]]</f>
        <v>8</v>
      </c>
      <c r="AP55">
        <f t="shared" si="24"/>
        <v>0.77777777777777779</v>
      </c>
      <c r="AQ55">
        <f>survey_responses[[#This Row],[Sau khi xem xét các quyền lợi và nghĩa vụ, bạn có ủng hộ và tuân thủ chính sách mới hiện nay? - HUMAN-OUT1]]</f>
        <v>8</v>
      </c>
      <c r="AR55">
        <f t="shared" si="25"/>
        <v>0.77777777777777779</v>
      </c>
      <c r="AS55" s="32">
        <f t="shared" si="26"/>
        <v>0</v>
      </c>
      <c r="AT55">
        <f t="shared" si="27"/>
        <v>1</v>
      </c>
    </row>
    <row r="56" spans="1:46" x14ac:dyDescent="0.45">
      <c r="A56">
        <f>step3_validation[[#This Row],[AI_ENF1]]</f>
        <v>8</v>
      </c>
      <c r="B56">
        <f t="shared" si="0"/>
        <v>0.77777777777777779</v>
      </c>
      <c r="C56">
        <f>survey_responses[[#This Row],[Tôi tin rằng với các quy định quản lý thuế hiện nay, hành vi gian lận hoặc trốn thuế sẽ dễ dàng bị phát hiện và xử lý nghiêm. - HUMAN-ENF1]]</f>
        <v>10</v>
      </c>
      <c r="D56">
        <f t="shared" si="1"/>
        <v>1</v>
      </c>
      <c r="E56">
        <f>step3_validation[[#This Row],[AI_ENF2]]</f>
        <v>9</v>
      </c>
      <c r="F56">
        <f t="shared" si="2"/>
        <v>0.88888888888888884</v>
      </c>
      <c r="G56">
        <f>survey_responses[[#This Row],[Tôi tin rằng Nhà nước, cơ quan thuế có đủ khả năng và công nghệ để phát hiện, xử lý nghiêm các hành vi trốn thuế. - HUMAN-ENF2]]</f>
        <v>9</v>
      </c>
      <c r="H56">
        <f t="shared" si="3"/>
        <v>0.88888888888888884</v>
      </c>
      <c r="I56" s="32">
        <f t="shared" si="4"/>
        <v>0.83333333333333326</v>
      </c>
      <c r="J56" s="32">
        <f t="shared" si="5"/>
        <v>0.94444444444444442</v>
      </c>
      <c r="K56">
        <f>step3_validation[[#This Row],[AI_FAC1]]</f>
        <v>7</v>
      </c>
      <c r="L56">
        <f t="shared" si="6"/>
        <v>0.66666666666666663</v>
      </c>
      <c r="M56">
        <f>survey_responses[[#This Row],[Các thủ tục khai báo thuế VÀ/HOẶC quy trình làm việc với cơ quan thuế đơn giản, tiện lợi, nhanh chóng hơn so với trước đây. - HUMAN-FAC1]]</f>
        <v>3</v>
      </c>
      <c r="N56">
        <f t="shared" si="7"/>
        <v>0.22222222222222221</v>
      </c>
      <c r="O56">
        <f>step3_validation[[#This Row],[AI_FAC2]]</f>
        <v>8</v>
      </c>
      <c r="P56">
        <f t="shared" si="8"/>
        <v>0.77777777777777779</v>
      </c>
      <c r="Q56">
        <f>survey_responses[[#This Row],[So với trước đây, tôi thấy cách tính thuế và các bậc thuế trong phương án mới đơn giản, dễ hiểu và dễ thực hiện hơn. - HUMAN-FAC2]]</f>
        <v>4</v>
      </c>
      <c r="R56">
        <f t="shared" si="9"/>
        <v>0.33333333333333331</v>
      </c>
      <c r="S56" s="32">
        <f t="shared" si="10"/>
        <v>0.72222222222222221</v>
      </c>
      <c r="T56" s="32">
        <f t="shared" si="11"/>
        <v>0.27777777777777779</v>
      </c>
      <c r="U56">
        <f>step3_validation[[#This Row],[AI_TRU1]]</f>
        <v>7</v>
      </c>
      <c r="V56">
        <f t="shared" si="12"/>
        <v>0.66666666666666663</v>
      </c>
      <c r="W56">
        <f>survey_responses[[#This Row],[Tôi tin rằng Nhà nước, cơ quan thuế sẽ thực thi chính sách mới một cách khách quan, công tâm và đối xử bình đẳng với mọi người nộp thuế.  - HUMAN-TRU1]]</f>
        <v>3</v>
      </c>
      <c r="X56">
        <f t="shared" si="13"/>
        <v>0.22222222222222221</v>
      </c>
      <c r="Y56">
        <f>step3_validation[[#This Row],[AI_TRU2]]</f>
        <v>8</v>
      </c>
      <c r="Z56">
        <f t="shared" si="14"/>
        <v>0.77777777777777779</v>
      </c>
      <c r="AA56">
        <f>survey_responses[[#This Row],[Tôi thấy mức thuế tôi phải đóng theo phương án mới là công bằng (người thu nhập như tôi đóng mức này là hợp lý). - HUMAN-TRU2]]</f>
        <v>3</v>
      </c>
      <c r="AB56">
        <f t="shared" si="15"/>
        <v>0.22222222222222221</v>
      </c>
      <c r="AC56">
        <f>step3_validation[[#This Row],[AI_TRU3]]</f>
        <v>7</v>
      </c>
      <c r="AD56">
        <f t="shared" si="16"/>
        <v>0.66666666666666663</v>
      </c>
      <c r="AE56">
        <f>survey_responses[[#This Row],[Tôi tin tưởng số tiền thuế tôi đóng sẽ được Nhà nước sử dụng hiệu quả để cải thiện dịch vụ công (y tế, đường xá...). - HUMAN-TRU3]]</f>
        <v>1</v>
      </c>
      <c r="AF56">
        <f t="shared" si="17"/>
        <v>0</v>
      </c>
      <c r="AG56">
        <f>step3_validation[[#This Row],[AI_TRU4]]</f>
        <v>6</v>
      </c>
      <c r="AH56">
        <f t="shared" si="18"/>
        <v>0.55555555555555558</v>
      </c>
      <c r="AI56">
        <f>survey_responses[[#This Row],[Tôi thấy Nhà nước đã giải thích rõ ràng, minh bạch về lý do và mục tiêu của việc sửa đổi thuế lần này. - HUMAN-TRU4]]</f>
        <v>1</v>
      </c>
      <c r="AJ56">
        <f t="shared" si="19"/>
        <v>0</v>
      </c>
      <c r="AK56" s="32">
        <f t="shared" si="20"/>
        <v>0.66666666666666674</v>
      </c>
      <c r="AL56" s="32">
        <f t="shared" si="21"/>
        <v>0.1111111111111111</v>
      </c>
      <c r="AM56" s="7">
        <f t="shared" si="22"/>
        <v>0.74074074074074081</v>
      </c>
      <c r="AN56" s="7">
        <f t="shared" si="23"/>
        <v>0.44444444444444448</v>
      </c>
      <c r="AO56">
        <f>step3_validation[[#This Row],[AI_OUT1]]</f>
        <v>7</v>
      </c>
      <c r="AP56">
        <f t="shared" si="24"/>
        <v>0.66666666666666663</v>
      </c>
      <c r="AQ56">
        <f>survey_responses[[#This Row],[Sau khi xem xét các quyền lợi và nghĩa vụ, bạn có ủng hộ và tuân thủ chính sách mới hiện nay? - HUMAN-OUT1]]</f>
        <v>3</v>
      </c>
      <c r="AR56">
        <f t="shared" si="25"/>
        <v>0.22222222222222221</v>
      </c>
      <c r="AS56" s="32">
        <f t="shared" si="26"/>
        <v>4</v>
      </c>
      <c r="AT56">
        <f t="shared" si="27"/>
        <v>0</v>
      </c>
    </row>
    <row r="57" spans="1:46" x14ac:dyDescent="0.45">
      <c r="A57">
        <f>step3_validation[[#This Row],[AI_ENF1]]</f>
        <v>6</v>
      </c>
      <c r="B57">
        <f t="shared" si="0"/>
        <v>0.55555555555555558</v>
      </c>
      <c r="C57">
        <f>survey_responses[[#This Row],[Tôi tin rằng với các quy định quản lý thuế hiện nay, hành vi gian lận hoặc trốn thuế sẽ dễ dàng bị phát hiện và xử lý nghiêm. - HUMAN-ENF1]]</f>
        <v>10</v>
      </c>
      <c r="D57">
        <f t="shared" si="1"/>
        <v>1</v>
      </c>
      <c r="E57">
        <f>step3_validation[[#This Row],[AI_ENF2]]</f>
        <v>7</v>
      </c>
      <c r="F57">
        <f t="shared" si="2"/>
        <v>0.66666666666666663</v>
      </c>
      <c r="G57">
        <f>survey_responses[[#This Row],[Tôi tin rằng Nhà nước, cơ quan thuế có đủ khả năng và công nghệ để phát hiện, xử lý nghiêm các hành vi trốn thuế. - HUMAN-ENF2]]</f>
        <v>10</v>
      </c>
      <c r="H57">
        <f t="shared" si="3"/>
        <v>1</v>
      </c>
      <c r="I57" s="32">
        <f t="shared" si="4"/>
        <v>0.61111111111111116</v>
      </c>
      <c r="J57" s="32">
        <f t="shared" si="5"/>
        <v>1</v>
      </c>
      <c r="K57">
        <f>step3_validation[[#This Row],[AI_FAC1]]</f>
        <v>8</v>
      </c>
      <c r="L57">
        <f t="shared" si="6"/>
        <v>0.77777777777777779</v>
      </c>
      <c r="M57">
        <f>survey_responses[[#This Row],[Các thủ tục khai báo thuế VÀ/HOẶC quy trình làm việc với cơ quan thuế đơn giản, tiện lợi, nhanh chóng hơn so với trước đây. - HUMAN-FAC1]]</f>
        <v>9</v>
      </c>
      <c r="N57">
        <f t="shared" si="7"/>
        <v>0.88888888888888884</v>
      </c>
      <c r="O57">
        <f>step3_validation[[#This Row],[AI_FAC2]]</f>
        <v>6</v>
      </c>
      <c r="P57">
        <f t="shared" si="8"/>
        <v>0.55555555555555558</v>
      </c>
      <c r="Q57">
        <f>survey_responses[[#This Row],[So với trước đây, tôi thấy cách tính thuế và các bậc thuế trong phương án mới đơn giản, dễ hiểu và dễ thực hiện hơn. - HUMAN-FAC2]]</f>
        <v>10</v>
      </c>
      <c r="R57">
        <f t="shared" si="9"/>
        <v>1</v>
      </c>
      <c r="S57" s="32">
        <f t="shared" si="10"/>
        <v>0.66666666666666674</v>
      </c>
      <c r="T57" s="32">
        <f t="shared" si="11"/>
        <v>0.94444444444444442</v>
      </c>
      <c r="U57">
        <f>step3_validation[[#This Row],[AI_TRU1]]</f>
        <v>7</v>
      </c>
      <c r="V57">
        <f t="shared" si="12"/>
        <v>0.66666666666666663</v>
      </c>
      <c r="W57">
        <f>survey_responses[[#This Row],[Tôi tin rằng Nhà nước, cơ quan thuế sẽ thực thi chính sách mới một cách khách quan, công tâm và đối xử bình đẳng với mọi người nộp thuế.  - HUMAN-TRU1]]</f>
        <v>9</v>
      </c>
      <c r="X57">
        <f t="shared" si="13"/>
        <v>0.88888888888888884</v>
      </c>
      <c r="Y57">
        <f>step3_validation[[#This Row],[AI_TRU2]]</f>
        <v>5</v>
      </c>
      <c r="Z57">
        <f t="shared" si="14"/>
        <v>0.44444444444444442</v>
      </c>
      <c r="AA57">
        <f>survey_responses[[#This Row],[Tôi thấy mức thuế tôi phải đóng theo phương án mới là công bằng (người thu nhập như tôi đóng mức này là hợp lý). - HUMAN-TRU2]]</f>
        <v>10</v>
      </c>
      <c r="AB57">
        <f t="shared" si="15"/>
        <v>1</v>
      </c>
      <c r="AC57">
        <f>step3_validation[[#This Row],[AI_TRU3]]</f>
        <v>7</v>
      </c>
      <c r="AD57">
        <f t="shared" si="16"/>
        <v>0.66666666666666663</v>
      </c>
      <c r="AE57">
        <f>survey_responses[[#This Row],[Tôi tin tưởng số tiền thuế tôi đóng sẽ được Nhà nước sử dụng hiệu quả để cải thiện dịch vụ công (y tế, đường xá...). - HUMAN-TRU3]]</f>
        <v>9</v>
      </c>
      <c r="AF57">
        <f t="shared" si="17"/>
        <v>0.88888888888888884</v>
      </c>
      <c r="AG57">
        <f>step3_validation[[#This Row],[AI_TRU4]]</f>
        <v>6</v>
      </c>
      <c r="AH57">
        <f t="shared" si="18"/>
        <v>0.55555555555555558</v>
      </c>
      <c r="AI57">
        <f>survey_responses[[#This Row],[Tôi thấy Nhà nước đã giải thích rõ ràng, minh bạch về lý do và mục tiêu của việc sửa đổi thuế lần này. - HUMAN-TRU4]]</f>
        <v>10</v>
      </c>
      <c r="AJ57">
        <f t="shared" si="19"/>
        <v>1</v>
      </c>
      <c r="AK57" s="32">
        <f t="shared" si="20"/>
        <v>0.58333333333333326</v>
      </c>
      <c r="AL57" s="32">
        <f t="shared" si="21"/>
        <v>0.94444444444444442</v>
      </c>
      <c r="AM57" s="7">
        <f t="shared" si="22"/>
        <v>0.62037037037037035</v>
      </c>
      <c r="AN57" s="7">
        <f t="shared" si="23"/>
        <v>0.96296296296296291</v>
      </c>
      <c r="AO57">
        <f>step3_validation[[#This Row],[AI_OUT1]]</f>
        <v>7</v>
      </c>
      <c r="AP57">
        <f t="shared" si="24"/>
        <v>0.66666666666666663</v>
      </c>
      <c r="AQ57">
        <f>survey_responses[[#This Row],[Sau khi xem xét các quyền lợi và nghĩa vụ, bạn có ủng hộ và tuân thủ chính sách mới hiện nay? - HUMAN-OUT1]]</f>
        <v>9</v>
      </c>
      <c r="AR57">
        <f t="shared" si="25"/>
        <v>0.88888888888888884</v>
      </c>
      <c r="AS57" s="32">
        <f t="shared" si="26"/>
        <v>2</v>
      </c>
      <c r="AT57">
        <f t="shared" si="27"/>
        <v>1</v>
      </c>
    </row>
    <row r="58" spans="1:46" x14ac:dyDescent="0.45">
      <c r="A58">
        <f>step3_validation[[#This Row],[AI_ENF1]]</f>
        <v>8</v>
      </c>
      <c r="B58">
        <f t="shared" si="0"/>
        <v>0.77777777777777779</v>
      </c>
      <c r="C58">
        <f>survey_responses[[#This Row],[Tôi tin rằng với các quy định quản lý thuế hiện nay, hành vi gian lận hoặc trốn thuế sẽ dễ dàng bị phát hiện và xử lý nghiêm. - HUMAN-ENF1]]</f>
        <v>10</v>
      </c>
      <c r="D58">
        <f t="shared" si="1"/>
        <v>1</v>
      </c>
      <c r="E58">
        <f>step3_validation[[#This Row],[AI_ENF2]]</f>
        <v>7</v>
      </c>
      <c r="F58">
        <f t="shared" si="2"/>
        <v>0.66666666666666663</v>
      </c>
      <c r="G58">
        <f>survey_responses[[#This Row],[Tôi tin rằng Nhà nước, cơ quan thuế có đủ khả năng và công nghệ để phát hiện, xử lý nghiêm các hành vi trốn thuế. - HUMAN-ENF2]]</f>
        <v>10</v>
      </c>
      <c r="H58">
        <f t="shared" si="3"/>
        <v>1</v>
      </c>
      <c r="I58" s="32">
        <f t="shared" si="4"/>
        <v>0.72222222222222221</v>
      </c>
      <c r="J58" s="32">
        <f t="shared" si="5"/>
        <v>1</v>
      </c>
      <c r="K58">
        <f>step3_validation[[#This Row],[AI_FAC1]]</f>
        <v>8</v>
      </c>
      <c r="L58">
        <f t="shared" si="6"/>
        <v>0.77777777777777779</v>
      </c>
      <c r="M58">
        <f>survey_responses[[#This Row],[Các thủ tục khai báo thuế VÀ/HOẶC quy trình làm việc với cơ quan thuế đơn giản, tiện lợi, nhanh chóng hơn so với trước đây. - HUMAN-FAC1]]</f>
        <v>1</v>
      </c>
      <c r="N58">
        <f t="shared" si="7"/>
        <v>0</v>
      </c>
      <c r="O58">
        <f>step3_validation[[#This Row],[AI_FAC2]]</f>
        <v>9</v>
      </c>
      <c r="P58">
        <f t="shared" si="8"/>
        <v>0.88888888888888884</v>
      </c>
      <c r="Q58">
        <f>survey_responses[[#This Row],[So với trước đây, tôi thấy cách tính thuế và các bậc thuế trong phương án mới đơn giản, dễ hiểu và dễ thực hiện hơn. - HUMAN-FAC2]]</f>
        <v>5</v>
      </c>
      <c r="R58">
        <f t="shared" si="9"/>
        <v>0.44444444444444442</v>
      </c>
      <c r="S58" s="32">
        <f t="shared" si="10"/>
        <v>0.83333333333333326</v>
      </c>
      <c r="T58" s="32">
        <f t="shared" si="11"/>
        <v>0.22222222222222221</v>
      </c>
      <c r="U58">
        <f>step3_validation[[#This Row],[AI_TRU1]]</f>
        <v>7</v>
      </c>
      <c r="V58">
        <f t="shared" si="12"/>
        <v>0.66666666666666663</v>
      </c>
      <c r="W58">
        <f>survey_responses[[#This Row],[Tôi tin rằng Nhà nước, cơ quan thuế sẽ thực thi chính sách mới một cách khách quan, công tâm và đối xử bình đẳng với mọi người nộp thuế.  - HUMAN-TRU1]]</f>
        <v>7</v>
      </c>
      <c r="X58">
        <f t="shared" si="13"/>
        <v>0.66666666666666663</v>
      </c>
      <c r="Y58">
        <f>step3_validation[[#This Row],[AI_TRU2]]</f>
        <v>8</v>
      </c>
      <c r="Z58">
        <f t="shared" si="14"/>
        <v>0.77777777777777779</v>
      </c>
      <c r="AA58">
        <f>survey_responses[[#This Row],[Tôi thấy mức thuế tôi phải đóng theo phương án mới là công bằng (người thu nhập như tôi đóng mức này là hợp lý). - HUMAN-TRU2]]</f>
        <v>10</v>
      </c>
      <c r="AB58">
        <f t="shared" si="15"/>
        <v>1</v>
      </c>
      <c r="AC58">
        <f>step3_validation[[#This Row],[AI_TRU3]]</f>
        <v>7</v>
      </c>
      <c r="AD58">
        <f t="shared" si="16"/>
        <v>0.66666666666666663</v>
      </c>
      <c r="AE58">
        <f>survey_responses[[#This Row],[Tôi tin tưởng số tiền thuế tôi đóng sẽ được Nhà nước sử dụng hiệu quả để cải thiện dịch vụ công (y tế, đường xá...). - HUMAN-TRU3]]</f>
        <v>9</v>
      </c>
      <c r="AF58">
        <f t="shared" si="17"/>
        <v>0.88888888888888884</v>
      </c>
      <c r="AG58">
        <f>step3_validation[[#This Row],[AI_TRU4]]</f>
        <v>6</v>
      </c>
      <c r="AH58">
        <f t="shared" si="18"/>
        <v>0.55555555555555558</v>
      </c>
      <c r="AI58">
        <f>survey_responses[[#This Row],[Tôi thấy Nhà nước đã giải thích rõ ràng, minh bạch về lý do và mục tiêu của việc sửa đổi thuế lần này. - HUMAN-TRU4]]</f>
        <v>9</v>
      </c>
      <c r="AJ58">
        <f t="shared" si="19"/>
        <v>0.88888888888888884</v>
      </c>
      <c r="AK58" s="32">
        <f t="shared" si="20"/>
        <v>0.66666666666666674</v>
      </c>
      <c r="AL58" s="32">
        <f t="shared" si="21"/>
        <v>0.86111111111111105</v>
      </c>
      <c r="AM58" s="7">
        <f t="shared" si="22"/>
        <v>0.74074074074074081</v>
      </c>
      <c r="AN58" s="7">
        <f t="shared" si="23"/>
        <v>0.69444444444444453</v>
      </c>
      <c r="AO58">
        <f>step3_validation[[#This Row],[AI_OUT1]]</f>
        <v>8</v>
      </c>
      <c r="AP58">
        <f t="shared" si="24"/>
        <v>0.77777777777777779</v>
      </c>
      <c r="AQ58">
        <f>survey_responses[[#This Row],[Sau khi xem xét các quyền lợi và nghĩa vụ, bạn có ủng hộ và tuân thủ chính sách mới hiện nay? - HUMAN-OUT1]]</f>
        <v>10</v>
      </c>
      <c r="AR58">
        <f t="shared" si="25"/>
        <v>1</v>
      </c>
      <c r="AS58" s="32">
        <f t="shared" si="26"/>
        <v>2</v>
      </c>
      <c r="AT58">
        <f t="shared" si="27"/>
        <v>1</v>
      </c>
    </row>
    <row r="59" spans="1:46" x14ac:dyDescent="0.45">
      <c r="A59">
        <f>step3_validation[[#This Row],[AI_ENF1]]</f>
        <v>7</v>
      </c>
      <c r="B59">
        <f t="shared" si="0"/>
        <v>0.66666666666666663</v>
      </c>
      <c r="C59">
        <f>survey_responses[[#This Row],[Tôi tin rằng với các quy định quản lý thuế hiện nay, hành vi gian lận hoặc trốn thuế sẽ dễ dàng bị phát hiện và xử lý nghiêm. - HUMAN-ENF1]]</f>
        <v>5</v>
      </c>
      <c r="D59">
        <f t="shared" si="1"/>
        <v>0.44444444444444442</v>
      </c>
      <c r="E59">
        <f>step3_validation[[#This Row],[AI_ENF2]]</f>
        <v>6</v>
      </c>
      <c r="F59">
        <f t="shared" si="2"/>
        <v>0.55555555555555558</v>
      </c>
      <c r="G59">
        <f>survey_responses[[#This Row],[Tôi tin rằng Nhà nước, cơ quan thuế có đủ khả năng và công nghệ để phát hiện, xử lý nghiêm các hành vi trốn thuế. - HUMAN-ENF2]]</f>
        <v>5</v>
      </c>
      <c r="H59">
        <f t="shared" si="3"/>
        <v>0.44444444444444442</v>
      </c>
      <c r="I59" s="32">
        <f t="shared" si="4"/>
        <v>0.61111111111111116</v>
      </c>
      <c r="J59" s="32">
        <f t="shared" si="5"/>
        <v>0.44444444444444442</v>
      </c>
      <c r="K59">
        <f>step3_validation[[#This Row],[AI_FAC1]]</f>
        <v>5</v>
      </c>
      <c r="L59">
        <f t="shared" si="6"/>
        <v>0.44444444444444442</v>
      </c>
      <c r="M59">
        <f>survey_responses[[#This Row],[Các thủ tục khai báo thuế VÀ/HOẶC quy trình làm việc với cơ quan thuế đơn giản, tiện lợi, nhanh chóng hơn so với trước đây. - HUMAN-FAC1]]</f>
        <v>4</v>
      </c>
      <c r="N59">
        <f t="shared" si="7"/>
        <v>0.33333333333333331</v>
      </c>
      <c r="O59">
        <f>step3_validation[[#This Row],[AI_FAC2]]</f>
        <v>7</v>
      </c>
      <c r="P59">
        <f t="shared" si="8"/>
        <v>0.66666666666666663</v>
      </c>
      <c r="Q59">
        <f>survey_responses[[#This Row],[So với trước đây, tôi thấy cách tính thuế và các bậc thuế trong phương án mới đơn giản, dễ hiểu và dễ thực hiện hơn. - HUMAN-FAC2]]</f>
        <v>8</v>
      </c>
      <c r="R59">
        <f t="shared" si="9"/>
        <v>0.77777777777777779</v>
      </c>
      <c r="S59" s="32">
        <f t="shared" si="10"/>
        <v>0.55555555555555558</v>
      </c>
      <c r="T59" s="32">
        <f t="shared" si="11"/>
        <v>0.55555555555555558</v>
      </c>
      <c r="U59">
        <f>step3_validation[[#This Row],[AI_TRU1]]</f>
        <v>4</v>
      </c>
      <c r="V59">
        <f t="shared" si="12"/>
        <v>0.33333333333333331</v>
      </c>
      <c r="W59">
        <f>survey_responses[[#This Row],[Tôi tin rằng Nhà nước, cơ quan thuế sẽ thực thi chính sách mới một cách khách quan, công tâm và đối xử bình đẳng với mọi người nộp thuế.  - HUMAN-TRU1]]</f>
        <v>5</v>
      </c>
      <c r="X59">
        <f t="shared" si="13"/>
        <v>0.44444444444444442</v>
      </c>
      <c r="Y59">
        <f>step3_validation[[#This Row],[AI_TRU2]]</f>
        <v>5</v>
      </c>
      <c r="Z59">
        <f t="shared" si="14"/>
        <v>0.44444444444444442</v>
      </c>
      <c r="AA59">
        <f>survey_responses[[#This Row],[Tôi thấy mức thuế tôi phải đóng theo phương án mới là công bằng (người thu nhập như tôi đóng mức này là hợp lý). - HUMAN-TRU2]]</f>
        <v>7</v>
      </c>
      <c r="AB59">
        <f t="shared" si="15"/>
        <v>0.66666666666666663</v>
      </c>
      <c r="AC59">
        <f>step3_validation[[#This Row],[AI_TRU3]]</f>
        <v>4</v>
      </c>
      <c r="AD59">
        <f t="shared" si="16"/>
        <v>0.33333333333333331</v>
      </c>
      <c r="AE59">
        <f>survey_responses[[#This Row],[Tôi tin tưởng số tiền thuế tôi đóng sẽ được Nhà nước sử dụng hiệu quả để cải thiện dịch vụ công (y tế, đường xá...). - HUMAN-TRU3]]</f>
        <v>7</v>
      </c>
      <c r="AF59">
        <f t="shared" si="17"/>
        <v>0.66666666666666663</v>
      </c>
      <c r="AG59">
        <f>step3_validation[[#This Row],[AI_TRU4]]</f>
        <v>5</v>
      </c>
      <c r="AH59">
        <f t="shared" si="18"/>
        <v>0.44444444444444442</v>
      </c>
      <c r="AI59">
        <f>survey_responses[[#This Row],[Tôi thấy Nhà nước đã giải thích rõ ràng, minh bạch về lý do và mục tiêu của việc sửa đổi thuế lần này. - HUMAN-TRU4]]</f>
        <v>7</v>
      </c>
      <c r="AJ59">
        <f t="shared" si="19"/>
        <v>0.66666666666666663</v>
      </c>
      <c r="AK59" s="32">
        <f t="shared" si="20"/>
        <v>0.38888888888888884</v>
      </c>
      <c r="AL59" s="32">
        <f t="shared" si="21"/>
        <v>0.61111111111111105</v>
      </c>
      <c r="AM59" s="7">
        <f t="shared" si="22"/>
        <v>0.51851851851851849</v>
      </c>
      <c r="AN59" s="7">
        <f t="shared" si="23"/>
        <v>0.53703703703703709</v>
      </c>
      <c r="AO59">
        <f>step3_validation[[#This Row],[AI_OUT1]]</f>
        <v>5</v>
      </c>
      <c r="AP59">
        <f t="shared" si="24"/>
        <v>0.44444444444444442</v>
      </c>
      <c r="AQ59">
        <f>survey_responses[[#This Row],[Sau khi xem xét các quyền lợi và nghĩa vụ, bạn có ủng hộ và tuân thủ chính sách mới hiện nay? - HUMAN-OUT1]]</f>
        <v>7</v>
      </c>
      <c r="AR59">
        <f t="shared" si="25"/>
        <v>0.66666666666666663</v>
      </c>
      <c r="AS59" s="32">
        <f t="shared" si="26"/>
        <v>2</v>
      </c>
      <c r="AT59">
        <f t="shared" si="27"/>
        <v>1</v>
      </c>
    </row>
    <row r="60" spans="1:46" x14ac:dyDescent="0.45">
      <c r="A60">
        <f>step3_validation[[#This Row],[AI_ENF1]]</f>
        <v>6</v>
      </c>
      <c r="B60">
        <f t="shared" si="0"/>
        <v>0.55555555555555558</v>
      </c>
      <c r="C60">
        <f>survey_responses[[#This Row],[Tôi tin rằng với các quy định quản lý thuế hiện nay, hành vi gian lận hoặc trốn thuế sẽ dễ dàng bị phát hiện và xử lý nghiêm. - HUMAN-ENF1]]</f>
        <v>9</v>
      </c>
      <c r="D60">
        <f t="shared" si="1"/>
        <v>0.88888888888888884</v>
      </c>
      <c r="E60">
        <f>step3_validation[[#This Row],[AI_ENF2]]</f>
        <v>8</v>
      </c>
      <c r="F60">
        <f t="shared" si="2"/>
        <v>0.77777777777777779</v>
      </c>
      <c r="G60">
        <f>survey_responses[[#This Row],[Tôi tin rằng Nhà nước, cơ quan thuế có đủ khả năng và công nghệ để phát hiện, xử lý nghiêm các hành vi trốn thuế. - HUMAN-ENF2]]</f>
        <v>9</v>
      </c>
      <c r="H60">
        <f t="shared" si="3"/>
        <v>0.88888888888888884</v>
      </c>
      <c r="I60" s="32">
        <f t="shared" si="4"/>
        <v>0.66666666666666674</v>
      </c>
      <c r="J60" s="32">
        <f t="shared" si="5"/>
        <v>0.88888888888888884</v>
      </c>
      <c r="K60">
        <f>step3_validation[[#This Row],[AI_FAC1]]</f>
        <v>7</v>
      </c>
      <c r="L60">
        <f t="shared" si="6"/>
        <v>0.66666666666666663</v>
      </c>
      <c r="M60">
        <f>survey_responses[[#This Row],[Các thủ tục khai báo thuế VÀ/HOẶC quy trình làm việc với cơ quan thuế đơn giản, tiện lợi, nhanh chóng hơn so với trước đây. - HUMAN-FAC1]]</f>
        <v>9</v>
      </c>
      <c r="N60">
        <f t="shared" si="7"/>
        <v>0.88888888888888884</v>
      </c>
      <c r="O60">
        <f>step3_validation[[#This Row],[AI_FAC2]]</f>
        <v>9</v>
      </c>
      <c r="P60">
        <f t="shared" si="8"/>
        <v>0.88888888888888884</v>
      </c>
      <c r="Q60">
        <f>survey_responses[[#This Row],[So với trước đây, tôi thấy cách tính thuế và các bậc thuế trong phương án mới đơn giản, dễ hiểu và dễ thực hiện hơn. - HUMAN-FAC2]]</f>
        <v>7</v>
      </c>
      <c r="R60">
        <f t="shared" si="9"/>
        <v>0.66666666666666663</v>
      </c>
      <c r="S60" s="32">
        <f t="shared" si="10"/>
        <v>0.77777777777777768</v>
      </c>
      <c r="T60" s="32">
        <f t="shared" si="11"/>
        <v>0.77777777777777768</v>
      </c>
      <c r="U60">
        <f>step3_validation[[#This Row],[AI_TRU1]]</f>
        <v>8</v>
      </c>
      <c r="V60">
        <f t="shared" si="12"/>
        <v>0.77777777777777779</v>
      </c>
      <c r="W60">
        <f>survey_responses[[#This Row],[Tôi tin rằng Nhà nước, cơ quan thuế sẽ thực thi chính sách mới một cách khách quan, công tâm và đối xử bình đẳng với mọi người nộp thuế.  - HUMAN-TRU1]]</f>
        <v>7</v>
      </c>
      <c r="X60">
        <f t="shared" si="13"/>
        <v>0.66666666666666663</v>
      </c>
      <c r="Y60">
        <f>step3_validation[[#This Row],[AI_TRU2]]</f>
        <v>7</v>
      </c>
      <c r="Z60">
        <f t="shared" si="14"/>
        <v>0.66666666666666663</v>
      </c>
      <c r="AA60">
        <f>survey_responses[[#This Row],[Tôi thấy mức thuế tôi phải đóng theo phương án mới là công bằng (người thu nhập như tôi đóng mức này là hợp lý). - HUMAN-TRU2]]</f>
        <v>8</v>
      </c>
      <c r="AB60">
        <f t="shared" si="15"/>
        <v>0.77777777777777779</v>
      </c>
      <c r="AC60">
        <f>step3_validation[[#This Row],[AI_TRU3]]</f>
        <v>6</v>
      </c>
      <c r="AD60">
        <f t="shared" si="16"/>
        <v>0.55555555555555558</v>
      </c>
      <c r="AE60">
        <f>survey_responses[[#This Row],[Tôi tin tưởng số tiền thuế tôi đóng sẽ được Nhà nước sử dụng hiệu quả để cải thiện dịch vụ công (y tế, đường xá...). - HUMAN-TRU3]]</f>
        <v>8</v>
      </c>
      <c r="AF60">
        <f t="shared" si="17"/>
        <v>0.77777777777777779</v>
      </c>
      <c r="AG60">
        <f>step3_validation[[#This Row],[AI_TRU4]]</f>
        <v>7</v>
      </c>
      <c r="AH60">
        <f t="shared" si="18"/>
        <v>0.66666666666666663</v>
      </c>
      <c r="AI60">
        <f>survey_responses[[#This Row],[Tôi thấy Nhà nước đã giải thích rõ ràng, minh bạch về lý do và mục tiêu của việc sửa đổi thuế lần này. - HUMAN-TRU4]]</f>
        <v>6</v>
      </c>
      <c r="AJ60">
        <f t="shared" si="19"/>
        <v>0.55555555555555558</v>
      </c>
      <c r="AK60" s="32">
        <f t="shared" si="20"/>
        <v>0.66666666666666663</v>
      </c>
      <c r="AL60" s="32">
        <f t="shared" si="21"/>
        <v>0.69444444444444442</v>
      </c>
      <c r="AM60" s="7">
        <f t="shared" si="22"/>
        <v>0.70370370370370372</v>
      </c>
      <c r="AN60" s="7">
        <f t="shared" si="23"/>
        <v>0.78703703703703687</v>
      </c>
      <c r="AO60">
        <f>step3_validation[[#This Row],[AI_OUT1]]</f>
        <v>8</v>
      </c>
      <c r="AP60">
        <f t="shared" si="24"/>
        <v>0.77777777777777779</v>
      </c>
      <c r="AQ60">
        <f>survey_responses[[#This Row],[Sau khi xem xét các quyền lợi và nghĩa vụ, bạn có ủng hộ và tuân thủ chính sách mới hiện nay? - HUMAN-OUT1]]</f>
        <v>5</v>
      </c>
      <c r="AR60">
        <f t="shared" si="25"/>
        <v>0.44444444444444442</v>
      </c>
      <c r="AS60" s="32">
        <f t="shared" si="26"/>
        <v>3</v>
      </c>
      <c r="AT60">
        <f t="shared" si="27"/>
        <v>0</v>
      </c>
    </row>
    <row r="61" spans="1:46" x14ac:dyDescent="0.45">
      <c r="A61">
        <f>step3_validation[[#This Row],[AI_ENF1]]</f>
        <v>8</v>
      </c>
      <c r="B61">
        <f t="shared" si="0"/>
        <v>0.77777777777777779</v>
      </c>
      <c r="C61">
        <f>survey_responses[[#This Row],[Tôi tin rằng với các quy định quản lý thuế hiện nay, hành vi gian lận hoặc trốn thuế sẽ dễ dàng bị phát hiện và xử lý nghiêm. - HUMAN-ENF1]]</f>
        <v>5</v>
      </c>
      <c r="D61">
        <f t="shared" si="1"/>
        <v>0.44444444444444442</v>
      </c>
      <c r="E61">
        <f>step3_validation[[#This Row],[AI_ENF2]]</f>
        <v>7</v>
      </c>
      <c r="F61">
        <f t="shared" si="2"/>
        <v>0.66666666666666663</v>
      </c>
      <c r="G61">
        <f>survey_responses[[#This Row],[Tôi tin rằng Nhà nước, cơ quan thuế có đủ khả năng và công nghệ để phát hiện, xử lý nghiêm các hành vi trốn thuế. - HUMAN-ENF2]]</f>
        <v>5</v>
      </c>
      <c r="H61">
        <f t="shared" si="3"/>
        <v>0.44444444444444442</v>
      </c>
      <c r="I61" s="32">
        <f t="shared" si="4"/>
        <v>0.72222222222222221</v>
      </c>
      <c r="J61" s="32">
        <f t="shared" si="5"/>
        <v>0.44444444444444442</v>
      </c>
      <c r="K61">
        <f>step3_validation[[#This Row],[AI_FAC1]]</f>
        <v>9</v>
      </c>
      <c r="L61">
        <f t="shared" si="6"/>
        <v>0.88888888888888884</v>
      </c>
      <c r="M61">
        <f>survey_responses[[#This Row],[Các thủ tục khai báo thuế VÀ/HOẶC quy trình làm việc với cơ quan thuế đơn giản, tiện lợi, nhanh chóng hơn so với trước đây. - HUMAN-FAC1]]</f>
        <v>5</v>
      </c>
      <c r="N61">
        <f t="shared" si="7"/>
        <v>0.44444444444444442</v>
      </c>
      <c r="O61">
        <f>step3_validation[[#This Row],[AI_FAC2]]</f>
        <v>8</v>
      </c>
      <c r="P61">
        <f t="shared" si="8"/>
        <v>0.77777777777777779</v>
      </c>
      <c r="Q61">
        <f>survey_responses[[#This Row],[So với trước đây, tôi thấy cách tính thuế và các bậc thuế trong phương án mới đơn giản, dễ hiểu và dễ thực hiện hơn. - HUMAN-FAC2]]</f>
        <v>5</v>
      </c>
      <c r="R61">
        <f t="shared" si="9"/>
        <v>0.44444444444444442</v>
      </c>
      <c r="S61" s="32">
        <f t="shared" si="10"/>
        <v>0.83333333333333326</v>
      </c>
      <c r="T61" s="32">
        <f t="shared" si="11"/>
        <v>0.44444444444444442</v>
      </c>
      <c r="U61">
        <f>step3_validation[[#This Row],[AI_TRU1]]</f>
        <v>9</v>
      </c>
      <c r="V61">
        <f t="shared" si="12"/>
        <v>0.88888888888888884</v>
      </c>
      <c r="W61">
        <f>survey_responses[[#This Row],[Tôi tin rằng Nhà nước, cơ quan thuế sẽ thực thi chính sách mới một cách khách quan, công tâm và đối xử bình đẳng với mọi người nộp thuế.  - HUMAN-TRU1]]</f>
        <v>5</v>
      </c>
      <c r="X61">
        <f t="shared" si="13"/>
        <v>0.44444444444444442</v>
      </c>
      <c r="Y61">
        <f>step3_validation[[#This Row],[AI_TRU2]]</f>
        <v>7</v>
      </c>
      <c r="Z61">
        <f t="shared" si="14"/>
        <v>0.66666666666666663</v>
      </c>
      <c r="AA61">
        <f>survey_responses[[#This Row],[Tôi thấy mức thuế tôi phải đóng theo phương án mới là công bằng (người thu nhập như tôi đóng mức này là hợp lý). - HUMAN-TRU2]]</f>
        <v>8</v>
      </c>
      <c r="AB61">
        <f t="shared" si="15"/>
        <v>0.77777777777777779</v>
      </c>
      <c r="AC61">
        <f>step3_validation[[#This Row],[AI_TRU3]]</f>
        <v>6</v>
      </c>
      <c r="AD61">
        <f t="shared" si="16"/>
        <v>0.55555555555555558</v>
      </c>
      <c r="AE61">
        <f>survey_responses[[#This Row],[Tôi tin tưởng số tiền thuế tôi đóng sẽ được Nhà nước sử dụng hiệu quả để cải thiện dịch vụ công (y tế, đường xá...). - HUMAN-TRU3]]</f>
        <v>4</v>
      </c>
      <c r="AF61">
        <f t="shared" si="17"/>
        <v>0.33333333333333331</v>
      </c>
      <c r="AG61">
        <f>step3_validation[[#This Row],[AI_TRU4]]</f>
        <v>7</v>
      </c>
      <c r="AH61">
        <f t="shared" si="18"/>
        <v>0.66666666666666663</v>
      </c>
      <c r="AI61">
        <f>survey_responses[[#This Row],[Tôi thấy Nhà nước đã giải thích rõ ràng, minh bạch về lý do và mục tiêu của việc sửa đổi thuế lần này. - HUMAN-TRU4]]</f>
        <v>5</v>
      </c>
      <c r="AJ61">
        <f t="shared" si="19"/>
        <v>0.44444444444444442</v>
      </c>
      <c r="AK61" s="32">
        <f t="shared" si="20"/>
        <v>0.69444444444444431</v>
      </c>
      <c r="AL61" s="32">
        <f t="shared" si="21"/>
        <v>0.5</v>
      </c>
      <c r="AM61" s="7">
        <f t="shared" si="22"/>
        <v>0.74999999999999989</v>
      </c>
      <c r="AN61" s="7">
        <f t="shared" si="23"/>
        <v>0.46296296296296297</v>
      </c>
      <c r="AO61">
        <f>step3_validation[[#This Row],[AI_OUT1]]</f>
        <v>8</v>
      </c>
      <c r="AP61">
        <f t="shared" si="24"/>
        <v>0.77777777777777779</v>
      </c>
      <c r="AQ61">
        <f>survey_responses[[#This Row],[Sau khi xem xét các quyền lợi và nghĩa vụ, bạn có ủng hộ và tuân thủ chính sách mới hiện nay? - HUMAN-OUT1]]</f>
        <v>5</v>
      </c>
      <c r="AR61">
        <f t="shared" si="25"/>
        <v>0.44444444444444442</v>
      </c>
      <c r="AS61" s="32">
        <f t="shared" si="26"/>
        <v>3</v>
      </c>
      <c r="AT61">
        <f t="shared" si="27"/>
        <v>0</v>
      </c>
    </row>
    <row r="62" spans="1:46" x14ac:dyDescent="0.45">
      <c r="A62">
        <f>step3_validation[[#This Row],[AI_ENF1]]</f>
        <v>6</v>
      </c>
      <c r="B62">
        <f t="shared" si="0"/>
        <v>0.55555555555555558</v>
      </c>
      <c r="C62">
        <f>survey_responses[[#This Row],[Tôi tin rằng với các quy định quản lý thuế hiện nay, hành vi gian lận hoặc trốn thuế sẽ dễ dàng bị phát hiện và xử lý nghiêm. - HUMAN-ENF1]]</f>
        <v>8</v>
      </c>
      <c r="D62">
        <f t="shared" si="1"/>
        <v>0.77777777777777779</v>
      </c>
      <c r="E62">
        <f>step3_validation[[#This Row],[AI_ENF2]]</f>
        <v>5</v>
      </c>
      <c r="F62">
        <f t="shared" si="2"/>
        <v>0.44444444444444442</v>
      </c>
      <c r="G62">
        <f>survey_responses[[#This Row],[Tôi tin rằng Nhà nước, cơ quan thuế có đủ khả năng và công nghệ để phát hiện, xử lý nghiêm các hành vi trốn thuế. - HUMAN-ENF2]]</f>
        <v>9</v>
      </c>
      <c r="H62">
        <f t="shared" si="3"/>
        <v>0.88888888888888884</v>
      </c>
      <c r="I62" s="32">
        <f t="shared" si="4"/>
        <v>0.5</v>
      </c>
      <c r="J62" s="32">
        <f t="shared" si="5"/>
        <v>0.83333333333333326</v>
      </c>
      <c r="K62">
        <f>step3_validation[[#This Row],[AI_FAC1]]</f>
        <v>7</v>
      </c>
      <c r="L62">
        <f t="shared" si="6"/>
        <v>0.66666666666666663</v>
      </c>
      <c r="M62">
        <f>survey_responses[[#This Row],[Các thủ tục khai báo thuế VÀ/HOẶC quy trình làm việc với cơ quan thuế đơn giản, tiện lợi, nhanh chóng hơn so với trước đây. - HUMAN-FAC1]]</f>
        <v>9</v>
      </c>
      <c r="N62">
        <f t="shared" si="7"/>
        <v>0.88888888888888884</v>
      </c>
      <c r="O62">
        <f>step3_validation[[#This Row],[AI_FAC2]]</f>
        <v>8</v>
      </c>
      <c r="P62">
        <f t="shared" si="8"/>
        <v>0.77777777777777779</v>
      </c>
      <c r="Q62">
        <f>survey_responses[[#This Row],[So với trước đây, tôi thấy cách tính thuế và các bậc thuế trong phương án mới đơn giản, dễ hiểu và dễ thực hiện hơn. - HUMAN-FAC2]]</f>
        <v>9</v>
      </c>
      <c r="R62">
        <f t="shared" si="9"/>
        <v>0.88888888888888884</v>
      </c>
      <c r="S62" s="32">
        <f t="shared" si="10"/>
        <v>0.72222222222222221</v>
      </c>
      <c r="T62" s="32">
        <f t="shared" si="11"/>
        <v>0.88888888888888884</v>
      </c>
      <c r="U62">
        <f>step3_validation[[#This Row],[AI_TRU1]]</f>
        <v>6</v>
      </c>
      <c r="V62">
        <f t="shared" si="12"/>
        <v>0.55555555555555558</v>
      </c>
      <c r="W62">
        <f>survey_responses[[#This Row],[Tôi tin rằng Nhà nước, cơ quan thuế sẽ thực thi chính sách mới một cách khách quan, công tâm và đối xử bình đẳng với mọi người nộp thuế.  - HUMAN-TRU1]]</f>
        <v>9</v>
      </c>
      <c r="X62">
        <f t="shared" si="13"/>
        <v>0.88888888888888884</v>
      </c>
      <c r="Y62">
        <f>step3_validation[[#This Row],[AI_TRU2]]</f>
        <v>7</v>
      </c>
      <c r="Z62">
        <f t="shared" si="14"/>
        <v>0.66666666666666663</v>
      </c>
      <c r="AA62">
        <f>survey_responses[[#This Row],[Tôi thấy mức thuế tôi phải đóng theo phương án mới là công bằng (người thu nhập như tôi đóng mức này là hợp lý). - HUMAN-TRU2]]</f>
        <v>8</v>
      </c>
      <c r="AB62">
        <f t="shared" si="15"/>
        <v>0.77777777777777779</v>
      </c>
      <c r="AC62">
        <f>step3_validation[[#This Row],[AI_TRU3]]</f>
        <v>6</v>
      </c>
      <c r="AD62">
        <f t="shared" si="16"/>
        <v>0.55555555555555558</v>
      </c>
      <c r="AE62">
        <f>survey_responses[[#This Row],[Tôi tin tưởng số tiền thuế tôi đóng sẽ được Nhà nước sử dụng hiệu quả để cải thiện dịch vụ công (y tế, đường xá...). - HUMAN-TRU3]]</f>
        <v>8</v>
      </c>
      <c r="AF62">
        <f t="shared" si="17"/>
        <v>0.77777777777777779</v>
      </c>
      <c r="AG62">
        <f>step3_validation[[#This Row],[AI_TRU4]]</f>
        <v>7</v>
      </c>
      <c r="AH62">
        <f t="shared" si="18"/>
        <v>0.66666666666666663</v>
      </c>
      <c r="AI62">
        <f>survey_responses[[#This Row],[Tôi thấy Nhà nước đã giải thích rõ ràng, minh bạch về lý do và mục tiêu của việc sửa đổi thuế lần này. - HUMAN-TRU4]]</f>
        <v>8</v>
      </c>
      <c r="AJ62">
        <f t="shared" si="19"/>
        <v>0.77777777777777779</v>
      </c>
      <c r="AK62" s="32">
        <f t="shared" si="20"/>
        <v>0.61111111111111116</v>
      </c>
      <c r="AL62" s="32">
        <f t="shared" si="21"/>
        <v>0.80555555555555547</v>
      </c>
      <c r="AM62" s="7">
        <f t="shared" si="22"/>
        <v>0.61111111111111116</v>
      </c>
      <c r="AN62" s="7">
        <f t="shared" si="23"/>
        <v>0.84259259259259256</v>
      </c>
      <c r="AO62">
        <f>step3_validation[[#This Row],[AI_OUT1]]</f>
        <v>8</v>
      </c>
      <c r="AP62">
        <f t="shared" si="24"/>
        <v>0.77777777777777779</v>
      </c>
      <c r="AQ62">
        <f>survey_responses[[#This Row],[Sau khi xem xét các quyền lợi và nghĩa vụ, bạn có ủng hộ và tuân thủ chính sách mới hiện nay? - HUMAN-OUT1]]</f>
        <v>9</v>
      </c>
      <c r="AR62">
        <f t="shared" si="25"/>
        <v>0.88888888888888884</v>
      </c>
      <c r="AS62" s="32">
        <f t="shared" si="26"/>
        <v>1</v>
      </c>
      <c r="AT62">
        <f t="shared" si="27"/>
        <v>1</v>
      </c>
    </row>
    <row r="63" spans="1:46" x14ac:dyDescent="0.45">
      <c r="A63">
        <f>step3_validation[[#This Row],[AI_ENF1]]</f>
        <v>7</v>
      </c>
      <c r="B63">
        <f t="shared" si="0"/>
        <v>0.66666666666666663</v>
      </c>
      <c r="C63">
        <f>survey_responses[[#This Row],[Tôi tin rằng với các quy định quản lý thuế hiện nay, hành vi gian lận hoặc trốn thuế sẽ dễ dàng bị phát hiện và xử lý nghiêm. - HUMAN-ENF1]]</f>
        <v>9</v>
      </c>
      <c r="D63">
        <f t="shared" si="1"/>
        <v>0.88888888888888884</v>
      </c>
      <c r="E63">
        <f>step3_validation[[#This Row],[AI_ENF2]]</f>
        <v>7</v>
      </c>
      <c r="F63">
        <f t="shared" si="2"/>
        <v>0.66666666666666663</v>
      </c>
      <c r="G63">
        <f>survey_responses[[#This Row],[Tôi tin rằng Nhà nước, cơ quan thuế có đủ khả năng và công nghệ để phát hiện, xử lý nghiêm các hành vi trốn thuế. - HUMAN-ENF2]]</f>
        <v>9</v>
      </c>
      <c r="H63">
        <f t="shared" si="3"/>
        <v>0.88888888888888884</v>
      </c>
      <c r="I63" s="32">
        <f t="shared" si="4"/>
        <v>0.66666666666666663</v>
      </c>
      <c r="J63" s="32">
        <f t="shared" si="5"/>
        <v>0.88888888888888884</v>
      </c>
      <c r="K63">
        <f>step3_validation[[#This Row],[AI_FAC1]]</f>
        <v>8</v>
      </c>
      <c r="L63">
        <f t="shared" si="6"/>
        <v>0.77777777777777779</v>
      </c>
      <c r="M63">
        <f>survey_responses[[#This Row],[Các thủ tục khai báo thuế VÀ/HOẶC quy trình làm việc với cơ quan thuế đơn giản, tiện lợi, nhanh chóng hơn so với trước đây. - HUMAN-FAC1]]</f>
        <v>7</v>
      </c>
      <c r="N63">
        <f t="shared" si="7"/>
        <v>0.66666666666666663</v>
      </c>
      <c r="O63">
        <f>step3_validation[[#This Row],[AI_FAC2]]</f>
        <v>9</v>
      </c>
      <c r="P63">
        <f t="shared" si="8"/>
        <v>0.88888888888888884</v>
      </c>
      <c r="Q63">
        <f>survey_responses[[#This Row],[So với trước đây, tôi thấy cách tính thuế và các bậc thuế trong phương án mới đơn giản, dễ hiểu và dễ thực hiện hơn. - HUMAN-FAC2]]</f>
        <v>6</v>
      </c>
      <c r="R63">
        <f t="shared" si="9"/>
        <v>0.55555555555555558</v>
      </c>
      <c r="S63" s="32">
        <f t="shared" si="10"/>
        <v>0.83333333333333326</v>
      </c>
      <c r="T63" s="32">
        <f t="shared" si="11"/>
        <v>0.61111111111111116</v>
      </c>
      <c r="U63">
        <f>step3_validation[[#This Row],[AI_TRU1]]</f>
        <v>7</v>
      </c>
      <c r="V63">
        <f t="shared" si="12"/>
        <v>0.66666666666666663</v>
      </c>
      <c r="W63">
        <f>survey_responses[[#This Row],[Tôi tin rằng Nhà nước, cơ quan thuế sẽ thực thi chính sách mới một cách khách quan, công tâm và đối xử bình đẳng với mọi người nộp thuế.  - HUMAN-TRU1]]</f>
        <v>7</v>
      </c>
      <c r="X63">
        <f t="shared" si="13"/>
        <v>0.66666666666666663</v>
      </c>
      <c r="Y63">
        <f>step3_validation[[#This Row],[AI_TRU2]]</f>
        <v>7</v>
      </c>
      <c r="Z63">
        <f t="shared" si="14"/>
        <v>0.66666666666666663</v>
      </c>
      <c r="AA63">
        <f>survey_responses[[#This Row],[Tôi thấy mức thuế tôi phải đóng theo phương án mới là công bằng (người thu nhập như tôi đóng mức này là hợp lý). - HUMAN-TRU2]]</f>
        <v>5</v>
      </c>
      <c r="AB63">
        <f t="shared" si="15"/>
        <v>0.44444444444444442</v>
      </c>
      <c r="AC63">
        <f>step3_validation[[#This Row],[AI_TRU3]]</f>
        <v>7</v>
      </c>
      <c r="AD63">
        <f t="shared" si="16"/>
        <v>0.66666666666666663</v>
      </c>
      <c r="AE63">
        <f>survey_responses[[#This Row],[Tôi tin tưởng số tiền thuế tôi đóng sẽ được Nhà nước sử dụng hiệu quả để cải thiện dịch vụ công (y tế, đường xá...). - HUMAN-TRU3]]</f>
        <v>6</v>
      </c>
      <c r="AF63">
        <f t="shared" si="17"/>
        <v>0.55555555555555558</v>
      </c>
      <c r="AG63">
        <f>step3_validation[[#This Row],[AI_TRU4]]</f>
        <v>6</v>
      </c>
      <c r="AH63">
        <f t="shared" si="18"/>
        <v>0.55555555555555558</v>
      </c>
      <c r="AI63">
        <f>survey_responses[[#This Row],[Tôi thấy Nhà nước đã giải thích rõ ràng, minh bạch về lý do và mục tiêu của việc sửa đổi thuế lần này. - HUMAN-TRU4]]</f>
        <v>8</v>
      </c>
      <c r="AJ63">
        <f t="shared" si="19"/>
        <v>0.77777777777777779</v>
      </c>
      <c r="AK63" s="32">
        <f t="shared" si="20"/>
        <v>0.63888888888888884</v>
      </c>
      <c r="AL63" s="32">
        <f t="shared" si="21"/>
        <v>0.61111111111111116</v>
      </c>
      <c r="AM63" s="7">
        <f t="shared" si="22"/>
        <v>0.71296296296296291</v>
      </c>
      <c r="AN63" s="7">
        <f t="shared" si="23"/>
        <v>0.70370370370370372</v>
      </c>
      <c r="AO63">
        <f>step3_validation[[#This Row],[AI_OUT1]]</f>
        <v>7</v>
      </c>
      <c r="AP63">
        <f t="shared" si="24"/>
        <v>0.66666666666666663</v>
      </c>
      <c r="AQ63">
        <f>survey_responses[[#This Row],[Sau khi xem xét các quyền lợi và nghĩa vụ, bạn có ủng hộ và tuân thủ chính sách mới hiện nay? - HUMAN-OUT1]]</f>
        <v>5</v>
      </c>
      <c r="AR63">
        <f t="shared" si="25"/>
        <v>0.44444444444444442</v>
      </c>
      <c r="AS63" s="32">
        <f t="shared" si="26"/>
        <v>2</v>
      </c>
      <c r="AT63">
        <f t="shared" si="27"/>
        <v>0</v>
      </c>
    </row>
    <row r="64" spans="1:46" x14ac:dyDescent="0.45">
      <c r="A64">
        <f>step3_validation[[#This Row],[AI_ENF1]]</f>
        <v>6</v>
      </c>
      <c r="B64">
        <f t="shared" si="0"/>
        <v>0.55555555555555558</v>
      </c>
      <c r="C64">
        <f>survey_responses[[#This Row],[Tôi tin rằng với các quy định quản lý thuế hiện nay, hành vi gian lận hoặc trốn thuế sẽ dễ dàng bị phát hiện và xử lý nghiêm. - HUMAN-ENF1]]</f>
        <v>9</v>
      </c>
      <c r="D64">
        <f t="shared" si="1"/>
        <v>0.88888888888888884</v>
      </c>
      <c r="E64">
        <f>step3_validation[[#This Row],[AI_ENF2]]</f>
        <v>7</v>
      </c>
      <c r="F64">
        <f t="shared" si="2"/>
        <v>0.66666666666666663</v>
      </c>
      <c r="G64">
        <f>survey_responses[[#This Row],[Tôi tin rằng Nhà nước, cơ quan thuế có đủ khả năng và công nghệ để phát hiện, xử lý nghiêm các hành vi trốn thuế. - HUMAN-ENF2]]</f>
        <v>9</v>
      </c>
      <c r="H64">
        <f t="shared" si="3"/>
        <v>0.88888888888888884</v>
      </c>
      <c r="I64" s="32">
        <f t="shared" si="4"/>
        <v>0.61111111111111116</v>
      </c>
      <c r="J64" s="32">
        <f t="shared" si="5"/>
        <v>0.88888888888888884</v>
      </c>
      <c r="K64">
        <f>step3_validation[[#This Row],[AI_FAC1]]</f>
        <v>8</v>
      </c>
      <c r="L64">
        <f t="shared" si="6"/>
        <v>0.77777777777777779</v>
      </c>
      <c r="M64">
        <f>survey_responses[[#This Row],[Các thủ tục khai báo thuế VÀ/HOẶC quy trình làm việc với cơ quan thuế đơn giản, tiện lợi, nhanh chóng hơn so với trước đây. - HUMAN-FAC1]]</f>
        <v>9</v>
      </c>
      <c r="N64">
        <f t="shared" si="7"/>
        <v>0.88888888888888884</v>
      </c>
      <c r="O64">
        <f>step3_validation[[#This Row],[AI_FAC2]]</f>
        <v>9</v>
      </c>
      <c r="P64">
        <f t="shared" si="8"/>
        <v>0.88888888888888884</v>
      </c>
      <c r="Q64">
        <f>survey_responses[[#This Row],[So với trước đây, tôi thấy cách tính thuế và các bậc thuế trong phương án mới đơn giản, dễ hiểu và dễ thực hiện hơn. - HUMAN-FAC2]]</f>
        <v>9</v>
      </c>
      <c r="R64">
        <f t="shared" si="9"/>
        <v>0.88888888888888884</v>
      </c>
      <c r="S64" s="32">
        <f t="shared" si="10"/>
        <v>0.83333333333333326</v>
      </c>
      <c r="T64" s="32">
        <f t="shared" si="11"/>
        <v>0.88888888888888884</v>
      </c>
      <c r="U64">
        <f>step3_validation[[#This Row],[AI_TRU1]]</f>
        <v>5</v>
      </c>
      <c r="V64">
        <f t="shared" si="12"/>
        <v>0.44444444444444442</v>
      </c>
      <c r="W64">
        <f>survey_responses[[#This Row],[Tôi tin rằng Nhà nước, cơ quan thuế sẽ thực thi chính sách mới một cách khách quan, công tâm và đối xử bình đẳng với mọi người nộp thuế.  - HUMAN-TRU1]]</f>
        <v>8</v>
      </c>
      <c r="X64">
        <f t="shared" si="13"/>
        <v>0.77777777777777779</v>
      </c>
      <c r="Y64">
        <f>step3_validation[[#This Row],[AI_TRU2]]</f>
        <v>6</v>
      </c>
      <c r="Z64">
        <f t="shared" si="14"/>
        <v>0.55555555555555558</v>
      </c>
      <c r="AA64">
        <f>survey_responses[[#This Row],[Tôi thấy mức thuế tôi phải đóng theo phương án mới là công bằng (người thu nhập như tôi đóng mức này là hợp lý). - HUMAN-TRU2]]</f>
        <v>9</v>
      </c>
      <c r="AB64">
        <f t="shared" si="15"/>
        <v>0.88888888888888884</v>
      </c>
      <c r="AC64">
        <f>step3_validation[[#This Row],[AI_TRU3]]</f>
        <v>4</v>
      </c>
      <c r="AD64">
        <f t="shared" si="16"/>
        <v>0.33333333333333331</v>
      </c>
      <c r="AE64">
        <f>survey_responses[[#This Row],[Tôi tin tưởng số tiền thuế tôi đóng sẽ được Nhà nước sử dụng hiệu quả để cải thiện dịch vụ công (y tế, đường xá...). - HUMAN-TRU3]]</f>
        <v>9</v>
      </c>
      <c r="AF64">
        <f t="shared" si="17"/>
        <v>0.88888888888888884</v>
      </c>
      <c r="AG64">
        <f>step3_validation[[#This Row],[AI_TRU4]]</f>
        <v>5</v>
      </c>
      <c r="AH64">
        <f t="shared" si="18"/>
        <v>0.44444444444444442</v>
      </c>
      <c r="AI64">
        <f>survey_responses[[#This Row],[Tôi thấy Nhà nước đã giải thích rõ ràng, minh bạch về lý do và mục tiêu của việc sửa đổi thuế lần này. - HUMAN-TRU4]]</f>
        <v>8</v>
      </c>
      <c r="AJ64">
        <f t="shared" si="19"/>
        <v>0.77777777777777779</v>
      </c>
      <c r="AK64" s="32">
        <f t="shared" si="20"/>
        <v>0.44444444444444442</v>
      </c>
      <c r="AL64" s="32">
        <f t="shared" si="21"/>
        <v>0.83333333333333326</v>
      </c>
      <c r="AM64" s="7">
        <f t="shared" si="22"/>
        <v>0.62962962962962965</v>
      </c>
      <c r="AN64" s="7">
        <f t="shared" si="23"/>
        <v>0.87037037037037024</v>
      </c>
      <c r="AO64">
        <f>step3_validation[[#This Row],[AI_OUT1]]</f>
        <v>6</v>
      </c>
      <c r="AP64">
        <f t="shared" si="24"/>
        <v>0.55555555555555558</v>
      </c>
      <c r="AQ64">
        <f>survey_responses[[#This Row],[Sau khi xem xét các quyền lợi và nghĩa vụ, bạn có ủng hộ và tuân thủ chính sách mới hiện nay? - HUMAN-OUT1]]</f>
        <v>7</v>
      </c>
      <c r="AR64">
        <f t="shared" si="25"/>
        <v>0.66666666666666663</v>
      </c>
      <c r="AS64" s="32">
        <f t="shared" si="26"/>
        <v>1</v>
      </c>
      <c r="AT64">
        <f t="shared" si="27"/>
        <v>1</v>
      </c>
    </row>
    <row r="65" spans="1:46" x14ac:dyDescent="0.45">
      <c r="A65">
        <f>step3_validation[[#This Row],[AI_ENF1]]</f>
        <v>8</v>
      </c>
      <c r="B65">
        <f t="shared" si="0"/>
        <v>0.77777777777777779</v>
      </c>
      <c r="C65">
        <f>survey_responses[[#This Row],[Tôi tin rằng với các quy định quản lý thuế hiện nay, hành vi gian lận hoặc trốn thuế sẽ dễ dàng bị phát hiện và xử lý nghiêm. - HUMAN-ENF1]]</f>
        <v>9</v>
      </c>
      <c r="D65">
        <f t="shared" si="1"/>
        <v>0.88888888888888884</v>
      </c>
      <c r="E65">
        <f>step3_validation[[#This Row],[AI_ENF2]]</f>
        <v>7</v>
      </c>
      <c r="F65">
        <f t="shared" si="2"/>
        <v>0.66666666666666663</v>
      </c>
      <c r="G65">
        <f>survey_responses[[#This Row],[Tôi tin rằng Nhà nước, cơ quan thuế có đủ khả năng và công nghệ để phát hiện, xử lý nghiêm các hành vi trốn thuế. - HUMAN-ENF2]]</f>
        <v>10</v>
      </c>
      <c r="H65">
        <f t="shared" si="3"/>
        <v>1</v>
      </c>
      <c r="I65" s="32">
        <f t="shared" si="4"/>
        <v>0.72222222222222221</v>
      </c>
      <c r="J65" s="32">
        <f t="shared" si="5"/>
        <v>0.94444444444444442</v>
      </c>
      <c r="K65">
        <f>step3_validation[[#This Row],[AI_FAC1]]</f>
        <v>9</v>
      </c>
      <c r="L65">
        <f t="shared" si="6"/>
        <v>0.88888888888888884</v>
      </c>
      <c r="M65">
        <f>survey_responses[[#This Row],[Các thủ tục khai báo thuế VÀ/HOẶC quy trình làm việc với cơ quan thuế đơn giản, tiện lợi, nhanh chóng hơn so với trước đây. - HUMAN-FAC1]]</f>
        <v>9</v>
      </c>
      <c r="N65">
        <f t="shared" si="7"/>
        <v>0.88888888888888884</v>
      </c>
      <c r="O65">
        <f>step3_validation[[#This Row],[AI_FAC2]]</f>
        <v>8</v>
      </c>
      <c r="P65">
        <f t="shared" si="8"/>
        <v>0.77777777777777779</v>
      </c>
      <c r="Q65">
        <f>survey_responses[[#This Row],[So với trước đây, tôi thấy cách tính thuế và các bậc thuế trong phương án mới đơn giản, dễ hiểu và dễ thực hiện hơn. - HUMAN-FAC2]]</f>
        <v>10</v>
      </c>
      <c r="R65">
        <f t="shared" si="9"/>
        <v>1</v>
      </c>
      <c r="S65" s="32">
        <f t="shared" si="10"/>
        <v>0.83333333333333326</v>
      </c>
      <c r="T65" s="32">
        <f t="shared" si="11"/>
        <v>0.94444444444444442</v>
      </c>
      <c r="U65">
        <f>step3_validation[[#This Row],[AI_TRU1]]</f>
        <v>7</v>
      </c>
      <c r="V65">
        <f t="shared" si="12"/>
        <v>0.66666666666666663</v>
      </c>
      <c r="W65">
        <f>survey_responses[[#This Row],[Tôi tin rằng Nhà nước, cơ quan thuế sẽ thực thi chính sách mới một cách khách quan, công tâm và đối xử bình đẳng với mọi người nộp thuế.  - HUMAN-TRU1]]</f>
        <v>10</v>
      </c>
      <c r="X65">
        <f t="shared" si="13"/>
        <v>1</v>
      </c>
      <c r="Y65">
        <f>step3_validation[[#This Row],[AI_TRU2]]</f>
        <v>7</v>
      </c>
      <c r="Z65">
        <f t="shared" si="14"/>
        <v>0.66666666666666663</v>
      </c>
      <c r="AA65">
        <f>survey_responses[[#This Row],[Tôi thấy mức thuế tôi phải đóng theo phương án mới là công bằng (người thu nhập như tôi đóng mức này là hợp lý). - HUMAN-TRU2]]</f>
        <v>5</v>
      </c>
      <c r="AB65">
        <f t="shared" si="15"/>
        <v>0.44444444444444442</v>
      </c>
      <c r="AC65">
        <f>step3_validation[[#This Row],[AI_TRU3]]</f>
        <v>7</v>
      </c>
      <c r="AD65">
        <f t="shared" si="16"/>
        <v>0.66666666666666663</v>
      </c>
      <c r="AE65">
        <f>survey_responses[[#This Row],[Tôi tin tưởng số tiền thuế tôi đóng sẽ được Nhà nước sử dụng hiệu quả để cải thiện dịch vụ công (y tế, đường xá...). - HUMAN-TRU3]]</f>
        <v>10</v>
      </c>
      <c r="AF65">
        <f t="shared" si="17"/>
        <v>1</v>
      </c>
      <c r="AG65">
        <f>step3_validation[[#This Row],[AI_TRU4]]</f>
        <v>7</v>
      </c>
      <c r="AH65">
        <f t="shared" si="18"/>
        <v>0.66666666666666663</v>
      </c>
      <c r="AI65">
        <f>survey_responses[[#This Row],[Tôi thấy Nhà nước đã giải thích rõ ràng, minh bạch về lý do và mục tiêu của việc sửa đổi thuế lần này. - HUMAN-TRU4]]</f>
        <v>7</v>
      </c>
      <c r="AJ65">
        <f t="shared" si="19"/>
        <v>0.66666666666666663</v>
      </c>
      <c r="AK65" s="32">
        <f t="shared" si="20"/>
        <v>0.66666666666666663</v>
      </c>
      <c r="AL65" s="32">
        <f t="shared" si="21"/>
        <v>0.77777777777777779</v>
      </c>
      <c r="AM65" s="7">
        <f t="shared" si="22"/>
        <v>0.74074074074074059</v>
      </c>
      <c r="AN65" s="7">
        <f t="shared" si="23"/>
        <v>0.88888888888888884</v>
      </c>
      <c r="AO65">
        <f>step3_validation[[#This Row],[AI_OUT1]]</f>
        <v>6</v>
      </c>
      <c r="AP65">
        <f t="shared" si="24"/>
        <v>0.55555555555555558</v>
      </c>
      <c r="AQ65">
        <f>survey_responses[[#This Row],[Sau khi xem xét các quyền lợi và nghĩa vụ, bạn có ủng hộ và tuân thủ chính sách mới hiện nay? - HUMAN-OUT1]]</f>
        <v>9</v>
      </c>
      <c r="AR65">
        <f t="shared" si="25"/>
        <v>0.88888888888888884</v>
      </c>
      <c r="AS65" s="32">
        <f t="shared" si="26"/>
        <v>3</v>
      </c>
      <c r="AT65">
        <f t="shared" si="27"/>
        <v>1</v>
      </c>
    </row>
    <row r="66" spans="1:46" x14ac:dyDescent="0.45">
      <c r="A66">
        <f>step3_validation[[#This Row],[AI_ENF1]]</f>
        <v>7</v>
      </c>
      <c r="B66">
        <f t="shared" si="0"/>
        <v>0.66666666666666663</v>
      </c>
      <c r="C66">
        <f>survey_responses[[#This Row],[Tôi tin rằng với các quy định quản lý thuế hiện nay, hành vi gian lận hoặc trốn thuế sẽ dễ dàng bị phát hiện và xử lý nghiêm. - HUMAN-ENF1]]</f>
        <v>10</v>
      </c>
      <c r="D66">
        <f t="shared" si="1"/>
        <v>1</v>
      </c>
      <c r="E66">
        <f>step3_validation[[#This Row],[AI_ENF2]]</f>
        <v>8</v>
      </c>
      <c r="F66">
        <f t="shared" si="2"/>
        <v>0.77777777777777779</v>
      </c>
      <c r="G66">
        <f>survey_responses[[#This Row],[Tôi tin rằng Nhà nước, cơ quan thuế có đủ khả năng và công nghệ để phát hiện, xử lý nghiêm các hành vi trốn thuế. - HUMAN-ENF2]]</f>
        <v>10</v>
      </c>
      <c r="H66">
        <f t="shared" si="3"/>
        <v>1</v>
      </c>
      <c r="I66" s="32">
        <f t="shared" si="4"/>
        <v>0.72222222222222221</v>
      </c>
      <c r="J66" s="32">
        <f t="shared" si="5"/>
        <v>1</v>
      </c>
      <c r="K66">
        <f>step3_validation[[#This Row],[AI_FAC1]]</f>
        <v>7</v>
      </c>
      <c r="L66">
        <f t="shared" si="6"/>
        <v>0.66666666666666663</v>
      </c>
      <c r="M66">
        <f>survey_responses[[#This Row],[Các thủ tục khai báo thuế VÀ/HOẶC quy trình làm việc với cơ quan thuế đơn giản, tiện lợi, nhanh chóng hơn so với trước đây. - HUMAN-FAC1]]</f>
        <v>10</v>
      </c>
      <c r="N66">
        <f t="shared" si="7"/>
        <v>1</v>
      </c>
      <c r="O66">
        <f>step3_validation[[#This Row],[AI_FAC2]]</f>
        <v>8</v>
      </c>
      <c r="P66">
        <f t="shared" si="8"/>
        <v>0.77777777777777779</v>
      </c>
      <c r="Q66">
        <f>survey_responses[[#This Row],[So với trước đây, tôi thấy cách tính thuế và các bậc thuế trong phương án mới đơn giản, dễ hiểu và dễ thực hiện hơn. - HUMAN-FAC2]]</f>
        <v>10</v>
      </c>
      <c r="R66">
        <f t="shared" si="9"/>
        <v>1</v>
      </c>
      <c r="S66" s="32">
        <f t="shared" si="10"/>
        <v>0.72222222222222221</v>
      </c>
      <c r="T66" s="32">
        <f t="shared" si="11"/>
        <v>1</v>
      </c>
      <c r="U66">
        <f>step3_validation[[#This Row],[AI_TRU1]]</f>
        <v>6</v>
      </c>
      <c r="V66">
        <f t="shared" si="12"/>
        <v>0.55555555555555558</v>
      </c>
      <c r="W66">
        <f>survey_responses[[#This Row],[Tôi tin rằng Nhà nước, cơ quan thuế sẽ thực thi chính sách mới một cách khách quan, công tâm và đối xử bình đẳng với mọi người nộp thuế.  - HUMAN-TRU1]]</f>
        <v>10</v>
      </c>
      <c r="X66">
        <f t="shared" si="13"/>
        <v>1</v>
      </c>
      <c r="Y66">
        <f>step3_validation[[#This Row],[AI_TRU2]]</f>
        <v>8</v>
      </c>
      <c r="Z66">
        <f t="shared" si="14"/>
        <v>0.77777777777777779</v>
      </c>
      <c r="AA66">
        <f>survey_responses[[#This Row],[Tôi thấy mức thuế tôi phải đóng theo phương án mới là công bằng (người thu nhập như tôi đóng mức này là hợp lý). - HUMAN-TRU2]]</f>
        <v>10</v>
      </c>
      <c r="AB66">
        <f t="shared" si="15"/>
        <v>1</v>
      </c>
      <c r="AC66">
        <f>step3_validation[[#This Row],[AI_TRU3]]</f>
        <v>7</v>
      </c>
      <c r="AD66">
        <f t="shared" si="16"/>
        <v>0.66666666666666663</v>
      </c>
      <c r="AE66">
        <f>survey_responses[[#This Row],[Tôi tin tưởng số tiền thuế tôi đóng sẽ được Nhà nước sử dụng hiệu quả để cải thiện dịch vụ công (y tế, đường xá...). - HUMAN-TRU3]]</f>
        <v>10</v>
      </c>
      <c r="AF66">
        <f t="shared" si="17"/>
        <v>1</v>
      </c>
      <c r="AG66">
        <f>step3_validation[[#This Row],[AI_TRU4]]</f>
        <v>6</v>
      </c>
      <c r="AH66">
        <f t="shared" si="18"/>
        <v>0.55555555555555558</v>
      </c>
      <c r="AI66">
        <f>survey_responses[[#This Row],[Tôi thấy Nhà nước đã giải thích rõ ràng, minh bạch về lý do và mục tiêu của việc sửa đổi thuế lần này. - HUMAN-TRU4]]</f>
        <v>10</v>
      </c>
      <c r="AJ66">
        <f t="shared" si="19"/>
        <v>1</v>
      </c>
      <c r="AK66" s="32">
        <f t="shared" si="20"/>
        <v>0.63888888888888884</v>
      </c>
      <c r="AL66" s="32">
        <f t="shared" si="21"/>
        <v>1</v>
      </c>
      <c r="AM66" s="7">
        <f t="shared" si="22"/>
        <v>0.69444444444444431</v>
      </c>
      <c r="AN66" s="7">
        <f t="shared" si="23"/>
        <v>1</v>
      </c>
      <c r="AO66">
        <f>step3_validation[[#This Row],[AI_OUT1]]</f>
        <v>8</v>
      </c>
      <c r="AP66">
        <f t="shared" si="24"/>
        <v>0.77777777777777779</v>
      </c>
      <c r="AQ66">
        <f>survey_responses[[#This Row],[Sau khi xem xét các quyền lợi và nghĩa vụ, bạn có ủng hộ và tuân thủ chính sách mới hiện nay? - HUMAN-OUT1]]</f>
        <v>10</v>
      </c>
      <c r="AR66">
        <f t="shared" si="25"/>
        <v>1</v>
      </c>
      <c r="AS66" s="32">
        <f t="shared" si="26"/>
        <v>2</v>
      </c>
      <c r="AT66">
        <f t="shared" si="27"/>
        <v>1</v>
      </c>
    </row>
    <row r="67" spans="1:46" x14ac:dyDescent="0.45">
      <c r="A67">
        <f>step3_validation[[#This Row],[AI_ENF1]]</f>
        <v>8</v>
      </c>
      <c r="B67">
        <f t="shared" ref="B67:B130" si="28">(A67-1)/9</f>
        <v>0.77777777777777779</v>
      </c>
      <c r="C67">
        <f>survey_responses[[#This Row],[Tôi tin rằng với các quy định quản lý thuế hiện nay, hành vi gian lận hoặc trốn thuế sẽ dễ dàng bị phát hiện và xử lý nghiêm. - HUMAN-ENF1]]</f>
        <v>7</v>
      </c>
      <c r="D67">
        <f t="shared" ref="D67:D130" si="29">(C67-1)/9</f>
        <v>0.66666666666666663</v>
      </c>
      <c r="E67">
        <f>step3_validation[[#This Row],[AI_ENF2]]</f>
        <v>7</v>
      </c>
      <c r="F67">
        <f t="shared" ref="F67:F130" si="30">(E67-1)/9</f>
        <v>0.66666666666666663</v>
      </c>
      <c r="G67">
        <f>survey_responses[[#This Row],[Tôi tin rằng Nhà nước, cơ quan thuế có đủ khả năng và công nghệ để phát hiện, xử lý nghiêm các hành vi trốn thuế. - HUMAN-ENF2]]</f>
        <v>5</v>
      </c>
      <c r="H67">
        <f t="shared" ref="H67:H130" si="31">(G67-1)/9</f>
        <v>0.44444444444444442</v>
      </c>
      <c r="I67" s="32">
        <f t="shared" ref="I67:I130" si="32">AVERAGE(B67,F67)</f>
        <v>0.72222222222222221</v>
      </c>
      <c r="J67" s="32">
        <f t="shared" ref="J67:J130" si="33">AVERAGE(D67,H67)</f>
        <v>0.55555555555555558</v>
      </c>
      <c r="K67">
        <f>step3_validation[[#This Row],[AI_FAC1]]</f>
        <v>8</v>
      </c>
      <c r="L67">
        <f t="shared" ref="L67:L130" si="34">(K67-1)/9</f>
        <v>0.77777777777777779</v>
      </c>
      <c r="M67">
        <f>survey_responses[[#This Row],[Các thủ tục khai báo thuế VÀ/HOẶC quy trình làm việc với cơ quan thuế đơn giản, tiện lợi, nhanh chóng hơn so với trước đây. - HUMAN-FAC1]]</f>
        <v>3</v>
      </c>
      <c r="N67">
        <f t="shared" ref="N67:N130" si="35">(M67-1)/9</f>
        <v>0.22222222222222221</v>
      </c>
      <c r="O67">
        <f>step3_validation[[#This Row],[AI_FAC2]]</f>
        <v>9</v>
      </c>
      <c r="P67">
        <f t="shared" ref="P67:P130" si="36">(O67-1)/9</f>
        <v>0.88888888888888884</v>
      </c>
      <c r="Q67">
        <f>survey_responses[[#This Row],[So với trước đây, tôi thấy cách tính thuế và các bậc thuế trong phương án mới đơn giản, dễ hiểu và dễ thực hiện hơn. - HUMAN-FAC2]]</f>
        <v>5</v>
      </c>
      <c r="R67">
        <f t="shared" ref="R67:R130" si="37">(Q67-1)/9</f>
        <v>0.44444444444444442</v>
      </c>
      <c r="S67" s="32">
        <f t="shared" ref="S67:S130" si="38">AVERAGE(L67,P67)</f>
        <v>0.83333333333333326</v>
      </c>
      <c r="T67" s="32">
        <f t="shared" ref="T67:T130" si="39">AVERAGE(N67,R67)</f>
        <v>0.33333333333333331</v>
      </c>
      <c r="U67">
        <f>step3_validation[[#This Row],[AI_TRU1]]</f>
        <v>8</v>
      </c>
      <c r="V67">
        <f t="shared" ref="V67:V130" si="40">(U67-1)/9</f>
        <v>0.77777777777777779</v>
      </c>
      <c r="W67">
        <f>survey_responses[[#This Row],[Tôi tin rằng Nhà nước, cơ quan thuế sẽ thực thi chính sách mới một cách khách quan, công tâm và đối xử bình đẳng với mọi người nộp thuế.  - HUMAN-TRU1]]</f>
        <v>4</v>
      </c>
      <c r="X67">
        <f t="shared" ref="X67:X130" si="41">(W67-1)/9</f>
        <v>0.33333333333333331</v>
      </c>
      <c r="Y67">
        <f>step3_validation[[#This Row],[AI_TRU2]]</f>
        <v>7</v>
      </c>
      <c r="Z67">
        <f t="shared" ref="Z67:Z130" si="42">(Y67-1)/9</f>
        <v>0.66666666666666663</v>
      </c>
      <c r="AA67">
        <f>survey_responses[[#This Row],[Tôi thấy mức thuế tôi phải đóng theo phương án mới là công bằng (người thu nhập như tôi đóng mức này là hợp lý). - HUMAN-TRU2]]</f>
        <v>3</v>
      </c>
      <c r="AB67">
        <f t="shared" ref="AB67:AB130" si="43">(AA67-1)/9</f>
        <v>0.22222222222222221</v>
      </c>
      <c r="AC67">
        <f>step3_validation[[#This Row],[AI_TRU3]]</f>
        <v>8</v>
      </c>
      <c r="AD67">
        <f t="shared" ref="AD67:AD130" si="44">(AC67-1)/9</f>
        <v>0.77777777777777779</v>
      </c>
      <c r="AE67">
        <f>survey_responses[[#This Row],[Tôi tin tưởng số tiền thuế tôi đóng sẽ được Nhà nước sử dụng hiệu quả để cải thiện dịch vụ công (y tế, đường xá...). - HUMAN-TRU3]]</f>
        <v>5</v>
      </c>
      <c r="AF67">
        <f t="shared" ref="AF67:AF130" si="45">(AE67-1)/9</f>
        <v>0.44444444444444442</v>
      </c>
      <c r="AG67">
        <f>step3_validation[[#This Row],[AI_TRU4]]</f>
        <v>7</v>
      </c>
      <c r="AH67">
        <f t="shared" ref="AH67:AH130" si="46">(AG67-1)/9</f>
        <v>0.66666666666666663</v>
      </c>
      <c r="AI67">
        <f>survey_responses[[#This Row],[Tôi thấy Nhà nước đã giải thích rõ ràng, minh bạch về lý do và mục tiêu của việc sửa đổi thuế lần này. - HUMAN-TRU4]]</f>
        <v>6</v>
      </c>
      <c r="AJ67">
        <f t="shared" ref="AJ67:AJ130" si="47">(AI67-1)/9</f>
        <v>0.55555555555555558</v>
      </c>
      <c r="AK67" s="32">
        <f t="shared" ref="AK67:AK130" si="48">AVERAGE(V67,Z67,AD67,AH67)</f>
        <v>0.72222222222222221</v>
      </c>
      <c r="AL67" s="32">
        <f t="shared" ref="AL67:AL130" si="49">AVERAGE(X67,AB67,AF67,AJ67)</f>
        <v>0.3888888888888889</v>
      </c>
      <c r="AM67" s="7">
        <f t="shared" ref="AM67:AM130" si="50">(I67+S67+AK67)/3</f>
        <v>0.75925925925925919</v>
      </c>
      <c r="AN67" s="7">
        <f t="shared" ref="AN67:AN130" si="51">(J67+T67+AL67)/3</f>
        <v>0.42592592592592587</v>
      </c>
      <c r="AO67">
        <f>step3_validation[[#This Row],[AI_OUT1]]</f>
        <v>8</v>
      </c>
      <c r="AP67">
        <f t="shared" ref="AP67:AP130" si="52">(AO67-1)/9</f>
        <v>0.77777777777777779</v>
      </c>
      <c r="AQ67">
        <f>survey_responses[[#This Row],[Sau khi xem xét các quyền lợi và nghĩa vụ, bạn có ủng hộ và tuân thủ chính sách mới hiện nay? - HUMAN-OUT1]]</f>
        <v>6</v>
      </c>
      <c r="AR67">
        <f t="shared" ref="AR67:AR130" si="53">(AQ67-1)/9</f>
        <v>0.55555555555555558</v>
      </c>
      <c r="AS67" s="32">
        <f t="shared" ref="AS67:AS130" si="54">ABS(AQ67-AO67)</f>
        <v>2</v>
      </c>
      <c r="AT67">
        <f t="shared" ref="AT67:AT130" si="55">IF(AQ67&gt;=6,1,0)</f>
        <v>1</v>
      </c>
    </row>
    <row r="68" spans="1:46" x14ac:dyDescent="0.45">
      <c r="A68">
        <f>step3_validation[[#This Row],[AI_ENF1]]</f>
        <v>7</v>
      </c>
      <c r="B68">
        <f t="shared" si="28"/>
        <v>0.66666666666666663</v>
      </c>
      <c r="C68">
        <f>survey_responses[[#This Row],[Tôi tin rằng với các quy định quản lý thuế hiện nay, hành vi gian lận hoặc trốn thuế sẽ dễ dàng bị phát hiện và xử lý nghiêm. - HUMAN-ENF1]]</f>
        <v>5</v>
      </c>
      <c r="D68">
        <f t="shared" si="29"/>
        <v>0.44444444444444442</v>
      </c>
      <c r="E68">
        <f>step3_validation[[#This Row],[AI_ENF2]]</f>
        <v>6</v>
      </c>
      <c r="F68">
        <f t="shared" si="30"/>
        <v>0.55555555555555558</v>
      </c>
      <c r="G68">
        <f>survey_responses[[#This Row],[Tôi tin rằng Nhà nước, cơ quan thuế có đủ khả năng và công nghệ để phát hiện, xử lý nghiêm các hành vi trốn thuế. - HUMAN-ENF2]]</f>
        <v>5</v>
      </c>
      <c r="H68">
        <f t="shared" si="31"/>
        <v>0.44444444444444442</v>
      </c>
      <c r="I68" s="32">
        <f t="shared" si="32"/>
        <v>0.61111111111111116</v>
      </c>
      <c r="J68" s="32">
        <f t="shared" si="33"/>
        <v>0.44444444444444442</v>
      </c>
      <c r="K68">
        <f>step3_validation[[#This Row],[AI_FAC1]]</f>
        <v>5</v>
      </c>
      <c r="L68">
        <f t="shared" si="34"/>
        <v>0.44444444444444442</v>
      </c>
      <c r="M68">
        <f>survey_responses[[#This Row],[Các thủ tục khai báo thuế VÀ/HOẶC quy trình làm việc với cơ quan thuế đơn giản, tiện lợi, nhanh chóng hơn so với trước đây. - HUMAN-FAC1]]</f>
        <v>4</v>
      </c>
      <c r="N68">
        <f t="shared" si="35"/>
        <v>0.33333333333333331</v>
      </c>
      <c r="O68">
        <f>step3_validation[[#This Row],[AI_FAC2]]</f>
        <v>4</v>
      </c>
      <c r="P68">
        <f t="shared" si="36"/>
        <v>0.33333333333333331</v>
      </c>
      <c r="Q68">
        <f>survey_responses[[#This Row],[So với trước đây, tôi thấy cách tính thuế và các bậc thuế trong phương án mới đơn giản, dễ hiểu và dễ thực hiện hơn. - HUMAN-FAC2]]</f>
        <v>4</v>
      </c>
      <c r="R68">
        <f t="shared" si="37"/>
        <v>0.33333333333333331</v>
      </c>
      <c r="S68" s="32">
        <f t="shared" si="38"/>
        <v>0.38888888888888884</v>
      </c>
      <c r="T68" s="32">
        <f t="shared" si="39"/>
        <v>0.33333333333333331</v>
      </c>
      <c r="U68">
        <f>step3_validation[[#This Row],[AI_TRU1]]</f>
        <v>6</v>
      </c>
      <c r="V68">
        <f t="shared" si="40"/>
        <v>0.55555555555555558</v>
      </c>
      <c r="W68">
        <f>survey_responses[[#This Row],[Tôi tin rằng Nhà nước, cơ quan thuế sẽ thực thi chính sách mới một cách khách quan, công tâm và đối xử bình đẳng với mọi người nộp thuế.  - HUMAN-TRU1]]</f>
        <v>2</v>
      </c>
      <c r="X68">
        <f t="shared" si="41"/>
        <v>0.1111111111111111</v>
      </c>
      <c r="Y68">
        <f>step3_validation[[#This Row],[AI_TRU2]]</f>
        <v>7</v>
      </c>
      <c r="Z68">
        <f t="shared" si="42"/>
        <v>0.66666666666666663</v>
      </c>
      <c r="AA68">
        <f>survey_responses[[#This Row],[Tôi thấy mức thuế tôi phải đóng theo phương án mới là công bằng (người thu nhập như tôi đóng mức này là hợp lý). - HUMAN-TRU2]]</f>
        <v>3</v>
      </c>
      <c r="AB68">
        <f t="shared" si="43"/>
        <v>0.22222222222222221</v>
      </c>
      <c r="AC68">
        <f>step3_validation[[#This Row],[AI_TRU3]]</f>
        <v>5</v>
      </c>
      <c r="AD68">
        <f t="shared" si="44"/>
        <v>0.44444444444444442</v>
      </c>
      <c r="AE68">
        <f>survey_responses[[#This Row],[Tôi tin tưởng số tiền thuế tôi đóng sẽ được Nhà nước sử dụng hiệu quả để cải thiện dịch vụ công (y tế, đường xá...). - HUMAN-TRU3]]</f>
        <v>2</v>
      </c>
      <c r="AF68">
        <f t="shared" si="45"/>
        <v>0.1111111111111111</v>
      </c>
      <c r="AG68">
        <f>step3_validation[[#This Row],[AI_TRU4]]</f>
        <v>6</v>
      </c>
      <c r="AH68">
        <f t="shared" si="46"/>
        <v>0.55555555555555558</v>
      </c>
      <c r="AI68">
        <f>survey_responses[[#This Row],[Tôi thấy Nhà nước đã giải thích rõ ràng, minh bạch về lý do và mục tiêu của việc sửa đổi thuế lần này. - HUMAN-TRU4]]</f>
        <v>3</v>
      </c>
      <c r="AJ68">
        <f t="shared" si="47"/>
        <v>0.22222222222222221</v>
      </c>
      <c r="AK68" s="32">
        <f t="shared" si="48"/>
        <v>0.55555555555555558</v>
      </c>
      <c r="AL68" s="32">
        <f t="shared" si="49"/>
        <v>0.16666666666666666</v>
      </c>
      <c r="AM68" s="7">
        <f t="shared" si="50"/>
        <v>0.51851851851851849</v>
      </c>
      <c r="AN68" s="7">
        <f t="shared" si="51"/>
        <v>0.31481481481481477</v>
      </c>
      <c r="AO68">
        <f>step3_validation[[#This Row],[AI_OUT1]]</f>
        <v>7</v>
      </c>
      <c r="AP68">
        <f t="shared" si="52"/>
        <v>0.66666666666666663</v>
      </c>
      <c r="AQ68">
        <f>survey_responses[[#This Row],[Sau khi xem xét các quyền lợi và nghĩa vụ, bạn có ủng hộ và tuân thủ chính sách mới hiện nay? - HUMAN-OUT1]]</f>
        <v>3</v>
      </c>
      <c r="AR68">
        <f t="shared" si="53"/>
        <v>0.22222222222222221</v>
      </c>
      <c r="AS68" s="32">
        <f t="shared" si="54"/>
        <v>4</v>
      </c>
      <c r="AT68">
        <f t="shared" si="55"/>
        <v>0</v>
      </c>
    </row>
    <row r="69" spans="1:46" x14ac:dyDescent="0.45">
      <c r="A69">
        <f>step3_validation[[#This Row],[AI_ENF1]]</f>
        <v>7</v>
      </c>
      <c r="B69">
        <f t="shared" si="28"/>
        <v>0.66666666666666663</v>
      </c>
      <c r="C69">
        <f>survey_responses[[#This Row],[Tôi tin rằng với các quy định quản lý thuế hiện nay, hành vi gian lận hoặc trốn thuế sẽ dễ dàng bị phát hiện và xử lý nghiêm. - HUMAN-ENF1]]</f>
        <v>4</v>
      </c>
      <c r="D69">
        <f t="shared" si="29"/>
        <v>0.33333333333333331</v>
      </c>
      <c r="E69">
        <f>step3_validation[[#This Row],[AI_ENF2]]</f>
        <v>8</v>
      </c>
      <c r="F69">
        <f t="shared" si="30"/>
        <v>0.77777777777777779</v>
      </c>
      <c r="G69">
        <f>survey_responses[[#This Row],[Tôi tin rằng Nhà nước, cơ quan thuế có đủ khả năng và công nghệ để phát hiện, xử lý nghiêm các hành vi trốn thuế. - HUMAN-ENF2]]</f>
        <v>3</v>
      </c>
      <c r="H69">
        <f t="shared" si="31"/>
        <v>0.22222222222222221</v>
      </c>
      <c r="I69" s="32">
        <f t="shared" si="32"/>
        <v>0.72222222222222221</v>
      </c>
      <c r="J69" s="32">
        <f t="shared" si="33"/>
        <v>0.27777777777777779</v>
      </c>
      <c r="K69">
        <f>step3_validation[[#This Row],[AI_FAC1]]</f>
        <v>7</v>
      </c>
      <c r="L69">
        <f t="shared" si="34"/>
        <v>0.66666666666666663</v>
      </c>
      <c r="M69">
        <f>survey_responses[[#This Row],[Các thủ tục khai báo thuế VÀ/HOẶC quy trình làm việc với cơ quan thuế đơn giản, tiện lợi, nhanh chóng hơn so với trước đây. - HUMAN-FAC1]]</f>
        <v>1</v>
      </c>
      <c r="N69">
        <f t="shared" si="35"/>
        <v>0</v>
      </c>
      <c r="O69">
        <f>step3_validation[[#This Row],[AI_FAC2]]</f>
        <v>8</v>
      </c>
      <c r="P69">
        <f t="shared" si="36"/>
        <v>0.77777777777777779</v>
      </c>
      <c r="Q69">
        <f>survey_responses[[#This Row],[So với trước đây, tôi thấy cách tính thuế và các bậc thuế trong phương án mới đơn giản, dễ hiểu và dễ thực hiện hơn. - HUMAN-FAC2]]</f>
        <v>5</v>
      </c>
      <c r="R69">
        <f t="shared" si="37"/>
        <v>0.44444444444444442</v>
      </c>
      <c r="S69" s="32">
        <f t="shared" si="38"/>
        <v>0.72222222222222221</v>
      </c>
      <c r="T69" s="32">
        <f t="shared" si="39"/>
        <v>0.22222222222222221</v>
      </c>
      <c r="U69">
        <f>step3_validation[[#This Row],[AI_TRU1]]</f>
        <v>9</v>
      </c>
      <c r="V69">
        <f t="shared" si="40"/>
        <v>0.88888888888888884</v>
      </c>
      <c r="W69">
        <f>survey_responses[[#This Row],[Tôi tin rằng Nhà nước, cơ quan thuế sẽ thực thi chính sách mới một cách khách quan, công tâm và đối xử bình đẳng với mọi người nộp thuế.  - HUMAN-TRU1]]</f>
        <v>4</v>
      </c>
      <c r="X69">
        <f t="shared" si="41"/>
        <v>0.33333333333333331</v>
      </c>
      <c r="Y69">
        <f>step3_validation[[#This Row],[AI_TRU2]]</f>
        <v>8</v>
      </c>
      <c r="Z69">
        <f t="shared" si="42"/>
        <v>0.77777777777777779</v>
      </c>
      <c r="AA69">
        <f>survey_responses[[#This Row],[Tôi thấy mức thuế tôi phải đóng theo phương án mới là công bằng (người thu nhập như tôi đóng mức này là hợp lý). - HUMAN-TRU2]]</f>
        <v>3</v>
      </c>
      <c r="AB69">
        <f t="shared" si="43"/>
        <v>0.22222222222222221</v>
      </c>
      <c r="AC69">
        <f>step3_validation[[#This Row],[AI_TRU3]]</f>
        <v>7</v>
      </c>
      <c r="AD69">
        <f t="shared" si="44"/>
        <v>0.66666666666666663</v>
      </c>
      <c r="AE69">
        <f>survey_responses[[#This Row],[Tôi tin tưởng số tiền thuế tôi đóng sẽ được Nhà nước sử dụng hiệu quả để cải thiện dịch vụ công (y tế, đường xá...). - HUMAN-TRU3]]</f>
        <v>1</v>
      </c>
      <c r="AF69">
        <f t="shared" si="45"/>
        <v>0</v>
      </c>
      <c r="AG69">
        <f>step3_validation[[#This Row],[AI_TRU4]]</f>
        <v>6</v>
      </c>
      <c r="AH69">
        <f t="shared" si="46"/>
        <v>0.55555555555555558</v>
      </c>
      <c r="AI69">
        <f>survey_responses[[#This Row],[Tôi thấy Nhà nước đã giải thích rõ ràng, minh bạch về lý do và mục tiêu của việc sửa đổi thuế lần này. - HUMAN-TRU4]]</f>
        <v>3</v>
      </c>
      <c r="AJ69">
        <f t="shared" si="47"/>
        <v>0.22222222222222221</v>
      </c>
      <c r="AK69" s="32">
        <f t="shared" si="48"/>
        <v>0.7222222222222221</v>
      </c>
      <c r="AL69" s="32">
        <f t="shared" si="49"/>
        <v>0.19444444444444445</v>
      </c>
      <c r="AM69" s="7">
        <f t="shared" si="50"/>
        <v>0.72222222222222221</v>
      </c>
      <c r="AN69" s="7">
        <f t="shared" si="51"/>
        <v>0.23148148148148148</v>
      </c>
      <c r="AO69">
        <f>step3_validation[[#This Row],[AI_OUT1]]</f>
        <v>8</v>
      </c>
      <c r="AP69">
        <f t="shared" si="52"/>
        <v>0.77777777777777779</v>
      </c>
      <c r="AQ69">
        <f>survey_responses[[#This Row],[Sau khi xem xét các quyền lợi và nghĩa vụ, bạn có ủng hộ và tuân thủ chính sách mới hiện nay? - HUMAN-OUT1]]</f>
        <v>5</v>
      </c>
      <c r="AR69">
        <f t="shared" si="53"/>
        <v>0.44444444444444442</v>
      </c>
      <c r="AS69" s="32">
        <f t="shared" si="54"/>
        <v>3</v>
      </c>
      <c r="AT69">
        <f t="shared" si="55"/>
        <v>0</v>
      </c>
    </row>
    <row r="70" spans="1:46" x14ac:dyDescent="0.45">
      <c r="A70">
        <f>step3_validation[[#This Row],[AI_ENF1]]</f>
        <v>7</v>
      </c>
      <c r="B70">
        <f t="shared" si="28"/>
        <v>0.66666666666666663</v>
      </c>
      <c r="C70">
        <f>survey_responses[[#This Row],[Tôi tin rằng với các quy định quản lý thuế hiện nay, hành vi gian lận hoặc trốn thuế sẽ dễ dàng bị phát hiện và xử lý nghiêm. - HUMAN-ENF1]]</f>
        <v>7</v>
      </c>
      <c r="D70">
        <f t="shared" si="29"/>
        <v>0.66666666666666663</v>
      </c>
      <c r="E70">
        <f>step3_validation[[#This Row],[AI_ENF2]]</f>
        <v>8</v>
      </c>
      <c r="F70">
        <f t="shared" si="30"/>
        <v>0.77777777777777779</v>
      </c>
      <c r="G70">
        <f>survey_responses[[#This Row],[Tôi tin rằng Nhà nước, cơ quan thuế có đủ khả năng và công nghệ để phát hiện, xử lý nghiêm các hành vi trốn thuế. - HUMAN-ENF2]]</f>
        <v>7</v>
      </c>
      <c r="H70">
        <f t="shared" si="31"/>
        <v>0.66666666666666663</v>
      </c>
      <c r="I70" s="32">
        <f t="shared" si="32"/>
        <v>0.72222222222222221</v>
      </c>
      <c r="J70" s="32">
        <f t="shared" si="33"/>
        <v>0.66666666666666663</v>
      </c>
      <c r="K70">
        <f>step3_validation[[#This Row],[AI_FAC1]]</f>
        <v>9</v>
      </c>
      <c r="L70">
        <f t="shared" si="34"/>
        <v>0.88888888888888884</v>
      </c>
      <c r="M70">
        <f>survey_responses[[#This Row],[Các thủ tục khai báo thuế VÀ/HOẶC quy trình làm việc với cơ quan thuế đơn giản, tiện lợi, nhanh chóng hơn so với trước đây. - HUMAN-FAC1]]</f>
        <v>8</v>
      </c>
      <c r="N70">
        <f t="shared" si="35"/>
        <v>0.77777777777777779</v>
      </c>
      <c r="O70">
        <f>step3_validation[[#This Row],[AI_FAC2]]</f>
        <v>8</v>
      </c>
      <c r="P70">
        <f t="shared" si="36"/>
        <v>0.77777777777777779</v>
      </c>
      <c r="Q70">
        <f>survey_responses[[#This Row],[So với trước đây, tôi thấy cách tính thuế và các bậc thuế trong phương án mới đơn giản, dễ hiểu và dễ thực hiện hơn. - HUMAN-FAC2]]</f>
        <v>9</v>
      </c>
      <c r="R70">
        <f t="shared" si="37"/>
        <v>0.88888888888888884</v>
      </c>
      <c r="S70" s="32">
        <f t="shared" si="38"/>
        <v>0.83333333333333326</v>
      </c>
      <c r="T70" s="32">
        <f t="shared" si="39"/>
        <v>0.83333333333333326</v>
      </c>
      <c r="U70">
        <f>step3_validation[[#This Row],[AI_TRU1]]</f>
        <v>7</v>
      </c>
      <c r="V70">
        <f t="shared" si="40"/>
        <v>0.66666666666666663</v>
      </c>
      <c r="W70">
        <f>survey_responses[[#This Row],[Tôi tin rằng Nhà nước, cơ quan thuế sẽ thực thi chính sách mới một cách khách quan, công tâm và đối xử bình đẳng với mọi người nộp thuế.  - HUMAN-TRU1]]</f>
        <v>8</v>
      </c>
      <c r="X70">
        <f t="shared" si="41"/>
        <v>0.77777777777777779</v>
      </c>
      <c r="Y70">
        <f>step3_validation[[#This Row],[AI_TRU2]]</f>
        <v>6</v>
      </c>
      <c r="Z70">
        <f t="shared" si="42"/>
        <v>0.55555555555555558</v>
      </c>
      <c r="AA70">
        <f>survey_responses[[#This Row],[Tôi thấy mức thuế tôi phải đóng theo phương án mới là công bằng (người thu nhập như tôi đóng mức này là hợp lý). - HUMAN-TRU2]]</f>
        <v>10</v>
      </c>
      <c r="AB70">
        <f t="shared" si="43"/>
        <v>1</v>
      </c>
      <c r="AC70">
        <f>step3_validation[[#This Row],[AI_TRU3]]</f>
        <v>5</v>
      </c>
      <c r="AD70">
        <f t="shared" si="44"/>
        <v>0.44444444444444442</v>
      </c>
      <c r="AE70">
        <f>survey_responses[[#This Row],[Tôi tin tưởng số tiền thuế tôi đóng sẽ được Nhà nước sử dụng hiệu quả để cải thiện dịch vụ công (y tế, đường xá...). - HUMAN-TRU3]]</f>
        <v>9</v>
      </c>
      <c r="AF70">
        <f t="shared" si="45"/>
        <v>0.88888888888888884</v>
      </c>
      <c r="AG70">
        <f>step3_validation[[#This Row],[AI_TRU4]]</f>
        <v>4</v>
      </c>
      <c r="AH70">
        <f t="shared" si="46"/>
        <v>0.33333333333333331</v>
      </c>
      <c r="AI70">
        <f>survey_responses[[#This Row],[Tôi thấy Nhà nước đã giải thích rõ ràng, minh bạch về lý do và mục tiêu của việc sửa đổi thuế lần này. - HUMAN-TRU4]]</f>
        <v>9</v>
      </c>
      <c r="AJ70">
        <f t="shared" si="47"/>
        <v>0.88888888888888884</v>
      </c>
      <c r="AK70" s="32">
        <f t="shared" si="48"/>
        <v>0.5</v>
      </c>
      <c r="AL70" s="32">
        <f t="shared" si="49"/>
        <v>0.88888888888888884</v>
      </c>
      <c r="AM70" s="7">
        <f t="shared" si="50"/>
        <v>0.68518518518518512</v>
      </c>
      <c r="AN70" s="7">
        <f t="shared" si="51"/>
        <v>0.79629629629629628</v>
      </c>
      <c r="AO70">
        <f>step3_validation[[#This Row],[AI_OUT1]]</f>
        <v>6</v>
      </c>
      <c r="AP70">
        <f t="shared" si="52"/>
        <v>0.55555555555555558</v>
      </c>
      <c r="AQ70">
        <f>survey_responses[[#This Row],[Sau khi xem xét các quyền lợi và nghĩa vụ, bạn có ủng hộ và tuân thủ chính sách mới hiện nay? - HUMAN-OUT1]]</f>
        <v>9</v>
      </c>
      <c r="AR70">
        <f t="shared" si="53"/>
        <v>0.88888888888888884</v>
      </c>
      <c r="AS70" s="32">
        <f t="shared" si="54"/>
        <v>3</v>
      </c>
      <c r="AT70">
        <f t="shared" si="55"/>
        <v>1</v>
      </c>
    </row>
    <row r="71" spans="1:46" x14ac:dyDescent="0.45">
      <c r="A71">
        <f>step3_validation[[#This Row],[AI_ENF1]]</f>
        <v>8</v>
      </c>
      <c r="B71">
        <f t="shared" si="28"/>
        <v>0.77777777777777779</v>
      </c>
      <c r="C71">
        <f>survey_responses[[#This Row],[Tôi tin rằng với các quy định quản lý thuế hiện nay, hành vi gian lận hoặc trốn thuế sẽ dễ dàng bị phát hiện và xử lý nghiêm. - HUMAN-ENF1]]</f>
        <v>6</v>
      </c>
      <c r="D71">
        <f t="shared" si="29"/>
        <v>0.55555555555555558</v>
      </c>
      <c r="E71">
        <f>step3_validation[[#This Row],[AI_ENF2]]</f>
        <v>9</v>
      </c>
      <c r="F71">
        <f t="shared" si="30"/>
        <v>0.88888888888888884</v>
      </c>
      <c r="G71">
        <f>survey_responses[[#This Row],[Tôi tin rằng Nhà nước, cơ quan thuế có đủ khả năng và công nghệ để phát hiện, xử lý nghiêm các hành vi trốn thuế. - HUMAN-ENF2]]</f>
        <v>6</v>
      </c>
      <c r="H71">
        <f t="shared" si="31"/>
        <v>0.55555555555555558</v>
      </c>
      <c r="I71" s="32">
        <f t="shared" si="32"/>
        <v>0.83333333333333326</v>
      </c>
      <c r="J71" s="32">
        <f t="shared" si="33"/>
        <v>0.55555555555555558</v>
      </c>
      <c r="K71">
        <f>step3_validation[[#This Row],[AI_FAC1]]</f>
        <v>8</v>
      </c>
      <c r="L71">
        <f t="shared" si="34"/>
        <v>0.77777777777777779</v>
      </c>
      <c r="M71">
        <f>survey_responses[[#This Row],[Các thủ tục khai báo thuế VÀ/HOẶC quy trình làm việc với cơ quan thuế đơn giản, tiện lợi, nhanh chóng hơn so với trước đây. - HUMAN-FAC1]]</f>
        <v>5</v>
      </c>
      <c r="N71">
        <f t="shared" si="35"/>
        <v>0.44444444444444442</v>
      </c>
      <c r="O71">
        <f>step3_validation[[#This Row],[AI_FAC2]]</f>
        <v>8</v>
      </c>
      <c r="P71">
        <f t="shared" si="36"/>
        <v>0.77777777777777779</v>
      </c>
      <c r="Q71">
        <f>survey_responses[[#This Row],[So với trước đây, tôi thấy cách tính thuế và các bậc thuế trong phương án mới đơn giản, dễ hiểu và dễ thực hiện hơn. - HUMAN-FAC2]]</f>
        <v>5</v>
      </c>
      <c r="R71">
        <f t="shared" si="37"/>
        <v>0.44444444444444442</v>
      </c>
      <c r="S71" s="32">
        <f t="shared" si="38"/>
        <v>0.77777777777777779</v>
      </c>
      <c r="T71" s="32">
        <f t="shared" si="39"/>
        <v>0.44444444444444442</v>
      </c>
      <c r="U71">
        <f>step3_validation[[#This Row],[AI_TRU1]]</f>
        <v>9</v>
      </c>
      <c r="V71">
        <f t="shared" si="40"/>
        <v>0.88888888888888884</v>
      </c>
      <c r="W71">
        <f>survey_responses[[#This Row],[Tôi tin rằng Nhà nước, cơ quan thuế sẽ thực thi chính sách mới một cách khách quan, công tâm và đối xử bình đẳng với mọi người nộp thuế.  - HUMAN-TRU1]]</f>
        <v>5</v>
      </c>
      <c r="X71">
        <f t="shared" si="41"/>
        <v>0.44444444444444442</v>
      </c>
      <c r="Y71">
        <f>step3_validation[[#This Row],[AI_TRU2]]</f>
        <v>7</v>
      </c>
      <c r="Z71">
        <f t="shared" si="42"/>
        <v>0.66666666666666663</v>
      </c>
      <c r="AA71">
        <f>survey_responses[[#This Row],[Tôi thấy mức thuế tôi phải đóng theo phương án mới là công bằng (người thu nhập như tôi đóng mức này là hợp lý). - HUMAN-TRU2]]</f>
        <v>1</v>
      </c>
      <c r="AB71">
        <f t="shared" si="43"/>
        <v>0</v>
      </c>
      <c r="AC71">
        <f>step3_validation[[#This Row],[AI_TRU3]]</f>
        <v>6</v>
      </c>
      <c r="AD71">
        <f t="shared" si="44"/>
        <v>0.55555555555555558</v>
      </c>
      <c r="AE71">
        <f>survey_responses[[#This Row],[Tôi tin tưởng số tiền thuế tôi đóng sẽ được Nhà nước sử dụng hiệu quả để cải thiện dịch vụ công (y tế, đường xá...). - HUMAN-TRU3]]</f>
        <v>5</v>
      </c>
      <c r="AF71">
        <f t="shared" si="45"/>
        <v>0.44444444444444442</v>
      </c>
      <c r="AG71">
        <f>step3_validation[[#This Row],[AI_TRU4]]</f>
        <v>8</v>
      </c>
      <c r="AH71">
        <f t="shared" si="46"/>
        <v>0.77777777777777779</v>
      </c>
      <c r="AI71">
        <f>survey_responses[[#This Row],[Tôi thấy Nhà nước đã giải thích rõ ràng, minh bạch về lý do và mục tiêu của việc sửa đổi thuế lần này. - HUMAN-TRU4]]</f>
        <v>5</v>
      </c>
      <c r="AJ71">
        <f t="shared" si="47"/>
        <v>0.44444444444444442</v>
      </c>
      <c r="AK71" s="32">
        <f t="shared" si="48"/>
        <v>0.7222222222222221</v>
      </c>
      <c r="AL71" s="32">
        <f t="shared" si="49"/>
        <v>0.33333333333333331</v>
      </c>
      <c r="AM71" s="7">
        <f t="shared" si="50"/>
        <v>0.77777777777777768</v>
      </c>
      <c r="AN71" s="7">
        <f t="shared" si="51"/>
        <v>0.44444444444444442</v>
      </c>
      <c r="AO71">
        <f>step3_validation[[#This Row],[AI_OUT1]]</f>
        <v>7</v>
      </c>
      <c r="AP71">
        <f t="shared" si="52"/>
        <v>0.66666666666666663</v>
      </c>
      <c r="AQ71">
        <f>survey_responses[[#This Row],[Sau khi xem xét các quyền lợi và nghĩa vụ, bạn có ủng hộ và tuân thủ chính sách mới hiện nay? - HUMAN-OUT1]]</f>
        <v>5</v>
      </c>
      <c r="AR71">
        <f t="shared" si="53"/>
        <v>0.44444444444444442</v>
      </c>
      <c r="AS71" s="32">
        <f t="shared" si="54"/>
        <v>2</v>
      </c>
      <c r="AT71">
        <f t="shared" si="55"/>
        <v>0</v>
      </c>
    </row>
    <row r="72" spans="1:46" x14ac:dyDescent="0.45">
      <c r="A72">
        <f>step3_validation[[#This Row],[AI_ENF1]]</f>
        <v>8</v>
      </c>
      <c r="B72">
        <f t="shared" si="28"/>
        <v>0.77777777777777779</v>
      </c>
      <c r="C72">
        <f>survey_responses[[#This Row],[Tôi tin rằng với các quy định quản lý thuế hiện nay, hành vi gian lận hoặc trốn thuế sẽ dễ dàng bị phát hiện và xử lý nghiêm. - HUMAN-ENF1]]</f>
        <v>3</v>
      </c>
      <c r="D72">
        <f t="shared" si="29"/>
        <v>0.22222222222222221</v>
      </c>
      <c r="E72">
        <f>step3_validation[[#This Row],[AI_ENF2]]</f>
        <v>7</v>
      </c>
      <c r="F72">
        <f t="shared" si="30"/>
        <v>0.66666666666666663</v>
      </c>
      <c r="G72">
        <f>survey_responses[[#This Row],[Tôi tin rằng Nhà nước, cơ quan thuế có đủ khả năng và công nghệ để phát hiện, xử lý nghiêm các hành vi trốn thuế. - HUMAN-ENF2]]</f>
        <v>3</v>
      </c>
      <c r="H72">
        <f t="shared" si="31"/>
        <v>0.22222222222222221</v>
      </c>
      <c r="I72" s="32">
        <f t="shared" si="32"/>
        <v>0.72222222222222221</v>
      </c>
      <c r="J72" s="32">
        <f t="shared" si="33"/>
        <v>0.22222222222222221</v>
      </c>
      <c r="K72">
        <f>step3_validation[[#This Row],[AI_FAC1]]</f>
        <v>6</v>
      </c>
      <c r="L72">
        <f t="shared" si="34"/>
        <v>0.55555555555555558</v>
      </c>
      <c r="M72">
        <f>survey_responses[[#This Row],[Các thủ tục khai báo thuế VÀ/HOẶC quy trình làm việc với cơ quan thuế đơn giản, tiện lợi, nhanh chóng hơn so với trước đây. - HUMAN-FAC1]]</f>
        <v>3</v>
      </c>
      <c r="N72">
        <f t="shared" si="35"/>
        <v>0.22222222222222221</v>
      </c>
      <c r="O72">
        <f>step3_validation[[#This Row],[AI_FAC2]]</f>
        <v>7</v>
      </c>
      <c r="P72">
        <f t="shared" si="36"/>
        <v>0.66666666666666663</v>
      </c>
      <c r="Q72">
        <f>survey_responses[[#This Row],[So với trước đây, tôi thấy cách tính thuế và các bậc thuế trong phương án mới đơn giản, dễ hiểu và dễ thực hiện hơn. - HUMAN-FAC2]]</f>
        <v>5</v>
      </c>
      <c r="R72">
        <f t="shared" si="37"/>
        <v>0.44444444444444442</v>
      </c>
      <c r="S72" s="32">
        <f t="shared" si="38"/>
        <v>0.61111111111111116</v>
      </c>
      <c r="T72" s="32">
        <f t="shared" si="39"/>
        <v>0.33333333333333331</v>
      </c>
      <c r="U72">
        <f>step3_validation[[#This Row],[AI_TRU1]]</f>
        <v>8</v>
      </c>
      <c r="V72">
        <f t="shared" si="40"/>
        <v>0.77777777777777779</v>
      </c>
      <c r="W72">
        <f>survey_responses[[#This Row],[Tôi tin rằng Nhà nước, cơ quan thuế sẽ thực thi chính sách mới một cách khách quan, công tâm và đối xử bình đẳng với mọi người nộp thuế.  - HUMAN-TRU1]]</f>
        <v>3</v>
      </c>
      <c r="X72">
        <f t="shared" si="41"/>
        <v>0.22222222222222221</v>
      </c>
      <c r="Y72">
        <f>step3_validation[[#This Row],[AI_TRU2]]</f>
        <v>7</v>
      </c>
      <c r="Z72">
        <f t="shared" si="42"/>
        <v>0.66666666666666663</v>
      </c>
      <c r="AA72">
        <f>survey_responses[[#This Row],[Tôi thấy mức thuế tôi phải đóng theo phương án mới là công bằng (người thu nhập như tôi đóng mức này là hợp lý). - HUMAN-TRU2]]</f>
        <v>3</v>
      </c>
      <c r="AB72">
        <f t="shared" si="43"/>
        <v>0.22222222222222221</v>
      </c>
      <c r="AC72">
        <f>step3_validation[[#This Row],[AI_TRU3]]</f>
        <v>6</v>
      </c>
      <c r="AD72">
        <f t="shared" si="44"/>
        <v>0.55555555555555558</v>
      </c>
      <c r="AE72">
        <f>survey_responses[[#This Row],[Tôi tin tưởng số tiền thuế tôi đóng sẽ được Nhà nước sử dụng hiệu quả để cải thiện dịch vụ công (y tế, đường xá...). - HUMAN-TRU3]]</f>
        <v>3</v>
      </c>
      <c r="AF72">
        <f t="shared" si="45"/>
        <v>0.22222222222222221</v>
      </c>
      <c r="AG72">
        <f>step3_validation[[#This Row],[AI_TRU4]]</f>
        <v>7</v>
      </c>
      <c r="AH72">
        <f t="shared" si="46"/>
        <v>0.66666666666666663</v>
      </c>
      <c r="AI72">
        <f>survey_responses[[#This Row],[Tôi thấy Nhà nước đã giải thích rõ ràng, minh bạch về lý do và mục tiêu của việc sửa đổi thuế lần này. - HUMAN-TRU4]]</f>
        <v>3</v>
      </c>
      <c r="AJ72">
        <f t="shared" si="47"/>
        <v>0.22222222222222221</v>
      </c>
      <c r="AK72" s="32">
        <f t="shared" si="48"/>
        <v>0.66666666666666663</v>
      </c>
      <c r="AL72" s="32">
        <f t="shared" si="49"/>
        <v>0.22222222222222221</v>
      </c>
      <c r="AM72" s="7">
        <f t="shared" si="50"/>
        <v>0.66666666666666663</v>
      </c>
      <c r="AN72" s="7">
        <f t="shared" si="51"/>
        <v>0.25925925925925924</v>
      </c>
      <c r="AO72">
        <f>step3_validation[[#This Row],[AI_OUT1]]</f>
        <v>8</v>
      </c>
      <c r="AP72">
        <f t="shared" si="52"/>
        <v>0.77777777777777779</v>
      </c>
      <c r="AQ72">
        <f>survey_responses[[#This Row],[Sau khi xem xét các quyền lợi và nghĩa vụ, bạn có ủng hộ và tuân thủ chính sách mới hiện nay? - HUMAN-OUT1]]</f>
        <v>4</v>
      </c>
      <c r="AR72">
        <f t="shared" si="53"/>
        <v>0.33333333333333331</v>
      </c>
      <c r="AS72" s="32">
        <f t="shared" si="54"/>
        <v>4</v>
      </c>
      <c r="AT72">
        <f t="shared" si="55"/>
        <v>0</v>
      </c>
    </row>
    <row r="73" spans="1:46" x14ac:dyDescent="0.45">
      <c r="A73">
        <f>step3_validation[[#This Row],[AI_ENF1]]</f>
        <v>7</v>
      </c>
      <c r="B73">
        <f t="shared" si="28"/>
        <v>0.66666666666666663</v>
      </c>
      <c r="C73">
        <f>survey_responses[[#This Row],[Tôi tin rằng với các quy định quản lý thuế hiện nay, hành vi gian lận hoặc trốn thuế sẽ dễ dàng bị phát hiện và xử lý nghiêm. - HUMAN-ENF1]]</f>
        <v>8</v>
      </c>
      <c r="D73">
        <f t="shared" si="29"/>
        <v>0.77777777777777779</v>
      </c>
      <c r="E73">
        <f>step3_validation[[#This Row],[AI_ENF2]]</f>
        <v>8</v>
      </c>
      <c r="F73">
        <f t="shared" si="30"/>
        <v>0.77777777777777779</v>
      </c>
      <c r="G73">
        <f>survey_responses[[#This Row],[Tôi tin rằng Nhà nước, cơ quan thuế có đủ khả năng và công nghệ để phát hiện, xử lý nghiêm các hành vi trốn thuế. - HUMAN-ENF2]]</f>
        <v>8</v>
      </c>
      <c r="H73">
        <f t="shared" si="31"/>
        <v>0.77777777777777779</v>
      </c>
      <c r="I73" s="32">
        <f t="shared" si="32"/>
        <v>0.72222222222222221</v>
      </c>
      <c r="J73" s="32">
        <f t="shared" si="33"/>
        <v>0.77777777777777779</v>
      </c>
      <c r="K73">
        <f>step3_validation[[#This Row],[AI_FAC1]]</f>
        <v>6</v>
      </c>
      <c r="L73">
        <f t="shared" si="34"/>
        <v>0.55555555555555558</v>
      </c>
      <c r="M73">
        <f>survey_responses[[#This Row],[Các thủ tục khai báo thuế VÀ/HOẶC quy trình làm việc với cơ quan thuế đơn giản, tiện lợi, nhanh chóng hơn so với trước đây. - HUMAN-FAC1]]</f>
        <v>4</v>
      </c>
      <c r="N73">
        <f t="shared" si="35"/>
        <v>0.33333333333333331</v>
      </c>
      <c r="O73">
        <f>step3_validation[[#This Row],[AI_FAC2]]</f>
        <v>8</v>
      </c>
      <c r="P73">
        <f t="shared" si="36"/>
        <v>0.77777777777777779</v>
      </c>
      <c r="Q73">
        <f>survey_responses[[#This Row],[So với trước đây, tôi thấy cách tính thuế và các bậc thuế trong phương án mới đơn giản, dễ hiểu và dễ thực hiện hơn. - HUMAN-FAC2]]</f>
        <v>2</v>
      </c>
      <c r="R73">
        <f t="shared" si="37"/>
        <v>0.1111111111111111</v>
      </c>
      <c r="S73" s="32">
        <f t="shared" si="38"/>
        <v>0.66666666666666674</v>
      </c>
      <c r="T73" s="32">
        <f t="shared" si="39"/>
        <v>0.22222222222222221</v>
      </c>
      <c r="U73">
        <f>step3_validation[[#This Row],[AI_TRU1]]</f>
        <v>7</v>
      </c>
      <c r="V73">
        <f t="shared" si="40"/>
        <v>0.66666666666666663</v>
      </c>
      <c r="W73">
        <f>survey_responses[[#This Row],[Tôi tin rằng Nhà nước, cơ quan thuế sẽ thực thi chính sách mới một cách khách quan, công tâm và đối xử bình đẳng với mọi người nộp thuế.  - HUMAN-TRU1]]</f>
        <v>6</v>
      </c>
      <c r="X73">
        <f t="shared" si="41"/>
        <v>0.55555555555555558</v>
      </c>
      <c r="Y73">
        <f>step3_validation[[#This Row],[AI_TRU2]]</f>
        <v>7</v>
      </c>
      <c r="Z73">
        <f t="shared" si="42"/>
        <v>0.66666666666666663</v>
      </c>
      <c r="AA73">
        <f>survey_responses[[#This Row],[Tôi thấy mức thuế tôi phải đóng theo phương án mới là công bằng (người thu nhập như tôi đóng mức này là hợp lý). - HUMAN-TRU2]]</f>
        <v>3</v>
      </c>
      <c r="AB73">
        <f t="shared" si="43"/>
        <v>0.22222222222222221</v>
      </c>
      <c r="AC73">
        <f>step3_validation[[#This Row],[AI_TRU3]]</f>
        <v>6</v>
      </c>
      <c r="AD73">
        <f t="shared" si="44"/>
        <v>0.55555555555555558</v>
      </c>
      <c r="AE73">
        <f>survey_responses[[#This Row],[Tôi tin tưởng số tiền thuế tôi đóng sẽ được Nhà nước sử dụng hiệu quả để cải thiện dịch vụ công (y tế, đường xá...). - HUMAN-TRU3]]</f>
        <v>8</v>
      </c>
      <c r="AF73">
        <f t="shared" si="45"/>
        <v>0.77777777777777779</v>
      </c>
      <c r="AG73">
        <f>step3_validation[[#This Row],[AI_TRU4]]</f>
        <v>7</v>
      </c>
      <c r="AH73">
        <f t="shared" si="46"/>
        <v>0.66666666666666663</v>
      </c>
      <c r="AI73">
        <f>survey_responses[[#This Row],[Tôi thấy Nhà nước đã giải thích rõ ràng, minh bạch về lý do và mục tiêu của việc sửa đổi thuế lần này. - HUMAN-TRU4]]</f>
        <v>4</v>
      </c>
      <c r="AJ73">
        <f t="shared" si="47"/>
        <v>0.33333333333333331</v>
      </c>
      <c r="AK73" s="32">
        <f t="shared" si="48"/>
        <v>0.63888888888888884</v>
      </c>
      <c r="AL73" s="32">
        <f t="shared" si="49"/>
        <v>0.47222222222222221</v>
      </c>
      <c r="AM73" s="7">
        <f t="shared" si="50"/>
        <v>0.67592592592592593</v>
      </c>
      <c r="AN73" s="7">
        <f t="shared" si="51"/>
        <v>0.49074074074074076</v>
      </c>
      <c r="AO73">
        <f>step3_validation[[#This Row],[AI_OUT1]]</f>
        <v>6</v>
      </c>
      <c r="AP73">
        <f t="shared" si="52"/>
        <v>0.55555555555555558</v>
      </c>
      <c r="AQ73">
        <f>survey_responses[[#This Row],[Sau khi xem xét các quyền lợi và nghĩa vụ, bạn có ủng hộ và tuân thủ chính sách mới hiện nay? - HUMAN-OUT1]]</f>
        <v>8</v>
      </c>
      <c r="AR73">
        <f t="shared" si="53"/>
        <v>0.77777777777777779</v>
      </c>
      <c r="AS73" s="32">
        <f t="shared" si="54"/>
        <v>2</v>
      </c>
      <c r="AT73">
        <f t="shared" si="55"/>
        <v>1</v>
      </c>
    </row>
    <row r="74" spans="1:46" x14ac:dyDescent="0.45">
      <c r="A74">
        <f>step3_validation[[#This Row],[AI_ENF1]]</f>
        <v>7</v>
      </c>
      <c r="B74">
        <f t="shared" si="28"/>
        <v>0.66666666666666663</v>
      </c>
      <c r="C74">
        <f>survey_responses[[#This Row],[Tôi tin rằng với các quy định quản lý thuế hiện nay, hành vi gian lận hoặc trốn thuế sẽ dễ dàng bị phát hiện và xử lý nghiêm. - HUMAN-ENF1]]</f>
        <v>5</v>
      </c>
      <c r="D74">
        <f t="shared" si="29"/>
        <v>0.44444444444444442</v>
      </c>
      <c r="E74">
        <f>step3_validation[[#This Row],[AI_ENF2]]</f>
        <v>8</v>
      </c>
      <c r="F74">
        <f t="shared" si="30"/>
        <v>0.77777777777777779</v>
      </c>
      <c r="G74">
        <f>survey_responses[[#This Row],[Tôi tin rằng Nhà nước, cơ quan thuế có đủ khả năng và công nghệ để phát hiện, xử lý nghiêm các hành vi trốn thuế. - HUMAN-ENF2]]</f>
        <v>5</v>
      </c>
      <c r="H74">
        <f t="shared" si="31"/>
        <v>0.44444444444444442</v>
      </c>
      <c r="I74" s="32">
        <f t="shared" si="32"/>
        <v>0.72222222222222221</v>
      </c>
      <c r="J74" s="32">
        <f t="shared" si="33"/>
        <v>0.44444444444444442</v>
      </c>
      <c r="K74">
        <f>step3_validation[[#This Row],[AI_FAC1]]</f>
        <v>6</v>
      </c>
      <c r="L74">
        <f t="shared" si="34"/>
        <v>0.55555555555555558</v>
      </c>
      <c r="M74">
        <f>survey_responses[[#This Row],[Các thủ tục khai báo thuế VÀ/HOẶC quy trình làm việc với cơ quan thuế đơn giản, tiện lợi, nhanh chóng hơn so với trước đây. - HUMAN-FAC1]]</f>
        <v>5</v>
      </c>
      <c r="N74">
        <f t="shared" si="35"/>
        <v>0.44444444444444442</v>
      </c>
      <c r="O74">
        <f>step3_validation[[#This Row],[AI_FAC2]]</f>
        <v>7</v>
      </c>
      <c r="P74">
        <f t="shared" si="36"/>
        <v>0.66666666666666663</v>
      </c>
      <c r="Q74">
        <f>survey_responses[[#This Row],[So với trước đây, tôi thấy cách tính thuế và các bậc thuế trong phương án mới đơn giản, dễ hiểu và dễ thực hiện hơn. - HUMAN-FAC2]]</f>
        <v>5</v>
      </c>
      <c r="R74">
        <f t="shared" si="37"/>
        <v>0.44444444444444442</v>
      </c>
      <c r="S74" s="32">
        <f t="shared" si="38"/>
        <v>0.61111111111111116</v>
      </c>
      <c r="T74" s="32">
        <f t="shared" si="39"/>
        <v>0.44444444444444442</v>
      </c>
      <c r="U74">
        <f>step3_validation[[#This Row],[AI_TRU1]]</f>
        <v>6</v>
      </c>
      <c r="V74">
        <f t="shared" si="40"/>
        <v>0.55555555555555558</v>
      </c>
      <c r="W74">
        <f>survey_responses[[#This Row],[Tôi tin rằng Nhà nước, cơ quan thuế sẽ thực thi chính sách mới một cách khách quan, công tâm và đối xử bình đẳng với mọi người nộp thuế.  - HUMAN-TRU1]]</f>
        <v>5</v>
      </c>
      <c r="X74">
        <f t="shared" si="41"/>
        <v>0.44444444444444442</v>
      </c>
      <c r="Y74">
        <f>step3_validation[[#This Row],[AI_TRU2]]</f>
        <v>7</v>
      </c>
      <c r="Z74">
        <f t="shared" si="42"/>
        <v>0.66666666666666663</v>
      </c>
      <c r="AA74">
        <f>survey_responses[[#This Row],[Tôi thấy mức thuế tôi phải đóng theo phương án mới là công bằng (người thu nhập như tôi đóng mức này là hợp lý). - HUMAN-TRU2]]</f>
        <v>10</v>
      </c>
      <c r="AB74">
        <f t="shared" si="43"/>
        <v>1</v>
      </c>
      <c r="AC74">
        <f>step3_validation[[#This Row],[AI_TRU3]]</f>
        <v>6</v>
      </c>
      <c r="AD74">
        <f t="shared" si="44"/>
        <v>0.55555555555555558</v>
      </c>
      <c r="AE74">
        <f>survey_responses[[#This Row],[Tôi tin tưởng số tiền thuế tôi đóng sẽ được Nhà nước sử dụng hiệu quả để cải thiện dịch vụ công (y tế, đường xá...). - HUMAN-TRU3]]</f>
        <v>5</v>
      </c>
      <c r="AF74">
        <f t="shared" si="45"/>
        <v>0.44444444444444442</v>
      </c>
      <c r="AG74">
        <f>step3_validation[[#This Row],[AI_TRU4]]</f>
        <v>7</v>
      </c>
      <c r="AH74">
        <f t="shared" si="46"/>
        <v>0.66666666666666663</v>
      </c>
      <c r="AI74">
        <f>survey_responses[[#This Row],[Tôi thấy Nhà nước đã giải thích rõ ràng, minh bạch về lý do và mục tiêu của việc sửa đổi thuế lần này. - HUMAN-TRU4]]</f>
        <v>5</v>
      </c>
      <c r="AJ74">
        <f t="shared" si="47"/>
        <v>0.44444444444444442</v>
      </c>
      <c r="AK74" s="32">
        <f t="shared" si="48"/>
        <v>0.61111111111111116</v>
      </c>
      <c r="AL74" s="32">
        <f t="shared" si="49"/>
        <v>0.58333333333333326</v>
      </c>
      <c r="AM74" s="7">
        <f t="shared" si="50"/>
        <v>0.64814814814814825</v>
      </c>
      <c r="AN74" s="7">
        <f t="shared" si="51"/>
        <v>0.4907407407407407</v>
      </c>
      <c r="AO74">
        <f>step3_validation[[#This Row],[AI_OUT1]]</f>
        <v>6</v>
      </c>
      <c r="AP74">
        <f t="shared" si="52"/>
        <v>0.55555555555555558</v>
      </c>
      <c r="AQ74">
        <f>survey_responses[[#This Row],[Sau khi xem xét các quyền lợi và nghĩa vụ, bạn có ủng hộ và tuân thủ chính sách mới hiện nay? - HUMAN-OUT1]]</f>
        <v>10</v>
      </c>
      <c r="AR74">
        <f t="shared" si="53"/>
        <v>1</v>
      </c>
      <c r="AS74" s="32">
        <f t="shared" si="54"/>
        <v>4</v>
      </c>
      <c r="AT74">
        <f t="shared" si="55"/>
        <v>1</v>
      </c>
    </row>
    <row r="75" spans="1:46" x14ac:dyDescent="0.45">
      <c r="A75">
        <f>step3_validation[[#This Row],[AI_ENF1]]</f>
        <v>7</v>
      </c>
      <c r="B75">
        <f t="shared" si="28"/>
        <v>0.66666666666666663</v>
      </c>
      <c r="C75">
        <f>survey_responses[[#This Row],[Tôi tin rằng với các quy định quản lý thuế hiện nay, hành vi gian lận hoặc trốn thuế sẽ dễ dàng bị phát hiện và xử lý nghiêm. - HUMAN-ENF1]]</f>
        <v>5</v>
      </c>
      <c r="D75">
        <f t="shared" si="29"/>
        <v>0.44444444444444442</v>
      </c>
      <c r="E75">
        <f>step3_validation[[#This Row],[AI_ENF2]]</f>
        <v>8</v>
      </c>
      <c r="F75">
        <f t="shared" si="30"/>
        <v>0.77777777777777779</v>
      </c>
      <c r="G75">
        <f>survey_responses[[#This Row],[Tôi tin rằng Nhà nước, cơ quan thuế có đủ khả năng và công nghệ để phát hiện, xử lý nghiêm các hành vi trốn thuế. - HUMAN-ENF2]]</f>
        <v>10</v>
      </c>
      <c r="H75">
        <f t="shared" si="31"/>
        <v>1</v>
      </c>
      <c r="I75" s="32">
        <f t="shared" si="32"/>
        <v>0.72222222222222221</v>
      </c>
      <c r="J75" s="32">
        <f t="shared" si="33"/>
        <v>0.72222222222222221</v>
      </c>
      <c r="K75">
        <f>step3_validation[[#This Row],[AI_FAC1]]</f>
        <v>9</v>
      </c>
      <c r="L75">
        <f t="shared" si="34"/>
        <v>0.88888888888888884</v>
      </c>
      <c r="M75">
        <f>survey_responses[[#This Row],[Các thủ tục khai báo thuế VÀ/HOẶC quy trình làm việc với cơ quan thuế đơn giản, tiện lợi, nhanh chóng hơn so với trước đây. - HUMAN-FAC1]]</f>
        <v>2</v>
      </c>
      <c r="N75">
        <f t="shared" si="35"/>
        <v>0.1111111111111111</v>
      </c>
      <c r="O75">
        <f>step3_validation[[#This Row],[AI_FAC2]]</f>
        <v>8</v>
      </c>
      <c r="P75">
        <f t="shared" si="36"/>
        <v>0.77777777777777779</v>
      </c>
      <c r="Q75">
        <f>survey_responses[[#This Row],[So với trước đây, tôi thấy cách tính thuế và các bậc thuế trong phương án mới đơn giản, dễ hiểu và dễ thực hiện hơn. - HUMAN-FAC2]]</f>
        <v>8</v>
      </c>
      <c r="R75">
        <f t="shared" si="37"/>
        <v>0.77777777777777779</v>
      </c>
      <c r="S75" s="32">
        <f t="shared" si="38"/>
        <v>0.83333333333333326</v>
      </c>
      <c r="T75" s="32">
        <f t="shared" si="39"/>
        <v>0.44444444444444442</v>
      </c>
      <c r="U75">
        <f>step3_validation[[#This Row],[AI_TRU1]]</f>
        <v>7</v>
      </c>
      <c r="V75">
        <f t="shared" si="40"/>
        <v>0.66666666666666663</v>
      </c>
      <c r="W75">
        <f>survey_responses[[#This Row],[Tôi tin rằng Nhà nước, cơ quan thuế sẽ thực thi chính sách mới một cách khách quan, công tâm và đối xử bình đẳng với mọi người nộp thuế.  - HUMAN-TRU1]]</f>
        <v>5</v>
      </c>
      <c r="X75">
        <f t="shared" si="41"/>
        <v>0.44444444444444442</v>
      </c>
      <c r="Y75">
        <f>step3_validation[[#This Row],[AI_TRU2]]</f>
        <v>8</v>
      </c>
      <c r="Z75">
        <f t="shared" si="42"/>
        <v>0.77777777777777779</v>
      </c>
      <c r="AA75">
        <f>survey_responses[[#This Row],[Tôi thấy mức thuế tôi phải đóng theo phương án mới là công bằng (người thu nhập như tôi đóng mức này là hợp lý). - HUMAN-TRU2]]</f>
        <v>5</v>
      </c>
      <c r="AB75">
        <f t="shared" si="43"/>
        <v>0.44444444444444442</v>
      </c>
      <c r="AC75">
        <f>step3_validation[[#This Row],[AI_TRU3]]</f>
        <v>7</v>
      </c>
      <c r="AD75">
        <f t="shared" si="44"/>
        <v>0.66666666666666663</v>
      </c>
      <c r="AE75">
        <f>survey_responses[[#This Row],[Tôi tin tưởng số tiền thuế tôi đóng sẽ được Nhà nước sử dụng hiệu quả để cải thiện dịch vụ công (y tế, đường xá...). - HUMAN-TRU3]]</f>
        <v>1</v>
      </c>
      <c r="AF75">
        <f t="shared" si="45"/>
        <v>0</v>
      </c>
      <c r="AG75">
        <f>step3_validation[[#This Row],[AI_TRU4]]</f>
        <v>8</v>
      </c>
      <c r="AH75">
        <f t="shared" si="46"/>
        <v>0.77777777777777779</v>
      </c>
      <c r="AI75">
        <f>survey_responses[[#This Row],[Tôi thấy Nhà nước đã giải thích rõ ràng, minh bạch về lý do và mục tiêu của việc sửa đổi thuế lần này. - HUMAN-TRU4]]</f>
        <v>4</v>
      </c>
      <c r="AJ75">
        <f t="shared" si="47"/>
        <v>0.33333333333333331</v>
      </c>
      <c r="AK75" s="32">
        <f t="shared" si="48"/>
        <v>0.72222222222222221</v>
      </c>
      <c r="AL75" s="32">
        <f t="shared" si="49"/>
        <v>0.30555555555555552</v>
      </c>
      <c r="AM75" s="7">
        <f t="shared" si="50"/>
        <v>0.75925925925925919</v>
      </c>
      <c r="AN75" s="7">
        <f t="shared" si="51"/>
        <v>0.4907407407407407</v>
      </c>
      <c r="AO75">
        <f>step3_validation[[#This Row],[AI_OUT1]]</f>
        <v>9</v>
      </c>
      <c r="AP75">
        <f t="shared" si="52"/>
        <v>0.88888888888888884</v>
      </c>
      <c r="AQ75">
        <f>survey_responses[[#This Row],[Sau khi xem xét các quyền lợi và nghĩa vụ, bạn có ủng hộ và tuân thủ chính sách mới hiện nay? - HUMAN-OUT1]]</f>
        <v>5</v>
      </c>
      <c r="AR75">
        <f t="shared" si="53"/>
        <v>0.44444444444444442</v>
      </c>
      <c r="AS75" s="32">
        <f t="shared" si="54"/>
        <v>4</v>
      </c>
      <c r="AT75">
        <f t="shared" si="55"/>
        <v>0</v>
      </c>
    </row>
    <row r="76" spans="1:46" x14ac:dyDescent="0.45">
      <c r="A76">
        <f>step3_validation[[#This Row],[AI_ENF1]]</f>
        <v>7</v>
      </c>
      <c r="B76">
        <f t="shared" si="28"/>
        <v>0.66666666666666663</v>
      </c>
      <c r="C76">
        <f>survey_responses[[#This Row],[Tôi tin rằng với các quy định quản lý thuế hiện nay, hành vi gian lận hoặc trốn thuế sẽ dễ dàng bị phát hiện và xử lý nghiêm. - HUMAN-ENF1]]</f>
        <v>8</v>
      </c>
      <c r="D76">
        <f t="shared" si="29"/>
        <v>0.77777777777777779</v>
      </c>
      <c r="E76">
        <f>step3_validation[[#This Row],[AI_ENF2]]</f>
        <v>6</v>
      </c>
      <c r="F76">
        <f t="shared" si="30"/>
        <v>0.55555555555555558</v>
      </c>
      <c r="G76">
        <f>survey_responses[[#This Row],[Tôi tin rằng Nhà nước, cơ quan thuế có đủ khả năng và công nghệ để phát hiện, xử lý nghiêm các hành vi trốn thuế. - HUMAN-ENF2]]</f>
        <v>9</v>
      </c>
      <c r="H76">
        <f t="shared" si="31"/>
        <v>0.88888888888888884</v>
      </c>
      <c r="I76" s="32">
        <f t="shared" si="32"/>
        <v>0.61111111111111116</v>
      </c>
      <c r="J76" s="32">
        <f t="shared" si="33"/>
        <v>0.83333333333333326</v>
      </c>
      <c r="K76">
        <f>step3_validation[[#This Row],[AI_FAC1]]</f>
        <v>8</v>
      </c>
      <c r="L76">
        <f t="shared" si="34"/>
        <v>0.77777777777777779</v>
      </c>
      <c r="M76">
        <f>survey_responses[[#This Row],[Các thủ tục khai báo thuế VÀ/HOẶC quy trình làm việc với cơ quan thuế đơn giản, tiện lợi, nhanh chóng hơn so với trước đây. - HUMAN-FAC1]]</f>
        <v>9</v>
      </c>
      <c r="N76">
        <f t="shared" si="35"/>
        <v>0.88888888888888884</v>
      </c>
      <c r="O76">
        <f>step3_validation[[#This Row],[AI_FAC2]]</f>
        <v>7</v>
      </c>
      <c r="P76">
        <f t="shared" si="36"/>
        <v>0.66666666666666663</v>
      </c>
      <c r="Q76">
        <f>survey_responses[[#This Row],[So với trước đây, tôi thấy cách tính thuế và các bậc thuế trong phương án mới đơn giản, dễ hiểu và dễ thực hiện hơn. - HUMAN-FAC2]]</f>
        <v>9</v>
      </c>
      <c r="R76">
        <f t="shared" si="37"/>
        <v>0.88888888888888884</v>
      </c>
      <c r="S76" s="32">
        <f t="shared" si="38"/>
        <v>0.72222222222222221</v>
      </c>
      <c r="T76" s="32">
        <f t="shared" si="39"/>
        <v>0.88888888888888884</v>
      </c>
      <c r="U76">
        <f>step3_validation[[#This Row],[AI_TRU1]]</f>
        <v>5</v>
      </c>
      <c r="V76">
        <f t="shared" si="40"/>
        <v>0.44444444444444442</v>
      </c>
      <c r="W76">
        <f>survey_responses[[#This Row],[Tôi tin rằng Nhà nước, cơ quan thuế sẽ thực thi chính sách mới một cách khách quan, công tâm và đối xử bình đẳng với mọi người nộp thuế.  - HUMAN-TRU1]]</f>
        <v>3</v>
      </c>
      <c r="X76">
        <f t="shared" si="41"/>
        <v>0.22222222222222221</v>
      </c>
      <c r="Y76">
        <f>step3_validation[[#This Row],[AI_TRU2]]</f>
        <v>8</v>
      </c>
      <c r="Z76">
        <f t="shared" si="42"/>
        <v>0.77777777777777779</v>
      </c>
      <c r="AA76">
        <f>survey_responses[[#This Row],[Tôi thấy mức thuế tôi phải đóng theo phương án mới là công bằng (người thu nhập như tôi đóng mức này là hợp lý). - HUMAN-TRU2]]</f>
        <v>3</v>
      </c>
      <c r="AB76">
        <f t="shared" si="43"/>
        <v>0.22222222222222221</v>
      </c>
      <c r="AC76">
        <f>step3_validation[[#This Row],[AI_TRU3]]</f>
        <v>6</v>
      </c>
      <c r="AD76">
        <f t="shared" si="44"/>
        <v>0.55555555555555558</v>
      </c>
      <c r="AE76">
        <f>survey_responses[[#This Row],[Tôi tin tưởng số tiền thuế tôi đóng sẽ được Nhà nước sử dụng hiệu quả để cải thiện dịch vụ công (y tế, đường xá...). - HUMAN-TRU3]]</f>
        <v>2</v>
      </c>
      <c r="AF76">
        <f t="shared" si="45"/>
        <v>0.1111111111111111</v>
      </c>
      <c r="AG76">
        <f>step3_validation[[#This Row],[AI_TRU4]]</f>
        <v>5</v>
      </c>
      <c r="AH76">
        <f t="shared" si="46"/>
        <v>0.44444444444444442</v>
      </c>
      <c r="AI76">
        <f>survey_responses[[#This Row],[Tôi thấy Nhà nước đã giải thích rõ ràng, minh bạch về lý do và mục tiêu của việc sửa đổi thuế lần này. - HUMAN-TRU4]]</f>
        <v>2</v>
      </c>
      <c r="AJ76">
        <f t="shared" si="47"/>
        <v>0.1111111111111111</v>
      </c>
      <c r="AK76" s="32">
        <f t="shared" si="48"/>
        <v>0.55555555555555558</v>
      </c>
      <c r="AL76" s="32">
        <f t="shared" si="49"/>
        <v>0.16666666666666669</v>
      </c>
      <c r="AM76" s="7">
        <f t="shared" si="50"/>
        <v>0.62962962962962965</v>
      </c>
      <c r="AN76" s="7">
        <f t="shared" si="51"/>
        <v>0.62962962962962965</v>
      </c>
      <c r="AO76">
        <f>step3_validation[[#This Row],[AI_OUT1]]</f>
        <v>7</v>
      </c>
      <c r="AP76">
        <f t="shared" si="52"/>
        <v>0.66666666666666663</v>
      </c>
      <c r="AQ76">
        <f>survey_responses[[#This Row],[Sau khi xem xét các quyền lợi và nghĩa vụ, bạn có ủng hộ và tuân thủ chính sách mới hiện nay? - HUMAN-OUT1]]</f>
        <v>6</v>
      </c>
      <c r="AR76">
        <f t="shared" si="53"/>
        <v>0.55555555555555558</v>
      </c>
      <c r="AS76" s="32">
        <f t="shared" si="54"/>
        <v>1</v>
      </c>
      <c r="AT76">
        <f t="shared" si="55"/>
        <v>1</v>
      </c>
    </row>
    <row r="77" spans="1:46" x14ac:dyDescent="0.45">
      <c r="A77">
        <f>step3_validation[[#This Row],[AI_ENF1]]</f>
        <v>8</v>
      </c>
      <c r="B77">
        <f t="shared" si="28"/>
        <v>0.77777777777777779</v>
      </c>
      <c r="C77">
        <f>survey_responses[[#This Row],[Tôi tin rằng với các quy định quản lý thuế hiện nay, hành vi gian lận hoặc trốn thuế sẽ dễ dàng bị phát hiện và xử lý nghiêm. - HUMAN-ENF1]]</f>
        <v>5</v>
      </c>
      <c r="D77">
        <f t="shared" si="29"/>
        <v>0.44444444444444442</v>
      </c>
      <c r="E77">
        <f>step3_validation[[#This Row],[AI_ENF2]]</f>
        <v>7</v>
      </c>
      <c r="F77">
        <f t="shared" si="30"/>
        <v>0.66666666666666663</v>
      </c>
      <c r="G77">
        <f>survey_responses[[#This Row],[Tôi tin rằng Nhà nước, cơ quan thuế có đủ khả năng và công nghệ để phát hiện, xử lý nghiêm các hành vi trốn thuế. - HUMAN-ENF2]]</f>
        <v>5</v>
      </c>
      <c r="H77">
        <f t="shared" si="31"/>
        <v>0.44444444444444442</v>
      </c>
      <c r="I77" s="32">
        <f t="shared" si="32"/>
        <v>0.72222222222222221</v>
      </c>
      <c r="J77" s="32">
        <f t="shared" si="33"/>
        <v>0.44444444444444442</v>
      </c>
      <c r="K77">
        <f>step3_validation[[#This Row],[AI_FAC1]]</f>
        <v>9</v>
      </c>
      <c r="L77">
        <f t="shared" si="34"/>
        <v>0.88888888888888884</v>
      </c>
      <c r="M77">
        <f>survey_responses[[#This Row],[Các thủ tục khai báo thuế VÀ/HOẶC quy trình làm việc với cơ quan thuế đơn giản, tiện lợi, nhanh chóng hơn so với trước đây. - HUMAN-FAC1]]</f>
        <v>5</v>
      </c>
      <c r="N77">
        <f t="shared" si="35"/>
        <v>0.44444444444444442</v>
      </c>
      <c r="O77">
        <f>step3_validation[[#This Row],[AI_FAC2]]</f>
        <v>8</v>
      </c>
      <c r="P77">
        <f t="shared" si="36"/>
        <v>0.77777777777777779</v>
      </c>
      <c r="Q77">
        <f>survey_responses[[#This Row],[So với trước đây, tôi thấy cách tính thuế và các bậc thuế trong phương án mới đơn giản, dễ hiểu và dễ thực hiện hơn. - HUMAN-FAC2]]</f>
        <v>5</v>
      </c>
      <c r="R77">
        <f t="shared" si="37"/>
        <v>0.44444444444444442</v>
      </c>
      <c r="S77" s="32">
        <f t="shared" si="38"/>
        <v>0.83333333333333326</v>
      </c>
      <c r="T77" s="32">
        <f t="shared" si="39"/>
        <v>0.44444444444444442</v>
      </c>
      <c r="U77">
        <f>step3_validation[[#This Row],[AI_TRU1]]</f>
        <v>7</v>
      </c>
      <c r="V77">
        <f t="shared" si="40"/>
        <v>0.66666666666666663</v>
      </c>
      <c r="W77">
        <f>survey_responses[[#This Row],[Tôi tin rằng Nhà nước, cơ quan thuế sẽ thực thi chính sách mới một cách khách quan, công tâm và đối xử bình đẳng với mọi người nộp thuế.  - HUMAN-TRU1]]</f>
        <v>5</v>
      </c>
      <c r="X77">
        <f t="shared" si="41"/>
        <v>0.44444444444444442</v>
      </c>
      <c r="Y77">
        <f>step3_validation[[#This Row],[AI_TRU2]]</f>
        <v>8</v>
      </c>
      <c r="Z77">
        <f t="shared" si="42"/>
        <v>0.77777777777777779</v>
      </c>
      <c r="AA77">
        <f>survey_responses[[#This Row],[Tôi thấy mức thuế tôi phải đóng theo phương án mới là công bằng (người thu nhập như tôi đóng mức này là hợp lý). - HUMAN-TRU2]]</f>
        <v>5</v>
      </c>
      <c r="AB77">
        <f t="shared" si="43"/>
        <v>0.44444444444444442</v>
      </c>
      <c r="AC77">
        <f>step3_validation[[#This Row],[AI_TRU3]]</f>
        <v>6</v>
      </c>
      <c r="AD77">
        <f t="shared" si="44"/>
        <v>0.55555555555555558</v>
      </c>
      <c r="AE77">
        <f>survey_responses[[#This Row],[Tôi tin tưởng số tiền thuế tôi đóng sẽ được Nhà nước sử dụng hiệu quả để cải thiện dịch vụ công (y tế, đường xá...). - HUMAN-TRU3]]</f>
        <v>5</v>
      </c>
      <c r="AF77">
        <f t="shared" si="45"/>
        <v>0.44444444444444442</v>
      </c>
      <c r="AG77">
        <f>step3_validation[[#This Row],[AI_TRU4]]</f>
        <v>7</v>
      </c>
      <c r="AH77">
        <f t="shared" si="46"/>
        <v>0.66666666666666663</v>
      </c>
      <c r="AI77">
        <f>survey_responses[[#This Row],[Tôi thấy Nhà nước đã giải thích rõ ràng, minh bạch về lý do và mục tiêu của việc sửa đổi thuế lần này. - HUMAN-TRU4]]</f>
        <v>5</v>
      </c>
      <c r="AJ77">
        <f t="shared" si="47"/>
        <v>0.44444444444444442</v>
      </c>
      <c r="AK77" s="32">
        <f t="shared" si="48"/>
        <v>0.66666666666666663</v>
      </c>
      <c r="AL77" s="32">
        <f t="shared" si="49"/>
        <v>0.44444444444444442</v>
      </c>
      <c r="AM77" s="7">
        <f t="shared" si="50"/>
        <v>0.74074074074074059</v>
      </c>
      <c r="AN77" s="7">
        <f t="shared" si="51"/>
        <v>0.44444444444444442</v>
      </c>
      <c r="AO77">
        <f>step3_validation[[#This Row],[AI_OUT1]]</f>
        <v>8</v>
      </c>
      <c r="AP77">
        <f t="shared" si="52"/>
        <v>0.77777777777777779</v>
      </c>
      <c r="AQ77">
        <f>survey_responses[[#This Row],[Sau khi xem xét các quyền lợi và nghĩa vụ, bạn có ủng hộ và tuân thủ chính sách mới hiện nay? - HUMAN-OUT1]]</f>
        <v>5</v>
      </c>
      <c r="AR77">
        <f t="shared" si="53"/>
        <v>0.44444444444444442</v>
      </c>
      <c r="AS77" s="32">
        <f t="shared" si="54"/>
        <v>3</v>
      </c>
      <c r="AT77">
        <f t="shared" si="55"/>
        <v>0</v>
      </c>
    </row>
    <row r="78" spans="1:46" x14ac:dyDescent="0.45">
      <c r="A78">
        <f>step3_validation[[#This Row],[AI_ENF1]]</f>
        <v>7</v>
      </c>
      <c r="B78">
        <f t="shared" si="28"/>
        <v>0.66666666666666663</v>
      </c>
      <c r="C78">
        <f>survey_responses[[#This Row],[Tôi tin rằng với các quy định quản lý thuế hiện nay, hành vi gian lận hoặc trốn thuế sẽ dễ dàng bị phát hiện và xử lý nghiêm. - HUMAN-ENF1]]</f>
        <v>8</v>
      </c>
      <c r="D78">
        <f t="shared" si="29"/>
        <v>0.77777777777777779</v>
      </c>
      <c r="E78">
        <f>step3_validation[[#This Row],[AI_ENF2]]</f>
        <v>8</v>
      </c>
      <c r="F78">
        <f t="shared" si="30"/>
        <v>0.77777777777777779</v>
      </c>
      <c r="G78">
        <f>survey_responses[[#This Row],[Tôi tin rằng Nhà nước, cơ quan thuế có đủ khả năng và công nghệ để phát hiện, xử lý nghiêm các hành vi trốn thuế. - HUMAN-ENF2]]</f>
        <v>8</v>
      </c>
      <c r="H78">
        <f t="shared" si="31"/>
        <v>0.77777777777777779</v>
      </c>
      <c r="I78" s="32">
        <f t="shared" si="32"/>
        <v>0.72222222222222221</v>
      </c>
      <c r="J78" s="32">
        <f t="shared" si="33"/>
        <v>0.77777777777777779</v>
      </c>
      <c r="K78">
        <f>step3_validation[[#This Row],[AI_FAC1]]</f>
        <v>6</v>
      </c>
      <c r="L78">
        <f t="shared" si="34"/>
        <v>0.55555555555555558</v>
      </c>
      <c r="M78">
        <f>survey_responses[[#This Row],[Các thủ tục khai báo thuế VÀ/HOẶC quy trình làm việc với cơ quan thuế đơn giản, tiện lợi, nhanh chóng hơn so với trước đây. - HUMAN-FAC1]]</f>
        <v>8</v>
      </c>
      <c r="N78">
        <f t="shared" si="35"/>
        <v>0.77777777777777779</v>
      </c>
      <c r="O78">
        <f>step3_validation[[#This Row],[AI_FAC2]]</f>
        <v>6</v>
      </c>
      <c r="P78">
        <f t="shared" si="36"/>
        <v>0.55555555555555558</v>
      </c>
      <c r="Q78">
        <f>survey_responses[[#This Row],[So với trước đây, tôi thấy cách tính thuế và các bậc thuế trong phương án mới đơn giản, dễ hiểu và dễ thực hiện hơn. - HUMAN-FAC2]]</f>
        <v>8</v>
      </c>
      <c r="R78">
        <f t="shared" si="37"/>
        <v>0.77777777777777779</v>
      </c>
      <c r="S78" s="32">
        <f t="shared" si="38"/>
        <v>0.55555555555555558</v>
      </c>
      <c r="T78" s="32">
        <f t="shared" si="39"/>
        <v>0.77777777777777779</v>
      </c>
      <c r="U78">
        <f>step3_validation[[#This Row],[AI_TRU1]]</f>
        <v>8</v>
      </c>
      <c r="V78">
        <f t="shared" si="40"/>
        <v>0.77777777777777779</v>
      </c>
      <c r="W78">
        <f>survey_responses[[#This Row],[Tôi tin rằng Nhà nước, cơ quan thuế sẽ thực thi chính sách mới một cách khách quan, công tâm và đối xử bình đẳng với mọi người nộp thuế.  - HUMAN-TRU1]]</f>
        <v>9</v>
      </c>
      <c r="X78">
        <f t="shared" si="41"/>
        <v>0.88888888888888884</v>
      </c>
      <c r="Y78">
        <f>step3_validation[[#This Row],[AI_TRU2]]</f>
        <v>7</v>
      </c>
      <c r="Z78">
        <f t="shared" si="42"/>
        <v>0.66666666666666663</v>
      </c>
      <c r="AA78">
        <f>survey_responses[[#This Row],[Tôi thấy mức thuế tôi phải đóng theo phương án mới là công bằng (người thu nhập như tôi đóng mức này là hợp lý). - HUMAN-TRU2]]</f>
        <v>7</v>
      </c>
      <c r="AB78">
        <f t="shared" si="43"/>
        <v>0.66666666666666663</v>
      </c>
      <c r="AC78">
        <f>step3_validation[[#This Row],[AI_TRU3]]</f>
        <v>7</v>
      </c>
      <c r="AD78">
        <f t="shared" si="44"/>
        <v>0.66666666666666663</v>
      </c>
      <c r="AE78">
        <f>survey_responses[[#This Row],[Tôi tin tưởng số tiền thuế tôi đóng sẽ được Nhà nước sử dụng hiệu quả để cải thiện dịch vụ công (y tế, đường xá...). - HUMAN-TRU3]]</f>
        <v>9</v>
      </c>
      <c r="AF78">
        <f t="shared" si="45"/>
        <v>0.88888888888888884</v>
      </c>
      <c r="AG78">
        <f>step3_validation[[#This Row],[AI_TRU4]]</f>
        <v>8</v>
      </c>
      <c r="AH78">
        <f t="shared" si="46"/>
        <v>0.77777777777777779</v>
      </c>
      <c r="AI78">
        <f>survey_responses[[#This Row],[Tôi thấy Nhà nước đã giải thích rõ ràng, minh bạch về lý do và mục tiêu của việc sửa đổi thuế lần này. - HUMAN-TRU4]]</f>
        <v>10</v>
      </c>
      <c r="AJ78">
        <f t="shared" si="47"/>
        <v>1</v>
      </c>
      <c r="AK78" s="32">
        <f t="shared" si="48"/>
        <v>0.72222222222222221</v>
      </c>
      <c r="AL78" s="32">
        <f t="shared" si="49"/>
        <v>0.86111111111111105</v>
      </c>
      <c r="AM78" s="7">
        <f t="shared" si="50"/>
        <v>0.66666666666666663</v>
      </c>
      <c r="AN78" s="7">
        <f t="shared" si="51"/>
        <v>0.80555555555555547</v>
      </c>
      <c r="AO78">
        <f>step3_validation[[#This Row],[AI_OUT1]]</f>
        <v>7</v>
      </c>
      <c r="AP78">
        <f t="shared" si="52"/>
        <v>0.66666666666666663</v>
      </c>
      <c r="AQ78">
        <f>survey_responses[[#This Row],[Sau khi xem xét các quyền lợi và nghĩa vụ, bạn có ủng hộ và tuân thủ chính sách mới hiện nay? - HUMAN-OUT1]]</f>
        <v>8</v>
      </c>
      <c r="AR78">
        <f t="shared" si="53"/>
        <v>0.77777777777777779</v>
      </c>
      <c r="AS78" s="32">
        <f t="shared" si="54"/>
        <v>1</v>
      </c>
      <c r="AT78">
        <f t="shared" si="55"/>
        <v>1</v>
      </c>
    </row>
    <row r="79" spans="1:46" x14ac:dyDescent="0.45">
      <c r="A79">
        <f>step3_validation[[#This Row],[AI_ENF1]]</f>
        <v>6</v>
      </c>
      <c r="B79">
        <f t="shared" si="28"/>
        <v>0.55555555555555558</v>
      </c>
      <c r="C79">
        <f>survey_responses[[#This Row],[Tôi tin rằng với các quy định quản lý thuế hiện nay, hành vi gian lận hoặc trốn thuế sẽ dễ dàng bị phát hiện và xử lý nghiêm. - HUMAN-ENF1]]</f>
        <v>8</v>
      </c>
      <c r="D79">
        <f t="shared" si="29"/>
        <v>0.77777777777777779</v>
      </c>
      <c r="E79">
        <f>step3_validation[[#This Row],[AI_ENF2]]</f>
        <v>7</v>
      </c>
      <c r="F79">
        <f t="shared" si="30"/>
        <v>0.66666666666666663</v>
      </c>
      <c r="G79">
        <f>survey_responses[[#This Row],[Tôi tin rằng Nhà nước, cơ quan thuế có đủ khả năng và công nghệ để phát hiện, xử lý nghiêm các hành vi trốn thuế. - HUMAN-ENF2]]</f>
        <v>7</v>
      </c>
      <c r="H79">
        <f t="shared" si="31"/>
        <v>0.66666666666666663</v>
      </c>
      <c r="I79" s="32">
        <f t="shared" si="32"/>
        <v>0.61111111111111116</v>
      </c>
      <c r="J79" s="32">
        <f t="shared" si="33"/>
        <v>0.72222222222222221</v>
      </c>
      <c r="K79">
        <f>step3_validation[[#This Row],[AI_FAC1]]</f>
        <v>8</v>
      </c>
      <c r="L79">
        <f t="shared" si="34"/>
        <v>0.77777777777777779</v>
      </c>
      <c r="M79">
        <f>survey_responses[[#This Row],[Các thủ tục khai báo thuế VÀ/HOẶC quy trình làm việc với cơ quan thuế đơn giản, tiện lợi, nhanh chóng hơn so với trước đây. - HUMAN-FAC1]]</f>
        <v>9</v>
      </c>
      <c r="N79">
        <f t="shared" si="35"/>
        <v>0.88888888888888884</v>
      </c>
      <c r="O79">
        <f>step3_validation[[#This Row],[AI_FAC2]]</f>
        <v>7</v>
      </c>
      <c r="P79">
        <f t="shared" si="36"/>
        <v>0.66666666666666663</v>
      </c>
      <c r="Q79">
        <f>survey_responses[[#This Row],[So với trước đây, tôi thấy cách tính thuế và các bậc thuế trong phương án mới đơn giản, dễ hiểu và dễ thực hiện hơn. - HUMAN-FAC2]]</f>
        <v>8</v>
      </c>
      <c r="R79">
        <f t="shared" si="37"/>
        <v>0.77777777777777779</v>
      </c>
      <c r="S79" s="32">
        <f t="shared" si="38"/>
        <v>0.72222222222222221</v>
      </c>
      <c r="T79" s="32">
        <f t="shared" si="39"/>
        <v>0.83333333333333326</v>
      </c>
      <c r="U79">
        <f>step3_validation[[#This Row],[AI_TRU1]]</f>
        <v>5</v>
      </c>
      <c r="V79">
        <f t="shared" si="40"/>
        <v>0.44444444444444442</v>
      </c>
      <c r="W79">
        <f>survey_responses[[#This Row],[Tôi tin rằng Nhà nước, cơ quan thuế sẽ thực thi chính sách mới một cách khách quan, công tâm và đối xử bình đẳng với mọi người nộp thuế.  - HUMAN-TRU1]]</f>
        <v>8</v>
      </c>
      <c r="X79">
        <f t="shared" si="41"/>
        <v>0.77777777777777779</v>
      </c>
      <c r="Y79">
        <f>step3_validation[[#This Row],[AI_TRU2]]</f>
        <v>6</v>
      </c>
      <c r="Z79">
        <f t="shared" si="42"/>
        <v>0.55555555555555558</v>
      </c>
      <c r="AA79">
        <f>survey_responses[[#This Row],[Tôi thấy mức thuế tôi phải đóng theo phương án mới là công bằng (người thu nhập như tôi đóng mức này là hợp lý). - HUMAN-TRU2]]</f>
        <v>8</v>
      </c>
      <c r="AB79">
        <f t="shared" si="43"/>
        <v>0.77777777777777779</v>
      </c>
      <c r="AC79">
        <f>step3_validation[[#This Row],[AI_TRU3]]</f>
        <v>6</v>
      </c>
      <c r="AD79">
        <f t="shared" si="44"/>
        <v>0.55555555555555558</v>
      </c>
      <c r="AE79">
        <f>survey_responses[[#This Row],[Tôi tin tưởng số tiền thuế tôi đóng sẽ được Nhà nước sử dụng hiệu quả để cải thiện dịch vụ công (y tế, đường xá...). - HUMAN-TRU3]]</f>
        <v>6</v>
      </c>
      <c r="AF79">
        <f t="shared" si="45"/>
        <v>0.55555555555555558</v>
      </c>
      <c r="AG79">
        <f>step3_validation[[#This Row],[AI_TRU4]]</f>
        <v>5</v>
      </c>
      <c r="AH79">
        <f t="shared" si="46"/>
        <v>0.44444444444444442</v>
      </c>
      <c r="AI79">
        <f>survey_responses[[#This Row],[Tôi thấy Nhà nước đã giải thích rõ ràng, minh bạch về lý do và mục tiêu của việc sửa đổi thuế lần này. - HUMAN-TRU4]]</f>
        <v>6</v>
      </c>
      <c r="AJ79">
        <f t="shared" si="47"/>
        <v>0.55555555555555558</v>
      </c>
      <c r="AK79" s="32">
        <f t="shared" si="48"/>
        <v>0.5</v>
      </c>
      <c r="AL79" s="32">
        <f t="shared" si="49"/>
        <v>0.66666666666666674</v>
      </c>
      <c r="AM79" s="7">
        <f t="shared" si="50"/>
        <v>0.61111111111111116</v>
      </c>
      <c r="AN79" s="7">
        <f t="shared" si="51"/>
        <v>0.74074074074074081</v>
      </c>
      <c r="AO79">
        <f>step3_validation[[#This Row],[AI_OUT1]]</f>
        <v>7</v>
      </c>
      <c r="AP79">
        <f t="shared" si="52"/>
        <v>0.66666666666666663</v>
      </c>
      <c r="AQ79">
        <f>survey_responses[[#This Row],[Sau khi xem xét các quyền lợi và nghĩa vụ, bạn có ủng hộ và tuân thủ chính sách mới hiện nay? - HUMAN-OUT1]]</f>
        <v>7</v>
      </c>
      <c r="AR79">
        <f t="shared" si="53"/>
        <v>0.66666666666666663</v>
      </c>
      <c r="AS79" s="32">
        <f t="shared" si="54"/>
        <v>0</v>
      </c>
      <c r="AT79">
        <f t="shared" si="55"/>
        <v>1</v>
      </c>
    </row>
    <row r="80" spans="1:46" x14ac:dyDescent="0.45">
      <c r="A80">
        <f>step3_validation[[#This Row],[AI_ENF1]]</f>
        <v>7</v>
      </c>
      <c r="B80">
        <f t="shared" si="28"/>
        <v>0.66666666666666663</v>
      </c>
      <c r="C80">
        <f>survey_responses[[#This Row],[Tôi tin rằng với các quy định quản lý thuế hiện nay, hành vi gian lận hoặc trốn thuế sẽ dễ dàng bị phát hiện và xử lý nghiêm. - HUMAN-ENF1]]</f>
        <v>6</v>
      </c>
      <c r="D80">
        <f t="shared" si="29"/>
        <v>0.55555555555555558</v>
      </c>
      <c r="E80">
        <f>step3_validation[[#This Row],[AI_ENF2]]</f>
        <v>8</v>
      </c>
      <c r="F80">
        <f t="shared" si="30"/>
        <v>0.77777777777777779</v>
      </c>
      <c r="G80">
        <f>survey_responses[[#This Row],[Tôi tin rằng Nhà nước, cơ quan thuế có đủ khả năng và công nghệ để phát hiện, xử lý nghiêm các hành vi trốn thuế. - HUMAN-ENF2]]</f>
        <v>2</v>
      </c>
      <c r="H80">
        <f t="shared" si="31"/>
        <v>0.1111111111111111</v>
      </c>
      <c r="I80" s="32">
        <f t="shared" si="32"/>
        <v>0.72222222222222221</v>
      </c>
      <c r="J80" s="32">
        <f t="shared" si="33"/>
        <v>0.33333333333333337</v>
      </c>
      <c r="K80">
        <f>step3_validation[[#This Row],[AI_FAC1]]</f>
        <v>6</v>
      </c>
      <c r="L80">
        <f t="shared" si="34"/>
        <v>0.55555555555555558</v>
      </c>
      <c r="M80">
        <f>survey_responses[[#This Row],[Các thủ tục khai báo thuế VÀ/HOẶC quy trình làm việc với cơ quan thuế đơn giản, tiện lợi, nhanh chóng hơn so với trước đây. - HUMAN-FAC1]]</f>
        <v>3</v>
      </c>
      <c r="N80">
        <f t="shared" si="35"/>
        <v>0.22222222222222221</v>
      </c>
      <c r="O80">
        <f>step3_validation[[#This Row],[AI_FAC2]]</f>
        <v>5</v>
      </c>
      <c r="P80">
        <f t="shared" si="36"/>
        <v>0.44444444444444442</v>
      </c>
      <c r="Q80">
        <f>survey_responses[[#This Row],[So với trước đây, tôi thấy cách tính thuế và các bậc thuế trong phương án mới đơn giản, dễ hiểu và dễ thực hiện hơn. - HUMAN-FAC2]]</f>
        <v>2</v>
      </c>
      <c r="R80">
        <f t="shared" si="37"/>
        <v>0.1111111111111111</v>
      </c>
      <c r="S80" s="32">
        <f t="shared" si="38"/>
        <v>0.5</v>
      </c>
      <c r="T80" s="32">
        <f t="shared" si="39"/>
        <v>0.16666666666666666</v>
      </c>
      <c r="U80">
        <f>step3_validation[[#This Row],[AI_TRU1]]</f>
        <v>7</v>
      </c>
      <c r="V80">
        <f t="shared" si="40"/>
        <v>0.66666666666666663</v>
      </c>
      <c r="W80">
        <f>survey_responses[[#This Row],[Tôi tin rằng Nhà nước, cơ quan thuế sẽ thực thi chính sách mới một cách khách quan, công tâm và đối xử bình đẳng với mọi người nộp thuế.  - HUMAN-TRU1]]</f>
        <v>3</v>
      </c>
      <c r="X80">
        <f t="shared" si="41"/>
        <v>0.22222222222222221</v>
      </c>
      <c r="Y80">
        <f>step3_validation[[#This Row],[AI_TRU2]]</f>
        <v>6</v>
      </c>
      <c r="Z80">
        <f t="shared" si="42"/>
        <v>0.55555555555555558</v>
      </c>
      <c r="AA80">
        <f>survey_responses[[#This Row],[Tôi thấy mức thuế tôi phải đóng theo phương án mới là công bằng (người thu nhập như tôi đóng mức này là hợp lý). - HUMAN-TRU2]]</f>
        <v>7</v>
      </c>
      <c r="AB80">
        <f t="shared" si="43"/>
        <v>0.66666666666666663</v>
      </c>
      <c r="AC80">
        <f>step3_validation[[#This Row],[AI_TRU3]]</f>
        <v>7</v>
      </c>
      <c r="AD80">
        <f t="shared" si="44"/>
        <v>0.66666666666666663</v>
      </c>
      <c r="AE80">
        <f>survey_responses[[#This Row],[Tôi tin tưởng số tiền thuế tôi đóng sẽ được Nhà nước sử dụng hiệu quả để cải thiện dịch vụ công (y tế, đường xá...). - HUMAN-TRU3]]</f>
        <v>5</v>
      </c>
      <c r="AF80">
        <f t="shared" si="45"/>
        <v>0.44444444444444442</v>
      </c>
      <c r="AG80">
        <f>step3_validation[[#This Row],[AI_TRU4]]</f>
        <v>6</v>
      </c>
      <c r="AH80">
        <f t="shared" si="46"/>
        <v>0.55555555555555558</v>
      </c>
      <c r="AI80">
        <f>survey_responses[[#This Row],[Tôi thấy Nhà nước đã giải thích rõ ràng, minh bạch về lý do và mục tiêu của việc sửa đổi thuế lần này. - HUMAN-TRU4]]</f>
        <v>5</v>
      </c>
      <c r="AJ80">
        <f t="shared" si="47"/>
        <v>0.44444444444444442</v>
      </c>
      <c r="AK80" s="32">
        <f t="shared" si="48"/>
        <v>0.61111111111111116</v>
      </c>
      <c r="AL80" s="32">
        <f t="shared" si="49"/>
        <v>0.44444444444444442</v>
      </c>
      <c r="AM80" s="7">
        <f t="shared" si="50"/>
        <v>0.61111111111111116</v>
      </c>
      <c r="AN80" s="7">
        <f t="shared" si="51"/>
        <v>0.31481481481481483</v>
      </c>
      <c r="AO80">
        <f>step3_validation[[#This Row],[AI_OUT1]]</f>
        <v>8</v>
      </c>
      <c r="AP80">
        <f t="shared" si="52"/>
        <v>0.77777777777777779</v>
      </c>
      <c r="AQ80">
        <f>survey_responses[[#This Row],[Sau khi xem xét các quyền lợi và nghĩa vụ, bạn có ủng hộ và tuân thủ chính sách mới hiện nay? - HUMAN-OUT1]]</f>
        <v>7</v>
      </c>
      <c r="AR80">
        <f t="shared" si="53"/>
        <v>0.66666666666666663</v>
      </c>
      <c r="AS80" s="32">
        <f t="shared" si="54"/>
        <v>1</v>
      </c>
      <c r="AT80">
        <f t="shared" si="55"/>
        <v>1</v>
      </c>
    </row>
    <row r="81" spans="1:46" x14ac:dyDescent="0.45">
      <c r="A81">
        <f>step3_validation[[#This Row],[AI_ENF1]]</f>
        <v>8</v>
      </c>
      <c r="B81">
        <f t="shared" si="28"/>
        <v>0.77777777777777779</v>
      </c>
      <c r="C81">
        <f>survey_responses[[#This Row],[Tôi tin rằng với các quy định quản lý thuế hiện nay, hành vi gian lận hoặc trốn thuế sẽ dễ dàng bị phát hiện và xử lý nghiêm. - HUMAN-ENF1]]</f>
        <v>8</v>
      </c>
      <c r="D81">
        <f t="shared" si="29"/>
        <v>0.77777777777777779</v>
      </c>
      <c r="E81">
        <f>step3_validation[[#This Row],[AI_ENF2]]</f>
        <v>7</v>
      </c>
      <c r="F81">
        <f t="shared" si="30"/>
        <v>0.66666666666666663</v>
      </c>
      <c r="G81">
        <f>survey_responses[[#This Row],[Tôi tin rằng Nhà nước, cơ quan thuế có đủ khả năng và công nghệ để phát hiện, xử lý nghiêm các hành vi trốn thuế. - HUMAN-ENF2]]</f>
        <v>8</v>
      </c>
      <c r="H81">
        <f t="shared" si="31"/>
        <v>0.77777777777777779</v>
      </c>
      <c r="I81" s="32">
        <f t="shared" si="32"/>
        <v>0.72222222222222221</v>
      </c>
      <c r="J81" s="32">
        <f t="shared" si="33"/>
        <v>0.77777777777777779</v>
      </c>
      <c r="K81">
        <f>step3_validation[[#This Row],[AI_FAC1]]</f>
        <v>9</v>
      </c>
      <c r="L81">
        <f t="shared" si="34"/>
        <v>0.88888888888888884</v>
      </c>
      <c r="M81">
        <f>survey_responses[[#This Row],[Các thủ tục khai báo thuế VÀ/HOẶC quy trình làm việc với cơ quan thuế đơn giản, tiện lợi, nhanh chóng hơn so với trước đây. - HUMAN-FAC1]]</f>
        <v>8</v>
      </c>
      <c r="N81">
        <f t="shared" si="35"/>
        <v>0.77777777777777779</v>
      </c>
      <c r="O81">
        <f>step3_validation[[#This Row],[AI_FAC2]]</f>
        <v>8</v>
      </c>
      <c r="P81">
        <f t="shared" si="36"/>
        <v>0.77777777777777779</v>
      </c>
      <c r="Q81">
        <f>survey_responses[[#This Row],[So với trước đây, tôi thấy cách tính thuế và các bậc thuế trong phương án mới đơn giản, dễ hiểu và dễ thực hiện hơn. - HUMAN-FAC2]]</f>
        <v>8</v>
      </c>
      <c r="R81">
        <f t="shared" si="37"/>
        <v>0.77777777777777779</v>
      </c>
      <c r="S81" s="32">
        <f t="shared" si="38"/>
        <v>0.83333333333333326</v>
      </c>
      <c r="T81" s="32">
        <f t="shared" si="39"/>
        <v>0.77777777777777779</v>
      </c>
      <c r="U81">
        <f>step3_validation[[#This Row],[AI_TRU1]]</f>
        <v>7</v>
      </c>
      <c r="V81">
        <f t="shared" si="40"/>
        <v>0.66666666666666663</v>
      </c>
      <c r="W81">
        <f>survey_responses[[#This Row],[Tôi tin rằng Nhà nước, cơ quan thuế sẽ thực thi chính sách mới một cách khách quan, công tâm và đối xử bình đẳng với mọi người nộp thuế.  - HUMAN-TRU1]]</f>
        <v>8</v>
      </c>
      <c r="X81">
        <f t="shared" si="41"/>
        <v>0.77777777777777779</v>
      </c>
      <c r="Y81">
        <f>step3_validation[[#This Row],[AI_TRU2]]</f>
        <v>8</v>
      </c>
      <c r="Z81">
        <f t="shared" si="42"/>
        <v>0.77777777777777779</v>
      </c>
      <c r="AA81">
        <f>survey_responses[[#This Row],[Tôi thấy mức thuế tôi phải đóng theo phương án mới là công bằng (người thu nhập như tôi đóng mức này là hợp lý). - HUMAN-TRU2]]</f>
        <v>8</v>
      </c>
      <c r="AB81">
        <f t="shared" si="43"/>
        <v>0.77777777777777779</v>
      </c>
      <c r="AC81">
        <f>step3_validation[[#This Row],[AI_TRU3]]</f>
        <v>7</v>
      </c>
      <c r="AD81">
        <f t="shared" si="44"/>
        <v>0.66666666666666663</v>
      </c>
      <c r="AE81">
        <f>survey_responses[[#This Row],[Tôi tin tưởng số tiền thuế tôi đóng sẽ được Nhà nước sử dụng hiệu quả để cải thiện dịch vụ công (y tế, đường xá...). - HUMAN-TRU3]]</f>
        <v>8</v>
      </c>
      <c r="AF81">
        <f t="shared" si="45"/>
        <v>0.77777777777777779</v>
      </c>
      <c r="AG81">
        <f>step3_validation[[#This Row],[AI_TRU4]]</f>
        <v>8</v>
      </c>
      <c r="AH81">
        <f t="shared" si="46"/>
        <v>0.77777777777777779</v>
      </c>
      <c r="AI81">
        <f>survey_responses[[#This Row],[Tôi thấy Nhà nước đã giải thích rõ ràng, minh bạch về lý do và mục tiêu của việc sửa đổi thuế lần này. - HUMAN-TRU4]]</f>
        <v>8</v>
      </c>
      <c r="AJ81">
        <f t="shared" si="47"/>
        <v>0.77777777777777779</v>
      </c>
      <c r="AK81" s="32">
        <f t="shared" si="48"/>
        <v>0.72222222222222221</v>
      </c>
      <c r="AL81" s="32">
        <f t="shared" si="49"/>
        <v>0.77777777777777779</v>
      </c>
      <c r="AM81" s="7">
        <f t="shared" si="50"/>
        <v>0.75925925925925919</v>
      </c>
      <c r="AN81" s="7">
        <f t="shared" si="51"/>
        <v>0.77777777777777779</v>
      </c>
      <c r="AO81">
        <f>step3_validation[[#This Row],[AI_OUT1]]</f>
        <v>7</v>
      </c>
      <c r="AP81">
        <f t="shared" si="52"/>
        <v>0.66666666666666663</v>
      </c>
      <c r="AQ81">
        <f>survey_responses[[#This Row],[Sau khi xem xét các quyền lợi và nghĩa vụ, bạn có ủng hộ và tuân thủ chính sách mới hiện nay? - HUMAN-OUT1]]</f>
        <v>8</v>
      </c>
      <c r="AR81">
        <f t="shared" si="53"/>
        <v>0.77777777777777779</v>
      </c>
      <c r="AS81" s="32">
        <f t="shared" si="54"/>
        <v>1</v>
      </c>
      <c r="AT81">
        <f t="shared" si="55"/>
        <v>1</v>
      </c>
    </row>
    <row r="82" spans="1:46" x14ac:dyDescent="0.45">
      <c r="A82">
        <f>step3_validation[[#This Row],[AI_ENF1]]</f>
        <v>5</v>
      </c>
      <c r="B82">
        <f t="shared" si="28"/>
        <v>0.44444444444444442</v>
      </c>
      <c r="C82">
        <f>survey_responses[[#This Row],[Tôi tin rằng với các quy định quản lý thuế hiện nay, hành vi gian lận hoặc trốn thuế sẽ dễ dàng bị phát hiện và xử lý nghiêm. - HUMAN-ENF1]]</f>
        <v>7</v>
      </c>
      <c r="D82">
        <f t="shared" si="29"/>
        <v>0.66666666666666663</v>
      </c>
      <c r="E82">
        <f>step3_validation[[#This Row],[AI_ENF2]]</f>
        <v>6</v>
      </c>
      <c r="F82">
        <f t="shared" si="30"/>
        <v>0.55555555555555558</v>
      </c>
      <c r="G82">
        <f>survey_responses[[#This Row],[Tôi tin rằng Nhà nước, cơ quan thuế có đủ khả năng và công nghệ để phát hiện, xử lý nghiêm các hành vi trốn thuế. - HUMAN-ENF2]]</f>
        <v>7</v>
      </c>
      <c r="H82">
        <f t="shared" si="31"/>
        <v>0.66666666666666663</v>
      </c>
      <c r="I82" s="32">
        <f t="shared" si="32"/>
        <v>0.5</v>
      </c>
      <c r="J82" s="32">
        <f t="shared" si="33"/>
        <v>0.66666666666666663</v>
      </c>
      <c r="K82">
        <f>step3_validation[[#This Row],[AI_FAC1]]</f>
        <v>8</v>
      </c>
      <c r="L82">
        <f t="shared" si="34"/>
        <v>0.77777777777777779</v>
      </c>
      <c r="M82">
        <f>survey_responses[[#This Row],[Các thủ tục khai báo thuế VÀ/HOẶC quy trình làm việc với cơ quan thuế đơn giản, tiện lợi, nhanh chóng hơn so với trước đây. - HUMAN-FAC1]]</f>
        <v>5</v>
      </c>
      <c r="N82">
        <f t="shared" si="35"/>
        <v>0.44444444444444442</v>
      </c>
      <c r="O82">
        <f>step3_validation[[#This Row],[AI_FAC2]]</f>
        <v>9</v>
      </c>
      <c r="P82">
        <f t="shared" si="36"/>
        <v>0.88888888888888884</v>
      </c>
      <c r="Q82">
        <f>survey_responses[[#This Row],[So với trước đây, tôi thấy cách tính thuế và các bậc thuế trong phương án mới đơn giản, dễ hiểu và dễ thực hiện hơn. - HUMAN-FAC2]]</f>
        <v>5</v>
      </c>
      <c r="R82">
        <f t="shared" si="37"/>
        <v>0.44444444444444442</v>
      </c>
      <c r="S82" s="32">
        <f t="shared" si="38"/>
        <v>0.83333333333333326</v>
      </c>
      <c r="T82" s="32">
        <f t="shared" si="39"/>
        <v>0.44444444444444442</v>
      </c>
      <c r="U82">
        <f>step3_validation[[#This Row],[AI_TRU1]]</f>
        <v>7</v>
      </c>
      <c r="V82">
        <f t="shared" si="40"/>
        <v>0.66666666666666663</v>
      </c>
      <c r="W82">
        <f>survey_responses[[#This Row],[Tôi tin rằng Nhà nước, cơ quan thuế sẽ thực thi chính sách mới một cách khách quan, công tâm và đối xử bình đẳng với mọi người nộp thuế.  - HUMAN-TRU1]]</f>
        <v>6</v>
      </c>
      <c r="X82">
        <f t="shared" si="41"/>
        <v>0.55555555555555558</v>
      </c>
      <c r="Y82">
        <f>step3_validation[[#This Row],[AI_TRU2]]</f>
        <v>8</v>
      </c>
      <c r="Z82">
        <f t="shared" si="42"/>
        <v>0.77777777777777779</v>
      </c>
      <c r="AA82">
        <f>survey_responses[[#This Row],[Tôi thấy mức thuế tôi phải đóng theo phương án mới là công bằng (người thu nhập như tôi đóng mức này là hợp lý). - HUMAN-TRU2]]</f>
        <v>5</v>
      </c>
      <c r="AB82">
        <f t="shared" si="43"/>
        <v>0.44444444444444442</v>
      </c>
      <c r="AC82">
        <f>step3_validation[[#This Row],[AI_TRU3]]</f>
        <v>7</v>
      </c>
      <c r="AD82">
        <f t="shared" si="44"/>
        <v>0.66666666666666663</v>
      </c>
      <c r="AE82">
        <f>survey_responses[[#This Row],[Tôi tin tưởng số tiền thuế tôi đóng sẽ được Nhà nước sử dụng hiệu quả để cải thiện dịch vụ công (y tế, đường xá...). - HUMAN-TRU3]]</f>
        <v>8</v>
      </c>
      <c r="AF82">
        <f t="shared" si="45"/>
        <v>0.77777777777777779</v>
      </c>
      <c r="AG82">
        <f>step3_validation[[#This Row],[AI_TRU4]]</f>
        <v>5</v>
      </c>
      <c r="AH82">
        <f t="shared" si="46"/>
        <v>0.44444444444444442</v>
      </c>
      <c r="AI82">
        <f>survey_responses[[#This Row],[Tôi thấy Nhà nước đã giải thích rõ ràng, minh bạch về lý do và mục tiêu của việc sửa đổi thuế lần này. - HUMAN-TRU4]]</f>
        <v>6</v>
      </c>
      <c r="AJ82">
        <f t="shared" si="47"/>
        <v>0.55555555555555558</v>
      </c>
      <c r="AK82" s="32">
        <f t="shared" si="48"/>
        <v>0.63888888888888884</v>
      </c>
      <c r="AL82" s="32">
        <f t="shared" si="49"/>
        <v>0.58333333333333326</v>
      </c>
      <c r="AM82" s="7">
        <f t="shared" si="50"/>
        <v>0.65740740740740733</v>
      </c>
      <c r="AN82" s="7">
        <f t="shared" si="51"/>
        <v>0.56481481481481477</v>
      </c>
      <c r="AO82">
        <f>step3_validation[[#This Row],[AI_OUT1]]</f>
        <v>6</v>
      </c>
      <c r="AP82">
        <f t="shared" si="52"/>
        <v>0.55555555555555558</v>
      </c>
      <c r="AQ82">
        <f>survey_responses[[#This Row],[Sau khi xem xét các quyền lợi và nghĩa vụ, bạn có ủng hộ và tuân thủ chính sách mới hiện nay? - HUMAN-OUT1]]</f>
        <v>8</v>
      </c>
      <c r="AR82">
        <f t="shared" si="53"/>
        <v>0.77777777777777779</v>
      </c>
      <c r="AS82" s="32">
        <f t="shared" si="54"/>
        <v>2</v>
      </c>
      <c r="AT82">
        <f t="shared" si="55"/>
        <v>1</v>
      </c>
    </row>
    <row r="83" spans="1:46" x14ac:dyDescent="0.45">
      <c r="A83">
        <f>step3_validation[[#This Row],[AI_ENF1]]</f>
        <v>8</v>
      </c>
      <c r="B83">
        <f t="shared" si="28"/>
        <v>0.77777777777777779</v>
      </c>
      <c r="C83">
        <f>survey_responses[[#This Row],[Tôi tin rằng với các quy định quản lý thuế hiện nay, hành vi gian lận hoặc trốn thuế sẽ dễ dàng bị phát hiện và xử lý nghiêm. - HUMAN-ENF1]]</f>
        <v>8</v>
      </c>
      <c r="D83">
        <f t="shared" si="29"/>
        <v>0.77777777777777779</v>
      </c>
      <c r="E83">
        <f>step3_validation[[#This Row],[AI_ENF2]]</f>
        <v>9</v>
      </c>
      <c r="F83">
        <f t="shared" si="30"/>
        <v>0.88888888888888884</v>
      </c>
      <c r="G83">
        <f>survey_responses[[#This Row],[Tôi tin rằng Nhà nước, cơ quan thuế có đủ khả năng và công nghệ để phát hiện, xử lý nghiêm các hành vi trốn thuế. - HUMAN-ENF2]]</f>
        <v>9</v>
      </c>
      <c r="H83">
        <f t="shared" si="31"/>
        <v>0.88888888888888884</v>
      </c>
      <c r="I83" s="32">
        <f t="shared" si="32"/>
        <v>0.83333333333333326</v>
      </c>
      <c r="J83" s="32">
        <f t="shared" si="33"/>
        <v>0.83333333333333326</v>
      </c>
      <c r="K83">
        <f>step3_validation[[#This Row],[AI_FAC1]]</f>
        <v>8</v>
      </c>
      <c r="L83">
        <f t="shared" si="34"/>
        <v>0.77777777777777779</v>
      </c>
      <c r="M83">
        <f>survey_responses[[#This Row],[Các thủ tục khai báo thuế VÀ/HOẶC quy trình làm việc với cơ quan thuế đơn giản, tiện lợi, nhanh chóng hơn so với trước đây. - HUMAN-FAC1]]</f>
        <v>5</v>
      </c>
      <c r="N83">
        <f t="shared" si="35"/>
        <v>0.44444444444444442</v>
      </c>
      <c r="O83">
        <f>step3_validation[[#This Row],[AI_FAC2]]</f>
        <v>9</v>
      </c>
      <c r="P83">
        <f t="shared" si="36"/>
        <v>0.88888888888888884</v>
      </c>
      <c r="Q83">
        <f>survey_responses[[#This Row],[So với trước đây, tôi thấy cách tính thuế và các bậc thuế trong phương án mới đơn giản, dễ hiểu và dễ thực hiện hơn. - HUMAN-FAC2]]</f>
        <v>5</v>
      </c>
      <c r="R83">
        <f t="shared" si="37"/>
        <v>0.44444444444444442</v>
      </c>
      <c r="S83" s="32">
        <f t="shared" si="38"/>
        <v>0.83333333333333326</v>
      </c>
      <c r="T83" s="32">
        <f t="shared" si="39"/>
        <v>0.44444444444444442</v>
      </c>
      <c r="U83">
        <f>step3_validation[[#This Row],[AI_TRU1]]</f>
        <v>8</v>
      </c>
      <c r="V83">
        <f t="shared" si="40"/>
        <v>0.77777777777777779</v>
      </c>
      <c r="W83">
        <f>survey_responses[[#This Row],[Tôi tin rằng Nhà nước, cơ quan thuế sẽ thực thi chính sách mới một cách khách quan, công tâm và đối xử bình đẳng với mọi người nộp thuế.  - HUMAN-TRU1]]</f>
        <v>5</v>
      </c>
      <c r="X83">
        <f t="shared" si="41"/>
        <v>0.44444444444444442</v>
      </c>
      <c r="Y83">
        <f>step3_validation[[#This Row],[AI_TRU2]]</f>
        <v>8</v>
      </c>
      <c r="Z83">
        <f t="shared" si="42"/>
        <v>0.77777777777777779</v>
      </c>
      <c r="AA83">
        <f>survey_responses[[#This Row],[Tôi thấy mức thuế tôi phải đóng theo phương án mới là công bằng (người thu nhập như tôi đóng mức này là hợp lý). - HUMAN-TRU2]]</f>
        <v>5</v>
      </c>
      <c r="AB83">
        <f t="shared" si="43"/>
        <v>0.44444444444444442</v>
      </c>
      <c r="AC83">
        <f>step3_validation[[#This Row],[AI_TRU3]]</f>
        <v>8</v>
      </c>
      <c r="AD83">
        <f t="shared" si="44"/>
        <v>0.77777777777777779</v>
      </c>
      <c r="AE83">
        <f>survey_responses[[#This Row],[Tôi tin tưởng số tiền thuế tôi đóng sẽ được Nhà nước sử dụng hiệu quả để cải thiện dịch vụ công (y tế, đường xá...). - HUMAN-TRU3]]</f>
        <v>1</v>
      </c>
      <c r="AF83">
        <f t="shared" si="45"/>
        <v>0</v>
      </c>
      <c r="AG83">
        <f>step3_validation[[#This Row],[AI_TRU4]]</f>
        <v>7</v>
      </c>
      <c r="AH83">
        <f t="shared" si="46"/>
        <v>0.66666666666666663</v>
      </c>
      <c r="AI83">
        <f>survey_responses[[#This Row],[Tôi thấy Nhà nước đã giải thích rõ ràng, minh bạch về lý do và mục tiêu của việc sửa đổi thuế lần này. - HUMAN-TRU4]]</f>
        <v>5</v>
      </c>
      <c r="AJ83">
        <f t="shared" si="47"/>
        <v>0.44444444444444442</v>
      </c>
      <c r="AK83" s="32">
        <f t="shared" si="48"/>
        <v>0.75</v>
      </c>
      <c r="AL83" s="32">
        <f t="shared" si="49"/>
        <v>0.33333333333333331</v>
      </c>
      <c r="AM83" s="7">
        <f t="shared" si="50"/>
        <v>0.80555555555555547</v>
      </c>
      <c r="AN83" s="7">
        <f t="shared" si="51"/>
        <v>0.53703703703703698</v>
      </c>
      <c r="AO83">
        <f>step3_validation[[#This Row],[AI_OUT1]]</f>
        <v>7</v>
      </c>
      <c r="AP83">
        <f t="shared" si="52"/>
        <v>0.66666666666666663</v>
      </c>
      <c r="AQ83">
        <f>survey_responses[[#This Row],[Sau khi xem xét các quyền lợi và nghĩa vụ, bạn có ủng hộ và tuân thủ chính sách mới hiện nay? - HUMAN-OUT1]]</f>
        <v>5</v>
      </c>
      <c r="AR83">
        <f t="shared" si="53"/>
        <v>0.44444444444444442</v>
      </c>
      <c r="AS83" s="32">
        <f t="shared" si="54"/>
        <v>2</v>
      </c>
      <c r="AT83">
        <f t="shared" si="55"/>
        <v>0</v>
      </c>
    </row>
    <row r="84" spans="1:46" x14ac:dyDescent="0.45">
      <c r="A84">
        <f>step3_validation[[#This Row],[AI_ENF1]]</f>
        <v>7</v>
      </c>
      <c r="B84">
        <f t="shared" si="28"/>
        <v>0.66666666666666663</v>
      </c>
      <c r="C84">
        <f>survey_responses[[#This Row],[Tôi tin rằng với các quy định quản lý thuế hiện nay, hành vi gian lận hoặc trốn thuế sẽ dễ dàng bị phát hiện và xử lý nghiêm. - HUMAN-ENF1]]</f>
        <v>10</v>
      </c>
      <c r="D84">
        <f t="shared" si="29"/>
        <v>1</v>
      </c>
      <c r="E84">
        <f>step3_validation[[#This Row],[AI_ENF2]]</f>
        <v>7</v>
      </c>
      <c r="F84">
        <f t="shared" si="30"/>
        <v>0.66666666666666663</v>
      </c>
      <c r="G84">
        <f>survey_responses[[#This Row],[Tôi tin rằng Nhà nước, cơ quan thuế có đủ khả năng và công nghệ để phát hiện, xử lý nghiêm các hành vi trốn thuế. - HUMAN-ENF2]]</f>
        <v>8</v>
      </c>
      <c r="H84">
        <f t="shared" si="31"/>
        <v>0.77777777777777779</v>
      </c>
      <c r="I84" s="32">
        <f t="shared" si="32"/>
        <v>0.66666666666666663</v>
      </c>
      <c r="J84" s="32">
        <f t="shared" si="33"/>
        <v>0.88888888888888884</v>
      </c>
      <c r="K84">
        <f>step3_validation[[#This Row],[AI_FAC1]]</f>
        <v>8</v>
      </c>
      <c r="L84">
        <f t="shared" si="34"/>
        <v>0.77777777777777779</v>
      </c>
      <c r="M84">
        <f>survey_responses[[#This Row],[Các thủ tục khai báo thuế VÀ/HOẶC quy trình làm việc với cơ quan thuế đơn giản, tiện lợi, nhanh chóng hơn so với trước đây. - HUMAN-FAC1]]</f>
        <v>8</v>
      </c>
      <c r="N84">
        <f t="shared" si="35"/>
        <v>0.77777777777777779</v>
      </c>
      <c r="O84">
        <f>step3_validation[[#This Row],[AI_FAC2]]</f>
        <v>9</v>
      </c>
      <c r="P84">
        <f t="shared" si="36"/>
        <v>0.88888888888888884</v>
      </c>
      <c r="Q84">
        <f>survey_responses[[#This Row],[So với trước đây, tôi thấy cách tính thuế và các bậc thuế trong phương án mới đơn giản, dễ hiểu và dễ thực hiện hơn. - HUMAN-FAC2]]</f>
        <v>7</v>
      </c>
      <c r="R84">
        <f t="shared" si="37"/>
        <v>0.66666666666666663</v>
      </c>
      <c r="S84" s="32">
        <f t="shared" si="38"/>
        <v>0.83333333333333326</v>
      </c>
      <c r="T84" s="32">
        <f t="shared" si="39"/>
        <v>0.72222222222222221</v>
      </c>
      <c r="U84">
        <f>step3_validation[[#This Row],[AI_TRU1]]</f>
        <v>6</v>
      </c>
      <c r="V84">
        <f t="shared" si="40"/>
        <v>0.55555555555555558</v>
      </c>
      <c r="W84">
        <f>survey_responses[[#This Row],[Tôi tin rằng Nhà nước, cơ quan thuế sẽ thực thi chính sách mới một cách khách quan, công tâm và đối xử bình đẳng với mọi người nộp thuế.  - HUMAN-TRU1]]</f>
        <v>7</v>
      </c>
      <c r="X84">
        <f t="shared" si="41"/>
        <v>0.66666666666666663</v>
      </c>
      <c r="Y84">
        <f>step3_validation[[#This Row],[AI_TRU2]]</f>
        <v>7</v>
      </c>
      <c r="Z84">
        <f t="shared" si="42"/>
        <v>0.66666666666666663</v>
      </c>
      <c r="AA84">
        <f>survey_responses[[#This Row],[Tôi thấy mức thuế tôi phải đóng theo phương án mới là công bằng (người thu nhập như tôi đóng mức này là hợp lý). - HUMAN-TRU2]]</f>
        <v>6</v>
      </c>
      <c r="AB84">
        <f t="shared" si="43"/>
        <v>0.55555555555555558</v>
      </c>
      <c r="AC84">
        <f>step3_validation[[#This Row],[AI_TRU3]]</f>
        <v>6</v>
      </c>
      <c r="AD84">
        <f t="shared" si="44"/>
        <v>0.55555555555555558</v>
      </c>
      <c r="AE84">
        <f>survey_responses[[#This Row],[Tôi tin tưởng số tiền thuế tôi đóng sẽ được Nhà nước sử dụng hiệu quả để cải thiện dịch vụ công (y tế, đường xá...). - HUMAN-TRU3]]</f>
        <v>7</v>
      </c>
      <c r="AF84">
        <f t="shared" si="45"/>
        <v>0.66666666666666663</v>
      </c>
      <c r="AG84">
        <f>step3_validation[[#This Row],[AI_TRU4]]</f>
        <v>5</v>
      </c>
      <c r="AH84">
        <f t="shared" si="46"/>
        <v>0.44444444444444442</v>
      </c>
      <c r="AI84">
        <f>survey_responses[[#This Row],[Tôi thấy Nhà nước đã giải thích rõ ràng, minh bạch về lý do và mục tiêu của việc sửa đổi thuế lần này. - HUMAN-TRU4]]</f>
        <v>6</v>
      </c>
      <c r="AJ84">
        <f t="shared" si="47"/>
        <v>0.55555555555555558</v>
      </c>
      <c r="AK84" s="32">
        <f t="shared" si="48"/>
        <v>0.55555555555555558</v>
      </c>
      <c r="AL84" s="32">
        <f t="shared" si="49"/>
        <v>0.61111111111111116</v>
      </c>
      <c r="AM84" s="7">
        <f t="shared" si="50"/>
        <v>0.68518518518518512</v>
      </c>
      <c r="AN84" s="7">
        <f t="shared" si="51"/>
        <v>0.74074074074074081</v>
      </c>
      <c r="AO84">
        <f>step3_validation[[#This Row],[AI_OUT1]]</f>
        <v>6</v>
      </c>
      <c r="AP84">
        <f t="shared" si="52"/>
        <v>0.55555555555555558</v>
      </c>
      <c r="AQ84">
        <f>survey_responses[[#This Row],[Sau khi xem xét các quyền lợi và nghĩa vụ, bạn có ủng hộ và tuân thủ chính sách mới hiện nay? - HUMAN-OUT1]]</f>
        <v>8</v>
      </c>
      <c r="AR84">
        <f t="shared" si="53"/>
        <v>0.77777777777777779</v>
      </c>
      <c r="AS84" s="32">
        <f t="shared" si="54"/>
        <v>2</v>
      </c>
      <c r="AT84">
        <f t="shared" si="55"/>
        <v>1</v>
      </c>
    </row>
    <row r="85" spans="1:46" x14ac:dyDescent="0.45">
      <c r="A85">
        <f>step3_validation[[#This Row],[AI_ENF1]]</f>
        <v>8</v>
      </c>
      <c r="B85">
        <f t="shared" si="28"/>
        <v>0.77777777777777779</v>
      </c>
      <c r="C85">
        <f>survey_responses[[#This Row],[Tôi tin rằng với các quy định quản lý thuế hiện nay, hành vi gian lận hoặc trốn thuế sẽ dễ dàng bị phát hiện và xử lý nghiêm. - HUMAN-ENF1]]</f>
        <v>6</v>
      </c>
      <c r="D85">
        <f t="shared" si="29"/>
        <v>0.55555555555555558</v>
      </c>
      <c r="E85">
        <f>step3_validation[[#This Row],[AI_ENF2]]</f>
        <v>7</v>
      </c>
      <c r="F85">
        <f t="shared" si="30"/>
        <v>0.66666666666666663</v>
      </c>
      <c r="G85">
        <f>survey_responses[[#This Row],[Tôi tin rằng Nhà nước, cơ quan thuế có đủ khả năng và công nghệ để phát hiện, xử lý nghiêm các hành vi trốn thuế. - HUMAN-ENF2]]</f>
        <v>7</v>
      </c>
      <c r="H85">
        <f t="shared" si="31"/>
        <v>0.66666666666666663</v>
      </c>
      <c r="I85" s="32">
        <f t="shared" si="32"/>
        <v>0.72222222222222221</v>
      </c>
      <c r="J85" s="32">
        <f t="shared" si="33"/>
        <v>0.61111111111111116</v>
      </c>
      <c r="K85">
        <f>step3_validation[[#This Row],[AI_FAC1]]</f>
        <v>9</v>
      </c>
      <c r="L85">
        <f t="shared" si="34"/>
        <v>0.88888888888888884</v>
      </c>
      <c r="M85">
        <f>survey_responses[[#This Row],[Các thủ tục khai báo thuế VÀ/HOẶC quy trình làm việc với cơ quan thuế đơn giản, tiện lợi, nhanh chóng hơn so với trước đây. - HUMAN-FAC1]]</f>
        <v>5</v>
      </c>
      <c r="N85">
        <f t="shared" si="35"/>
        <v>0.44444444444444442</v>
      </c>
      <c r="O85">
        <f>step3_validation[[#This Row],[AI_FAC2]]</f>
        <v>8</v>
      </c>
      <c r="P85">
        <f t="shared" si="36"/>
        <v>0.77777777777777779</v>
      </c>
      <c r="Q85">
        <f>survey_responses[[#This Row],[So với trước đây, tôi thấy cách tính thuế và các bậc thuế trong phương án mới đơn giản, dễ hiểu và dễ thực hiện hơn. - HUMAN-FAC2]]</f>
        <v>5</v>
      </c>
      <c r="R85">
        <f t="shared" si="37"/>
        <v>0.44444444444444442</v>
      </c>
      <c r="S85" s="32">
        <f t="shared" si="38"/>
        <v>0.83333333333333326</v>
      </c>
      <c r="T85" s="32">
        <f t="shared" si="39"/>
        <v>0.44444444444444442</v>
      </c>
      <c r="U85">
        <f>step3_validation[[#This Row],[AI_TRU1]]</f>
        <v>7</v>
      </c>
      <c r="V85">
        <f t="shared" si="40"/>
        <v>0.66666666666666663</v>
      </c>
      <c r="W85">
        <f>survey_responses[[#This Row],[Tôi tin rằng Nhà nước, cơ quan thuế sẽ thực thi chính sách mới một cách khách quan, công tâm và đối xử bình đẳng với mọi người nộp thuế.  - HUMAN-TRU1]]</f>
        <v>5</v>
      </c>
      <c r="X85">
        <f t="shared" si="41"/>
        <v>0.44444444444444442</v>
      </c>
      <c r="Y85">
        <f>step3_validation[[#This Row],[AI_TRU2]]</f>
        <v>6</v>
      </c>
      <c r="Z85">
        <f t="shared" si="42"/>
        <v>0.55555555555555558</v>
      </c>
      <c r="AA85">
        <f>survey_responses[[#This Row],[Tôi thấy mức thuế tôi phải đóng theo phương án mới là công bằng (người thu nhập như tôi đóng mức này là hợp lý). - HUMAN-TRU2]]</f>
        <v>5</v>
      </c>
      <c r="AB85">
        <f t="shared" si="43"/>
        <v>0.44444444444444442</v>
      </c>
      <c r="AC85">
        <f>step3_validation[[#This Row],[AI_TRU3]]</f>
        <v>7</v>
      </c>
      <c r="AD85">
        <f t="shared" si="44"/>
        <v>0.66666666666666663</v>
      </c>
      <c r="AE85">
        <f>survey_responses[[#This Row],[Tôi tin tưởng số tiền thuế tôi đóng sẽ được Nhà nước sử dụng hiệu quả để cải thiện dịch vụ công (y tế, đường xá...). - HUMAN-TRU3]]</f>
        <v>5</v>
      </c>
      <c r="AF85">
        <f t="shared" si="45"/>
        <v>0.44444444444444442</v>
      </c>
      <c r="AG85">
        <f>step3_validation[[#This Row],[AI_TRU4]]</f>
        <v>5</v>
      </c>
      <c r="AH85">
        <f t="shared" si="46"/>
        <v>0.44444444444444442</v>
      </c>
      <c r="AI85">
        <f>survey_responses[[#This Row],[Tôi thấy Nhà nước đã giải thích rõ ràng, minh bạch về lý do và mục tiêu của việc sửa đổi thuế lần này. - HUMAN-TRU4]]</f>
        <v>5</v>
      </c>
      <c r="AJ85">
        <f t="shared" si="47"/>
        <v>0.44444444444444442</v>
      </c>
      <c r="AK85" s="32">
        <f t="shared" si="48"/>
        <v>0.58333333333333326</v>
      </c>
      <c r="AL85" s="32">
        <f t="shared" si="49"/>
        <v>0.44444444444444442</v>
      </c>
      <c r="AM85" s="7">
        <f t="shared" si="50"/>
        <v>0.7129629629629628</v>
      </c>
      <c r="AN85" s="7">
        <f t="shared" si="51"/>
        <v>0.5</v>
      </c>
      <c r="AO85">
        <f>step3_validation[[#This Row],[AI_OUT1]]</f>
        <v>7</v>
      </c>
      <c r="AP85">
        <f t="shared" si="52"/>
        <v>0.66666666666666663</v>
      </c>
      <c r="AQ85">
        <f>survey_responses[[#This Row],[Sau khi xem xét các quyền lợi và nghĩa vụ, bạn có ủng hộ và tuân thủ chính sách mới hiện nay? - HUMAN-OUT1]]</f>
        <v>5</v>
      </c>
      <c r="AR85">
        <f t="shared" si="53"/>
        <v>0.44444444444444442</v>
      </c>
      <c r="AS85" s="32">
        <f t="shared" si="54"/>
        <v>2</v>
      </c>
      <c r="AT85">
        <f t="shared" si="55"/>
        <v>0</v>
      </c>
    </row>
    <row r="86" spans="1:46" x14ac:dyDescent="0.45">
      <c r="A86">
        <f>step3_validation[[#This Row],[AI_ENF1]]</f>
        <v>8</v>
      </c>
      <c r="B86">
        <f t="shared" si="28"/>
        <v>0.77777777777777779</v>
      </c>
      <c r="C86">
        <f>survey_responses[[#This Row],[Tôi tin rằng với các quy định quản lý thuế hiện nay, hành vi gian lận hoặc trốn thuế sẽ dễ dàng bị phát hiện và xử lý nghiêm. - HUMAN-ENF1]]</f>
        <v>9</v>
      </c>
      <c r="D86">
        <f t="shared" si="29"/>
        <v>0.88888888888888884</v>
      </c>
      <c r="E86">
        <f>step3_validation[[#This Row],[AI_ENF2]]</f>
        <v>7</v>
      </c>
      <c r="F86">
        <f t="shared" si="30"/>
        <v>0.66666666666666663</v>
      </c>
      <c r="G86">
        <f>survey_responses[[#This Row],[Tôi tin rằng Nhà nước, cơ quan thuế có đủ khả năng và công nghệ để phát hiện, xử lý nghiêm các hành vi trốn thuế. - HUMAN-ENF2]]</f>
        <v>9</v>
      </c>
      <c r="H86">
        <f t="shared" si="31"/>
        <v>0.88888888888888884</v>
      </c>
      <c r="I86" s="32">
        <f t="shared" si="32"/>
        <v>0.72222222222222221</v>
      </c>
      <c r="J86" s="32">
        <f t="shared" si="33"/>
        <v>0.88888888888888884</v>
      </c>
      <c r="K86">
        <f>step3_validation[[#This Row],[AI_FAC1]]</f>
        <v>8</v>
      </c>
      <c r="L86">
        <f t="shared" si="34"/>
        <v>0.77777777777777779</v>
      </c>
      <c r="M86">
        <f>survey_responses[[#This Row],[Các thủ tục khai báo thuế VÀ/HOẶC quy trình làm việc với cơ quan thuế đơn giản, tiện lợi, nhanh chóng hơn so với trước đây. - HUMAN-FAC1]]</f>
        <v>8</v>
      </c>
      <c r="N86">
        <f t="shared" si="35"/>
        <v>0.77777777777777779</v>
      </c>
      <c r="O86">
        <f>step3_validation[[#This Row],[AI_FAC2]]</f>
        <v>9</v>
      </c>
      <c r="P86">
        <f t="shared" si="36"/>
        <v>0.88888888888888884</v>
      </c>
      <c r="Q86">
        <f>survey_responses[[#This Row],[So với trước đây, tôi thấy cách tính thuế và các bậc thuế trong phương án mới đơn giản, dễ hiểu và dễ thực hiện hơn. - HUMAN-FAC2]]</f>
        <v>9</v>
      </c>
      <c r="R86">
        <f t="shared" si="37"/>
        <v>0.88888888888888884</v>
      </c>
      <c r="S86" s="32">
        <f t="shared" si="38"/>
        <v>0.83333333333333326</v>
      </c>
      <c r="T86" s="32">
        <f t="shared" si="39"/>
        <v>0.83333333333333326</v>
      </c>
      <c r="U86">
        <f>step3_validation[[#This Row],[AI_TRU1]]</f>
        <v>6</v>
      </c>
      <c r="V86">
        <f t="shared" si="40"/>
        <v>0.55555555555555558</v>
      </c>
      <c r="W86">
        <f>survey_responses[[#This Row],[Tôi tin rằng Nhà nước, cơ quan thuế sẽ thực thi chính sách mới một cách khách quan, công tâm và đối xử bình đẳng với mọi người nộp thuế.  - HUMAN-TRU1]]</f>
        <v>9</v>
      </c>
      <c r="X86">
        <f t="shared" si="41"/>
        <v>0.88888888888888884</v>
      </c>
      <c r="Y86">
        <f>step3_validation[[#This Row],[AI_TRU2]]</f>
        <v>8</v>
      </c>
      <c r="Z86">
        <f t="shared" si="42"/>
        <v>0.77777777777777779</v>
      </c>
      <c r="AA86">
        <f>survey_responses[[#This Row],[Tôi thấy mức thuế tôi phải đóng theo phương án mới là công bằng (người thu nhập như tôi đóng mức này là hợp lý). - HUMAN-TRU2]]</f>
        <v>9</v>
      </c>
      <c r="AB86">
        <f t="shared" si="43"/>
        <v>0.88888888888888884</v>
      </c>
      <c r="AC86">
        <f>step3_validation[[#This Row],[AI_TRU3]]</f>
        <v>5</v>
      </c>
      <c r="AD86">
        <f t="shared" si="44"/>
        <v>0.44444444444444442</v>
      </c>
      <c r="AE86">
        <f>survey_responses[[#This Row],[Tôi tin tưởng số tiền thuế tôi đóng sẽ được Nhà nước sử dụng hiệu quả để cải thiện dịch vụ công (y tế, đường xá...). - HUMAN-TRU3]]</f>
        <v>7</v>
      </c>
      <c r="AF86">
        <f t="shared" si="45"/>
        <v>0.66666666666666663</v>
      </c>
      <c r="AG86">
        <f>step3_validation[[#This Row],[AI_TRU4]]</f>
        <v>7</v>
      </c>
      <c r="AH86">
        <f t="shared" si="46"/>
        <v>0.66666666666666663</v>
      </c>
      <c r="AI86">
        <f>survey_responses[[#This Row],[Tôi thấy Nhà nước đã giải thích rõ ràng, minh bạch về lý do và mục tiêu của việc sửa đổi thuế lần này. - HUMAN-TRU4]]</f>
        <v>8</v>
      </c>
      <c r="AJ86">
        <f t="shared" si="47"/>
        <v>0.77777777777777779</v>
      </c>
      <c r="AK86" s="32">
        <f t="shared" si="48"/>
        <v>0.61111111111111116</v>
      </c>
      <c r="AL86" s="32">
        <f t="shared" si="49"/>
        <v>0.80555555555555547</v>
      </c>
      <c r="AM86" s="7">
        <f t="shared" si="50"/>
        <v>0.72222222222222221</v>
      </c>
      <c r="AN86" s="7">
        <f t="shared" si="51"/>
        <v>0.84259259259259256</v>
      </c>
      <c r="AO86">
        <f>step3_validation[[#This Row],[AI_OUT1]]</f>
        <v>8</v>
      </c>
      <c r="AP86">
        <f t="shared" si="52"/>
        <v>0.77777777777777779</v>
      </c>
      <c r="AQ86">
        <f>survey_responses[[#This Row],[Sau khi xem xét các quyền lợi và nghĩa vụ, bạn có ủng hộ và tuân thủ chính sách mới hiện nay? - HUMAN-OUT1]]</f>
        <v>8</v>
      </c>
      <c r="AR86">
        <f t="shared" si="53"/>
        <v>0.77777777777777779</v>
      </c>
      <c r="AS86" s="32">
        <f t="shared" si="54"/>
        <v>0</v>
      </c>
      <c r="AT86">
        <f t="shared" si="55"/>
        <v>1</v>
      </c>
    </row>
    <row r="87" spans="1:46" x14ac:dyDescent="0.45">
      <c r="A87">
        <f>step3_validation[[#This Row],[AI_ENF1]]</f>
        <v>7</v>
      </c>
      <c r="B87">
        <f t="shared" si="28"/>
        <v>0.66666666666666663</v>
      </c>
      <c r="C87">
        <f>survey_responses[[#This Row],[Tôi tin rằng với các quy định quản lý thuế hiện nay, hành vi gian lận hoặc trốn thuế sẽ dễ dàng bị phát hiện và xử lý nghiêm. - HUMAN-ENF1]]</f>
        <v>5</v>
      </c>
      <c r="D87">
        <f t="shared" si="29"/>
        <v>0.44444444444444442</v>
      </c>
      <c r="E87">
        <f>step3_validation[[#This Row],[AI_ENF2]]</f>
        <v>8</v>
      </c>
      <c r="F87">
        <f t="shared" si="30"/>
        <v>0.77777777777777779</v>
      </c>
      <c r="G87">
        <f>survey_responses[[#This Row],[Tôi tin rằng Nhà nước, cơ quan thuế có đủ khả năng và công nghệ để phát hiện, xử lý nghiêm các hành vi trốn thuế. - HUMAN-ENF2]]</f>
        <v>5</v>
      </c>
      <c r="H87">
        <f t="shared" si="31"/>
        <v>0.44444444444444442</v>
      </c>
      <c r="I87" s="32">
        <f t="shared" si="32"/>
        <v>0.72222222222222221</v>
      </c>
      <c r="J87" s="32">
        <f t="shared" si="33"/>
        <v>0.44444444444444442</v>
      </c>
      <c r="K87">
        <f>step3_validation[[#This Row],[AI_FAC1]]</f>
        <v>9</v>
      </c>
      <c r="L87">
        <f t="shared" si="34"/>
        <v>0.88888888888888884</v>
      </c>
      <c r="M87">
        <f>survey_responses[[#This Row],[Các thủ tục khai báo thuế VÀ/HOẶC quy trình làm việc với cơ quan thuế đơn giản, tiện lợi, nhanh chóng hơn so với trước đây. - HUMAN-FAC1]]</f>
        <v>10</v>
      </c>
      <c r="N87">
        <f t="shared" si="35"/>
        <v>1</v>
      </c>
      <c r="O87">
        <f>step3_validation[[#This Row],[AI_FAC2]]</f>
        <v>8</v>
      </c>
      <c r="P87">
        <f t="shared" si="36"/>
        <v>0.77777777777777779</v>
      </c>
      <c r="Q87">
        <f>survey_responses[[#This Row],[So với trước đây, tôi thấy cách tính thuế và các bậc thuế trong phương án mới đơn giản, dễ hiểu và dễ thực hiện hơn. - HUMAN-FAC2]]</f>
        <v>4</v>
      </c>
      <c r="R87">
        <f t="shared" si="37"/>
        <v>0.33333333333333331</v>
      </c>
      <c r="S87" s="32">
        <f t="shared" si="38"/>
        <v>0.83333333333333326</v>
      </c>
      <c r="T87" s="32">
        <f t="shared" si="39"/>
        <v>0.66666666666666663</v>
      </c>
      <c r="U87">
        <f>step3_validation[[#This Row],[AI_TRU1]]</f>
        <v>7</v>
      </c>
      <c r="V87">
        <f t="shared" si="40"/>
        <v>0.66666666666666663</v>
      </c>
      <c r="W87">
        <f>survey_responses[[#This Row],[Tôi tin rằng Nhà nước, cơ quan thuế sẽ thực thi chính sách mới một cách khách quan, công tâm và đối xử bình đẳng với mọi người nộp thuế.  - HUMAN-TRU1]]</f>
        <v>4</v>
      </c>
      <c r="X87">
        <f t="shared" si="41"/>
        <v>0.33333333333333331</v>
      </c>
      <c r="Y87">
        <f>step3_validation[[#This Row],[AI_TRU2]]</f>
        <v>6</v>
      </c>
      <c r="Z87">
        <f t="shared" si="42"/>
        <v>0.55555555555555558</v>
      </c>
      <c r="AA87">
        <f>survey_responses[[#This Row],[Tôi thấy mức thuế tôi phải đóng theo phương án mới là công bằng (người thu nhập như tôi đóng mức này là hợp lý). - HUMAN-TRU2]]</f>
        <v>5</v>
      </c>
      <c r="AB87">
        <f t="shared" si="43"/>
        <v>0.44444444444444442</v>
      </c>
      <c r="AC87">
        <f>step3_validation[[#This Row],[AI_TRU3]]</f>
        <v>6</v>
      </c>
      <c r="AD87">
        <f t="shared" si="44"/>
        <v>0.55555555555555558</v>
      </c>
      <c r="AE87">
        <f>survey_responses[[#This Row],[Tôi tin tưởng số tiền thuế tôi đóng sẽ được Nhà nước sử dụng hiệu quả để cải thiện dịch vụ công (y tế, đường xá...). - HUMAN-TRU3]]</f>
        <v>5</v>
      </c>
      <c r="AF87">
        <f t="shared" si="45"/>
        <v>0.44444444444444442</v>
      </c>
      <c r="AG87">
        <f>step3_validation[[#This Row],[AI_TRU4]]</f>
        <v>5</v>
      </c>
      <c r="AH87">
        <f t="shared" si="46"/>
        <v>0.44444444444444442</v>
      </c>
      <c r="AI87">
        <f>survey_responses[[#This Row],[Tôi thấy Nhà nước đã giải thích rõ ràng, minh bạch về lý do và mục tiêu của việc sửa đổi thuế lần này. - HUMAN-TRU4]]</f>
        <v>8</v>
      </c>
      <c r="AJ87">
        <f t="shared" si="47"/>
        <v>0.77777777777777779</v>
      </c>
      <c r="AK87" s="32">
        <f t="shared" si="48"/>
        <v>0.55555555555555558</v>
      </c>
      <c r="AL87" s="32">
        <f t="shared" si="49"/>
        <v>0.5</v>
      </c>
      <c r="AM87" s="7">
        <f t="shared" si="50"/>
        <v>0.70370370370370361</v>
      </c>
      <c r="AN87" s="7">
        <f t="shared" si="51"/>
        <v>0.53703703703703709</v>
      </c>
      <c r="AO87">
        <f>step3_validation[[#This Row],[AI_OUT1]]</f>
        <v>7</v>
      </c>
      <c r="AP87">
        <f t="shared" si="52"/>
        <v>0.66666666666666663</v>
      </c>
      <c r="AQ87">
        <f>survey_responses[[#This Row],[Sau khi xem xét các quyền lợi và nghĩa vụ, bạn có ủng hộ và tuân thủ chính sách mới hiện nay? - HUMAN-OUT1]]</f>
        <v>8</v>
      </c>
      <c r="AR87">
        <f t="shared" si="53"/>
        <v>0.77777777777777779</v>
      </c>
      <c r="AS87" s="32">
        <f t="shared" si="54"/>
        <v>1</v>
      </c>
      <c r="AT87">
        <f t="shared" si="55"/>
        <v>1</v>
      </c>
    </row>
    <row r="88" spans="1:46" x14ac:dyDescent="0.45">
      <c r="A88">
        <f>step3_validation[[#This Row],[AI_ENF1]]</f>
        <v>7</v>
      </c>
      <c r="B88">
        <f t="shared" si="28"/>
        <v>0.66666666666666663</v>
      </c>
      <c r="C88">
        <f>survey_responses[[#This Row],[Tôi tin rằng với các quy định quản lý thuế hiện nay, hành vi gian lận hoặc trốn thuế sẽ dễ dàng bị phát hiện và xử lý nghiêm. - HUMAN-ENF1]]</f>
        <v>10</v>
      </c>
      <c r="D88">
        <f t="shared" si="29"/>
        <v>1</v>
      </c>
      <c r="E88">
        <f>step3_validation[[#This Row],[AI_ENF2]]</f>
        <v>6</v>
      </c>
      <c r="F88">
        <f t="shared" si="30"/>
        <v>0.55555555555555558</v>
      </c>
      <c r="G88">
        <f>survey_responses[[#This Row],[Tôi tin rằng Nhà nước, cơ quan thuế có đủ khả năng và công nghệ để phát hiện, xử lý nghiêm các hành vi trốn thuế. - HUMAN-ENF2]]</f>
        <v>9</v>
      </c>
      <c r="H88">
        <f t="shared" si="31"/>
        <v>0.88888888888888884</v>
      </c>
      <c r="I88" s="32">
        <f t="shared" si="32"/>
        <v>0.61111111111111116</v>
      </c>
      <c r="J88" s="32">
        <f t="shared" si="33"/>
        <v>0.94444444444444442</v>
      </c>
      <c r="K88">
        <f>step3_validation[[#This Row],[AI_FAC1]]</f>
        <v>8</v>
      </c>
      <c r="L88">
        <f t="shared" si="34"/>
        <v>0.77777777777777779</v>
      </c>
      <c r="M88">
        <f>survey_responses[[#This Row],[Các thủ tục khai báo thuế VÀ/HOẶC quy trình làm việc với cơ quan thuế đơn giản, tiện lợi, nhanh chóng hơn so với trước đây. - HUMAN-FAC1]]</f>
        <v>9</v>
      </c>
      <c r="N88">
        <f t="shared" si="35"/>
        <v>0.88888888888888884</v>
      </c>
      <c r="O88">
        <f>step3_validation[[#This Row],[AI_FAC2]]</f>
        <v>7</v>
      </c>
      <c r="P88">
        <f t="shared" si="36"/>
        <v>0.66666666666666663</v>
      </c>
      <c r="Q88">
        <f>survey_responses[[#This Row],[So với trước đây, tôi thấy cách tính thuế và các bậc thuế trong phương án mới đơn giản, dễ hiểu và dễ thực hiện hơn. - HUMAN-FAC2]]</f>
        <v>9</v>
      </c>
      <c r="R88">
        <f t="shared" si="37"/>
        <v>0.88888888888888884</v>
      </c>
      <c r="S88" s="32">
        <f t="shared" si="38"/>
        <v>0.72222222222222221</v>
      </c>
      <c r="T88" s="32">
        <f t="shared" si="39"/>
        <v>0.88888888888888884</v>
      </c>
      <c r="U88">
        <f>step3_validation[[#This Row],[AI_TRU1]]</f>
        <v>8</v>
      </c>
      <c r="V88">
        <f t="shared" si="40"/>
        <v>0.77777777777777779</v>
      </c>
      <c r="W88">
        <f>survey_responses[[#This Row],[Tôi tin rằng Nhà nước, cơ quan thuế sẽ thực thi chính sách mới một cách khách quan, công tâm và đối xử bình đẳng với mọi người nộp thuế.  - HUMAN-TRU1]]</f>
        <v>9</v>
      </c>
      <c r="X88">
        <f t="shared" si="41"/>
        <v>0.88888888888888884</v>
      </c>
      <c r="Y88">
        <f>step3_validation[[#This Row],[AI_TRU2]]</f>
        <v>7</v>
      </c>
      <c r="Z88">
        <f t="shared" si="42"/>
        <v>0.66666666666666663</v>
      </c>
      <c r="AA88">
        <f>survey_responses[[#This Row],[Tôi thấy mức thuế tôi phải đóng theo phương án mới là công bằng (người thu nhập như tôi đóng mức này là hợp lý). - HUMAN-TRU2]]</f>
        <v>9</v>
      </c>
      <c r="AB88">
        <f t="shared" si="43"/>
        <v>0.88888888888888884</v>
      </c>
      <c r="AC88">
        <f>step3_validation[[#This Row],[AI_TRU3]]</f>
        <v>8</v>
      </c>
      <c r="AD88">
        <f t="shared" si="44"/>
        <v>0.77777777777777779</v>
      </c>
      <c r="AE88">
        <f>survey_responses[[#This Row],[Tôi tin tưởng số tiền thuế tôi đóng sẽ được Nhà nước sử dụng hiệu quả để cải thiện dịch vụ công (y tế, đường xá...). - HUMAN-TRU3]]</f>
        <v>10</v>
      </c>
      <c r="AF88">
        <f t="shared" si="45"/>
        <v>1</v>
      </c>
      <c r="AG88">
        <f>step3_validation[[#This Row],[AI_TRU4]]</f>
        <v>6</v>
      </c>
      <c r="AH88">
        <f t="shared" si="46"/>
        <v>0.55555555555555558</v>
      </c>
      <c r="AI88">
        <f>survey_responses[[#This Row],[Tôi thấy Nhà nước đã giải thích rõ ràng, minh bạch về lý do và mục tiêu của việc sửa đổi thuế lần này. - HUMAN-TRU4]]</f>
        <v>9</v>
      </c>
      <c r="AJ88">
        <f t="shared" si="47"/>
        <v>0.88888888888888884</v>
      </c>
      <c r="AK88" s="32">
        <f t="shared" si="48"/>
        <v>0.69444444444444442</v>
      </c>
      <c r="AL88" s="32">
        <f t="shared" si="49"/>
        <v>0.91666666666666663</v>
      </c>
      <c r="AM88" s="7">
        <f t="shared" si="50"/>
        <v>0.67592592592592593</v>
      </c>
      <c r="AN88" s="7">
        <f t="shared" si="51"/>
        <v>0.91666666666666663</v>
      </c>
      <c r="AO88">
        <f>step3_validation[[#This Row],[AI_OUT1]]</f>
        <v>8</v>
      </c>
      <c r="AP88">
        <f t="shared" si="52"/>
        <v>0.77777777777777779</v>
      </c>
      <c r="AQ88">
        <f>survey_responses[[#This Row],[Sau khi xem xét các quyền lợi và nghĩa vụ, bạn có ủng hộ và tuân thủ chính sách mới hiện nay? - HUMAN-OUT1]]</f>
        <v>10</v>
      </c>
      <c r="AR88">
        <f t="shared" si="53"/>
        <v>1</v>
      </c>
      <c r="AS88" s="32">
        <f t="shared" si="54"/>
        <v>2</v>
      </c>
      <c r="AT88">
        <f t="shared" si="55"/>
        <v>1</v>
      </c>
    </row>
    <row r="89" spans="1:46" x14ac:dyDescent="0.45">
      <c r="A89">
        <f>step3_validation[[#This Row],[AI_ENF1]]</f>
        <v>8</v>
      </c>
      <c r="B89">
        <f t="shared" si="28"/>
        <v>0.77777777777777779</v>
      </c>
      <c r="C89">
        <f>survey_responses[[#This Row],[Tôi tin rằng với các quy định quản lý thuế hiện nay, hành vi gian lận hoặc trốn thuế sẽ dễ dàng bị phát hiện và xử lý nghiêm. - HUMAN-ENF1]]</f>
        <v>10</v>
      </c>
      <c r="D89">
        <f t="shared" si="29"/>
        <v>1</v>
      </c>
      <c r="E89">
        <f>step3_validation[[#This Row],[AI_ENF2]]</f>
        <v>7</v>
      </c>
      <c r="F89">
        <f t="shared" si="30"/>
        <v>0.66666666666666663</v>
      </c>
      <c r="G89">
        <f>survey_responses[[#This Row],[Tôi tin rằng Nhà nước, cơ quan thuế có đủ khả năng và công nghệ để phát hiện, xử lý nghiêm các hành vi trốn thuế. - HUMAN-ENF2]]</f>
        <v>10</v>
      </c>
      <c r="H89">
        <f t="shared" si="31"/>
        <v>1</v>
      </c>
      <c r="I89" s="32">
        <f t="shared" si="32"/>
        <v>0.72222222222222221</v>
      </c>
      <c r="J89" s="32">
        <f t="shared" si="33"/>
        <v>1</v>
      </c>
      <c r="K89">
        <f>step3_validation[[#This Row],[AI_FAC1]]</f>
        <v>9</v>
      </c>
      <c r="L89">
        <f t="shared" si="34"/>
        <v>0.88888888888888884</v>
      </c>
      <c r="M89">
        <f>survey_responses[[#This Row],[Các thủ tục khai báo thuế VÀ/HOẶC quy trình làm việc với cơ quan thuế đơn giản, tiện lợi, nhanh chóng hơn so với trước đây. - HUMAN-FAC1]]</f>
        <v>10</v>
      </c>
      <c r="N89">
        <f t="shared" si="35"/>
        <v>1</v>
      </c>
      <c r="O89">
        <f>step3_validation[[#This Row],[AI_FAC2]]</f>
        <v>8</v>
      </c>
      <c r="P89">
        <f t="shared" si="36"/>
        <v>0.77777777777777779</v>
      </c>
      <c r="Q89">
        <f>survey_responses[[#This Row],[So với trước đây, tôi thấy cách tính thuế và các bậc thuế trong phương án mới đơn giản, dễ hiểu và dễ thực hiện hơn. - HUMAN-FAC2]]</f>
        <v>10</v>
      </c>
      <c r="R89">
        <f t="shared" si="37"/>
        <v>1</v>
      </c>
      <c r="S89" s="32">
        <f t="shared" si="38"/>
        <v>0.83333333333333326</v>
      </c>
      <c r="T89" s="32">
        <f t="shared" si="39"/>
        <v>1</v>
      </c>
      <c r="U89">
        <f>step3_validation[[#This Row],[AI_TRU1]]</f>
        <v>6</v>
      </c>
      <c r="V89">
        <f t="shared" si="40"/>
        <v>0.55555555555555558</v>
      </c>
      <c r="W89">
        <f>survey_responses[[#This Row],[Tôi tin rằng Nhà nước, cơ quan thuế sẽ thực thi chính sách mới một cách khách quan, công tâm và đối xử bình đẳng với mọi người nộp thuế.  - HUMAN-TRU1]]</f>
        <v>10</v>
      </c>
      <c r="X89">
        <f t="shared" si="41"/>
        <v>1</v>
      </c>
      <c r="Y89">
        <f>step3_validation[[#This Row],[AI_TRU2]]</f>
        <v>7</v>
      </c>
      <c r="Z89">
        <f t="shared" si="42"/>
        <v>0.66666666666666663</v>
      </c>
      <c r="AA89">
        <f>survey_responses[[#This Row],[Tôi thấy mức thuế tôi phải đóng theo phương án mới là công bằng (người thu nhập như tôi đóng mức này là hợp lý). - HUMAN-TRU2]]</f>
        <v>10</v>
      </c>
      <c r="AB89">
        <f t="shared" si="43"/>
        <v>1</v>
      </c>
      <c r="AC89">
        <f>step3_validation[[#This Row],[AI_TRU3]]</f>
        <v>5</v>
      </c>
      <c r="AD89">
        <f t="shared" si="44"/>
        <v>0.44444444444444442</v>
      </c>
      <c r="AE89">
        <f>survey_responses[[#This Row],[Tôi tin tưởng số tiền thuế tôi đóng sẽ được Nhà nước sử dụng hiệu quả để cải thiện dịch vụ công (y tế, đường xá...). - HUMAN-TRU3]]</f>
        <v>10</v>
      </c>
      <c r="AF89">
        <f t="shared" si="45"/>
        <v>1</v>
      </c>
      <c r="AG89">
        <f>step3_validation[[#This Row],[AI_TRU4]]</f>
        <v>6</v>
      </c>
      <c r="AH89">
        <f t="shared" si="46"/>
        <v>0.55555555555555558</v>
      </c>
      <c r="AI89">
        <f>survey_responses[[#This Row],[Tôi thấy Nhà nước đã giải thích rõ ràng, minh bạch về lý do và mục tiêu của việc sửa đổi thuế lần này. - HUMAN-TRU4]]</f>
        <v>10</v>
      </c>
      <c r="AJ89">
        <f t="shared" si="47"/>
        <v>1</v>
      </c>
      <c r="AK89" s="32">
        <f t="shared" si="48"/>
        <v>0.55555555555555558</v>
      </c>
      <c r="AL89" s="32">
        <f t="shared" si="49"/>
        <v>1</v>
      </c>
      <c r="AM89" s="7">
        <f t="shared" si="50"/>
        <v>0.70370370370370361</v>
      </c>
      <c r="AN89" s="7">
        <f t="shared" si="51"/>
        <v>1</v>
      </c>
      <c r="AO89">
        <f>step3_validation[[#This Row],[AI_OUT1]]</f>
        <v>7</v>
      </c>
      <c r="AP89">
        <f t="shared" si="52"/>
        <v>0.66666666666666663</v>
      </c>
      <c r="AQ89">
        <f>survey_responses[[#This Row],[Sau khi xem xét các quyền lợi và nghĩa vụ, bạn có ủng hộ và tuân thủ chính sách mới hiện nay? - HUMAN-OUT1]]</f>
        <v>10</v>
      </c>
      <c r="AR89">
        <f t="shared" si="53"/>
        <v>1</v>
      </c>
      <c r="AS89" s="32">
        <f t="shared" si="54"/>
        <v>3</v>
      </c>
      <c r="AT89">
        <f t="shared" si="55"/>
        <v>1</v>
      </c>
    </row>
    <row r="90" spans="1:46" x14ac:dyDescent="0.45">
      <c r="A90">
        <f>step3_validation[[#This Row],[AI_ENF1]]</f>
        <v>7</v>
      </c>
      <c r="B90">
        <f t="shared" si="28"/>
        <v>0.66666666666666663</v>
      </c>
      <c r="C90">
        <f>survey_responses[[#This Row],[Tôi tin rằng với các quy định quản lý thuế hiện nay, hành vi gian lận hoặc trốn thuế sẽ dễ dàng bị phát hiện và xử lý nghiêm. - HUMAN-ENF1]]</f>
        <v>10</v>
      </c>
      <c r="D90">
        <f t="shared" si="29"/>
        <v>1</v>
      </c>
      <c r="E90">
        <f>step3_validation[[#This Row],[AI_ENF2]]</f>
        <v>6</v>
      </c>
      <c r="F90">
        <f t="shared" si="30"/>
        <v>0.55555555555555558</v>
      </c>
      <c r="G90">
        <f>survey_responses[[#This Row],[Tôi tin rằng Nhà nước, cơ quan thuế có đủ khả năng và công nghệ để phát hiện, xử lý nghiêm các hành vi trốn thuế. - HUMAN-ENF2]]</f>
        <v>9</v>
      </c>
      <c r="H90">
        <f t="shared" si="31"/>
        <v>0.88888888888888884</v>
      </c>
      <c r="I90" s="32">
        <f t="shared" si="32"/>
        <v>0.61111111111111116</v>
      </c>
      <c r="J90" s="32">
        <f t="shared" si="33"/>
        <v>0.94444444444444442</v>
      </c>
      <c r="K90">
        <f>step3_validation[[#This Row],[AI_FAC1]]</f>
        <v>8</v>
      </c>
      <c r="L90">
        <f t="shared" si="34"/>
        <v>0.77777777777777779</v>
      </c>
      <c r="M90">
        <f>survey_responses[[#This Row],[Các thủ tục khai báo thuế VÀ/HOẶC quy trình làm việc với cơ quan thuế đơn giản, tiện lợi, nhanh chóng hơn so với trước đây. - HUMAN-FAC1]]</f>
        <v>9</v>
      </c>
      <c r="N90">
        <f t="shared" si="35"/>
        <v>0.88888888888888884</v>
      </c>
      <c r="O90">
        <f>step3_validation[[#This Row],[AI_FAC2]]</f>
        <v>7</v>
      </c>
      <c r="P90">
        <f t="shared" si="36"/>
        <v>0.66666666666666663</v>
      </c>
      <c r="Q90">
        <f>survey_responses[[#This Row],[So với trước đây, tôi thấy cách tính thuế và các bậc thuế trong phương án mới đơn giản, dễ hiểu và dễ thực hiện hơn. - HUMAN-FAC2]]</f>
        <v>9</v>
      </c>
      <c r="R90">
        <f t="shared" si="37"/>
        <v>0.88888888888888884</v>
      </c>
      <c r="S90" s="32">
        <f t="shared" si="38"/>
        <v>0.72222222222222221</v>
      </c>
      <c r="T90" s="32">
        <f t="shared" si="39"/>
        <v>0.88888888888888884</v>
      </c>
      <c r="U90">
        <f>step3_validation[[#This Row],[AI_TRU1]]</f>
        <v>8</v>
      </c>
      <c r="V90">
        <f t="shared" si="40"/>
        <v>0.77777777777777779</v>
      </c>
      <c r="W90">
        <f>survey_responses[[#This Row],[Tôi tin rằng Nhà nước, cơ quan thuế sẽ thực thi chính sách mới một cách khách quan, công tâm và đối xử bình đẳng với mọi người nộp thuế.  - HUMAN-TRU1]]</f>
        <v>10</v>
      </c>
      <c r="X90">
        <f t="shared" si="41"/>
        <v>1</v>
      </c>
      <c r="Y90">
        <f>step3_validation[[#This Row],[AI_TRU2]]</f>
        <v>6</v>
      </c>
      <c r="Z90">
        <f t="shared" si="42"/>
        <v>0.55555555555555558</v>
      </c>
      <c r="AA90">
        <f>survey_responses[[#This Row],[Tôi thấy mức thuế tôi phải đóng theo phương án mới là công bằng (người thu nhập như tôi đóng mức này là hợp lý). - HUMAN-TRU2]]</f>
        <v>9</v>
      </c>
      <c r="AB90">
        <f t="shared" si="43"/>
        <v>0.88888888888888884</v>
      </c>
      <c r="AC90">
        <f>step3_validation[[#This Row],[AI_TRU3]]</f>
        <v>7</v>
      </c>
      <c r="AD90">
        <f t="shared" si="44"/>
        <v>0.66666666666666663</v>
      </c>
      <c r="AE90">
        <f>survey_responses[[#This Row],[Tôi tin tưởng số tiền thuế tôi đóng sẽ được Nhà nước sử dụng hiệu quả để cải thiện dịch vụ công (y tế, đường xá...). - HUMAN-TRU3]]</f>
        <v>9</v>
      </c>
      <c r="AF90">
        <f t="shared" si="45"/>
        <v>0.88888888888888884</v>
      </c>
      <c r="AG90">
        <f>step3_validation[[#This Row],[AI_TRU4]]</f>
        <v>5</v>
      </c>
      <c r="AH90">
        <f t="shared" si="46"/>
        <v>0.44444444444444442</v>
      </c>
      <c r="AI90">
        <f>survey_responses[[#This Row],[Tôi thấy Nhà nước đã giải thích rõ ràng, minh bạch về lý do và mục tiêu của việc sửa đổi thuế lần này. - HUMAN-TRU4]]</f>
        <v>8</v>
      </c>
      <c r="AJ90">
        <f t="shared" si="47"/>
        <v>0.77777777777777779</v>
      </c>
      <c r="AK90" s="32">
        <f t="shared" si="48"/>
        <v>0.61111111111111116</v>
      </c>
      <c r="AL90" s="32">
        <f t="shared" si="49"/>
        <v>0.88888888888888884</v>
      </c>
      <c r="AM90" s="7">
        <f t="shared" si="50"/>
        <v>0.64814814814814825</v>
      </c>
      <c r="AN90" s="7">
        <f t="shared" si="51"/>
        <v>0.90740740740740744</v>
      </c>
      <c r="AO90">
        <f>step3_validation[[#This Row],[AI_OUT1]]</f>
        <v>7</v>
      </c>
      <c r="AP90">
        <f t="shared" si="52"/>
        <v>0.66666666666666663</v>
      </c>
      <c r="AQ90">
        <f>survey_responses[[#This Row],[Sau khi xem xét các quyền lợi và nghĩa vụ, bạn có ủng hộ và tuân thủ chính sách mới hiện nay? - HUMAN-OUT1]]</f>
        <v>9</v>
      </c>
      <c r="AR90">
        <f t="shared" si="53"/>
        <v>0.88888888888888884</v>
      </c>
      <c r="AS90" s="32">
        <f t="shared" si="54"/>
        <v>2</v>
      </c>
      <c r="AT90">
        <f t="shared" si="55"/>
        <v>1</v>
      </c>
    </row>
    <row r="91" spans="1:46" x14ac:dyDescent="0.45">
      <c r="A91">
        <f>step3_validation[[#This Row],[AI_ENF1]]</f>
        <v>7</v>
      </c>
      <c r="B91">
        <f t="shared" si="28"/>
        <v>0.66666666666666663</v>
      </c>
      <c r="C91">
        <f>survey_responses[[#This Row],[Tôi tin rằng với các quy định quản lý thuế hiện nay, hành vi gian lận hoặc trốn thuế sẽ dễ dàng bị phát hiện và xử lý nghiêm. - HUMAN-ENF1]]</f>
        <v>6</v>
      </c>
      <c r="D91">
        <f t="shared" si="29"/>
        <v>0.55555555555555558</v>
      </c>
      <c r="E91">
        <f>step3_validation[[#This Row],[AI_ENF2]]</f>
        <v>6</v>
      </c>
      <c r="F91">
        <f t="shared" si="30"/>
        <v>0.55555555555555558</v>
      </c>
      <c r="G91">
        <f>survey_responses[[#This Row],[Tôi tin rằng Nhà nước, cơ quan thuế có đủ khả năng và công nghệ để phát hiện, xử lý nghiêm các hành vi trốn thuế. - HUMAN-ENF2]]</f>
        <v>10</v>
      </c>
      <c r="H91">
        <f t="shared" si="31"/>
        <v>1</v>
      </c>
      <c r="I91" s="32">
        <f t="shared" si="32"/>
        <v>0.61111111111111116</v>
      </c>
      <c r="J91" s="32">
        <f t="shared" si="33"/>
        <v>0.77777777777777779</v>
      </c>
      <c r="K91">
        <f>step3_validation[[#This Row],[AI_FAC1]]</f>
        <v>8</v>
      </c>
      <c r="L91">
        <f t="shared" si="34"/>
        <v>0.77777777777777779</v>
      </c>
      <c r="M91">
        <f>survey_responses[[#This Row],[Các thủ tục khai báo thuế VÀ/HOẶC quy trình làm việc với cơ quan thuế đơn giản, tiện lợi, nhanh chóng hơn so với trước đây. - HUMAN-FAC1]]</f>
        <v>8</v>
      </c>
      <c r="N91">
        <f t="shared" si="35"/>
        <v>0.77777777777777779</v>
      </c>
      <c r="O91">
        <f>step3_validation[[#This Row],[AI_FAC2]]</f>
        <v>7</v>
      </c>
      <c r="P91">
        <f t="shared" si="36"/>
        <v>0.66666666666666663</v>
      </c>
      <c r="Q91">
        <f>survey_responses[[#This Row],[So với trước đây, tôi thấy cách tính thuế và các bậc thuế trong phương án mới đơn giản, dễ hiểu và dễ thực hiện hơn. - HUMAN-FAC2]]</f>
        <v>9</v>
      </c>
      <c r="R91">
        <f t="shared" si="37"/>
        <v>0.88888888888888884</v>
      </c>
      <c r="S91" s="32">
        <f t="shared" si="38"/>
        <v>0.72222222222222221</v>
      </c>
      <c r="T91" s="32">
        <f t="shared" si="39"/>
        <v>0.83333333333333326</v>
      </c>
      <c r="U91">
        <f>step3_validation[[#This Row],[AI_TRU1]]</f>
        <v>8</v>
      </c>
      <c r="V91">
        <f t="shared" si="40"/>
        <v>0.77777777777777779</v>
      </c>
      <c r="W91">
        <f>survey_responses[[#This Row],[Tôi tin rằng Nhà nước, cơ quan thuế sẽ thực thi chính sách mới một cách khách quan, công tâm và đối xử bình đẳng với mọi người nộp thuế.  - HUMAN-TRU1]]</f>
        <v>9</v>
      </c>
      <c r="X91">
        <f t="shared" si="41"/>
        <v>0.88888888888888884</v>
      </c>
      <c r="Y91">
        <f>step3_validation[[#This Row],[AI_TRU2]]</f>
        <v>6</v>
      </c>
      <c r="Z91">
        <f t="shared" si="42"/>
        <v>0.55555555555555558</v>
      </c>
      <c r="AA91">
        <f>survey_responses[[#This Row],[Tôi thấy mức thuế tôi phải đóng theo phương án mới là công bằng (người thu nhập như tôi đóng mức này là hợp lý). - HUMAN-TRU2]]</f>
        <v>9</v>
      </c>
      <c r="AB91">
        <f t="shared" si="43"/>
        <v>0.88888888888888884</v>
      </c>
      <c r="AC91">
        <f>step3_validation[[#This Row],[AI_TRU3]]</f>
        <v>7</v>
      </c>
      <c r="AD91">
        <f t="shared" si="44"/>
        <v>0.66666666666666663</v>
      </c>
      <c r="AE91">
        <f>survey_responses[[#This Row],[Tôi tin tưởng số tiền thuế tôi đóng sẽ được Nhà nước sử dụng hiệu quả để cải thiện dịch vụ công (y tế, đường xá...). - HUMAN-TRU3]]</f>
        <v>8</v>
      </c>
      <c r="AF91">
        <f t="shared" si="45"/>
        <v>0.77777777777777779</v>
      </c>
      <c r="AG91">
        <f>step3_validation[[#This Row],[AI_TRU4]]</f>
        <v>5</v>
      </c>
      <c r="AH91">
        <f t="shared" si="46"/>
        <v>0.44444444444444442</v>
      </c>
      <c r="AI91">
        <f>survey_responses[[#This Row],[Tôi thấy Nhà nước đã giải thích rõ ràng, minh bạch về lý do và mục tiêu của việc sửa đổi thuế lần này. - HUMAN-TRU4]]</f>
        <v>8</v>
      </c>
      <c r="AJ91">
        <f t="shared" si="47"/>
        <v>0.77777777777777779</v>
      </c>
      <c r="AK91" s="32">
        <f t="shared" si="48"/>
        <v>0.61111111111111116</v>
      </c>
      <c r="AL91" s="32">
        <f t="shared" si="49"/>
        <v>0.83333333333333326</v>
      </c>
      <c r="AM91" s="7">
        <f t="shared" si="50"/>
        <v>0.64814814814814825</v>
      </c>
      <c r="AN91" s="7">
        <f t="shared" si="51"/>
        <v>0.81481481481481488</v>
      </c>
      <c r="AO91">
        <f>step3_validation[[#This Row],[AI_OUT1]]</f>
        <v>6</v>
      </c>
      <c r="AP91">
        <f t="shared" si="52"/>
        <v>0.55555555555555558</v>
      </c>
      <c r="AQ91">
        <f>survey_responses[[#This Row],[Sau khi xem xét các quyền lợi và nghĩa vụ, bạn có ủng hộ và tuân thủ chính sách mới hiện nay? - HUMAN-OUT1]]</f>
        <v>9</v>
      </c>
      <c r="AR91">
        <f t="shared" si="53"/>
        <v>0.88888888888888884</v>
      </c>
      <c r="AS91" s="32">
        <f t="shared" si="54"/>
        <v>3</v>
      </c>
      <c r="AT91">
        <f t="shared" si="55"/>
        <v>1</v>
      </c>
    </row>
    <row r="92" spans="1:46" x14ac:dyDescent="0.45">
      <c r="A92">
        <f>step3_validation[[#This Row],[AI_ENF1]]</f>
        <v>7</v>
      </c>
      <c r="B92">
        <f t="shared" si="28"/>
        <v>0.66666666666666663</v>
      </c>
      <c r="C92">
        <f>survey_responses[[#This Row],[Tôi tin rằng với các quy định quản lý thuế hiện nay, hành vi gian lận hoặc trốn thuế sẽ dễ dàng bị phát hiện và xử lý nghiêm. - HUMAN-ENF1]]</f>
        <v>10</v>
      </c>
      <c r="D92">
        <f t="shared" si="29"/>
        <v>1</v>
      </c>
      <c r="E92">
        <f>step3_validation[[#This Row],[AI_ENF2]]</f>
        <v>8</v>
      </c>
      <c r="F92">
        <f t="shared" si="30"/>
        <v>0.77777777777777779</v>
      </c>
      <c r="G92">
        <f>survey_responses[[#This Row],[Tôi tin rằng Nhà nước, cơ quan thuế có đủ khả năng và công nghệ để phát hiện, xử lý nghiêm các hành vi trốn thuế. - HUMAN-ENF2]]</f>
        <v>9</v>
      </c>
      <c r="H92">
        <f t="shared" si="31"/>
        <v>0.88888888888888884</v>
      </c>
      <c r="I92" s="32">
        <f t="shared" si="32"/>
        <v>0.72222222222222221</v>
      </c>
      <c r="J92" s="32">
        <f t="shared" si="33"/>
        <v>0.94444444444444442</v>
      </c>
      <c r="K92">
        <f>step3_validation[[#This Row],[AI_FAC1]]</f>
        <v>6</v>
      </c>
      <c r="L92">
        <f t="shared" si="34"/>
        <v>0.55555555555555558</v>
      </c>
      <c r="M92">
        <f>survey_responses[[#This Row],[Các thủ tục khai báo thuế VÀ/HOẶC quy trình làm việc với cơ quan thuế đơn giản, tiện lợi, nhanh chóng hơn so với trước đây. - HUMAN-FAC1]]</f>
        <v>9</v>
      </c>
      <c r="N92">
        <f t="shared" si="35"/>
        <v>0.88888888888888884</v>
      </c>
      <c r="O92">
        <f>step3_validation[[#This Row],[AI_FAC2]]</f>
        <v>8</v>
      </c>
      <c r="P92">
        <f t="shared" si="36"/>
        <v>0.77777777777777779</v>
      </c>
      <c r="Q92">
        <f>survey_responses[[#This Row],[So với trước đây, tôi thấy cách tính thuế và các bậc thuế trong phương án mới đơn giản, dễ hiểu và dễ thực hiện hơn. - HUMAN-FAC2]]</f>
        <v>9</v>
      </c>
      <c r="R92">
        <f t="shared" si="37"/>
        <v>0.88888888888888884</v>
      </c>
      <c r="S92" s="32">
        <f t="shared" si="38"/>
        <v>0.66666666666666674</v>
      </c>
      <c r="T92" s="32">
        <f t="shared" si="39"/>
        <v>0.88888888888888884</v>
      </c>
      <c r="U92">
        <f>step3_validation[[#This Row],[AI_TRU1]]</f>
        <v>7</v>
      </c>
      <c r="V92">
        <f t="shared" si="40"/>
        <v>0.66666666666666663</v>
      </c>
      <c r="W92">
        <f>survey_responses[[#This Row],[Tôi tin rằng Nhà nước, cơ quan thuế sẽ thực thi chính sách mới một cách khách quan, công tâm và đối xử bình đẳng với mọi người nộp thuế.  - HUMAN-TRU1]]</f>
        <v>10</v>
      </c>
      <c r="X92">
        <f t="shared" si="41"/>
        <v>1</v>
      </c>
      <c r="Y92">
        <f>step3_validation[[#This Row],[AI_TRU2]]</f>
        <v>8</v>
      </c>
      <c r="Z92">
        <f t="shared" si="42"/>
        <v>0.77777777777777779</v>
      </c>
      <c r="AA92">
        <f>survey_responses[[#This Row],[Tôi thấy mức thuế tôi phải đóng theo phương án mới là công bằng (người thu nhập như tôi đóng mức này là hợp lý). - HUMAN-TRU2]]</f>
        <v>9</v>
      </c>
      <c r="AB92">
        <f t="shared" si="43"/>
        <v>0.88888888888888884</v>
      </c>
      <c r="AC92">
        <f>step3_validation[[#This Row],[AI_TRU3]]</f>
        <v>7</v>
      </c>
      <c r="AD92">
        <f t="shared" si="44"/>
        <v>0.66666666666666663</v>
      </c>
      <c r="AE92">
        <f>survey_responses[[#This Row],[Tôi tin tưởng số tiền thuế tôi đóng sẽ được Nhà nước sử dụng hiệu quả để cải thiện dịch vụ công (y tế, đường xá...). - HUMAN-TRU3]]</f>
        <v>8</v>
      </c>
      <c r="AF92">
        <f t="shared" si="45"/>
        <v>0.77777777777777779</v>
      </c>
      <c r="AG92">
        <f>step3_validation[[#This Row],[AI_TRU4]]</f>
        <v>8</v>
      </c>
      <c r="AH92">
        <f t="shared" si="46"/>
        <v>0.77777777777777779</v>
      </c>
      <c r="AI92">
        <f>survey_responses[[#This Row],[Tôi thấy Nhà nước đã giải thích rõ ràng, minh bạch về lý do và mục tiêu của việc sửa đổi thuế lần này. - HUMAN-TRU4]]</f>
        <v>8</v>
      </c>
      <c r="AJ92">
        <f t="shared" si="47"/>
        <v>0.77777777777777779</v>
      </c>
      <c r="AK92" s="32">
        <f t="shared" si="48"/>
        <v>0.72222222222222221</v>
      </c>
      <c r="AL92" s="32">
        <f t="shared" si="49"/>
        <v>0.86111111111111105</v>
      </c>
      <c r="AM92" s="7">
        <f t="shared" si="50"/>
        <v>0.70370370370370372</v>
      </c>
      <c r="AN92" s="7">
        <f t="shared" si="51"/>
        <v>0.89814814814814803</v>
      </c>
      <c r="AO92">
        <f>step3_validation[[#This Row],[AI_OUT1]]</f>
        <v>9</v>
      </c>
      <c r="AP92">
        <f t="shared" si="52"/>
        <v>0.88888888888888884</v>
      </c>
      <c r="AQ92">
        <f>survey_responses[[#This Row],[Sau khi xem xét các quyền lợi và nghĩa vụ, bạn có ủng hộ và tuân thủ chính sách mới hiện nay? - HUMAN-OUT1]]</f>
        <v>10</v>
      </c>
      <c r="AR92">
        <f t="shared" si="53"/>
        <v>1</v>
      </c>
      <c r="AS92" s="32">
        <f t="shared" si="54"/>
        <v>1</v>
      </c>
      <c r="AT92">
        <f t="shared" si="55"/>
        <v>1</v>
      </c>
    </row>
    <row r="93" spans="1:46" x14ac:dyDescent="0.45">
      <c r="A93">
        <f>step3_validation[[#This Row],[AI_ENF1]]</f>
        <v>7</v>
      </c>
      <c r="B93">
        <f t="shared" si="28"/>
        <v>0.66666666666666663</v>
      </c>
      <c r="C93">
        <f>survey_responses[[#This Row],[Tôi tin rằng với các quy định quản lý thuế hiện nay, hành vi gian lận hoặc trốn thuế sẽ dễ dàng bị phát hiện và xử lý nghiêm. - HUMAN-ENF1]]</f>
        <v>10</v>
      </c>
      <c r="D93">
        <f t="shared" si="29"/>
        <v>1</v>
      </c>
      <c r="E93">
        <f>step3_validation[[#This Row],[AI_ENF2]]</f>
        <v>6</v>
      </c>
      <c r="F93">
        <f t="shared" si="30"/>
        <v>0.55555555555555558</v>
      </c>
      <c r="G93">
        <f>survey_responses[[#This Row],[Tôi tin rằng Nhà nước, cơ quan thuế có đủ khả năng và công nghệ để phát hiện, xử lý nghiêm các hành vi trốn thuế. - HUMAN-ENF2]]</f>
        <v>10</v>
      </c>
      <c r="H93">
        <f t="shared" si="31"/>
        <v>1</v>
      </c>
      <c r="I93" s="32">
        <f t="shared" si="32"/>
        <v>0.61111111111111116</v>
      </c>
      <c r="J93" s="32">
        <f t="shared" si="33"/>
        <v>1</v>
      </c>
      <c r="K93">
        <f>step3_validation[[#This Row],[AI_FAC1]]</f>
        <v>8</v>
      </c>
      <c r="L93">
        <f t="shared" si="34"/>
        <v>0.77777777777777779</v>
      </c>
      <c r="M93">
        <f>survey_responses[[#This Row],[Các thủ tục khai báo thuế VÀ/HOẶC quy trình làm việc với cơ quan thuế đơn giản, tiện lợi, nhanh chóng hơn so với trước đây. - HUMAN-FAC1]]</f>
        <v>10</v>
      </c>
      <c r="N93">
        <f t="shared" si="35"/>
        <v>1</v>
      </c>
      <c r="O93">
        <f>step3_validation[[#This Row],[AI_FAC2]]</f>
        <v>7</v>
      </c>
      <c r="P93">
        <f t="shared" si="36"/>
        <v>0.66666666666666663</v>
      </c>
      <c r="Q93">
        <f>survey_responses[[#This Row],[So với trước đây, tôi thấy cách tính thuế và các bậc thuế trong phương án mới đơn giản, dễ hiểu và dễ thực hiện hơn. - HUMAN-FAC2]]</f>
        <v>10</v>
      </c>
      <c r="R93">
        <f t="shared" si="37"/>
        <v>1</v>
      </c>
      <c r="S93" s="32">
        <f t="shared" si="38"/>
        <v>0.72222222222222221</v>
      </c>
      <c r="T93" s="32">
        <f t="shared" si="39"/>
        <v>1</v>
      </c>
      <c r="U93">
        <f>step3_validation[[#This Row],[AI_TRU1]]</f>
        <v>6</v>
      </c>
      <c r="V93">
        <f t="shared" si="40"/>
        <v>0.55555555555555558</v>
      </c>
      <c r="W93">
        <f>survey_responses[[#This Row],[Tôi tin rằng Nhà nước, cơ quan thuế sẽ thực thi chính sách mới một cách khách quan, công tâm và đối xử bình đẳng với mọi người nộp thuế.  - HUMAN-TRU1]]</f>
        <v>10</v>
      </c>
      <c r="X93">
        <f t="shared" si="41"/>
        <v>1</v>
      </c>
      <c r="Y93">
        <f>step3_validation[[#This Row],[AI_TRU2]]</f>
        <v>7</v>
      </c>
      <c r="Z93">
        <f t="shared" si="42"/>
        <v>0.66666666666666663</v>
      </c>
      <c r="AA93">
        <f>survey_responses[[#This Row],[Tôi thấy mức thuế tôi phải đóng theo phương án mới là công bằng (người thu nhập như tôi đóng mức này là hợp lý). - HUMAN-TRU2]]</f>
        <v>1</v>
      </c>
      <c r="AB93">
        <f t="shared" si="43"/>
        <v>0</v>
      </c>
      <c r="AC93">
        <f>step3_validation[[#This Row],[AI_TRU3]]</f>
        <v>6</v>
      </c>
      <c r="AD93">
        <f t="shared" si="44"/>
        <v>0.55555555555555558</v>
      </c>
      <c r="AE93">
        <f>survey_responses[[#This Row],[Tôi tin tưởng số tiền thuế tôi đóng sẽ được Nhà nước sử dụng hiệu quả để cải thiện dịch vụ công (y tế, đường xá...). - HUMAN-TRU3]]</f>
        <v>10</v>
      </c>
      <c r="AF93">
        <f t="shared" si="45"/>
        <v>1</v>
      </c>
      <c r="AG93">
        <f>step3_validation[[#This Row],[AI_TRU4]]</f>
        <v>5</v>
      </c>
      <c r="AH93">
        <f t="shared" si="46"/>
        <v>0.44444444444444442</v>
      </c>
      <c r="AI93">
        <f>survey_responses[[#This Row],[Tôi thấy Nhà nước đã giải thích rõ ràng, minh bạch về lý do và mục tiêu của việc sửa đổi thuế lần này. - HUMAN-TRU4]]</f>
        <v>10</v>
      </c>
      <c r="AJ93">
        <f t="shared" si="47"/>
        <v>1</v>
      </c>
      <c r="AK93" s="32">
        <f t="shared" si="48"/>
        <v>0.55555555555555558</v>
      </c>
      <c r="AL93" s="32">
        <f t="shared" si="49"/>
        <v>0.75</v>
      </c>
      <c r="AM93" s="7">
        <f t="shared" si="50"/>
        <v>0.62962962962962965</v>
      </c>
      <c r="AN93" s="7">
        <f t="shared" si="51"/>
        <v>0.91666666666666663</v>
      </c>
      <c r="AO93">
        <f>step3_validation[[#This Row],[AI_OUT1]]</f>
        <v>6</v>
      </c>
      <c r="AP93">
        <f t="shared" si="52"/>
        <v>0.55555555555555558</v>
      </c>
      <c r="AQ93">
        <f>survey_responses[[#This Row],[Sau khi xem xét các quyền lợi và nghĩa vụ, bạn có ủng hộ và tuân thủ chính sách mới hiện nay? - HUMAN-OUT1]]</f>
        <v>10</v>
      </c>
      <c r="AR93">
        <f t="shared" si="53"/>
        <v>1</v>
      </c>
      <c r="AS93" s="32">
        <f t="shared" si="54"/>
        <v>4</v>
      </c>
      <c r="AT93">
        <f t="shared" si="55"/>
        <v>1</v>
      </c>
    </row>
    <row r="94" spans="1:46" x14ac:dyDescent="0.45">
      <c r="A94">
        <f>step3_validation[[#This Row],[AI_ENF1]]</f>
        <v>7</v>
      </c>
      <c r="B94">
        <f t="shared" si="28"/>
        <v>0.66666666666666663</v>
      </c>
      <c r="C94">
        <f>survey_responses[[#This Row],[Tôi tin rằng với các quy định quản lý thuế hiện nay, hành vi gian lận hoặc trốn thuế sẽ dễ dàng bị phát hiện và xử lý nghiêm. - HUMAN-ENF1]]</f>
        <v>5</v>
      </c>
      <c r="D94">
        <f t="shared" si="29"/>
        <v>0.44444444444444442</v>
      </c>
      <c r="E94">
        <f>step3_validation[[#This Row],[AI_ENF2]]</f>
        <v>8</v>
      </c>
      <c r="F94">
        <f t="shared" si="30"/>
        <v>0.77777777777777779</v>
      </c>
      <c r="G94">
        <f>survey_responses[[#This Row],[Tôi tin rằng Nhà nước, cơ quan thuế có đủ khả năng và công nghệ để phát hiện, xử lý nghiêm các hành vi trốn thuế. - HUMAN-ENF2]]</f>
        <v>8</v>
      </c>
      <c r="H94">
        <f t="shared" si="31"/>
        <v>0.77777777777777779</v>
      </c>
      <c r="I94" s="32">
        <f t="shared" si="32"/>
        <v>0.72222222222222221</v>
      </c>
      <c r="J94" s="32">
        <f t="shared" si="33"/>
        <v>0.61111111111111116</v>
      </c>
      <c r="K94">
        <f>step3_validation[[#This Row],[AI_FAC1]]</f>
        <v>6</v>
      </c>
      <c r="L94">
        <f t="shared" si="34"/>
        <v>0.55555555555555558</v>
      </c>
      <c r="M94">
        <f>survey_responses[[#This Row],[Các thủ tục khai báo thuế VÀ/HOẶC quy trình làm việc với cơ quan thuế đơn giản, tiện lợi, nhanh chóng hơn so với trước đây. - HUMAN-FAC1]]</f>
        <v>4</v>
      </c>
      <c r="N94">
        <f t="shared" si="35"/>
        <v>0.33333333333333331</v>
      </c>
      <c r="O94">
        <f>step3_validation[[#This Row],[AI_FAC2]]</f>
        <v>7</v>
      </c>
      <c r="P94">
        <f t="shared" si="36"/>
        <v>0.66666666666666663</v>
      </c>
      <c r="Q94">
        <f>survey_responses[[#This Row],[So với trước đây, tôi thấy cách tính thuế và các bậc thuế trong phương án mới đơn giản, dễ hiểu và dễ thực hiện hơn. - HUMAN-FAC2]]</f>
        <v>9</v>
      </c>
      <c r="R94">
        <f t="shared" si="37"/>
        <v>0.88888888888888884</v>
      </c>
      <c r="S94" s="32">
        <f t="shared" si="38"/>
        <v>0.61111111111111116</v>
      </c>
      <c r="T94" s="32">
        <f t="shared" si="39"/>
        <v>0.61111111111111105</v>
      </c>
      <c r="U94">
        <f>step3_validation[[#This Row],[AI_TRU1]]</f>
        <v>8</v>
      </c>
      <c r="V94">
        <f t="shared" si="40"/>
        <v>0.77777777777777779</v>
      </c>
      <c r="W94">
        <f>survey_responses[[#This Row],[Tôi tin rằng Nhà nước, cơ quan thuế sẽ thực thi chính sách mới một cách khách quan, công tâm và đối xử bình đẳng với mọi người nộp thuế.  - HUMAN-TRU1]]</f>
        <v>7</v>
      </c>
      <c r="X94">
        <f t="shared" si="41"/>
        <v>0.66666666666666663</v>
      </c>
      <c r="Y94">
        <f>step3_validation[[#This Row],[AI_TRU2]]</f>
        <v>7</v>
      </c>
      <c r="Z94">
        <f t="shared" si="42"/>
        <v>0.66666666666666663</v>
      </c>
      <c r="AA94">
        <f>survey_responses[[#This Row],[Tôi thấy mức thuế tôi phải đóng theo phương án mới là công bằng (người thu nhập như tôi đóng mức này là hợp lý). - HUMAN-TRU2]]</f>
        <v>5</v>
      </c>
      <c r="AB94">
        <f t="shared" si="43"/>
        <v>0.44444444444444442</v>
      </c>
      <c r="AC94">
        <f>step3_validation[[#This Row],[AI_TRU3]]</f>
        <v>6</v>
      </c>
      <c r="AD94">
        <f t="shared" si="44"/>
        <v>0.55555555555555558</v>
      </c>
      <c r="AE94">
        <f>survey_responses[[#This Row],[Tôi tin tưởng số tiền thuế tôi đóng sẽ được Nhà nước sử dụng hiệu quả để cải thiện dịch vụ công (y tế, đường xá...). - HUMAN-TRU3]]</f>
        <v>7</v>
      </c>
      <c r="AF94">
        <f t="shared" si="45"/>
        <v>0.66666666666666663</v>
      </c>
      <c r="AG94">
        <f>step3_validation[[#This Row],[AI_TRU4]]</f>
        <v>5</v>
      </c>
      <c r="AH94">
        <f t="shared" si="46"/>
        <v>0.44444444444444442</v>
      </c>
      <c r="AI94">
        <f>survey_responses[[#This Row],[Tôi thấy Nhà nước đã giải thích rõ ràng, minh bạch về lý do và mục tiêu của việc sửa đổi thuế lần này. - HUMAN-TRU4]]</f>
        <v>8</v>
      </c>
      <c r="AJ94">
        <f t="shared" si="47"/>
        <v>0.77777777777777779</v>
      </c>
      <c r="AK94" s="32">
        <f t="shared" si="48"/>
        <v>0.61111111111111116</v>
      </c>
      <c r="AL94" s="32">
        <f t="shared" si="49"/>
        <v>0.63888888888888884</v>
      </c>
      <c r="AM94" s="7">
        <f t="shared" si="50"/>
        <v>0.64814814814814825</v>
      </c>
      <c r="AN94" s="7">
        <f t="shared" si="51"/>
        <v>0.62037037037037035</v>
      </c>
      <c r="AO94">
        <f>step3_validation[[#This Row],[AI_OUT1]]</f>
        <v>8</v>
      </c>
      <c r="AP94">
        <f t="shared" si="52"/>
        <v>0.77777777777777779</v>
      </c>
      <c r="AQ94">
        <f>survey_responses[[#This Row],[Sau khi xem xét các quyền lợi và nghĩa vụ, bạn có ủng hộ và tuân thủ chính sách mới hiện nay? - HUMAN-OUT1]]</f>
        <v>10</v>
      </c>
      <c r="AR94">
        <f t="shared" si="53"/>
        <v>1</v>
      </c>
      <c r="AS94" s="32">
        <f t="shared" si="54"/>
        <v>2</v>
      </c>
      <c r="AT94">
        <f t="shared" si="55"/>
        <v>1</v>
      </c>
    </row>
    <row r="95" spans="1:46" x14ac:dyDescent="0.45">
      <c r="A95">
        <f>step3_validation[[#This Row],[AI_ENF1]]</f>
        <v>8</v>
      </c>
      <c r="B95">
        <f t="shared" si="28"/>
        <v>0.77777777777777779</v>
      </c>
      <c r="C95">
        <f>survey_responses[[#This Row],[Tôi tin rằng với các quy định quản lý thuế hiện nay, hành vi gian lận hoặc trốn thuế sẽ dễ dàng bị phát hiện và xử lý nghiêm. - HUMAN-ENF1]]</f>
        <v>9</v>
      </c>
      <c r="D95">
        <f t="shared" si="29"/>
        <v>0.88888888888888884</v>
      </c>
      <c r="E95">
        <f>step3_validation[[#This Row],[AI_ENF2]]</f>
        <v>9</v>
      </c>
      <c r="F95">
        <f t="shared" si="30"/>
        <v>0.88888888888888884</v>
      </c>
      <c r="G95">
        <f>survey_responses[[#This Row],[Tôi tin rằng Nhà nước, cơ quan thuế có đủ khả năng và công nghệ để phát hiện, xử lý nghiêm các hành vi trốn thuế. - HUMAN-ENF2]]</f>
        <v>7</v>
      </c>
      <c r="H95">
        <f t="shared" si="31"/>
        <v>0.66666666666666663</v>
      </c>
      <c r="I95" s="32">
        <f t="shared" si="32"/>
        <v>0.83333333333333326</v>
      </c>
      <c r="J95" s="32">
        <f t="shared" si="33"/>
        <v>0.77777777777777768</v>
      </c>
      <c r="K95">
        <f>step3_validation[[#This Row],[AI_FAC1]]</f>
        <v>8</v>
      </c>
      <c r="L95">
        <f t="shared" si="34"/>
        <v>0.77777777777777779</v>
      </c>
      <c r="M95">
        <f>survey_responses[[#This Row],[Các thủ tục khai báo thuế VÀ/HOẶC quy trình làm việc với cơ quan thuế đơn giản, tiện lợi, nhanh chóng hơn so với trước đây. - HUMAN-FAC1]]</f>
        <v>5</v>
      </c>
      <c r="N95">
        <f t="shared" si="35"/>
        <v>0.44444444444444442</v>
      </c>
      <c r="O95">
        <f>step3_validation[[#This Row],[AI_FAC2]]</f>
        <v>7</v>
      </c>
      <c r="P95">
        <f t="shared" si="36"/>
        <v>0.66666666666666663</v>
      </c>
      <c r="Q95">
        <f>survey_responses[[#This Row],[So với trước đây, tôi thấy cách tính thuế và các bậc thuế trong phương án mới đơn giản, dễ hiểu và dễ thực hiện hơn. - HUMAN-FAC2]]</f>
        <v>7</v>
      </c>
      <c r="R95">
        <f t="shared" si="37"/>
        <v>0.66666666666666663</v>
      </c>
      <c r="S95" s="32">
        <f t="shared" si="38"/>
        <v>0.72222222222222221</v>
      </c>
      <c r="T95" s="32">
        <f t="shared" si="39"/>
        <v>0.55555555555555558</v>
      </c>
      <c r="U95">
        <f>step3_validation[[#This Row],[AI_TRU1]]</f>
        <v>8</v>
      </c>
      <c r="V95">
        <f t="shared" si="40"/>
        <v>0.77777777777777779</v>
      </c>
      <c r="W95">
        <f>survey_responses[[#This Row],[Tôi tin rằng Nhà nước, cơ quan thuế sẽ thực thi chính sách mới một cách khách quan, công tâm và đối xử bình đẳng với mọi người nộp thuế.  - HUMAN-TRU1]]</f>
        <v>5</v>
      </c>
      <c r="X95">
        <f t="shared" si="41"/>
        <v>0.44444444444444442</v>
      </c>
      <c r="Y95">
        <f>step3_validation[[#This Row],[AI_TRU2]]</f>
        <v>7</v>
      </c>
      <c r="Z95">
        <f t="shared" si="42"/>
        <v>0.66666666666666663</v>
      </c>
      <c r="AA95">
        <f>survey_responses[[#This Row],[Tôi thấy mức thuế tôi phải đóng theo phương án mới là công bằng (người thu nhập như tôi đóng mức này là hợp lý). - HUMAN-TRU2]]</f>
        <v>8</v>
      </c>
      <c r="AB95">
        <f t="shared" si="43"/>
        <v>0.77777777777777779</v>
      </c>
      <c r="AC95">
        <f>step3_validation[[#This Row],[AI_TRU3]]</f>
        <v>8</v>
      </c>
      <c r="AD95">
        <f t="shared" si="44"/>
        <v>0.77777777777777779</v>
      </c>
      <c r="AE95">
        <f>survey_responses[[#This Row],[Tôi tin tưởng số tiền thuế tôi đóng sẽ được Nhà nước sử dụng hiệu quả để cải thiện dịch vụ công (y tế, đường xá...). - HUMAN-TRU3]]</f>
        <v>5</v>
      </c>
      <c r="AF95">
        <f t="shared" si="45"/>
        <v>0.44444444444444442</v>
      </c>
      <c r="AG95">
        <f>step3_validation[[#This Row],[AI_TRU4]]</f>
        <v>7</v>
      </c>
      <c r="AH95">
        <f t="shared" si="46"/>
        <v>0.66666666666666663</v>
      </c>
      <c r="AI95">
        <f>survey_responses[[#This Row],[Tôi thấy Nhà nước đã giải thích rõ ràng, minh bạch về lý do và mục tiêu của việc sửa đổi thuế lần này. - HUMAN-TRU4]]</f>
        <v>5</v>
      </c>
      <c r="AJ95">
        <f t="shared" si="47"/>
        <v>0.44444444444444442</v>
      </c>
      <c r="AK95" s="32">
        <f t="shared" si="48"/>
        <v>0.72222222222222221</v>
      </c>
      <c r="AL95" s="32">
        <f t="shared" si="49"/>
        <v>0.52777777777777779</v>
      </c>
      <c r="AM95" s="7">
        <f t="shared" si="50"/>
        <v>0.75925925925925919</v>
      </c>
      <c r="AN95" s="7">
        <f t="shared" si="51"/>
        <v>0.62037037037037035</v>
      </c>
      <c r="AO95">
        <f>step3_validation[[#This Row],[AI_OUT1]]</f>
        <v>8</v>
      </c>
      <c r="AP95">
        <f t="shared" si="52"/>
        <v>0.77777777777777779</v>
      </c>
      <c r="AQ95">
        <f>survey_responses[[#This Row],[Sau khi xem xét các quyền lợi và nghĩa vụ, bạn có ủng hộ và tuân thủ chính sách mới hiện nay? - HUMAN-OUT1]]</f>
        <v>7</v>
      </c>
      <c r="AR95">
        <f t="shared" si="53"/>
        <v>0.66666666666666663</v>
      </c>
      <c r="AS95" s="32">
        <f t="shared" si="54"/>
        <v>1</v>
      </c>
      <c r="AT95">
        <f t="shared" si="55"/>
        <v>1</v>
      </c>
    </row>
    <row r="96" spans="1:46" x14ac:dyDescent="0.45">
      <c r="A96">
        <f>step3_validation[[#This Row],[AI_ENF1]]</f>
        <v>8</v>
      </c>
      <c r="B96">
        <f t="shared" si="28"/>
        <v>0.77777777777777779</v>
      </c>
      <c r="C96">
        <f>survey_responses[[#This Row],[Tôi tin rằng với các quy định quản lý thuế hiện nay, hành vi gian lận hoặc trốn thuế sẽ dễ dàng bị phát hiện và xử lý nghiêm. - HUMAN-ENF1]]</f>
        <v>4</v>
      </c>
      <c r="D96">
        <f t="shared" si="29"/>
        <v>0.33333333333333331</v>
      </c>
      <c r="E96">
        <f>step3_validation[[#This Row],[AI_ENF2]]</f>
        <v>7</v>
      </c>
      <c r="F96">
        <f t="shared" si="30"/>
        <v>0.66666666666666663</v>
      </c>
      <c r="G96">
        <f>survey_responses[[#This Row],[Tôi tin rằng Nhà nước, cơ quan thuế có đủ khả năng và công nghệ để phát hiện, xử lý nghiêm các hành vi trốn thuế. - HUMAN-ENF2]]</f>
        <v>6</v>
      </c>
      <c r="H96">
        <f t="shared" si="31"/>
        <v>0.55555555555555558</v>
      </c>
      <c r="I96" s="32">
        <f t="shared" si="32"/>
        <v>0.72222222222222221</v>
      </c>
      <c r="J96" s="32">
        <f t="shared" si="33"/>
        <v>0.44444444444444442</v>
      </c>
      <c r="K96">
        <f>step3_validation[[#This Row],[AI_FAC1]]</f>
        <v>6</v>
      </c>
      <c r="L96">
        <f t="shared" si="34"/>
        <v>0.55555555555555558</v>
      </c>
      <c r="M96">
        <f>survey_responses[[#This Row],[Các thủ tục khai báo thuế VÀ/HOẶC quy trình làm việc với cơ quan thuế đơn giản, tiện lợi, nhanh chóng hơn so với trước đây. - HUMAN-FAC1]]</f>
        <v>5</v>
      </c>
      <c r="N96">
        <f t="shared" si="35"/>
        <v>0.44444444444444442</v>
      </c>
      <c r="O96">
        <f>step3_validation[[#This Row],[AI_FAC2]]</f>
        <v>5</v>
      </c>
      <c r="P96">
        <f t="shared" si="36"/>
        <v>0.44444444444444442</v>
      </c>
      <c r="Q96">
        <f>survey_responses[[#This Row],[So với trước đây, tôi thấy cách tính thuế và các bậc thuế trong phương án mới đơn giản, dễ hiểu và dễ thực hiện hơn. - HUMAN-FAC2]]</f>
        <v>5</v>
      </c>
      <c r="R96">
        <f t="shared" si="37"/>
        <v>0.44444444444444442</v>
      </c>
      <c r="S96" s="32">
        <f t="shared" si="38"/>
        <v>0.5</v>
      </c>
      <c r="T96" s="32">
        <f t="shared" si="39"/>
        <v>0.44444444444444442</v>
      </c>
      <c r="U96">
        <f>step3_validation[[#This Row],[AI_TRU1]]</f>
        <v>6</v>
      </c>
      <c r="V96">
        <f t="shared" si="40"/>
        <v>0.55555555555555558</v>
      </c>
      <c r="W96">
        <f>survey_responses[[#This Row],[Tôi tin rằng Nhà nước, cơ quan thuế sẽ thực thi chính sách mới một cách khách quan, công tâm và đối xử bình đẳng với mọi người nộp thuế.  - HUMAN-TRU1]]</f>
        <v>4</v>
      </c>
      <c r="X96">
        <f t="shared" si="41"/>
        <v>0.33333333333333331</v>
      </c>
      <c r="Y96">
        <f>step3_validation[[#This Row],[AI_TRU2]]</f>
        <v>4</v>
      </c>
      <c r="Z96">
        <f t="shared" si="42"/>
        <v>0.33333333333333331</v>
      </c>
      <c r="AA96">
        <f>survey_responses[[#This Row],[Tôi thấy mức thuế tôi phải đóng theo phương án mới là công bằng (người thu nhập như tôi đóng mức này là hợp lý). - HUMAN-TRU2]]</f>
        <v>4</v>
      </c>
      <c r="AB96">
        <f t="shared" si="43"/>
        <v>0.33333333333333331</v>
      </c>
      <c r="AC96">
        <f>step3_validation[[#This Row],[AI_TRU3]]</f>
        <v>5</v>
      </c>
      <c r="AD96">
        <f t="shared" si="44"/>
        <v>0.44444444444444442</v>
      </c>
      <c r="AE96">
        <f>survey_responses[[#This Row],[Tôi tin tưởng số tiền thuế tôi đóng sẽ được Nhà nước sử dụng hiệu quả để cải thiện dịch vụ công (y tế, đường xá...). - HUMAN-TRU3]]</f>
        <v>3</v>
      </c>
      <c r="AF96">
        <f t="shared" si="45"/>
        <v>0.22222222222222221</v>
      </c>
      <c r="AG96">
        <f>step3_validation[[#This Row],[AI_TRU4]]</f>
        <v>3</v>
      </c>
      <c r="AH96">
        <f t="shared" si="46"/>
        <v>0.22222222222222221</v>
      </c>
      <c r="AI96">
        <f>survey_responses[[#This Row],[Tôi thấy Nhà nước đã giải thích rõ ràng, minh bạch về lý do và mục tiêu của việc sửa đổi thuế lần này. - HUMAN-TRU4]]</f>
        <v>4</v>
      </c>
      <c r="AJ96">
        <f t="shared" si="47"/>
        <v>0.33333333333333331</v>
      </c>
      <c r="AK96" s="32">
        <f t="shared" si="48"/>
        <v>0.38888888888888884</v>
      </c>
      <c r="AL96" s="32">
        <f t="shared" si="49"/>
        <v>0.30555555555555552</v>
      </c>
      <c r="AM96" s="7">
        <f t="shared" si="50"/>
        <v>0.53703703703703709</v>
      </c>
      <c r="AN96" s="7">
        <f t="shared" si="51"/>
        <v>0.39814814814814814</v>
      </c>
      <c r="AO96">
        <f>step3_validation[[#This Row],[AI_OUT1]]</f>
        <v>7</v>
      </c>
      <c r="AP96">
        <f t="shared" si="52"/>
        <v>0.66666666666666663</v>
      </c>
      <c r="AQ96">
        <f>survey_responses[[#This Row],[Sau khi xem xét các quyền lợi và nghĩa vụ, bạn có ủng hộ và tuân thủ chính sách mới hiện nay? - HUMAN-OUT1]]</f>
        <v>3</v>
      </c>
      <c r="AR96">
        <f t="shared" si="53"/>
        <v>0.22222222222222221</v>
      </c>
      <c r="AS96" s="32">
        <f t="shared" si="54"/>
        <v>4</v>
      </c>
      <c r="AT96">
        <f t="shared" si="55"/>
        <v>0</v>
      </c>
    </row>
    <row r="97" spans="1:46" x14ac:dyDescent="0.45">
      <c r="A97">
        <f>step3_validation[[#This Row],[AI_ENF1]]</f>
        <v>6</v>
      </c>
      <c r="B97">
        <f t="shared" si="28"/>
        <v>0.55555555555555558</v>
      </c>
      <c r="C97">
        <f>survey_responses[[#This Row],[Tôi tin rằng với các quy định quản lý thuế hiện nay, hành vi gian lận hoặc trốn thuế sẽ dễ dàng bị phát hiện và xử lý nghiêm. - HUMAN-ENF1]]</f>
        <v>8</v>
      </c>
      <c r="D97">
        <f t="shared" si="29"/>
        <v>0.77777777777777779</v>
      </c>
      <c r="E97">
        <f>step3_validation[[#This Row],[AI_ENF2]]</f>
        <v>5</v>
      </c>
      <c r="F97">
        <f t="shared" si="30"/>
        <v>0.44444444444444442</v>
      </c>
      <c r="G97">
        <f>survey_responses[[#This Row],[Tôi tin rằng Nhà nước, cơ quan thuế có đủ khả năng và công nghệ để phát hiện, xử lý nghiêm các hành vi trốn thuế. - HUMAN-ENF2]]</f>
        <v>7</v>
      </c>
      <c r="H97">
        <f t="shared" si="31"/>
        <v>0.66666666666666663</v>
      </c>
      <c r="I97" s="32">
        <f t="shared" si="32"/>
        <v>0.5</v>
      </c>
      <c r="J97" s="32">
        <f t="shared" si="33"/>
        <v>0.72222222222222221</v>
      </c>
      <c r="K97">
        <f>step3_validation[[#This Row],[AI_FAC1]]</f>
        <v>7</v>
      </c>
      <c r="L97">
        <f t="shared" si="34"/>
        <v>0.66666666666666663</v>
      </c>
      <c r="M97">
        <f>survey_responses[[#This Row],[Các thủ tục khai báo thuế VÀ/HOẶC quy trình làm việc với cơ quan thuế đơn giản, tiện lợi, nhanh chóng hơn so với trước đây. - HUMAN-FAC1]]</f>
        <v>5</v>
      </c>
      <c r="N97">
        <f t="shared" si="35"/>
        <v>0.44444444444444442</v>
      </c>
      <c r="O97">
        <f>step3_validation[[#This Row],[AI_FAC2]]</f>
        <v>8</v>
      </c>
      <c r="P97">
        <f t="shared" si="36"/>
        <v>0.77777777777777779</v>
      </c>
      <c r="Q97">
        <f>survey_responses[[#This Row],[So với trước đây, tôi thấy cách tính thuế và các bậc thuế trong phương án mới đơn giản, dễ hiểu và dễ thực hiện hơn. - HUMAN-FAC2]]</f>
        <v>7</v>
      </c>
      <c r="R97">
        <f t="shared" si="37"/>
        <v>0.66666666666666663</v>
      </c>
      <c r="S97" s="32">
        <f t="shared" si="38"/>
        <v>0.72222222222222221</v>
      </c>
      <c r="T97" s="32">
        <f t="shared" si="39"/>
        <v>0.55555555555555558</v>
      </c>
      <c r="U97">
        <f>step3_validation[[#This Row],[AI_TRU1]]</f>
        <v>4</v>
      </c>
      <c r="V97">
        <f t="shared" si="40"/>
        <v>0.33333333333333331</v>
      </c>
      <c r="W97">
        <f>survey_responses[[#This Row],[Tôi tin rằng Nhà nước, cơ quan thuế sẽ thực thi chính sách mới một cách khách quan, công tâm và đối xử bình đẳng với mọi người nộp thuế.  - HUMAN-TRU1]]</f>
        <v>7</v>
      </c>
      <c r="X97">
        <f t="shared" si="41"/>
        <v>0.66666666666666663</v>
      </c>
      <c r="Y97">
        <f>step3_validation[[#This Row],[AI_TRU2]]</f>
        <v>6</v>
      </c>
      <c r="Z97">
        <f t="shared" si="42"/>
        <v>0.55555555555555558</v>
      </c>
      <c r="AA97">
        <f>survey_responses[[#This Row],[Tôi thấy mức thuế tôi phải đóng theo phương án mới là công bằng (người thu nhập như tôi đóng mức này là hợp lý). - HUMAN-TRU2]]</f>
        <v>5</v>
      </c>
      <c r="AB97">
        <f t="shared" si="43"/>
        <v>0.44444444444444442</v>
      </c>
      <c r="AC97">
        <f>step3_validation[[#This Row],[AI_TRU3]]</f>
        <v>5</v>
      </c>
      <c r="AD97">
        <f t="shared" si="44"/>
        <v>0.44444444444444442</v>
      </c>
      <c r="AE97">
        <f>survey_responses[[#This Row],[Tôi tin tưởng số tiền thuế tôi đóng sẽ được Nhà nước sử dụng hiệu quả để cải thiện dịch vụ công (y tế, đường xá...). - HUMAN-TRU3]]</f>
        <v>5</v>
      </c>
      <c r="AF97">
        <f t="shared" si="45"/>
        <v>0.44444444444444442</v>
      </c>
      <c r="AG97">
        <f>step3_validation[[#This Row],[AI_TRU4]]</f>
        <v>6</v>
      </c>
      <c r="AH97">
        <f t="shared" si="46"/>
        <v>0.55555555555555558</v>
      </c>
      <c r="AI97">
        <f>survey_responses[[#This Row],[Tôi thấy Nhà nước đã giải thích rõ ràng, minh bạch về lý do và mục tiêu của việc sửa đổi thuế lần này. - HUMAN-TRU4]]</f>
        <v>7</v>
      </c>
      <c r="AJ97">
        <f t="shared" si="47"/>
        <v>0.66666666666666663</v>
      </c>
      <c r="AK97" s="32">
        <f t="shared" si="48"/>
        <v>0.47222222222222221</v>
      </c>
      <c r="AL97" s="32">
        <f t="shared" si="49"/>
        <v>0.55555555555555558</v>
      </c>
      <c r="AM97" s="7">
        <f t="shared" si="50"/>
        <v>0.56481481481481488</v>
      </c>
      <c r="AN97" s="7">
        <f t="shared" si="51"/>
        <v>0.61111111111111105</v>
      </c>
      <c r="AO97">
        <f>step3_validation[[#This Row],[AI_OUT1]]</f>
        <v>5</v>
      </c>
      <c r="AP97">
        <f t="shared" si="52"/>
        <v>0.44444444444444442</v>
      </c>
      <c r="AQ97">
        <f>survey_responses[[#This Row],[Sau khi xem xét các quyền lợi và nghĩa vụ, bạn có ủng hộ và tuân thủ chính sách mới hiện nay? - HUMAN-OUT1]]</f>
        <v>7</v>
      </c>
      <c r="AR97">
        <f t="shared" si="53"/>
        <v>0.66666666666666663</v>
      </c>
      <c r="AS97" s="32">
        <f t="shared" si="54"/>
        <v>2</v>
      </c>
      <c r="AT97">
        <f t="shared" si="55"/>
        <v>1</v>
      </c>
    </row>
    <row r="98" spans="1:46" x14ac:dyDescent="0.45">
      <c r="A98">
        <f>step3_validation[[#This Row],[AI_ENF1]]</f>
        <v>7</v>
      </c>
      <c r="B98">
        <f t="shared" si="28"/>
        <v>0.66666666666666663</v>
      </c>
      <c r="C98">
        <f>survey_responses[[#This Row],[Tôi tin rằng với các quy định quản lý thuế hiện nay, hành vi gian lận hoặc trốn thuế sẽ dễ dàng bị phát hiện và xử lý nghiêm. - HUMAN-ENF1]]</f>
        <v>6</v>
      </c>
      <c r="D98">
        <f t="shared" si="29"/>
        <v>0.55555555555555558</v>
      </c>
      <c r="E98">
        <f>step3_validation[[#This Row],[AI_ENF2]]</f>
        <v>6</v>
      </c>
      <c r="F98">
        <f t="shared" si="30"/>
        <v>0.55555555555555558</v>
      </c>
      <c r="G98">
        <f>survey_responses[[#This Row],[Tôi tin rằng Nhà nước, cơ quan thuế có đủ khả năng và công nghệ để phát hiện, xử lý nghiêm các hành vi trốn thuế. - HUMAN-ENF2]]</f>
        <v>6</v>
      </c>
      <c r="H98">
        <f t="shared" si="31"/>
        <v>0.55555555555555558</v>
      </c>
      <c r="I98" s="32">
        <f t="shared" si="32"/>
        <v>0.61111111111111116</v>
      </c>
      <c r="J98" s="32">
        <f t="shared" si="33"/>
        <v>0.55555555555555558</v>
      </c>
      <c r="K98">
        <f>step3_validation[[#This Row],[AI_FAC1]]</f>
        <v>8</v>
      </c>
      <c r="L98">
        <f t="shared" si="34"/>
        <v>0.77777777777777779</v>
      </c>
      <c r="M98">
        <f>survey_responses[[#This Row],[Các thủ tục khai báo thuế VÀ/HOẶC quy trình làm việc với cơ quan thuế đơn giản, tiện lợi, nhanh chóng hơn so với trước đây. - HUMAN-FAC1]]</f>
        <v>5</v>
      </c>
      <c r="N98">
        <f t="shared" si="35"/>
        <v>0.44444444444444442</v>
      </c>
      <c r="O98">
        <f>step3_validation[[#This Row],[AI_FAC2]]</f>
        <v>9</v>
      </c>
      <c r="P98">
        <f t="shared" si="36"/>
        <v>0.88888888888888884</v>
      </c>
      <c r="Q98">
        <f>survey_responses[[#This Row],[So với trước đây, tôi thấy cách tính thuế và các bậc thuế trong phương án mới đơn giản, dễ hiểu và dễ thực hiện hơn. - HUMAN-FAC2]]</f>
        <v>5</v>
      </c>
      <c r="R98">
        <f t="shared" si="37"/>
        <v>0.44444444444444442</v>
      </c>
      <c r="S98" s="32">
        <f t="shared" si="38"/>
        <v>0.83333333333333326</v>
      </c>
      <c r="T98" s="32">
        <f t="shared" si="39"/>
        <v>0.44444444444444442</v>
      </c>
      <c r="U98">
        <f>step3_validation[[#This Row],[AI_TRU1]]</f>
        <v>6</v>
      </c>
      <c r="V98">
        <f t="shared" si="40"/>
        <v>0.55555555555555558</v>
      </c>
      <c r="W98">
        <f>survey_responses[[#This Row],[Tôi tin rằng Nhà nước, cơ quan thuế sẽ thực thi chính sách mới một cách khách quan, công tâm và đối xử bình đẳng với mọi người nộp thuế.  - HUMAN-TRU1]]</f>
        <v>5</v>
      </c>
      <c r="X98">
        <f t="shared" si="41"/>
        <v>0.44444444444444442</v>
      </c>
      <c r="Y98">
        <f>step3_validation[[#This Row],[AI_TRU2]]</f>
        <v>7</v>
      </c>
      <c r="Z98">
        <f t="shared" si="42"/>
        <v>0.66666666666666663</v>
      </c>
      <c r="AA98">
        <f>survey_responses[[#This Row],[Tôi thấy mức thuế tôi phải đóng theo phương án mới là công bằng (người thu nhập như tôi đóng mức này là hợp lý). - HUMAN-TRU2]]</f>
        <v>5</v>
      </c>
      <c r="AB98">
        <f t="shared" si="43"/>
        <v>0.44444444444444442</v>
      </c>
      <c r="AC98">
        <f>step3_validation[[#This Row],[AI_TRU3]]</f>
        <v>6</v>
      </c>
      <c r="AD98">
        <f t="shared" si="44"/>
        <v>0.55555555555555558</v>
      </c>
      <c r="AE98">
        <f>survey_responses[[#This Row],[Tôi tin tưởng số tiền thuế tôi đóng sẽ được Nhà nước sử dụng hiệu quả để cải thiện dịch vụ công (y tế, đường xá...). - HUMAN-TRU3]]</f>
        <v>5</v>
      </c>
      <c r="AF98">
        <f t="shared" si="45"/>
        <v>0.44444444444444442</v>
      </c>
      <c r="AG98">
        <f>step3_validation[[#This Row],[AI_TRU4]]</f>
        <v>7</v>
      </c>
      <c r="AH98">
        <f t="shared" si="46"/>
        <v>0.66666666666666663</v>
      </c>
      <c r="AI98">
        <f>survey_responses[[#This Row],[Tôi thấy Nhà nước đã giải thích rõ ràng, minh bạch về lý do và mục tiêu của việc sửa đổi thuế lần này. - HUMAN-TRU4]]</f>
        <v>5</v>
      </c>
      <c r="AJ98">
        <f t="shared" si="47"/>
        <v>0.44444444444444442</v>
      </c>
      <c r="AK98" s="32">
        <f t="shared" si="48"/>
        <v>0.61111111111111116</v>
      </c>
      <c r="AL98" s="32">
        <f t="shared" si="49"/>
        <v>0.44444444444444442</v>
      </c>
      <c r="AM98" s="7">
        <f t="shared" si="50"/>
        <v>0.68518518518518512</v>
      </c>
      <c r="AN98" s="7">
        <f t="shared" si="51"/>
        <v>0.48148148148148145</v>
      </c>
      <c r="AO98">
        <f>step3_validation[[#This Row],[AI_OUT1]]</f>
        <v>8</v>
      </c>
      <c r="AP98">
        <f t="shared" si="52"/>
        <v>0.77777777777777779</v>
      </c>
      <c r="AQ98">
        <f>survey_responses[[#This Row],[Sau khi xem xét các quyền lợi và nghĩa vụ, bạn có ủng hộ và tuân thủ chính sách mới hiện nay? - HUMAN-OUT1]]</f>
        <v>5</v>
      </c>
      <c r="AR98">
        <f t="shared" si="53"/>
        <v>0.44444444444444442</v>
      </c>
      <c r="AS98" s="32">
        <f t="shared" si="54"/>
        <v>3</v>
      </c>
      <c r="AT98">
        <f t="shared" si="55"/>
        <v>0</v>
      </c>
    </row>
    <row r="99" spans="1:46" x14ac:dyDescent="0.45">
      <c r="A99">
        <f>step3_validation[[#This Row],[AI_ENF1]]</f>
        <v>9</v>
      </c>
      <c r="B99">
        <f t="shared" si="28"/>
        <v>0.88888888888888884</v>
      </c>
      <c r="C99">
        <f>survey_responses[[#This Row],[Tôi tin rằng với các quy định quản lý thuế hiện nay, hành vi gian lận hoặc trốn thuế sẽ dễ dàng bị phát hiện và xử lý nghiêm. - HUMAN-ENF1]]</f>
        <v>8</v>
      </c>
      <c r="D99">
        <f t="shared" si="29"/>
        <v>0.77777777777777779</v>
      </c>
      <c r="E99">
        <f>step3_validation[[#This Row],[AI_ENF2]]</f>
        <v>8</v>
      </c>
      <c r="F99">
        <f t="shared" si="30"/>
        <v>0.77777777777777779</v>
      </c>
      <c r="G99">
        <f>survey_responses[[#This Row],[Tôi tin rằng Nhà nước, cơ quan thuế có đủ khả năng và công nghệ để phát hiện, xử lý nghiêm các hành vi trốn thuế. - HUMAN-ENF2]]</f>
        <v>8</v>
      </c>
      <c r="H99">
        <f t="shared" si="31"/>
        <v>0.77777777777777779</v>
      </c>
      <c r="I99" s="32">
        <f t="shared" si="32"/>
        <v>0.83333333333333326</v>
      </c>
      <c r="J99" s="32">
        <f t="shared" si="33"/>
        <v>0.77777777777777779</v>
      </c>
      <c r="K99">
        <f>step3_validation[[#This Row],[AI_FAC1]]</f>
        <v>7</v>
      </c>
      <c r="L99">
        <f t="shared" si="34"/>
        <v>0.66666666666666663</v>
      </c>
      <c r="M99">
        <f>survey_responses[[#This Row],[Các thủ tục khai báo thuế VÀ/HOẶC quy trình làm việc với cơ quan thuế đơn giản, tiện lợi, nhanh chóng hơn so với trước đây. - HUMAN-FAC1]]</f>
        <v>5</v>
      </c>
      <c r="N99">
        <f t="shared" si="35"/>
        <v>0.44444444444444442</v>
      </c>
      <c r="O99">
        <f>step3_validation[[#This Row],[AI_FAC2]]</f>
        <v>8</v>
      </c>
      <c r="P99">
        <f t="shared" si="36"/>
        <v>0.77777777777777779</v>
      </c>
      <c r="Q99">
        <f>survey_responses[[#This Row],[So với trước đây, tôi thấy cách tính thuế và các bậc thuế trong phương án mới đơn giản, dễ hiểu và dễ thực hiện hơn. - HUMAN-FAC2]]</f>
        <v>8</v>
      </c>
      <c r="R99">
        <f t="shared" si="37"/>
        <v>0.77777777777777779</v>
      </c>
      <c r="S99" s="32">
        <f t="shared" si="38"/>
        <v>0.72222222222222221</v>
      </c>
      <c r="T99" s="32">
        <f t="shared" si="39"/>
        <v>0.61111111111111116</v>
      </c>
      <c r="U99">
        <f>step3_validation[[#This Row],[AI_TRU1]]</f>
        <v>8</v>
      </c>
      <c r="V99">
        <f t="shared" si="40"/>
        <v>0.77777777777777779</v>
      </c>
      <c r="W99">
        <f>survey_responses[[#This Row],[Tôi tin rằng Nhà nước, cơ quan thuế sẽ thực thi chính sách mới một cách khách quan, công tâm và đối xử bình đẳng với mọi người nộp thuế.  - HUMAN-TRU1]]</f>
        <v>6</v>
      </c>
      <c r="X99">
        <f t="shared" si="41"/>
        <v>0.55555555555555558</v>
      </c>
      <c r="Y99">
        <f>step3_validation[[#This Row],[AI_TRU2]]</f>
        <v>7</v>
      </c>
      <c r="Z99">
        <f t="shared" si="42"/>
        <v>0.66666666666666663</v>
      </c>
      <c r="AA99">
        <f>survey_responses[[#This Row],[Tôi thấy mức thuế tôi phải đóng theo phương án mới là công bằng (người thu nhập như tôi đóng mức này là hợp lý). - HUMAN-TRU2]]</f>
        <v>9</v>
      </c>
      <c r="AB99">
        <f t="shared" si="43"/>
        <v>0.88888888888888884</v>
      </c>
      <c r="AC99">
        <f>step3_validation[[#This Row],[AI_TRU3]]</f>
        <v>8</v>
      </c>
      <c r="AD99">
        <f t="shared" si="44"/>
        <v>0.77777777777777779</v>
      </c>
      <c r="AE99">
        <f>survey_responses[[#This Row],[Tôi tin tưởng số tiền thuế tôi đóng sẽ được Nhà nước sử dụng hiệu quả để cải thiện dịch vụ công (y tế, đường xá...). - HUMAN-TRU3]]</f>
        <v>5</v>
      </c>
      <c r="AF99">
        <f t="shared" si="45"/>
        <v>0.44444444444444442</v>
      </c>
      <c r="AG99">
        <f>step3_validation[[#This Row],[AI_TRU4]]</f>
        <v>7</v>
      </c>
      <c r="AH99">
        <f t="shared" si="46"/>
        <v>0.66666666666666663</v>
      </c>
      <c r="AI99">
        <f>survey_responses[[#This Row],[Tôi thấy Nhà nước đã giải thích rõ ràng, minh bạch về lý do và mục tiêu của việc sửa đổi thuế lần này. - HUMAN-TRU4]]</f>
        <v>7</v>
      </c>
      <c r="AJ99">
        <f t="shared" si="47"/>
        <v>0.66666666666666663</v>
      </c>
      <c r="AK99" s="32">
        <f t="shared" si="48"/>
        <v>0.72222222222222221</v>
      </c>
      <c r="AL99" s="32">
        <f t="shared" si="49"/>
        <v>0.63888888888888884</v>
      </c>
      <c r="AM99" s="7">
        <f t="shared" si="50"/>
        <v>0.75925925925925919</v>
      </c>
      <c r="AN99" s="7">
        <f t="shared" si="51"/>
        <v>0.67592592592592593</v>
      </c>
      <c r="AO99">
        <f>step3_validation[[#This Row],[AI_OUT1]]</f>
        <v>7</v>
      </c>
      <c r="AP99">
        <f t="shared" si="52"/>
        <v>0.66666666666666663</v>
      </c>
      <c r="AQ99">
        <f>survey_responses[[#This Row],[Sau khi xem xét các quyền lợi và nghĩa vụ, bạn có ủng hộ và tuân thủ chính sách mới hiện nay? - HUMAN-OUT1]]</f>
        <v>8</v>
      </c>
      <c r="AR99">
        <f t="shared" si="53"/>
        <v>0.77777777777777779</v>
      </c>
      <c r="AS99" s="32">
        <f t="shared" si="54"/>
        <v>1</v>
      </c>
      <c r="AT99">
        <f t="shared" si="55"/>
        <v>1</v>
      </c>
    </row>
    <row r="100" spans="1:46" x14ac:dyDescent="0.45">
      <c r="A100">
        <f>step3_validation[[#This Row],[AI_ENF1]]</f>
        <v>8</v>
      </c>
      <c r="B100">
        <f t="shared" si="28"/>
        <v>0.77777777777777779</v>
      </c>
      <c r="C100">
        <f>survey_responses[[#This Row],[Tôi tin rằng với các quy định quản lý thuế hiện nay, hành vi gian lận hoặc trốn thuế sẽ dễ dàng bị phát hiện và xử lý nghiêm. - HUMAN-ENF1]]</f>
        <v>6</v>
      </c>
      <c r="D100">
        <f t="shared" si="29"/>
        <v>0.55555555555555558</v>
      </c>
      <c r="E100">
        <f>step3_validation[[#This Row],[AI_ENF2]]</f>
        <v>7</v>
      </c>
      <c r="F100">
        <f t="shared" si="30"/>
        <v>0.66666666666666663</v>
      </c>
      <c r="G100">
        <f>survey_responses[[#This Row],[Tôi tin rằng Nhà nước, cơ quan thuế có đủ khả năng và công nghệ để phát hiện, xử lý nghiêm các hành vi trốn thuế. - HUMAN-ENF2]]</f>
        <v>6</v>
      </c>
      <c r="H100">
        <f t="shared" si="31"/>
        <v>0.55555555555555558</v>
      </c>
      <c r="I100" s="32">
        <f t="shared" si="32"/>
        <v>0.72222222222222221</v>
      </c>
      <c r="J100" s="32">
        <f t="shared" si="33"/>
        <v>0.55555555555555558</v>
      </c>
      <c r="K100">
        <f>step3_validation[[#This Row],[AI_FAC1]]</f>
        <v>9</v>
      </c>
      <c r="L100">
        <f t="shared" si="34"/>
        <v>0.88888888888888884</v>
      </c>
      <c r="M100">
        <f>survey_responses[[#This Row],[Các thủ tục khai báo thuế VÀ/HOẶC quy trình làm việc với cơ quan thuế đơn giản, tiện lợi, nhanh chóng hơn so với trước đây. - HUMAN-FAC1]]</f>
        <v>3</v>
      </c>
      <c r="N100">
        <f t="shared" si="35"/>
        <v>0.22222222222222221</v>
      </c>
      <c r="O100">
        <f>step3_validation[[#This Row],[AI_FAC2]]</f>
        <v>8</v>
      </c>
      <c r="P100">
        <f t="shared" si="36"/>
        <v>0.77777777777777779</v>
      </c>
      <c r="Q100">
        <f>survey_responses[[#This Row],[So với trước đây, tôi thấy cách tính thuế và các bậc thuế trong phương án mới đơn giản, dễ hiểu và dễ thực hiện hơn. - HUMAN-FAC2]]</f>
        <v>6</v>
      </c>
      <c r="R100">
        <f t="shared" si="37"/>
        <v>0.55555555555555558</v>
      </c>
      <c r="S100" s="32">
        <f t="shared" si="38"/>
        <v>0.83333333333333326</v>
      </c>
      <c r="T100" s="32">
        <f t="shared" si="39"/>
        <v>0.3888888888888889</v>
      </c>
      <c r="U100">
        <f>step3_validation[[#This Row],[AI_TRU1]]</f>
        <v>7</v>
      </c>
      <c r="V100">
        <f t="shared" si="40"/>
        <v>0.66666666666666663</v>
      </c>
      <c r="W100">
        <f>survey_responses[[#This Row],[Tôi tin rằng Nhà nước, cơ quan thuế sẽ thực thi chính sách mới một cách khách quan, công tâm và đối xử bình đẳng với mọi người nộp thuế.  - HUMAN-TRU1]]</f>
        <v>5</v>
      </c>
      <c r="X100">
        <f t="shared" si="41"/>
        <v>0.44444444444444442</v>
      </c>
      <c r="Y100">
        <f>step3_validation[[#This Row],[AI_TRU2]]</f>
        <v>8</v>
      </c>
      <c r="Z100">
        <f t="shared" si="42"/>
        <v>0.77777777777777779</v>
      </c>
      <c r="AA100">
        <f>survey_responses[[#This Row],[Tôi thấy mức thuế tôi phải đóng theo phương án mới là công bằng (người thu nhập như tôi đóng mức này là hợp lý). - HUMAN-TRU2]]</f>
        <v>6</v>
      </c>
      <c r="AB100">
        <f t="shared" si="43"/>
        <v>0.55555555555555558</v>
      </c>
      <c r="AC100">
        <f>step3_validation[[#This Row],[AI_TRU3]]</f>
        <v>7</v>
      </c>
      <c r="AD100">
        <f t="shared" si="44"/>
        <v>0.66666666666666663</v>
      </c>
      <c r="AE100">
        <f>survey_responses[[#This Row],[Tôi tin tưởng số tiền thuế tôi đóng sẽ được Nhà nước sử dụng hiệu quả để cải thiện dịch vụ công (y tế, đường xá...). - HUMAN-TRU3]]</f>
        <v>5</v>
      </c>
      <c r="AF100">
        <f t="shared" si="45"/>
        <v>0.44444444444444442</v>
      </c>
      <c r="AG100">
        <f>step3_validation[[#This Row],[AI_TRU4]]</f>
        <v>6</v>
      </c>
      <c r="AH100">
        <f t="shared" si="46"/>
        <v>0.55555555555555558</v>
      </c>
      <c r="AI100">
        <f>survey_responses[[#This Row],[Tôi thấy Nhà nước đã giải thích rõ ràng, minh bạch về lý do và mục tiêu của việc sửa đổi thuế lần này. - HUMAN-TRU4]]</f>
        <v>6</v>
      </c>
      <c r="AJ100">
        <f t="shared" si="47"/>
        <v>0.55555555555555558</v>
      </c>
      <c r="AK100" s="32">
        <f t="shared" si="48"/>
        <v>0.66666666666666674</v>
      </c>
      <c r="AL100" s="32">
        <f t="shared" si="49"/>
        <v>0.5</v>
      </c>
      <c r="AM100" s="7">
        <f t="shared" si="50"/>
        <v>0.74074074074074081</v>
      </c>
      <c r="AN100" s="7">
        <f t="shared" si="51"/>
        <v>0.48148148148148145</v>
      </c>
      <c r="AO100">
        <f>step3_validation[[#This Row],[AI_OUT1]]</f>
        <v>7</v>
      </c>
      <c r="AP100">
        <f t="shared" si="52"/>
        <v>0.66666666666666663</v>
      </c>
      <c r="AQ100">
        <f>survey_responses[[#This Row],[Sau khi xem xét các quyền lợi và nghĩa vụ, bạn có ủng hộ và tuân thủ chính sách mới hiện nay? - HUMAN-OUT1]]</f>
        <v>6</v>
      </c>
      <c r="AR100">
        <f t="shared" si="53"/>
        <v>0.55555555555555558</v>
      </c>
      <c r="AS100" s="32">
        <f t="shared" si="54"/>
        <v>1</v>
      </c>
      <c r="AT100">
        <f t="shared" si="55"/>
        <v>1</v>
      </c>
    </row>
    <row r="101" spans="1:46" x14ac:dyDescent="0.45">
      <c r="A101">
        <f>step3_validation[[#This Row],[AI_ENF1]]</f>
        <v>9</v>
      </c>
      <c r="B101">
        <f t="shared" si="28"/>
        <v>0.88888888888888884</v>
      </c>
      <c r="C101">
        <f>survey_responses[[#This Row],[Tôi tin rằng với các quy định quản lý thuế hiện nay, hành vi gian lận hoặc trốn thuế sẽ dễ dàng bị phát hiện và xử lý nghiêm. - HUMAN-ENF1]]</f>
        <v>8</v>
      </c>
      <c r="D101">
        <f t="shared" si="29"/>
        <v>0.77777777777777779</v>
      </c>
      <c r="E101">
        <f>step3_validation[[#This Row],[AI_ENF2]]</f>
        <v>8</v>
      </c>
      <c r="F101">
        <f t="shared" si="30"/>
        <v>0.77777777777777779</v>
      </c>
      <c r="G101">
        <f>survey_responses[[#This Row],[Tôi tin rằng Nhà nước, cơ quan thuế có đủ khả năng và công nghệ để phát hiện, xử lý nghiêm các hành vi trốn thuế. - HUMAN-ENF2]]</f>
        <v>8</v>
      </c>
      <c r="H101">
        <f t="shared" si="31"/>
        <v>0.77777777777777779</v>
      </c>
      <c r="I101" s="32">
        <f t="shared" si="32"/>
        <v>0.83333333333333326</v>
      </c>
      <c r="J101" s="32">
        <f t="shared" si="33"/>
        <v>0.77777777777777779</v>
      </c>
      <c r="K101">
        <f>step3_validation[[#This Row],[AI_FAC1]]</f>
        <v>7</v>
      </c>
      <c r="L101">
        <f t="shared" si="34"/>
        <v>0.66666666666666663</v>
      </c>
      <c r="M101">
        <f>survey_responses[[#This Row],[Các thủ tục khai báo thuế VÀ/HOẶC quy trình làm việc với cơ quan thuế đơn giản, tiện lợi, nhanh chóng hơn so với trước đây. - HUMAN-FAC1]]</f>
        <v>8</v>
      </c>
      <c r="N101">
        <f t="shared" si="35"/>
        <v>0.77777777777777779</v>
      </c>
      <c r="O101">
        <f>step3_validation[[#This Row],[AI_FAC2]]</f>
        <v>8</v>
      </c>
      <c r="P101">
        <f t="shared" si="36"/>
        <v>0.77777777777777779</v>
      </c>
      <c r="Q101">
        <f>survey_responses[[#This Row],[So với trước đây, tôi thấy cách tính thuế và các bậc thuế trong phương án mới đơn giản, dễ hiểu và dễ thực hiện hơn. - HUMAN-FAC2]]</f>
        <v>10</v>
      </c>
      <c r="R101">
        <f t="shared" si="37"/>
        <v>1</v>
      </c>
      <c r="S101" s="32">
        <f t="shared" si="38"/>
        <v>0.72222222222222221</v>
      </c>
      <c r="T101" s="32">
        <f t="shared" si="39"/>
        <v>0.88888888888888884</v>
      </c>
      <c r="U101">
        <f>step3_validation[[#This Row],[AI_TRU1]]</f>
        <v>6</v>
      </c>
      <c r="V101">
        <f t="shared" si="40"/>
        <v>0.55555555555555558</v>
      </c>
      <c r="W101">
        <f>survey_responses[[#This Row],[Tôi tin rằng Nhà nước, cơ quan thuế sẽ thực thi chính sách mới một cách khách quan, công tâm và đối xử bình đẳng với mọi người nộp thuế.  - HUMAN-TRU1]]</f>
        <v>10</v>
      </c>
      <c r="X101">
        <f t="shared" si="41"/>
        <v>1</v>
      </c>
      <c r="Y101">
        <f>step3_validation[[#This Row],[AI_TRU2]]</f>
        <v>7</v>
      </c>
      <c r="Z101">
        <f t="shared" si="42"/>
        <v>0.66666666666666663</v>
      </c>
      <c r="AA101">
        <f>survey_responses[[#This Row],[Tôi thấy mức thuế tôi phải đóng theo phương án mới là công bằng (người thu nhập như tôi đóng mức này là hợp lý). - HUMAN-TRU2]]</f>
        <v>10</v>
      </c>
      <c r="AB101">
        <f t="shared" si="43"/>
        <v>1</v>
      </c>
      <c r="AC101">
        <f>step3_validation[[#This Row],[AI_TRU3]]</f>
        <v>5</v>
      </c>
      <c r="AD101">
        <f t="shared" si="44"/>
        <v>0.44444444444444442</v>
      </c>
      <c r="AE101">
        <f>survey_responses[[#This Row],[Tôi tin tưởng số tiền thuế tôi đóng sẽ được Nhà nước sử dụng hiệu quả để cải thiện dịch vụ công (y tế, đường xá...). - HUMAN-TRU3]]</f>
        <v>10</v>
      </c>
      <c r="AF101">
        <f t="shared" si="45"/>
        <v>1</v>
      </c>
      <c r="AG101">
        <f>step3_validation[[#This Row],[AI_TRU4]]</f>
        <v>6</v>
      </c>
      <c r="AH101">
        <f t="shared" si="46"/>
        <v>0.55555555555555558</v>
      </c>
      <c r="AI101">
        <f>survey_responses[[#This Row],[Tôi thấy Nhà nước đã giải thích rõ ràng, minh bạch về lý do và mục tiêu của việc sửa đổi thuế lần này. - HUMAN-TRU4]]</f>
        <v>10</v>
      </c>
      <c r="AJ101">
        <f t="shared" si="47"/>
        <v>1</v>
      </c>
      <c r="AK101" s="32">
        <f t="shared" si="48"/>
        <v>0.55555555555555558</v>
      </c>
      <c r="AL101" s="32">
        <f t="shared" si="49"/>
        <v>1</v>
      </c>
      <c r="AM101" s="7">
        <f t="shared" si="50"/>
        <v>0.70370370370370361</v>
      </c>
      <c r="AN101" s="7">
        <f t="shared" si="51"/>
        <v>0.88888888888888884</v>
      </c>
      <c r="AO101">
        <f>step3_validation[[#This Row],[AI_OUT1]]</f>
        <v>7</v>
      </c>
      <c r="AP101">
        <f t="shared" si="52"/>
        <v>0.66666666666666663</v>
      </c>
      <c r="AQ101">
        <f>survey_responses[[#This Row],[Sau khi xem xét các quyền lợi và nghĩa vụ, bạn có ủng hộ và tuân thủ chính sách mới hiện nay? - HUMAN-OUT1]]</f>
        <v>10</v>
      </c>
      <c r="AR101">
        <f t="shared" si="53"/>
        <v>1</v>
      </c>
      <c r="AS101" s="32">
        <f t="shared" si="54"/>
        <v>3</v>
      </c>
      <c r="AT101">
        <f t="shared" si="55"/>
        <v>1</v>
      </c>
    </row>
    <row r="102" spans="1:46" x14ac:dyDescent="0.45">
      <c r="A102">
        <f>step3_validation[[#This Row],[AI_ENF1]]</f>
        <v>7</v>
      </c>
      <c r="B102">
        <f t="shared" si="28"/>
        <v>0.66666666666666663</v>
      </c>
      <c r="C102">
        <f>survey_responses[[#This Row],[Tôi tin rằng với các quy định quản lý thuế hiện nay, hành vi gian lận hoặc trốn thuế sẽ dễ dàng bị phát hiện và xử lý nghiêm. - HUMAN-ENF1]]</f>
        <v>8</v>
      </c>
      <c r="D102">
        <f t="shared" si="29"/>
        <v>0.77777777777777779</v>
      </c>
      <c r="E102">
        <f>step3_validation[[#This Row],[AI_ENF2]]</f>
        <v>6</v>
      </c>
      <c r="F102">
        <f t="shared" si="30"/>
        <v>0.55555555555555558</v>
      </c>
      <c r="G102">
        <f>survey_responses[[#This Row],[Tôi tin rằng Nhà nước, cơ quan thuế có đủ khả năng và công nghệ để phát hiện, xử lý nghiêm các hành vi trốn thuế. - HUMAN-ENF2]]</f>
        <v>8</v>
      </c>
      <c r="H102">
        <f t="shared" si="31"/>
        <v>0.77777777777777779</v>
      </c>
      <c r="I102" s="32">
        <f t="shared" si="32"/>
        <v>0.61111111111111116</v>
      </c>
      <c r="J102" s="32">
        <f t="shared" si="33"/>
        <v>0.77777777777777779</v>
      </c>
      <c r="K102">
        <f>step3_validation[[#This Row],[AI_FAC1]]</f>
        <v>8</v>
      </c>
      <c r="L102">
        <f t="shared" si="34"/>
        <v>0.77777777777777779</v>
      </c>
      <c r="M102">
        <f>survey_responses[[#This Row],[Các thủ tục khai báo thuế VÀ/HOẶC quy trình làm việc với cơ quan thuế đơn giản, tiện lợi, nhanh chóng hơn so với trước đây. - HUMAN-FAC1]]</f>
        <v>7</v>
      </c>
      <c r="N102">
        <f t="shared" si="35"/>
        <v>0.66666666666666663</v>
      </c>
      <c r="O102">
        <f>step3_validation[[#This Row],[AI_FAC2]]</f>
        <v>7</v>
      </c>
      <c r="P102">
        <f t="shared" si="36"/>
        <v>0.66666666666666663</v>
      </c>
      <c r="Q102">
        <f>survey_responses[[#This Row],[So với trước đây, tôi thấy cách tính thuế và các bậc thuế trong phương án mới đơn giản, dễ hiểu và dễ thực hiện hơn. - HUMAN-FAC2]]</f>
        <v>8</v>
      </c>
      <c r="R102">
        <f t="shared" si="37"/>
        <v>0.77777777777777779</v>
      </c>
      <c r="S102" s="32">
        <f t="shared" si="38"/>
        <v>0.72222222222222221</v>
      </c>
      <c r="T102" s="32">
        <f t="shared" si="39"/>
        <v>0.72222222222222221</v>
      </c>
      <c r="U102">
        <f>step3_validation[[#This Row],[AI_TRU1]]</f>
        <v>8</v>
      </c>
      <c r="V102">
        <f t="shared" si="40"/>
        <v>0.77777777777777779</v>
      </c>
      <c r="W102">
        <f>survey_responses[[#This Row],[Tôi tin rằng Nhà nước, cơ quan thuế sẽ thực thi chính sách mới một cách khách quan, công tâm và đối xử bình đẳng với mọi người nộp thuế.  - HUMAN-TRU1]]</f>
        <v>8</v>
      </c>
      <c r="X102">
        <f t="shared" si="41"/>
        <v>0.77777777777777779</v>
      </c>
      <c r="Y102">
        <f>step3_validation[[#This Row],[AI_TRU2]]</f>
        <v>7</v>
      </c>
      <c r="Z102">
        <f t="shared" si="42"/>
        <v>0.66666666666666663</v>
      </c>
      <c r="AA102">
        <f>survey_responses[[#This Row],[Tôi thấy mức thuế tôi phải đóng theo phương án mới là công bằng (người thu nhập như tôi đóng mức này là hợp lý). - HUMAN-TRU2]]</f>
        <v>7</v>
      </c>
      <c r="AB102">
        <f t="shared" si="43"/>
        <v>0.66666666666666663</v>
      </c>
      <c r="AC102">
        <f>step3_validation[[#This Row],[AI_TRU3]]</f>
        <v>8</v>
      </c>
      <c r="AD102">
        <f t="shared" si="44"/>
        <v>0.77777777777777779</v>
      </c>
      <c r="AE102">
        <f>survey_responses[[#This Row],[Tôi tin tưởng số tiền thuế tôi đóng sẽ được Nhà nước sử dụng hiệu quả để cải thiện dịch vụ công (y tế, đường xá...). - HUMAN-TRU3]]</f>
        <v>7</v>
      </c>
      <c r="AF102">
        <f t="shared" si="45"/>
        <v>0.66666666666666663</v>
      </c>
      <c r="AG102">
        <f>step3_validation[[#This Row],[AI_TRU4]]</f>
        <v>7</v>
      </c>
      <c r="AH102">
        <f t="shared" si="46"/>
        <v>0.66666666666666663</v>
      </c>
      <c r="AI102">
        <f>survey_responses[[#This Row],[Tôi thấy Nhà nước đã giải thích rõ ràng, minh bạch về lý do và mục tiêu của việc sửa đổi thuế lần này. - HUMAN-TRU4]]</f>
        <v>7</v>
      </c>
      <c r="AJ102">
        <f t="shared" si="47"/>
        <v>0.66666666666666663</v>
      </c>
      <c r="AK102" s="32">
        <f t="shared" si="48"/>
        <v>0.72222222222222221</v>
      </c>
      <c r="AL102" s="32">
        <f t="shared" si="49"/>
        <v>0.69444444444444442</v>
      </c>
      <c r="AM102" s="7">
        <f t="shared" si="50"/>
        <v>0.68518518518518523</v>
      </c>
      <c r="AN102" s="7">
        <f t="shared" si="51"/>
        <v>0.73148148148148151</v>
      </c>
      <c r="AO102">
        <f>step3_validation[[#This Row],[AI_OUT1]]</f>
        <v>8</v>
      </c>
      <c r="AP102">
        <f t="shared" si="52"/>
        <v>0.77777777777777779</v>
      </c>
      <c r="AQ102">
        <f>survey_responses[[#This Row],[Sau khi xem xét các quyền lợi và nghĩa vụ, bạn có ủng hộ và tuân thủ chính sách mới hiện nay? - HUMAN-OUT1]]</f>
        <v>8</v>
      </c>
      <c r="AR102">
        <f t="shared" si="53"/>
        <v>0.77777777777777779</v>
      </c>
      <c r="AS102" s="32">
        <f t="shared" si="54"/>
        <v>0</v>
      </c>
      <c r="AT102">
        <f t="shared" si="55"/>
        <v>1</v>
      </c>
    </row>
    <row r="103" spans="1:46" x14ac:dyDescent="0.45">
      <c r="A103">
        <f>step3_validation[[#This Row],[AI_ENF1]]</f>
        <v>8</v>
      </c>
      <c r="B103">
        <f t="shared" si="28"/>
        <v>0.77777777777777779</v>
      </c>
      <c r="C103">
        <f>survey_responses[[#This Row],[Tôi tin rằng với các quy định quản lý thuế hiện nay, hành vi gian lận hoặc trốn thuế sẽ dễ dàng bị phát hiện và xử lý nghiêm. - HUMAN-ENF1]]</f>
        <v>5</v>
      </c>
      <c r="D103">
        <f t="shared" si="29"/>
        <v>0.44444444444444442</v>
      </c>
      <c r="E103">
        <f>step3_validation[[#This Row],[AI_ENF2]]</f>
        <v>7</v>
      </c>
      <c r="F103">
        <f t="shared" si="30"/>
        <v>0.66666666666666663</v>
      </c>
      <c r="G103">
        <f>survey_responses[[#This Row],[Tôi tin rằng Nhà nước, cơ quan thuế có đủ khả năng và công nghệ để phát hiện, xử lý nghiêm các hành vi trốn thuế. - HUMAN-ENF2]]</f>
        <v>5</v>
      </c>
      <c r="H103">
        <f t="shared" si="31"/>
        <v>0.44444444444444442</v>
      </c>
      <c r="I103" s="32">
        <f t="shared" si="32"/>
        <v>0.72222222222222221</v>
      </c>
      <c r="J103" s="32">
        <f t="shared" si="33"/>
        <v>0.44444444444444442</v>
      </c>
      <c r="K103">
        <f>step3_validation[[#This Row],[AI_FAC1]]</f>
        <v>9</v>
      </c>
      <c r="L103">
        <f t="shared" si="34"/>
        <v>0.88888888888888884</v>
      </c>
      <c r="M103">
        <f>survey_responses[[#This Row],[Các thủ tục khai báo thuế VÀ/HOẶC quy trình làm việc với cơ quan thuế đơn giản, tiện lợi, nhanh chóng hơn so với trước đây. - HUMAN-FAC1]]</f>
        <v>5</v>
      </c>
      <c r="N103">
        <f t="shared" si="35"/>
        <v>0.44444444444444442</v>
      </c>
      <c r="O103">
        <f>step3_validation[[#This Row],[AI_FAC2]]</f>
        <v>8</v>
      </c>
      <c r="P103">
        <f t="shared" si="36"/>
        <v>0.77777777777777779</v>
      </c>
      <c r="Q103">
        <f>survey_responses[[#This Row],[So với trước đây, tôi thấy cách tính thuế và các bậc thuế trong phương án mới đơn giản, dễ hiểu và dễ thực hiện hơn. - HUMAN-FAC2]]</f>
        <v>5</v>
      </c>
      <c r="R103">
        <f t="shared" si="37"/>
        <v>0.44444444444444442</v>
      </c>
      <c r="S103" s="32">
        <f t="shared" si="38"/>
        <v>0.83333333333333326</v>
      </c>
      <c r="T103" s="32">
        <f t="shared" si="39"/>
        <v>0.44444444444444442</v>
      </c>
      <c r="U103">
        <f>step3_validation[[#This Row],[AI_TRU1]]</f>
        <v>7</v>
      </c>
      <c r="V103">
        <f t="shared" si="40"/>
        <v>0.66666666666666663</v>
      </c>
      <c r="W103">
        <f>survey_responses[[#This Row],[Tôi tin rằng Nhà nước, cơ quan thuế sẽ thực thi chính sách mới một cách khách quan, công tâm và đối xử bình đẳng với mọi người nộp thuế.  - HUMAN-TRU1]]</f>
        <v>5</v>
      </c>
      <c r="X103">
        <f t="shared" si="41"/>
        <v>0.44444444444444442</v>
      </c>
      <c r="Y103">
        <f>step3_validation[[#This Row],[AI_TRU2]]</f>
        <v>8</v>
      </c>
      <c r="Z103">
        <f t="shared" si="42"/>
        <v>0.77777777777777779</v>
      </c>
      <c r="AA103">
        <f>survey_responses[[#This Row],[Tôi thấy mức thuế tôi phải đóng theo phương án mới là công bằng (người thu nhập như tôi đóng mức này là hợp lý). - HUMAN-TRU2]]</f>
        <v>5</v>
      </c>
      <c r="AB103">
        <f t="shared" si="43"/>
        <v>0.44444444444444442</v>
      </c>
      <c r="AC103">
        <f>step3_validation[[#This Row],[AI_TRU3]]</f>
        <v>7</v>
      </c>
      <c r="AD103">
        <f t="shared" si="44"/>
        <v>0.66666666666666663</v>
      </c>
      <c r="AE103">
        <f>survey_responses[[#This Row],[Tôi tin tưởng số tiền thuế tôi đóng sẽ được Nhà nước sử dụng hiệu quả để cải thiện dịch vụ công (y tế, đường xá...). - HUMAN-TRU3]]</f>
        <v>5</v>
      </c>
      <c r="AF103">
        <f t="shared" si="45"/>
        <v>0.44444444444444442</v>
      </c>
      <c r="AG103">
        <f>step3_validation[[#This Row],[AI_TRU4]]</f>
        <v>6</v>
      </c>
      <c r="AH103">
        <f t="shared" si="46"/>
        <v>0.55555555555555558</v>
      </c>
      <c r="AI103">
        <f>survey_responses[[#This Row],[Tôi thấy Nhà nước đã giải thích rõ ràng, minh bạch về lý do và mục tiêu của việc sửa đổi thuế lần này. - HUMAN-TRU4]]</f>
        <v>5</v>
      </c>
      <c r="AJ103">
        <f t="shared" si="47"/>
        <v>0.44444444444444442</v>
      </c>
      <c r="AK103" s="32">
        <f t="shared" si="48"/>
        <v>0.66666666666666674</v>
      </c>
      <c r="AL103" s="32">
        <f t="shared" si="49"/>
        <v>0.44444444444444442</v>
      </c>
      <c r="AM103" s="7">
        <f t="shared" si="50"/>
        <v>0.74074074074074081</v>
      </c>
      <c r="AN103" s="7">
        <f t="shared" si="51"/>
        <v>0.44444444444444442</v>
      </c>
      <c r="AO103">
        <f>step3_validation[[#This Row],[AI_OUT1]]</f>
        <v>7</v>
      </c>
      <c r="AP103">
        <f t="shared" si="52"/>
        <v>0.66666666666666663</v>
      </c>
      <c r="AQ103">
        <f>survey_responses[[#This Row],[Sau khi xem xét các quyền lợi và nghĩa vụ, bạn có ủng hộ và tuân thủ chính sách mới hiện nay? - HUMAN-OUT1]]</f>
        <v>5</v>
      </c>
      <c r="AR103">
        <f t="shared" si="53"/>
        <v>0.44444444444444442</v>
      </c>
      <c r="AS103" s="32">
        <f t="shared" si="54"/>
        <v>2</v>
      </c>
      <c r="AT103">
        <f t="shared" si="55"/>
        <v>0</v>
      </c>
    </row>
    <row r="104" spans="1:46" x14ac:dyDescent="0.45">
      <c r="A104">
        <f>step3_validation[[#This Row],[AI_ENF1]]</f>
        <v>7</v>
      </c>
      <c r="B104">
        <f t="shared" si="28"/>
        <v>0.66666666666666663</v>
      </c>
      <c r="C104">
        <f>survey_responses[[#This Row],[Tôi tin rằng với các quy định quản lý thuế hiện nay, hành vi gian lận hoặc trốn thuế sẽ dễ dàng bị phát hiện và xử lý nghiêm. - HUMAN-ENF1]]</f>
        <v>8</v>
      </c>
      <c r="D104">
        <f t="shared" si="29"/>
        <v>0.77777777777777779</v>
      </c>
      <c r="E104">
        <f>step3_validation[[#This Row],[AI_ENF2]]</f>
        <v>8</v>
      </c>
      <c r="F104">
        <f t="shared" si="30"/>
        <v>0.77777777777777779</v>
      </c>
      <c r="G104">
        <f>survey_responses[[#This Row],[Tôi tin rằng Nhà nước, cơ quan thuế có đủ khả năng và công nghệ để phát hiện, xử lý nghiêm các hành vi trốn thuế. - HUMAN-ENF2]]</f>
        <v>8</v>
      </c>
      <c r="H104">
        <f t="shared" si="31"/>
        <v>0.77777777777777779</v>
      </c>
      <c r="I104" s="32">
        <f t="shared" si="32"/>
        <v>0.72222222222222221</v>
      </c>
      <c r="J104" s="32">
        <f t="shared" si="33"/>
        <v>0.77777777777777779</v>
      </c>
      <c r="K104">
        <f>step3_validation[[#This Row],[AI_FAC1]]</f>
        <v>9</v>
      </c>
      <c r="L104">
        <f t="shared" si="34"/>
        <v>0.88888888888888884</v>
      </c>
      <c r="M104">
        <f>survey_responses[[#This Row],[Các thủ tục khai báo thuế VÀ/HOẶC quy trình làm việc với cơ quan thuế đơn giản, tiện lợi, nhanh chóng hơn so với trước đây. - HUMAN-FAC1]]</f>
        <v>5</v>
      </c>
      <c r="N104">
        <f t="shared" si="35"/>
        <v>0.44444444444444442</v>
      </c>
      <c r="O104">
        <f>step3_validation[[#This Row],[AI_FAC2]]</f>
        <v>8</v>
      </c>
      <c r="P104">
        <f t="shared" si="36"/>
        <v>0.77777777777777779</v>
      </c>
      <c r="Q104">
        <f>survey_responses[[#This Row],[So với trước đây, tôi thấy cách tính thuế và các bậc thuế trong phương án mới đơn giản, dễ hiểu và dễ thực hiện hơn. - HUMAN-FAC2]]</f>
        <v>8</v>
      </c>
      <c r="R104">
        <f t="shared" si="37"/>
        <v>0.77777777777777779</v>
      </c>
      <c r="S104" s="32">
        <f t="shared" si="38"/>
        <v>0.83333333333333326</v>
      </c>
      <c r="T104" s="32">
        <f t="shared" si="39"/>
        <v>0.61111111111111116</v>
      </c>
      <c r="U104">
        <f>step3_validation[[#This Row],[AI_TRU1]]</f>
        <v>6</v>
      </c>
      <c r="V104">
        <f t="shared" si="40"/>
        <v>0.55555555555555558</v>
      </c>
      <c r="W104">
        <f>survey_responses[[#This Row],[Tôi tin rằng Nhà nước, cơ quan thuế sẽ thực thi chính sách mới một cách khách quan, công tâm và đối xử bình đẳng với mọi người nộp thuế.  - HUMAN-TRU1]]</f>
        <v>5</v>
      </c>
      <c r="X104">
        <f t="shared" si="41"/>
        <v>0.44444444444444442</v>
      </c>
      <c r="Y104">
        <f>step3_validation[[#This Row],[AI_TRU2]]</f>
        <v>7</v>
      </c>
      <c r="Z104">
        <f t="shared" si="42"/>
        <v>0.66666666666666663</v>
      </c>
      <c r="AA104">
        <f>survey_responses[[#This Row],[Tôi thấy mức thuế tôi phải đóng theo phương án mới là công bằng (người thu nhập như tôi đóng mức này là hợp lý). - HUMAN-TRU2]]</f>
        <v>5</v>
      </c>
      <c r="AB104">
        <f t="shared" si="43"/>
        <v>0.44444444444444442</v>
      </c>
      <c r="AC104">
        <f>step3_validation[[#This Row],[AI_TRU3]]</f>
        <v>5</v>
      </c>
      <c r="AD104">
        <f t="shared" si="44"/>
        <v>0.44444444444444442</v>
      </c>
      <c r="AE104">
        <f>survey_responses[[#This Row],[Tôi tin tưởng số tiền thuế tôi đóng sẽ được Nhà nước sử dụng hiệu quả để cải thiện dịch vụ công (y tế, đường xá...). - HUMAN-TRU3]]</f>
        <v>6</v>
      </c>
      <c r="AF104">
        <f t="shared" si="45"/>
        <v>0.55555555555555558</v>
      </c>
      <c r="AG104">
        <f>step3_validation[[#This Row],[AI_TRU4]]</f>
        <v>8</v>
      </c>
      <c r="AH104">
        <f t="shared" si="46"/>
        <v>0.77777777777777779</v>
      </c>
      <c r="AI104">
        <f>survey_responses[[#This Row],[Tôi thấy Nhà nước đã giải thích rõ ràng, minh bạch về lý do và mục tiêu của việc sửa đổi thuế lần này. - HUMAN-TRU4]]</f>
        <v>6</v>
      </c>
      <c r="AJ104">
        <f t="shared" si="47"/>
        <v>0.55555555555555558</v>
      </c>
      <c r="AK104" s="32">
        <f t="shared" si="48"/>
        <v>0.61111111111111116</v>
      </c>
      <c r="AL104" s="32">
        <f t="shared" si="49"/>
        <v>0.5</v>
      </c>
      <c r="AM104" s="7">
        <f t="shared" si="50"/>
        <v>0.72222222222222221</v>
      </c>
      <c r="AN104" s="7">
        <f t="shared" si="51"/>
        <v>0.62962962962962965</v>
      </c>
      <c r="AO104">
        <f>step3_validation[[#This Row],[AI_OUT1]]</f>
        <v>7</v>
      </c>
      <c r="AP104">
        <f t="shared" si="52"/>
        <v>0.66666666666666663</v>
      </c>
      <c r="AQ104">
        <f>survey_responses[[#This Row],[Sau khi xem xét các quyền lợi và nghĩa vụ, bạn có ủng hộ và tuân thủ chính sách mới hiện nay? - HUMAN-OUT1]]</f>
        <v>5</v>
      </c>
      <c r="AR104">
        <f t="shared" si="53"/>
        <v>0.44444444444444442</v>
      </c>
      <c r="AS104" s="32">
        <f t="shared" si="54"/>
        <v>2</v>
      </c>
      <c r="AT104">
        <f t="shared" si="55"/>
        <v>0</v>
      </c>
    </row>
    <row r="105" spans="1:46" x14ac:dyDescent="0.45">
      <c r="A105">
        <f>step3_validation[[#This Row],[AI_ENF1]]</f>
        <v>5</v>
      </c>
      <c r="B105">
        <f t="shared" si="28"/>
        <v>0.44444444444444442</v>
      </c>
      <c r="C105">
        <f>survey_responses[[#This Row],[Tôi tin rằng với các quy định quản lý thuế hiện nay, hành vi gian lận hoặc trốn thuế sẽ dễ dàng bị phát hiện và xử lý nghiêm. - HUMAN-ENF1]]</f>
        <v>6</v>
      </c>
      <c r="D105">
        <f t="shared" si="29"/>
        <v>0.55555555555555558</v>
      </c>
      <c r="E105">
        <f>step3_validation[[#This Row],[AI_ENF2]]</f>
        <v>4</v>
      </c>
      <c r="F105">
        <f t="shared" si="30"/>
        <v>0.33333333333333331</v>
      </c>
      <c r="G105">
        <f>survey_responses[[#This Row],[Tôi tin rằng Nhà nước, cơ quan thuế có đủ khả năng và công nghệ để phát hiện, xử lý nghiêm các hành vi trốn thuế. - HUMAN-ENF2]]</f>
        <v>7</v>
      </c>
      <c r="H105">
        <f t="shared" si="31"/>
        <v>0.66666666666666663</v>
      </c>
      <c r="I105" s="32">
        <f t="shared" si="32"/>
        <v>0.38888888888888884</v>
      </c>
      <c r="J105" s="32">
        <f t="shared" si="33"/>
        <v>0.61111111111111116</v>
      </c>
      <c r="K105">
        <f>step3_validation[[#This Row],[AI_FAC1]]</f>
        <v>3</v>
      </c>
      <c r="L105">
        <f t="shared" si="34"/>
        <v>0.22222222222222221</v>
      </c>
      <c r="M105">
        <f>survey_responses[[#This Row],[Các thủ tục khai báo thuế VÀ/HOẶC quy trình làm việc với cơ quan thuế đơn giản, tiện lợi, nhanh chóng hơn so với trước đây. - HUMAN-FAC1]]</f>
        <v>6</v>
      </c>
      <c r="N105">
        <f t="shared" si="35"/>
        <v>0.55555555555555558</v>
      </c>
      <c r="O105">
        <f>step3_validation[[#This Row],[AI_FAC2]]</f>
        <v>5</v>
      </c>
      <c r="P105">
        <f t="shared" si="36"/>
        <v>0.44444444444444442</v>
      </c>
      <c r="Q105">
        <f>survey_responses[[#This Row],[So với trước đây, tôi thấy cách tính thuế và các bậc thuế trong phương án mới đơn giản, dễ hiểu và dễ thực hiện hơn. - HUMAN-FAC2]]</f>
        <v>8</v>
      </c>
      <c r="R105">
        <f t="shared" si="37"/>
        <v>0.77777777777777779</v>
      </c>
      <c r="S105" s="32">
        <f t="shared" si="38"/>
        <v>0.33333333333333331</v>
      </c>
      <c r="T105" s="32">
        <f t="shared" si="39"/>
        <v>0.66666666666666674</v>
      </c>
      <c r="U105">
        <f>step3_validation[[#This Row],[AI_TRU1]]</f>
        <v>4</v>
      </c>
      <c r="V105">
        <f t="shared" si="40"/>
        <v>0.33333333333333331</v>
      </c>
      <c r="W105">
        <f>survey_responses[[#This Row],[Tôi tin rằng Nhà nước, cơ quan thuế sẽ thực thi chính sách mới một cách khách quan, công tâm và đối xử bình đẳng với mọi người nộp thuế.  - HUMAN-TRU1]]</f>
        <v>6</v>
      </c>
      <c r="X105">
        <f t="shared" si="41"/>
        <v>0.55555555555555558</v>
      </c>
      <c r="Y105">
        <f>step3_validation[[#This Row],[AI_TRU2]]</f>
        <v>6</v>
      </c>
      <c r="Z105">
        <f t="shared" si="42"/>
        <v>0.55555555555555558</v>
      </c>
      <c r="AA105">
        <f>survey_responses[[#This Row],[Tôi thấy mức thuế tôi phải đóng theo phương án mới là công bằng (người thu nhập như tôi đóng mức này là hợp lý). - HUMAN-TRU2]]</f>
        <v>7</v>
      </c>
      <c r="AB105">
        <f t="shared" si="43"/>
        <v>0.66666666666666663</v>
      </c>
      <c r="AC105">
        <f>step3_validation[[#This Row],[AI_TRU3]]</f>
        <v>4</v>
      </c>
      <c r="AD105">
        <f t="shared" si="44"/>
        <v>0.33333333333333331</v>
      </c>
      <c r="AE105">
        <f>survey_responses[[#This Row],[Tôi tin tưởng số tiền thuế tôi đóng sẽ được Nhà nước sử dụng hiệu quả để cải thiện dịch vụ công (y tế, đường xá...). - HUMAN-TRU3]]</f>
        <v>6</v>
      </c>
      <c r="AF105">
        <f t="shared" si="45"/>
        <v>0.55555555555555558</v>
      </c>
      <c r="AG105">
        <f>step3_validation[[#This Row],[AI_TRU4]]</f>
        <v>5</v>
      </c>
      <c r="AH105">
        <f t="shared" si="46"/>
        <v>0.44444444444444442</v>
      </c>
      <c r="AI105">
        <f>survey_responses[[#This Row],[Tôi thấy Nhà nước đã giải thích rõ ràng, minh bạch về lý do và mục tiêu của việc sửa đổi thuế lần này. - HUMAN-TRU4]]</f>
        <v>6</v>
      </c>
      <c r="AJ105">
        <f t="shared" si="47"/>
        <v>0.55555555555555558</v>
      </c>
      <c r="AK105" s="32">
        <f t="shared" si="48"/>
        <v>0.41666666666666663</v>
      </c>
      <c r="AL105" s="32">
        <f t="shared" si="49"/>
        <v>0.58333333333333337</v>
      </c>
      <c r="AM105" s="7">
        <f t="shared" si="50"/>
        <v>0.37962962962962959</v>
      </c>
      <c r="AN105" s="7">
        <f t="shared" si="51"/>
        <v>0.62037037037037035</v>
      </c>
      <c r="AO105">
        <f>step3_validation[[#This Row],[AI_OUT1]]</f>
        <v>6</v>
      </c>
      <c r="AP105">
        <f t="shared" si="52"/>
        <v>0.55555555555555558</v>
      </c>
      <c r="AQ105">
        <f>survey_responses[[#This Row],[Sau khi xem xét các quyền lợi và nghĩa vụ, bạn có ủng hộ và tuân thủ chính sách mới hiện nay? - HUMAN-OUT1]]</f>
        <v>7</v>
      </c>
      <c r="AR105">
        <f t="shared" si="53"/>
        <v>0.66666666666666663</v>
      </c>
      <c r="AS105" s="32">
        <f t="shared" si="54"/>
        <v>1</v>
      </c>
      <c r="AT105">
        <f t="shared" si="55"/>
        <v>1</v>
      </c>
    </row>
    <row r="106" spans="1:46" x14ac:dyDescent="0.45">
      <c r="A106">
        <f>step3_validation[[#This Row],[AI_ENF1]]</f>
        <v>6</v>
      </c>
      <c r="B106">
        <f t="shared" si="28"/>
        <v>0.55555555555555558</v>
      </c>
      <c r="C106">
        <f>survey_responses[[#This Row],[Tôi tin rằng với các quy định quản lý thuế hiện nay, hành vi gian lận hoặc trốn thuế sẽ dễ dàng bị phát hiện và xử lý nghiêm. - HUMAN-ENF1]]</f>
        <v>9</v>
      </c>
      <c r="D106">
        <f t="shared" si="29"/>
        <v>0.88888888888888884</v>
      </c>
      <c r="E106">
        <f>step3_validation[[#This Row],[AI_ENF2]]</f>
        <v>7</v>
      </c>
      <c r="F106">
        <f t="shared" si="30"/>
        <v>0.66666666666666663</v>
      </c>
      <c r="G106">
        <f>survey_responses[[#This Row],[Tôi tin rằng Nhà nước, cơ quan thuế có đủ khả năng và công nghệ để phát hiện, xử lý nghiêm các hành vi trốn thuế. - HUMAN-ENF2]]</f>
        <v>10</v>
      </c>
      <c r="H106">
        <f t="shared" si="31"/>
        <v>1</v>
      </c>
      <c r="I106" s="32">
        <f t="shared" si="32"/>
        <v>0.61111111111111116</v>
      </c>
      <c r="J106" s="32">
        <f t="shared" si="33"/>
        <v>0.94444444444444442</v>
      </c>
      <c r="K106">
        <f>step3_validation[[#This Row],[AI_FAC1]]</f>
        <v>8</v>
      </c>
      <c r="L106">
        <f t="shared" si="34"/>
        <v>0.77777777777777779</v>
      </c>
      <c r="M106">
        <f>survey_responses[[#This Row],[Các thủ tục khai báo thuế VÀ/HOẶC quy trình làm việc với cơ quan thuế đơn giản, tiện lợi, nhanh chóng hơn so với trước đây. - HUMAN-FAC1]]</f>
        <v>8</v>
      </c>
      <c r="N106">
        <f t="shared" si="35"/>
        <v>0.77777777777777779</v>
      </c>
      <c r="O106">
        <f>step3_validation[[#This Row],[AI_FAC2]]</f>
        <v>9</v>
      </c>
      <c r="P106">
        <f t="shared" si="36"/>
        <v>0.88888888888888884</v>
      </c>
      <c r="Q106">
        <f>survey_responses[[#This Row],[So với trước đây, tôi thấy cách tính thuế và các bậc thuế trong phương án mới đơn giản, dễ hiểu và dễ thực hiện hơn. - HUMAN-FAC2]]</f>
        <v>8</v>
      </c>
      <c r="R106">
        <f t="shared" si="37"/>
        <v>0.77777777777777779</v>
      </c>
      <c r="S106" s="32">
        <f t="shared" si="38"/>
        <v>0.83333333333333326</v>
      </c>
      <c r="T106" s="32">
        <f t="shared" si="39"/>
        <v>0.77777777777777779</v>
      </c>
      <c r="U106">
        <f>step3_validation[[#This Row],[AI_TRU1]]</f>
        <v>7</v>
      </c>
      <c r="V106">
        <f t="shared" si="40"/>
        <v>0.66666666666666663</v>
      </c>
      <c r="W106">
        <f>survey_responses[[#This Row],[Tôi tin rằng Nhà nước, cơ quan thuế sẽ thực thi chính sách mới một cách khách quan, công tâm và đối xử bình đẳng với mọi người nộp thuế.  - HUMAN-TRU1]]</f>
        <v>9</v>
      </c>
      <c r="X106">
        <f t="shared" si="41"/>
        <v>0.88888888888888884</v>
      </c>
      <c r="Y106">
        <f>step3_validation[[#This Row],[AI_TRU2]]</f>
        <v>8</v>
      </c>
      <c r="Z106">
        <f t="shared" si="42"/>
        <v>0.77777777777777779</v>
      </c>
      <c r="AA106">
        <f>survey_responses[[#This Row],[Tôi thấy mức thuế tôi phải đóng theo phương án mới là công bằng (người thu nhập như tôi đóng mức này là hợp lý). - HUMAN-TRU2]]</f>
        <v>9</v>
      </c>
      <c r="AB106">
        <f t="shared" si="43"/>
        <v>0.88888888888888884</v>
      </c>
      <c r="AC106">
        <f>step3_validation[[#This Row],[AI_TRU3]]</f>
        <v>7</v>
      </c>
      <c r="AD106">
        <f t="shared" si="44"/>
        <v>0.66666666666666663</v>
      </c>
      <c r="AE106">
        <f>survey_responses[[#This Row],[Tôi tin tưởng số tiền thuế tôi đóng sẽ được Nhà nước sử dụng hiệu quả để cải thiện dịch vụ công (y tế, đường xá...). - HUMAN-TRU3]]</f>
        <v>8</v>
      </c>
      <c r="AF106">
        <f t="shared" si="45"/>
        <v>0.77777777777777779</v>
      </c>
      <c r="AG106">
        <f>step3_validation[[#This Row],[AI_TRU4]]</f>
        <v>6</v>
      </c>
      <c r="AH106">
        <f t="shared" si="46"/>
        <v>0.55555555555555558</v>
      </c>
      <c r="AI106">
        <f>survey_responses[[#This Row],[Tôi thấy Nhà nước đã giải thích rõ ràng, minh bạch về lý do và mục tiêu của việc sửa đổi thuế lần này. - HUMAN-TRU4]]</f>
        <v>6</v>
      </c>
      <c r="AJ106">
        <f t="shared" si="47"/>
        <v>0.55555555555555558</v>
      </c>
      <c r="AK106" s="32">
        <f t="shared" si="48"/>
        <v>0.66666666666666674</v>
      </c>
      <c r="AL106" s="32">
        <f t="shared" si="49"/>
        <v>0.77777777777777768</v>
      </c>
      <c r="AM106" s="7">
        <f t="shared" si="50"/>
        <v>0.70370370370370372</v>
      </c>
      <c r="AN106" s="7">
        <f t="shared" si="51"/>
        <v>0.83333333333333337</v>
      </c>
      <c r="AO106">
        <f>step3_validation[[#This Row],[AI_OUT1]]</f>
        <v>5</v>
      </c>
      <c r="AP106">
        <f t="shared" si="52"/>
        <v>0.44444444444444442</v>
      </c>
      <c r="AQ106">
        <f>survey_responses[[#This Row],[Sau khi xem xét các quyền lợi và nghĩa vụ, bạn có ủng hộ và tuân thủ chính sách mới hiện nay? - HUMAN-OUT1]]</f>
        <v>9</v>
      </c>
      <c r="AR106">
        <f t="shared" si="53"/>
        <v>0.88888888888888884</v>
      </c>
      <c r="AS106" s="32">
        <f t="shared" si="54"/>
        <v>4</v>
      </c>
      <c r="AT106">
        <f t="shared" si="55"/>
        <v>1</v>
      </c>
    </row>
    <row r="107" spans="1:46" x14ac:dyDescent="0.45">
      <c r="A107">
        <f>step3_validation[[#This Row],[AI_ENF1]]</f>
        <v>9</v>
      </c>
      <c r="B107">
        <f t="shared" si="28"/>
        <v>0.88888888888888884</v>
      </c>
      <c r="C107">
        <f>survey_responses[[#This Row],[Tôi tin rằng với các quy định quản lý thuế hiện nay, hành vi gian lận hoặc trốn thuế sẽ dễ dàng bị phát hiện và xử lý nghiêm. - HUMAN-ENF1]]</f>
        <v>10</v>
      </c>
      <c r="D107">
        <f t="shared" si="29"/>
        <v>1</v>
      </c>
      <c r="E107">
        <f>step3_validation[[#This Row],[AI_ENF2]]</f>
        <v>8</v>
      </c>
      <c r="F107">
        <f t="shared" si="30"/>
        <v>0.77777777777777779</v>
      </c>
      <c r="G107">
        <f>survey_responses[[#This Row],[Tôi tin rằng Nhà nước, cơ quan thuế có đủ khả năng và công nghệ để phát hiện, xử lý nghiêm các hành vi trốn thuế. - HUMAN-ENF2]]</f>
        <v>5</v>
      </c>
      <c r="H107">
        <f t="shared" si="31"/>
        <v>0.44444444444444442</v>
      </c>
      <c r="I107" s="32">
        <f t="shared" si="32"/>
        <v>0.83333333333333326</v>
      </c>
      <c r="J107" s="32">
        <f t="shared" si="33"/>
        <v>0.72222222222222221</v>
      </c>
      <c r="K107">
        <f>step3_validation[[#This Row],[AI_FAC1]]</f>
        <v>7</v>
      </c>
      <c r="L107">
        <f t="shared" si="34"/>
        <v>0.66666666666666663</v>
      </c>
      <c r="M107">
        <f>survey_responses[[#This Row],[Các thủ tục khai báo thuế VÀ/HOẶC quy trình làm việc với cơ quan thuế đơn giản, tiện lợi, nhanh chóng hơn so với trước đây. - HUMAN-FAC1]]</f>
        <v>8</v>
      </c>
      <c r="N107">
        <f t="shared" si="35"/>
        <v>0.77777777777777779</v>
      </c>
      <c r="O107">
        <f>step3_validation[[#This Row],[AI_FAC2]]</f>
        <v>8</v>
      </c>
      <c r="P107">
        <f t="shared" si="36"/>
        <v>0.77777777777777779</v>
      </c>
      <c r="Q107">
        <f>survey_responses[[#This Row],[So với trước đây, tôi thấy cách tính thuế và các bậc thuế trong phương án mới đơn giản, dễ hiểu và dễ thực hiện hơn. - HUMAN-FAC2]]</f>
        <v>8</v>
      </c>
      <c r="R107">
        <f t="shared" si="37"/>
        <v>0.77777777777777779</v>
      </c>
      <c r="S107" s="32">
        <f t="shared" si="38"/>
        <v>0.72222222222222221</v>
      </c>
      <c r="T107" s="32">
        <f t="shared" si="39"/>
        <v>0.77777777777777779</v>
      </c>
      <c r="U107">
        <f>step3_validation[[#This Row],[AI_TRU1]]</f>
        <v>7</v>
      </c>
      <c r="V107">
        <f t="shared" si="40"/>
        <v>0.66666666666666663</v>
      </c>
      <c r="W107">
        <f>survey_responses[[#This Row],[Tôi tin rằng Nhà nước, cơ quan thuế sẽ thực thi chính sách mới một cách khách quan, công tâm và đối xử bình đẳng với mọi người nộp thuế.  - HUMAN-TRU1]]</f>
        <v>10</v>
      </c>
      <c r="X107">
        <f t="shared" si="41"/>
        <v>1</v>
      </c>
      <c r="Y107">
        <f>step3_validation[[#This Row],[AI_TRU2]]</f>
        <v>8</v>
      </c>
      <c r="Z107">
        <f t="shared" si="42"/>
        <v>0.77777777777777779</v>
      </c>
      <c r="AA107">
        <f>survey_responses[[#This Row],[Tôi thấy mức thuế tôi phải đóng theo phương án mới là công bằng (người thu nhập như tôi đóng mức này là hợp lý). - HUMAN-TRU2]]</f>
        <v>10</v>
      </c>
      <c r="AB107">
        <f t="shared" si="43"/>
        <v>1</v>
      </c>
      <c r="AC107">
        <f>step3_validation[[#This Row],[AI_TRU3]]</f>
        <v>6</v>
      </c>
      <c r="AD107">
        <f t="shared" si="44"/>
        <v>0.55555555555555558</v>
      </c>
      <c r="AE107">
        <f>survey_responses[[#This Row],[Tôi tin tưởng số tiền thuế tôi đóng sẽ được Nhà nước sử dụng hiệu quả để cải thiện dịch vụ công (y tế, đường xá...). - HUMAN-TRU3]]</f>
        <v>10</v>
      </c>
      <c r="AF107">
        <f t="shared" si="45"/>
        <v>1</v>
      </c>
      <c r="AG107">
        <f>step3_validation[[#This Row],[AI_TRU4]]</f>
        <v>5</v>
      </c>
      <c r="AH107">
        <f t="shared" si="46"/>
        <v>0.44444444444444442</v>
      </c>
      <c r="AI107">
        <f>survey_responses[[#This Row],[Tôi thấy Nhà nước đã giải thích rõ ràng, minh bạch về lý do và mục tiêu của việc sửa đổi thuế lần này. - HUMAN-TRU4]]</f>
        <v>10</v>
      </c>
      <c r="AJ107">
        <f t="shared" si="47"/>
        <v>1</v>
      </c>
      <c r="AK107" s="32">
        <f t="shared" si="48"/>
        <v>0.61111111111111116</v>
      </c>
      <c r="AL107" s="32">
        <f t="shared" si="49"/>
        <v>1</v>
      </c>
      <c r="AM107" s="7">
        <f t="shared" si="50"/>
        <v>0.72222222222222221</v>
      </c>
      <c r="AN107" s="7">
        <f t="shared" si="51"/>
        <v>0.83333333333333337</v>
      </c>
      <c r="AO107">
        <f>step3_validation[[#This Row],[AI_OUT1]]</f>
        <v>8</v>
      </c>
      <c r="AP107">
        <f t="shared" si="52"/>
        <v>0.77777777777777779</v>
      </c>
      <c r="AQ107">
        <f>survey_responses[[#This Row],[Sau khi xem xét các quyền lợi và nghĩa vụ, bạn có ủng hộ và tuân thủ chính sách mới hiện nay? - HUMAN-OUT1]]</f>
        <v>10</v>
      </c>
      <c r="AR107">
        <f t="shared" si="53"/>
        <v>1</v>
      </c>
      <c r="AS107" s="32">
        <f t="shared" si="54"/>
        <v>2</v>
      </c>
      <c r="AT107">
        <f t="shared" si="55"/>
        <v>1</v>
      </c>
    </row>
    <row r="108" spans="1:46" x14ac:dyDescent="0.45">
      <c r="A108">
        <f>step3_validation[[#This Row],[AI_ENF1]]</f>
        <v>7</v>
      </c>
      <c r="B108">
        <f t="shared" si="28"/>
        <v>0.66666666666666663</v>
      </c>
      <c r="C108">
        <f>survey_responses[[#This Row],[Tôi tin rằng với các quy định quản lý thuế hiện nay, hành vi gian lận hoặc trốn thuế sẽ dễ dàng bị phát hiện và xử lý nghiêm. - HUMAN-ENF1]]</f>
        <v>7</v>
      </c>
      <c r="D108">
        <f t="shared" si="29"/>
        <v>0.66666666666666663</v>
      </c>
      <c r="E108">
        <f>step3_validation[[#This Row],[AI_ENF2]]</f>
        <v>6</v>
      </c>
      <c r="F108">
        <f t="shared" si="30"/>
        <v>0.55555555555555558</v>
      </c>
      <c r="G108">
        <f>survey_responses[[#This Row],[Tôi tin rằng Nhà nước, cơ quan thuế có đủ khả năng và công nghệ để phát hiện, xử lý nghiêm các hành vi trốn thuế. - HUMAN-ENF2]]</f>
        <v>7</v>
      </c>
      <c r="H108">
        <f t="shared" si="31"/>
        <v>0.66666666666666663</v>
      </c>
      <c r="I108" s="32">
        <f t="shared" si="32"/>
        <v>0.61111111111111116</v>
      </c>
      <c r="J108" s="32">
        <f t="shared" si="33"/>
        <v>0.66666666666666663</v>
      </c>
      <c r="K108">
        <f>step3_validation[[#This Row],[AI_FAC1]]</f>
        <v>8</v>
      </c>
      <c r="L108">
        <f t="shared" si="34"/>
        <v>0.77777777777777779</v>
      </c>
      <c r="M108">
        <f>survey_responses[[#This Row],[Các thủ tục khai báo thuế VÀ/HOẶC quy trình làm việc với cơ quan thuế đơn giản, tiện lợi, nhanh chóng hơn so với trước đây. - HUMAN-FAC1]]</f>
        <v>7</v>
      </c>
      <c r="N108">
        <f t="shared" si="35"/>
        <v>0.66666666666666663</v>
      </c>
      <c r="O108">
        <f>step3_validation[[#This Row],[AI_FAC2]]</f>
        <v>7</v>
      </c>
      <c r="P108">
        <f t="shared" si="36"/>
        <v>0.66666666666666663</v>
      </c>
      <c r="Q108">
        <f>survey_responses[[#This Row],[So với trước đây, tôi thấy cách tính thuế và các bậc thuế trong phương án mới đơn giản, dễ hiểu và dễ thực hiện hơn. - HUMAN-FAC2]]</f>
        <v>7</v>
      </c>
      <c r="R108">
        <f t="shared" si="37"/>
        <v>0.66666666666666663</v>
      </c>
      <c r="S108" s="32">
        <f t="shared" si="38"/>
        <v>0.72222222222222221</v>
      </c>
      <c r="T108" s="32">
        <f t="shared" si="39"/>
        <v>0.66666666666666663</v>
      </c>
      <c r="U108">
        <f>step3_validation[[#This Row],[AI_TRU1]]</f>
        <v>8</v>
      </c>
      <c r="V108">
        <f t="shared" si="40"/>
        <v>0.77777777777777779</v>
      </c>
      <c r="W108">
        <f>survey_responses[[#This Row],[Tôi tin rằng Nhà nước, cơ quan thuế sẽ thực thi chính sách mới một cách khách quan, công tâm và đối xử bình đẳng với mọi người nộp thuế.  - HUMAN-TRU1]]</f>
        <v>7</v>
      </c>
      <c r="X108">
        <f t="shared" si="41"/>
        <v>0.66666666666666663</v>
      </c>
      <c r="Y108">
        <f>step3_validation[[#This Row],[AI_TRU2]]</f>
        <v>6</v>
      </c>
      <c r="Z108">
        <f t="shared" si="42"/>
        <v>0.55555555555555558</v>
      </c>
      <c r="AA108">
        <f>survey_responses[[#This Row],[Tôi thấy mức thuế tôi phải đóng theo phương án mới là công bằng (người thu nhập như tôi đóng mức này là hợp lý). - HUMAN-TRU2]]</f>
        <v>7</v>
      </c>
      <c r="AB108">
        <f t="shared" si="43"/>
        <v>0.66666666666666663</v>
      </c>
      <c r="AC108">
        <f>step3_validation[[#This Row],[AI_TRU3]]</f>
        <v>5</v>
      </c>
      <c r="AD108">
        <f t="shared" si="44"/>
        <v>0.44444444444444442</v>
      </c>
      <c r="AE108">
        <f>survey_responses[[#This Row],[Tôi tin tưởng số tiền thuế tôi đóng sẽ được Nhà nước sử dụng hiệu quả để cải thiện dịch vụ công (y tế, đường xá...). - HUMAN-TRU3]]</f>
        <v>7</v>
      </c>
      <c r="AF108">
        <f t="shared" si="45"/>
        <v>0.66666666666666663</v>
      </c>
      <c r="AG108">
        <f>step3_validation[[#This Row],[AI_TRU4]]</f>
        <v>6</v>
      </c>
      <c r="AH108">
        <f t="shared" si="46"/>
        <v>0.55555555555555558</v>
      </c>
      <c r="AI108">
        <f>survey_responses[[#This Row],[Tôi thấy Nhà nước đã giải thích rõ ràng, minh bạch về lý do và mục tiêu của việc sửa đổi thuế lần này. - HUMAN-TRU4]]</f>
        <v>7</v>
      </c>
      <c r="AJ108">
        <f t="shared" si="47"/>
        <v>0.66666666666666663</v>
      </c>
      <c r="AK108" s="32">
        <f t="shared" si="48"/>
        <v>0.58333333333333337</v>
      </c>
      <c r="AL108" s="32">
        <f t="shared" si="49"/>
        <v>0.66666666666666663</v>
      </c>
      <c r="AM108" s="7">
        <f t="shared" si="50"/>
        <v>0.63888888888888895</v>
      </c>
      <c r="AN108" s="7">
        <f t="shared" si="51"/>
        <v>0.66666666666666663</v>
      </c>
      <c r="AO108">
        <f>step3_validation[[#This Row],[AI_OUT1]]</f>
        <v>7</v>
      </c>
      <c r="AP108">
        <f t="shared" si="52"/>
        <v>0.66666666666666663</v>
      </c>
      <c r="AQ108">
        <f>survey_responses[[#This Row],[Sau khi xem xét các quyền lợi và nghĩa vụ, bạn có ủng hộ và tuân thủ chính sách mới hiện nay? - HUMAN-OUT1]]</f>
        <v>8</v>
      </c>
      <c r="AR108">
        <f t="shared" si="53"/>
        <v>0.77777777777777779</v>
      </c>
      <c r="AS108" s="32">
        <f t="shared" si="54"/>
        <v>1</v>
      </c>
      <c r="AT108">
        <f t="shared" si="55"/>
        <v>1</v>
      </c>
    </row>
    <row r="109" spans="1:46" x14ac:dyDescent="0.45">
      <c r="A109">
        <f>step3_validation[[#This Row],[AI_ENF1]]</f>
        <v>6</v>
      </c>
      <c r="B109">
        <f t="shared" si="28"/>
        <v>0.55555555555555558</v>
      </c>
      <c r="C109">
        <f>survey_responses[[#This Row],[Tôi tin rằng với các quy định quản lý thuế hiện nay, hành vi gian lận hoặc trốn thuế sẽ dễ dàng bị phát hiện và xử lý nghiêm. - HUMAN-ENF1]]</f>
        <v>5</v>
      </c>
      <c r="D109">
        <f t="shared" si="29"/>
        <v>0.44444444444444442</v>
      </c>
      <c r="E109">
        <f>step3_validation[[#This Row],[AI_ENF2]]</f>
        <v>7</v>
      </c>
      <c r="F109">
        <f t="shared" si="30"/>
        <v>0.66666666666666663</v>
      </c>
      <c r="G109">
        <f>survey_responses[[#This Row],[Tôi tin rằng Nhà nước, cơ quan thuế có đủ khả năng và công nghệ để phát hiện, xử lý nghiêm các hành vi trốn thuế. - HUMAN-ENF2]]</f>
        <v>10</v>
      </c>
      <c r="H109">
        <f t="shared" si="31"/>
        <v>1</v>
      </c>
      <c r="I109" s="32">
        <f t="shared" si="32"/>
        <v>0.61111111111111116</v>
      </c>
      <c r="J109" s="32">
        <f t="shared" si="33"/>
        <v>0.72222222222222221</v>
      </c>
      <c r="K109">
        <f>step3_validation[[#This Row],[AI_FAC1]]</f>
        <v>8</v>
      </c>
      <c r="L109">
        <f t="shared" si="34"/>
        <v>0.77777777777777779</v>
      </c>
      <c r="M109">
        <f>survey_responses[[#This Row],[Các thủ tục khai báo thuế VÀ/HOẶC quy trình làm việc với cơ quan thuế đơn giản, tiện lợi, nhanh chóng hơn so với trước đây. - HUMAN-FAC1]]</f>
        <v>5</v>
      </c>
      <c r="N109">
        <f t="shared" si="35"/>
        <v>0.44444444444444442</v>
      </c>
      <c r="O109">
        <f>step3_validation[[#This Row],[AI_FAC2]]</f>
        <v>7</v>
      </c>
      <c r="P109">
        <f t="shared" si="36"/>
        <v>0.66666666666666663</v>
      </c>
      <c r="Q109">
        <f>survey_responses[[#This Row],[So với trước đây, tôi thấy cách tính thuế và các bậc thuế trong phương án mới đơn giản, dễ hiểu và dễ thực hiện hơn. - HUMAN-FAC2]]</f>
        <v>5</v>
      </c>
      <c r="R109">
        <f t="shared" si="37"/>
        <v>0.44444444444444442</v>
      </c>
      <c r="S109" s="32">
        <f t="shared" si="38"/>
        <v>0.72222222222222221</v>
      </c>
      <c r="T109" s="32">
        <f t="shared" si="39"/>
        <v>0.44444444444444442</v>
      </c>
      <c r="U109">
        <f>step3_validation[[#This Row],[AI_TRU1]]</f>
        <v>9</v>
      </c>
      <c r="V109">
        <f t="shared" si="40"/>
        <v>0.88888888888888884</v>
      </c>
      <c r="W109">
        <f>survey_responses[[#This Row],[Tôi tin rằng Nhà nước, cơ quan thuế sẽ thực thi chính sách mới một cách khách quan, công tâm và đối xử bình đẳng với mọi người nộp thuế.  - HUMAN-TRU1]]</f>
        <v>5</v>
      </c>
      <c r="X109">
        <f t="shared" si="41"/>
        <v>0.44444444444444442</v>
      </c>
      <c r="Y109">
        <f>step3_validation[[#This Row],[AI_TRU2]]</f>
        <v>8</v>
      </c>
      <c r="Z109">
        <f t="shared" si="42"/>
        <v>0.77777777777777779</v>
      </c>
      <c r="AA109">
        <f>survey_responses[[#This Row],[Tôi thấy mức thuế tôi phải đóng theo phương án mới là công bằng (người thu nhập như tôi đóng mức này là hợp lý). - HUMAN-TRU2]]</f>
        <v>5</v>
      </c>
      <c r="AB109">
        <f t="shared" si="43"/>
        <v>0.44444444444444442</v>
      </c>
      <c r="AC109">
        <f>step3_validation[[#This Row],[AI_TRU3]]</f>
        <v>9</v>
      </c>
      <c r="AD109">
        <f t="shared" si="44"/>
        <v>0.88888888888888884</v>
      </c>
      <c r="AE109">
        <f>survey_responses[[#This Row],[Tôi tin tưởng số tiền thuế tôi đóng sẽ được Nhà nước sử dụng hiệu quả để cải thiện dịch vụ công (y tế, đường xá...). - HUMAN-TRU3]]</f>
        <v>8</v>
      </c>
      <c r="AF109">
        <f t="shared" si="45"/>
        <v>0.77777777777777779</v>
      </c>
      <c r="AG109">
        <f>step3_validation[[#This Row],[AI_TRU4]]</f>
        <v>7</v>
      </c>
      <c r="AH109">
        <f t="shared" si="46"/>
        <v>0.66666666666666663</v>
      </c>
      <c r="AI109">
        <f>survey_responses[[#This Row],[Tôi thấy Nhà nước đã giải thích rõ ràng, minh bạch về lý do và mục tiêu của việc sửa đổi thuế lần này. - HUMAN-TRU4]]</f>
        <v>5</v>
      </c>
      <c r="AJ109">
        <f t="shared" si="47"/>
        <v>0.44444444444444442</v>
      </c>
      <c r="AK109" s="32">
        <f t="shared" si="48"/>
        <v>0.80555555555555547</v>
      </c>
      <c r="AL109" s="32">
        <f t="shared" si="49"/>
        <v>0.52777777777777768</v>
      </c>
      <c r="AM109" s="7">
        <f t="shared" si="50"/>
        <v>0.71296296296296291</v>
      </c>
      <c r="AN109" s="7">
        <f t="shared" si="51"/>
        <v>0.56481481481481477</v>
      </c>
      <c r="AO109">
        <f>step3_validation[[#This Row],[AI_OUT1]]</f>
        <v>8</v>
      </c>
      <c r="AP109">
        <f t="shared" si="52"/>
        <v>0.77777777777777779</v>
      </c>
      <c r="AQ109">
        <f>survey_responses[[#This Row],[Sau khi xem xét các quyền lợi và nghĩa vụ, bạn có ủng hộ và tuân thủ chính sách mới hiện nay? - HUMAN-OUT1]]</f>
        <v>6</v>
      </c>
      <c r="AR109">
        <f t="shared" si="53"/>
        <v>0.55555555555555558</v>
      </c>
      <c r="AS109" s="32">
        <f t="shared" si="54"/>
        <v>2</v>
      </c>
      <c r="AT109">
        <f t="shared" si="55"/>
        <v>1</v>
      </c>
    </row>
    <row r="110" spans="1:46" x14ac:dyDescent="0.45">
      <c r="A110">
        <f>step3_validation[[#This Row],[AI_ENF1]]</f>
        <v>6</v>
      </c>
      <c r="B110">
        <f t="shared" si="28"/>
        <v>0.55555555555555558</v>
      </c>
      <c r="C110">
        <f>survey_responses[[#This Row],[Tôi tin rằng với các quy định quản lý thuế hiện nay, hành vi gian lận hoặc trốn thuế sẽ dễ dàng bị phát hiện và xử lý nghiêm. - HUMAN-ENF1]]</f>
        <v>10</v>
      </c>
      <c r="D110">
        <f t="shared" si="29"/>
        <v>1</v>
      </c>
      <c r="E110">
        <f>step3_validation[[#This Row],[AI_ENF2]]</f>
        <v>8</v>
      </c>
      <c r="F110">
        <f t="shared" si="30"/>
        <v>0.77777777777777779</v>
      </c>
      <c r="G110">
        <f>survey_responses[[#This Row],[Tôi tin rằng Nhà nước, cơ quan thuế có đủ khả năng và công nghệ để phát hiện, xử lý nghiêm các hành vi trốn thuế. - HUMAN-ENF2]]</f>
        <v>10</v>
      </c>
      <c r="H110">
        <f t="shared" si="31"/>
        <v>1</v>
      </c>
      <c r="I110" s="32">
        <f t="shared" si="32"/>
        <v>0.66666666666666674</v>
      </c>
      <c r="J110" s="32">
        <f t="shared" si="33"/>
        <v>1</v>
      </c>
      <c r="K110">
        <f>step3_validation[[#This Row],[AI_FAC1]]</f>
        <v>9</v>
      </c>
      <c r="L110">
        <f t="shared" si="34"/>
        <v>0.88888888888888884</v>
      </c>
      <c r="M110">
        <f>survey_responses[[#This Row],[Các thủ tục khai báo thuế VÀ/HOẶC quy trình làm việc với cơ quan thuế đơn giản, tiện lợi, nhanh chóng hơn so với trước đây. - HUMAN-FAC1]]</f>
        <v>10</v>
      </c>
      <c r="N110">
        <f t="shared" si="35"/>
        <v>1</v>
      </c>
      <c r="O110">
        <f>step3_validation[[#This Row],[AI_FAC2]]</f>
        <v>8</v>
      </c>
      <c r="P110">
        <f t="shared" si="36"/>
        <v>0.77777777777777779</v>
      </c>
      <c r="Q110">
        <f>survey_responses[[#This Row],[So với trước đây, tôi thấy cách tính thuế và các bậc thuế trong phương án mới đơn giản, dễ hiểu và dễ thực hiện hơn. - HUMAN-FAC2]]</f>
        <v>10</v>
      </c>
      <c r="R110">
        <f t="shared" si="37"/>
        <v>1</v>
      </c>
      <c r="S110" s="32">
        <f t="shared" si="38"/>
        <v>0.83333333333333326</v>
      </c>
      <c r="T110" s="32">
        <f t="shared" si="39"/>
        <v>1</v>
      </c>
      <c r="U110">
        <f>step3_validation[[#This Row],[AI_TRU1]]</f>
        <v>7</v>
      </c>
      <c r="V110">
        <f t="shared" si="40"/>
        <v>0.66666666666666663</v>
      </c>
      <c r="W110">
        <f>survey_responses[[#This Row],[Tôi tin rằng Nhà nước, cơ quan thuế sẽ thực thi chính sách mới một cách khách quan, công tâm và đối xử bình đẳng với mọi người nộp thuế.  - HUMAN-TRU1]]</f>
        <v>10</v>
      </c>
      <c r="X110">
        <f t="shared" si="41"/>
        <v>1</v>
      </c>
      <c r="Y110">
        <f>step3_validation[[#This Row],[AI_TRU2]]</f>
        <v>7</v>
      </c>
      <c r="Z110">
        <f t="shared" si="42"/>
        <v>0.66666666666666663</v>
      </c>
      <c r="AA110">
        <f>survey_responses[[#This Row],[Tôi thấy mức thuế tôi phải đóng theo phương án mới là công bằng (người thu nhập như tôi đóng mức này là hợp lý). - HUMAN-TRU2]]</f>
        <v>10</v>
      </c>
      <c r="AB110">
        <f t="shared" si="43"/>
        <v>1</v>
      </c>
      <c r="AC110">
        <f>step3_validation[[#This Row],[AI_TRU3]]</f>
        <v>6</v>
      </c>
      <c r="AD110">
        <f t="shared" si="44"/>
        <v>0.55555555555555558</v>
      </c>
      <c r="AE110">
        <f>survey_responses[[#This Row],[Tôi tin tưởng số tiền thuế tôi đóng sẽ được Nhà nước sử dụng hiệu quả để cải thiện dịch vụ công (y tế, đường xá...). - HUMAN-TRU3]]</f>
        <v>10</v>
      </c>
      <c r="AF110">
        <f t="shared" si="45"/>
        <v>1</v>
      </c>
      <c r="AG110">
        <f>step3_validation[[#This Row],[AI_TRU4]]</f>
        <v>6</v>
      </c>
      <c r="AH110">
        <f t="shared" si="46"/>
        <v>0.55555555555555558</v>
      </c>
      <c r="AI110">
        <f>survey_responses[[#This Row],[Tôi thấy Nhà nước đã giải thích rõ ràng, minh bạch về lý do và mục tiêu của việc sửa đổi thuế lần này. - HUMAN-TRU4]]</f>
        <v>10</v>
      </c>
      <c r="AJ110">
        <f t="shared" si="47"/>
        <v>1</v>
      </c>
      <c r="AK110" s="32">
        <f t="shared" si="48"/>
        <v>0.61111111111111116</v>
      </c>
      <c r="AL110" s="32">
        <f t="shared" si="49"/>
        <v>1</v>
      </c>
      <c r="AM110" s="7">
        <f t="shared" si="50"/>
        <v>0.70370370370370372</v>
      </c>
      <c r="AN110" s="7">
        <f t="shared" si="51"/>
        <v>1</v>
      </c>
      <c r="AO110">
        <f>step3_validation[[#This Row],[AI_OUT1]]</f>
        <v>7</v>
      </c>
      <c r="AP110">
        <f t="shared" si="52"/>
        <v>0.66666666666666663</v>
      </c>
      <c r="AQ110">
        <f>survey_responses[[#This Row],[Sau khi xem xét các quyền lợi và nghĩa vụ, bạn có ủng hộ và tuân thủ chính sách mới hiện nay? - HUMAN-OUT1]]</f>
        <v>10</v>
      </c>
      <c r="AR110">
        <f t="shared" si="53"/>
        <v>1</v>
      </c>
      <c r="AS110" s="32">
        <f t="shared" si="54"/>
        <v>3</v>
      </c>
      <c r="AT110">
        <f t="shared" si="55"/>
        <v>1</v>
      </c>
    </row>
    <row r="111" spans="1:46" x14ac:dyDescent="0.45">
      <c r="A111">
        <f>step3_validation[[#This Row],[AI_ENF1]]</f>
        <v>9</v>
      </c>
      <c r="B111">
        <f t="shared" si="28"/>
        <v>0.88888888888888884</v>
      </c>
      <c r="C111">
        <f>survey_responses[[#This Row],[Tôi tin rằng với các quy định quản lý thuế hiện nay, hành vi gian lận hoặc trốn thuế sẽ dễ dàng bị phát hiện và xử lý nghiêm. - HUMAN-ENF1]]</f>
        <v>7</v>
      </c>
      <c r="D111">
        <f t="shared" si="29"/>
        <v>0.66666666666666663</v>
      </c>
      <c r="E111">
        <f>step3_validation[[#This Row],[AI_ENF2]]</f>
        <v>8</v>
      </c>
      <c r="F111">
        <f t="shared" si="30"/>
        <v>0.77777777777777779</v>
      </c>
      <c r="G111">
        <f>survey_responses[[#This Row],[Tôi tin rằng Nhà nước, cơ quan thuế có đủ khả năng và công nghệ để phát hiện, xử lý nghiêm các hành vi trốn thuế. - HUMAN-ENF2]]</f>
        <v>6</v>
      </c>
      <c r="H111">
        <f t="shared" si="31"/>
        <v>0.55555555555555558</v>
      </c>
      <c r="I111" s="32">
        <f t="shared" si="32"/>
        <v>0.83333333333333326</v>
      </c>
      <c r="J111" s="32">
        <f t="shared" si="33"/>
        <v>0.61111111111111116</v>
      </c>
      <c r="K111">
        <f>step3_validation[[#This Row],[AI_FAC1]]</f>
        <v>8</v>
      </c>
      <c r="L111">
        <f t="shared" si="34"/>
        <v>0.77777777777777779</v>
      </c>
      <c r="M111">
        <f>survey_responses[[#This Row],[Các thủ tục khai báo thuế VÀ/HOẶC quy trình làm việc với cơ quan thuế đơn giản, tiện lợi, nhanh chóng hơn so với trước đây. - HUMAN-FAC1]]</f>
        <v>8</v>
      </c>
      <c r="N111">
        <f t="shared" si="35"/>
        <v>0.77777777777777779</v>
      </c>
      <c r="O111">
        <f>step3_validation[[#This Row],[AI_FAC2]]</f>
        <v>7</v>
      </c>
      <c r="P111">
        <f t="shared" si="36"/>
        <v>0.66666666666666663</v>
      </c>
      <c r="Q111">
        <f>survey_responses[[#This Row],[So với trước đây, tôi thấy cách tính thuế và các bậc thuế trong phương án mới đơn giản, dễ hiểu và dễ thực hiện hơn. - HUMAN-FAC2]]</f>
        <v>8</v>
      </c>
      <c r="R111">
        <f t="shared" si="37"/>
        <v>0.77777777777777779</v>
      </c>
      <c r="S111" s="32">
        <f t="shared" si="38"/>
        <v>0.72222222222222221</v>
      </c>
      <c r="T111" s="32">
        <f t="shared" si="39"/>
        <v>0.77777777777777779</v>
      </c>
      <c r="U111">
        <f>step3_validation[[#This Row],[AI_TRU1]]</f>
        <v>6</v>
      </c>
      <c r="V111">
        <f t="shared" si="40"/>
        <v>0.55555555555555558</v>
      </c>
      <c r="W111">
        <f>survey_responses[[#This Row],[Tôi tin rằng Nhà nước, cơ quan thuế sẽ thực thi chính sách mới một cách khách quan, công tâm và đối xử bình đẳng với mọi người nộp thuế.  - HUMAN-TRU1]]</f>
        <v>7</v>
      </c>
      <c r="X111">
        <f t="shared" si="41"/>
        <v>0.66666666666666663</v>
      </c>
      <c r="Y111">
        <f>step3_validation[[#This Row],[AI_TRU2]]</f>
        <v>7</v>
      </c>
      <c r="Z111">
        <f t="shared" si="42"/>
        <v>0.66666666666666663</v>
      </c>
      <c r="AA111">
        <f>survey_responses[[#This Row],[Tôi thấy mức thuế tôi phải đóng theo phương án mới là công bằng (người thu nhập như tôi đóng mức này là hợp lý). - HUMAN-TRU2]]</f>
        <v>6</v>
      </c>
      <c r="AB111">
        <f t="shared" si="43"/>
        <v>0.55555555555555558</v>
      </c>
      <c r="AC111">
        <f>step3_validation[[#This Row],[AI_TRU3]]</f>
        <v>6</v>
      </c>
      <c r="AD111">
        <f t="shared" si="44"/>
        <v>0.55555555555555558</v>
      </c>
      <c r="AE111">
        <f>survey_responses[[#This Row],[Tôi tin tưởng số tiền thuế tôi đóng sẽ được Nhà nước sử dụng hiệu quả để cải thiện dịch vụ công (y tế, đường xá...). - HUMAN-TRU3]]</f>
        <v>5</v>
      </c>
      <c r="AF111">
        <f t="shared" si="45"/>
        <v>0.44444444444444442</v>
      </c>
      <c r="AG111">
        <f>step3_validation[[#This Row],[AI_TRU4]]</f>
        <v>5</v>
      </c>
      <c r="AH111">
        <f t="shared" si="46"/>
        <v>0.44444444444444442</v>
      </c>
      <c r="AI111">
        <f>survey_responses[[#This Row],[Tôi thấy Nhà nước đã giải thích rõ ràng, minh bạch về lý do và mục tiêu của việc sửa đổi thuế lần này. - HUMAN-TRU4]]</f>
        <v>5</v>
      </c>
      <c r="AJ111">
        <f t="shared" si="47"/>
        <v>0.44444444444444442</v>
      </c>
      <c r="AK111" s="32">
        <f t="shared" si="48"/>
        <v>0.55555555555555558</v>
      </c>
      <c r="AL111" s="32">
        <f t="shared" si="49"/>
        <v>0.52777777777777779</v>
      </c>
      <c r="AM111" s="7">
        <f t="shared" si="50"/>
        <v>0.70370370370370361</v>
      </c>
      <c r="AN111" s="7">
        <f t="shared" si="51"/>
        <v>0.63888888888888884</v>
      </c>
      <c r="AO111">
        <f>step3_validation[[#This Row],[AI_OUT1]]</f>
        <v>6</v>
      </c>
      <c r="AP111">
        <f t="shared" si="52"/>
        <v>0.55555555555555558</v>
      </c>
      <c r="AQ111">
        <f>survey_responses[[#This Row],[Sau khi xem xét các quyền lợi và nghĩa vụ, bạn có ủng hộ và tuân thủ chính sách mới hiện nay? - HUMAN-OUT1]]</f>
        <v>8</v>
      </c>
      <c r="AR111">
        <f t="shared" si="53"/>
        <v>0.77777777777777779</v>
      </c>
      <c r="AS111" s="32">
        <f t="shared" si="54"/>
        <v>2</v>
      </c>
      <c r="AT111">
        <f t="shared" si="55"/>
        <v>1</v>
      </c>
    </row>
    <row r="112" spans="1:46" x14ac:dyDescent="0.45">
      <c r="A112">
        <f>step3_validation[[#This Row],[AI_ENF1]]</f>
        <v>7</v>
      </c>
      <c r="B112">
        <f t="shared" si="28"/>
        <v>0.66666666666666663</v>
      </c>
      <c r="C112">
        <f>survey_responses[[#This Row],[Tôi tin rằng với các quy định quản lý thuế hiện nay, hành vi gian lận hoặc trốn thuế sẽ dễ dàng bị phát hiện và xử lý nghiêm. - HUMAN-ENF1]]</f>
        <v>8</v>
      </c>
      <c r="D112">
        <f t="shared" si="29"/>
        <v>0.77777777777777779</v>
      </c>
      <c r="E112">
        <f>step3_validation[[#This Row],[AI_ENF2]]</f>
        <v>8</v>
      </c>
      <c r="F112">
        <f t="shared" si="30"/>
        <v>0.77777777777777779</v>
      </c>
      <c r="G112">
        <f>survey_responses[[#This Row],[Tôi tin rằng Nhà nước, cơ quan thuế có đủ khả năng và công nghệ để phát hiện, xử lý nghiêm các hành vi trốn thuế. - HUMAN-ENF2]]</f>
        <v>8</v>
      </c>
      <c r="H112">
        <f t="shared" si="31"/>
        <v>0.77777777777777779</v>
      </c>
      <c r="I112" s="32">
        <f t="shared" si="32"/>
        <v>0.72222222222222221</v>
      </c>
      <c r="J112" s="32">
        <f t="shared" si="33"/>
        <v>0.77777777777777779</v>
      </c>
      <c r="K112">
        <f>step3_validation[[#This Row],[AI_FAC1]]</f>
        <v>6</v>
      </c>
      <c r="L112">
        <f t="shared" si="34"/>
        <v>0.55555555555555558</v>
      </c>
      <c r="M112">
        <f>survey_responses[[#This Row],[Các thủ tục khai báo thuế VÀ/HOẶC quy trình làm việc với cơ quan thuế đơn giản, tiện lợi, nhanh chóng hơn so với trước đây. - HUMAN-FAC1]]</f>
        <v>6</v>
      </c>
      <c r="N112">
        <f t="shared" si="35"/>
        <v>0.55555555555555558</v>
      </c>
      <c r="O112">
        <f>step3_validation[[#This Row],[AI_FAC2]]</f>
        <v>7</v>
      </c>
      <c r="P112">
        <f t="shared" si="36"/>
        <v>0.66666666666666663</v>
      </c>
      <c r="Q112">
        <f>survey_responses[[#This Row],[So với trước đây, tôi thấy cách tính thuế và các bậc thuế trong phương án mới đơn giản, dễ hiểu và dễ thực hiện hơn. - HUMAN-FAC2]]</f>
        <v>7</v>
      </c>
      <c r="R112">
        <f t="shared" si="37"/>
        <v>0.66666666666666663</v>
      </c>
      <c r="S112" s="32">
        <f t="shared" si="38"/>
        <v>0.61111111111111116</v>
      </c>
      <c r="T112" s="32">
        <f t="shared" si="39"/>
        <v>0.61111111111111116</v>
      </c>
      <c r="U112">
        <f>step3_validation[[#This Row],[AI_TRU1]]</f>
        <v>8</v>
      </c>
      <c r="V112">
        <f t="shared" si="40"/>
        <v>0.77777777777777779</v>
      </c>
      <c r="W112">
        <f>survey_responses[[#This Row],[Tôi tin rằng Nhà nước, cơ quan thuế sẽ thực thi chính sách mới một cách khách quan, công tâm và đối xử bình đẳng với mọi người nộp thuế.  - HUMAN-TRU1]]</f>
        <v>6</v>
      </c>
      <c r="X112">
        <f t="shared" si="41"/>
        <v>0.55555555555555558</v>
      </c>
      <c r="Y112">
        <f>step3_validation[[#This Row],[AI_TRU2]]</f>
        <v>7</v>
      </c>
      <c r="Z112">
        <f t="shared" si="42"/>
        <v>0.66666666666666663</v>
      </c>
      <c r="AA112">
        <f>survey_responses[[#This Row],[Tôi thấy mức thuế tôi phải đóng theo phương án mới là công bằng (người thu nhập như tôi đóng mức này là hợp lý). - HUMAN-TRU2]]</f>
        <v>7</v>
      </c>
      <c r="AB112">
        <f t="shared" si="43"/>
        <v>0.66666666666666663</v>
      </c>
      <c r="AC112">
        <f>step3_validation[[#This Row],[AI_TRU3]]</f>
        <v>8</v>
      </c>
      <c r="AD112">
        <f t="shared" si="44"/>
        <v>0.77777777777777779</v>
      </c>
      <c r="AE112">
        <f>survey_responses[[#This Row],[Tôi tin tưởng số tiền thuế tôi đóng sẽ được Nhà nước sử dụng hiệu quả để cải thiện dịch vụ công (y tế, đường xá...). - HUMAN-TRU3]]</f>
        <v>5</v>
      </c>
      <c r="AF112">
        <f t="shared" si="45"/>
        <v>0.44444444444444442</v>
      </c>
      <c r="AG112">
        <f>step3_validation[[#This Row],[AI_TRU4]]</f>
        <v>6</v>
      </c>
      <c r="AH112">
        <f t="shared" si="46"/>
        <v>0.55555555555555558</v>
      </c>
      <c r="AI112">
        <f>survey_responses[[#This Row],[Tôi thấy Nhà nước đã giải thích rõ ràng, minh bạch về lý do và mục tiêu của việc sửa đổi thuế lần này. - HUMAN-TRU4]]</f>
        <v>5</v>
      </c>
      <c r="AJ112">
        <f t="shared" si="47"/>
        <v>0.44444444444444442</v>
      </c>
      <c r="AK112" s="32">
        <f t="shared" si="48"/>
        <v>0.69444444444444442</v>
      </c>
      <c r="AL112" s="32">
        <f t="shared" si="49"/>
        <v>0.52777777777777779</v>
      </c>
      <c r="AM112" s="7">
        <f t="shared" si="50"/>
        <v>0.67592592592592593</v>
      </c>
      <c r="AN112" s="7">
        <f t="shared" si="51"/>
        <v>0.63888888888888884</v>
      </c>
      <c r="AO112">
        <f>step3_validation[[#This Row],[AI_OUT1]]</f>
        <v>5</v>
      </c>
      <c r="AP112">
        <f t="shared" si="52"/>
        <v>0.44444444444444442</v>
      </c>
      <c r="AQ112">
        <f>survey_responses[[#This Row],[Sau khi xem xét các quyền lợi và nghĩa vụ, bạn có ủng hộ và tuân thủ chính sách mới hiện nay? - HUMAN-OUT1]]</f>
        <v>5</v>
      </c>
      <c r="AR112">
        <f t="shared" si="53"/>
        <v>0.44444444444444442</v>
      </c>
      <c r="AS112" s="32">
        <f t="shared" si="54"/>
        <v>0</v>
      </c>
      <c r="AT112">
        <f t="shared" si="55"/>
        <v>0</v>
      </c>
    </row>
    <row r="113" spans="1:46" x14ac:dyDescent="0.45">
      <c r="A113">
        <f>step3_validation[[#This Row],[AI_ENF1]]</f>
        <v>6</v>
      </c>
      <c r="B113">
        <f t="shared" si="28"/>
        <v>0.55555555555555558</v>
      </c>
      <c r="C113">
        <f>survey_responses[[#This Row],[Tôi tin rằng với các quy định quản lý thuế hiện nay, hành vi gian lận hoặc trốn thuế sẽ dễ dàng bị phát hiện và xử lý nghiêm. - HUMAN-ENF1]]</f>
        <v>7</v>
      </c>
      <c r="D113">
        <f t="shared" si="29"/>
        <v>0.66666666666666663</v>
      </c>
      <c r="E113">
        <f>step3_validation[[#This Row],[AI_ENF2]]</f>
        <v>7</v>
      </c>
      <c r="F113">
        <f t="shared" si="30"/>
        <v>0.66666666666666663</v>
      </c>
      <c r="G113">
        <f>survey_responses[[#This Row],[Tôi tin rằng Nhà nước, cơ quan thuế có đủ khả năng và công nghệ để phát hiện, xử lý nghiêm các hành vi trốn thuế. - HUMAN-ENF2]]</f>
        <v>8</v>
      </c>
      <c r="H113">
        <f t="shared" si="31"/>
        <v>0.77777777777777779</v>
      </c>
      <c r="I113" s="32">
        <f t="shared" si="32"/>
        <v>0.61111111111111116</v>
      </c>
      <c r="J113" s="32">
        <f t="shared" si="33"/>
        <v>0.72222222222222221</v>
      </c>
      <c r="K113">
        <f>step3_validation[[#This Row],[AI_FAC1]]</f>
        <v>8</v>
      </c>
      <c r="L113">
        <f t="shared" si="34"/>
        <v>0.77777777777777779</v>
      </c>
      <c r="M113">
        <f>survey_responses[[#This Row],[Các thủ tục khai báo thuế VÀ/HOẶC quy trình làm việc với cơ quan thuế đơn giản, tiện lợi, nhanh chóng hơn so với trước đây. - HUMAN-FAC1]]</f>
        <v>8</v>
      </c>
      <c r="N113">
        <f t="shared" si="35"/>
        <v>0.77777777777777779</v>
      </c>
      <c r="O113">
        <f>step3_validation[[#This Row],[AI_FAC2]]</f>
        <v>7</v>
      </c>
      <c r="P113">
        <f t="shared" si="36"/>
        <v>0.66666666666666663</v>
      </c>
      <c r="Q113">
        <f>survey_responses[[#This Row],[So với trước đây, tôi thấy cách tính thuế và các bậc thuế trong phương án mới đơn giản, dễ hiểu và dễ thực hiện hơn. - HUMAN-FAC2]]</f>
        <v>8</v>
      </c>
      <c r="R113">
        <f t="shared" si="37"/>
        <v>0.77777777777777779</v>
      </c>
      <c r="S113" s="32">
        <f t="shared" si="38"/>
        <v>0.72222222222222221</v>
      </c>
      <c r="T113" s="32">
        <f t="shared" si="39"/>
        <v>0.77777777777777779</v>
      </c>
      <c r="U113">
        <f>step3_validation[[#This Row],[AI_TRU1]]</f>
        <v>6</v>
      </c>
      <c r="V113">
        <f t="shared" si="40"/>
        <v>0.55555555555555558</v>
      </c>
      <c r="W113">
        <f>survey_responses[[#This Row],[Tôi tin rằng Nhà nước, cơ quan thuế sẽ thực thi chính sách mới một cách khách quan, công tâm và đối xử bình đẳng với mọi người nộp thuế.  - HUMAN-TRU1]]</f>
        <v>8</v>
      </c>
      <c r="X113">
        <f t="shared" si="41"/>
        <v>0.77777777777777779</v>
      </c>
      <c r="Y113">
        <f>step3_validation[[#This Row],[AI_TRU2]]</f>
        <v>7</v>
      </c>
      <c r="Z113">
        <f t="shared" si="42"/>
        <v>0.66666666666666663</v>
      </c>
      <c r="AA113">
        <f>survey_responses[[#This Row],[Tôi thấy mức thuế tôi phải đóng theo phương án mới là công bằng (người thu nhập như tôi đóng mức này là hợp lý). - HUMAN-TRU2]]</f>
        <v>8</v>
      </c>
      <c r="AB113">
        <f t="shared" si="43"/>
        <v>0.77777777777777779</v>
      </c>
      <c r="AC113">
        <f>step3_validation[[#This Row],[AI_TRU3]]</f>
        <v>6</v>
      </c>
      <c r="AD113">
        <f t="shared" si="44"/>
        <v>0.55555555555555558</v>
      </c>
      <c r="AE113">
        <f>survey_responses[[#This Row],[Tôi tin tưởng số tiền thuế tôi đóng sẽ được Nhà nước sử dụng hiệu quả để cải thiện dịch vụ công (y tế, đường xá...). - HUMAN-TRU3]]</f>
        <v>8</v>
      </c>
      <c r="AF113">
        <f t="shared" si="45"/>
        <v>0.77777777777777779</v>
      </c>
      <c r="AG113">
        <f>step3_validation[[#This Row],[AI_TRU4]]</f>
        <v>5</v>
      </c>
      <c r="AH113">
        <f t="shared" si="46"/>
        <v>0.44444444444444442</v>
      </c>
      <c r="AI113">
        <f>survey_responses[[#This Row],[Tôi thấy Nhà nước đã giải thích rõ ràng, minh bạch về lý do và mục tiêu của việc sửa đổi thuế lần này. - HUMAN-TRU4]]</f>
        <v>8</v>
      </c>
      <c r="AJ113">
        <f t="shared" si="47"/>
        <v>0.77777777777777779</v>
      </c>
      <c r="AK113" s="32">
        <f t="shared" si="48"/>
        <v>0.55555555555555558</v>
      </c>
      <c r="AL113" s="32">
        <f t="shared" si="49"/>
        <v>0.77777777777777779</v>
      </c>
      <c r="AM113" s="7">
        <f t="shared" si="50"/>
        <v>0.62962962962962965</v>
      </c>
      <c r="AN113" s="7">
        <f t="shared" si="51"/>
        <v>0.75925925925925919</v>
      </c>
      <c r="AO113">
        <f>step3_validation[[#This Row],[AI_OUT1]]</f>
        <v>7</v>
      </c>
      <c r="AP113">
        <f t="shared" si="52"/>
        <v>0.66666666666666663</v>
      </c>
      <c r="AQ113">
        <f>survey_responses[[#This Row],[Sau khi xem xét các quyền lợi và nghĩa vụ, bạn có ủng hộ và tuân thủ chính sách mới hiện nay? - HUMAN-OUT1]]</f>
        <v>8</v>
      </c>
      <c r="AR113">
        <f t="shared" si="53"/>
        <v>0.77777777777777779</v>
      </c>
      <c r="AS113" s="32">
        <f t="shared" si="54"/>
        <v>1</v>
      </c>
      <c r="AT113">
        <f t="shared" si="55"/>
        <v>1</v>
      </c>
    </row>
    <row r="114" spans="1:46" x14ac:dyDescent="0.45">
      <c r="A114">
        <f>step3_validation[[#This Row],[AI_ENF1]]</f>
        <v>8</v>
      </c>
      <c r="B114">
        <f t="shared" si="28"/>
        <v>0.77777777777777779</v>
      </c>
      <c r="C114">
        <f>survey_responses[[#This Row],[Tôi tin rằng với các quy định quản lý thuế hiện nay, hành vi gian lận hoặc trốn thuế sẽ dễ dàng bị phát hiện và xử lý nghiêm. - HUMAN-ENF1]]</f>
        <v>1</v>
      </c>
      <c r="D114">
        <f t="shared" si="29"/>
        <v>0</v>
      </c>
      <c r="E114">
        <f>step3_validation[[#This Row],[AI_ENF2]]</f>
        <v>7</v>
      </c>
      <c r="F114">
        <f t="shared" si="30"/>
        <v>0.66666666666666663</v>
      </c>
      <c r="G114">
        <f>survey_responses[[#This Row],[Tôi tin rằng Nhà nước, cơ quan thuế có đủ khả năng và công nghệ để phát hiện, xử lý nghiêm các hành vi trốn thuế. - HUMAN-ENF2]]</f>
        <v>1</v>
      </c>
      <c r="H114">
        <f t="shared" si="31"/>
        <v>0</v>
      </c>
      <c r="I114" s="32">
        <f t="shared" si="32"/>
        <v>0.72222222222222221</v>
      </c>
      <c r="J114" s="32">
        <f t="shared" si="33"/>
        <v>0</v>
      </c>
      <c r="K114">
        <f>step3_validation[[#This Row],[AI_FAC1]]</f>
        <v>9</v>
      </c>
      <c r="L114">
        <f t="shared" si="34"/>
        <v>0.88888888888888884</v>
      </c>
      <c r="M114">
        <f>survey_responses[[#This Row],[Các thủ tục khai báo thuế VÀ/HOẶC quy trình làm việc với cơ quan thuế đơn giản, tiện lợi, nhanh chóng hơn so với trước đây. - HUMAN-FAC1]]</f>
        <v>1</v>
      </c>
      <c r="N114">
        <f t="shared" si="35"/>
        <v>0</v>
      </c>
      <c r="O114">
        <f>step3_validation[[#This Row],[AI_FAC2]]</f>
        <v>8</v>
      </c>
      <c r="P114">
        <f t="shared" si="36"/>
        <v>0.77777777777777779</v>
      </c>
      <c r="Q114">
        <f>survey_responses[[#This Row],[So với trước đây, tôi thấy cách tính thuế và các bậc thuế trong phương án mới đơn giản, dễ hiểu và dễ thực hiện hơn. - HUMAN-FAC2]]</f>
        <v>1</v>
      </c>
      <c r="R114">
        <f t="shared" si="37"/>
        <v>0</v>
      </c>
      <c r="S114" s="32">
        <f t="shared" si="38"/>
        <v>0.83333333333333326</v>
      </c>
      <c r="T114" s="32">
        <f t="shared" si="39"/>
        <v>0</v>
      </c>
      <c r="U114">
        <f>step3_validation[[#This Row],[AI_TRU1]]</f>
        <v>7</v>
      </c>
      <c r="V114">
        <f t="shared" si="40"/>
        <v>0.66666666666666663</v>
      </c>
      <c r="W114">
        <f>survey_responses[[#This Row],[Tôi tin rằng Nhà nước, cơ quan thuế sẽ thực thi chính sách mới một cách khách quan, công tâm và đối xử bình đẳng với mọi người nộp thuế.  - HUMAN-TRU1]]</f>
        <v>1</v>
      </c>
      <c r="X114">
        <f t="shared" si="41"/>
        <v>0</v>
      </c>
      <c r="Y114">
        <f>step3_validation[[#This Row],[AI_TRU2]]</f>
        <v>6</v>
      </c>
      <c r="Z114">
        <f t="shared" si="42"/>
        <v>0.55555555555555558</v>
      </c>
      <c r="AA114">
        <f>survey_responses[[#This Row],[Tôi thấy mức thuế tôi phải đóng theo phương án mới là công bằng (người thu nhập như tôi đóng mức này là hợp lý). - HUMAN-TRU2]]</f>
        <v>1</v>
      </c>
      <c r="AB114">
        <f t="shared" si="43"/>
        <v>0</v>
      </c>
      <c r="AC114">
        <f>step3_validation[[#This Row],[AI_TRU3]]</f>
        <v>5</v>
      </c>
      <c r="AD114">
        <f t="shared" si="44"/>
        <v>0.44444444444444442</v>
      </c>
      <c r="AE114">
        <f>survey_responses[[#This Row],[Tôi tin tưởng số tiền thuế tôi đóng sẽ được Nhà nước sử dụng hiệu quả để cải thiện dịch vụ công (y tế, đường xá...). - HUMAN-TRU3]]</f>
        <v>1</v>
      </c>
      <c r="AF114">
        <f t="shared" si="45"/>
        <v>0</v>
      </c>
      <c r="AG114">
        <f>step3_validation[[#This Row],[AI_TRU4]]</f>
        <v>7</v>
      </c>
      <c r="AH114">
        <f t="shared" si="46"/>
        <v>0.66666666666666663</v>
      </c>
      <c r="AI114">
        <f>survey_responses[[#This Row],[Tôi thấy Nhà nước đã giải thích rõ ràng, minh bạch về lý do và mục tiêu của việc sửa đổi thuế lần này. - HUMAN-TRU4]]</f>
        <v>1</v>
      </c>
      <c r="AJ114">
        <f t="shared" si="47"/>
        <v>0</v>
      </c>
      <c r="AK114" s="32">
        <f t="shared" si="48"/>
        <v>0.58333333333333337</v>
      </c>
      <c r="AL114" s="32">
        <f t="shared" si="49"/>
        <v>0</v>
      </c>
      <c r="AM114" s="7">
        <f t="shared" si="50"/>
        <v>0.71296296296296291</v>
      </c>
      <c r="AN114" s="7">
        <f t="shared" si="51"/>
        <v>0</v>
      </c>
      <c r="AO114">
        <f>step3_validation[[#This Row],[AI_OUT1]]</f>
        <v>8</v>
      </c>
      <c r="AP114">
        <f t="shared" si="52"/>
        <v>0.77777777777777779</v>
      </c>
      <c r="AQ114">
        <f>survey_responses[[#This Row],[Sau khi xem xét các quyền lợi và nghĩa vụ, bạn có ủng hộ và tuân thủ chính sách mới hiện nay? - HUMAN-OUT1]]</f>
        <v>1</v>
      </c>
      <c r="AR114">
        <f t="shared" si="53"/>
        <v>0</v>
      </c>
      <c r="AS114" s="32">
        <f t="shared" si="54"/>
        <v>7</v>
      </c>
      <c r="AT114">
        <f t="shared" si="55"/>
        <v>0</v>
      </c>
    </row>
    <row r="115" spans="1:46" x14ac:dyDescent="0.45">
      <c r="A115">
        <f>step3_validation[[#This Row],[AI_ENF1]]</f>
        <v>7</v>
      </c>
      <c r="B115">
        <f t="shared" si="28"/>
        <v>0.66666666666666663</v>
      </c>
      <c r="C115">
        <f>survey_responses[[#This Row],[Tôi tin rằng với các quy định quản lý thuế hiện nay, hành vi gian lận hoặc trốn thuế sẽ dễ dàng bị phát hiện và xử lý nghiêm. - HUMAN-ENF1]]</f>
        <v>10</v>
      </c>
      <c r="D115">
        <f t="shared" si="29"/>
        <v>1</v>
      </c>
      <c r="E115">
        <f>step3_validation[[#This Row],[AI_ENF2]]</f>
        <v>8</v>
      </c>
      <c r="F115">
        <f t="shared" si="30"/>
        <v>0.77777777777777779</v>
      </c>
      <c r="G115">
        <f>survey_responses[[#This Row],[Tôi tin rằng Nhà nước, cơ quan thuế có đủ khả năng và công nghệ để phát hiện, xử lý nghiêm các hành vi trốn thuế. - HUMAN-ENF2]]</f>
        <v>10</v>
      </c>
      <c r="H115">
        <f t="shared" si="31"/>
        <v>1</v>
      </c>
      <c r="I115" s="32">
        <f t="shared" si="32"/>
        <v>0.72222222222222221</v>
      </c>
      <c r="J115" s="32">
        <f t="shared" si="33"/>
        <v>1</v>
      </c>
      <c r="K115">
        <f>step3_validation[[#This Row],[AI_FAC1]]</f>
        <v>9</v>
      </c>
      <c r="L115">
        <f t="shared" si="34"/>
        <v>0.88888888888888884</v>
      </c>
      <c r="M115">
        <f>survey_responses[[#This Row],[Các thủ tục khai báo thuế VÀ/HOẶC quy trình làm việc với cơ quan thuế đơn giản, tiện lợi, nhanh chóng hơn so với trước đây. - HUMAN-FAC1]]</f>
        <v>10</v>
      </c>
      <c r="N115">
        <f t="shared" si="35"/>
        <v>1</v>
      </c>
      <c r="O115">
        <f>step3_validation[[#This Row],[AI_FAC2]]</f>
        <v>8</v>
      </c>
      <c r="P115">
        <f t="shared" si="36"/>
        <v>0.77777777777777779</v>
      </c>
      <c r="Q115">
        <f>survey_responses[[#This Row],[So với trước đây, tôi thấy cách tính thuế và các bậc thuế trong phương án mới đơn giản, dễ hiểu và dễ thực hiện hơn. - HUMAN-FAC2]]</f>
        <v>10</v>
      </c>
      <c r="R115">
        <f t="shared" si="37"/>
        <v>1</v>
      </c>
      <c r="S115" s="32">
        <f t="shared" si="38"/>
        <v>0.83333333333333326</v>
      </c>
      <c r="T115" s="32">
        <f t="shared" si="39"/>
        <v>1</v>
      </c>
      <c r="U115">
        <f>step3_validation[[#This Row],[AI_TRU1]]</f>
        <v>7</v>
      </c>
      <c r="V115">
        <f t="shared" si="40"/>
        <v>0.66666666666666663</v>
      </c>
      <c r="W115">
        <f>survey_responses[[#This Row],[Tôi tin rằng Nhà nước, cơ quan thuế sẽ thực thi chính sách mới một cách khách quan, công tâm và đối xử bình đẳng với mọi người nộp thuế.  - HUMAN-TRU1]]</f>
        <v>10</v>
      </c>
      <c r="X115">
        <f t="shared" si="41"/>
        <v>1</v>
      </c>
      <c r="Y115">
        <f>step3_validation[[#This Row],[AI_TRU2]]</f>
        <v>6</v>
      </c>
      <c r="Z115">
        <f t="shared" si="42"/>
        <v>0.55555555555555558</v>
      </c>
      <c r="AA115">
        <f>survey_responses[[#This Row],[Tôi thấy mức thuế tôi phải đóng theo phương án mới là công bằng (người thu nhập như tôi đóng mức này là hợp lý). - HUMAN-TRU2]]</f>
        <v>10</v>
      </c>
      <c r="AB115">
        <f t="shared" si="43"/>
        <v>1</v>
      </c>
      <c r="AC115">
        <f>step3_validation[[#This Row],[AI_TRU3]]</f>
        <v>5</v>
      </c>
      <c r="AD115">
        <f t="shared" si="44"/>
        <v>0.44444444444444442</v>
      </c>
      <c r="AE115">
        <f>survey_responses[[#This Row],[Tôi tin tưởng số tiền thuế tôi đóng sẽ được Nhà nước sử dụng hiệu quả để cải thiện dịch vụ công (y tế, đường xá...). - HUMAN-TRU3]]</f>
        <v>10</v>
      </c>
      <c r="AF115">
        <f t="shared" si="45"/>
        <v>1</v>
      </c>
      <c r="AG115">
        <f>step3_validation[[#This Row],[AI_TRU4]]</f>
        <v>4</v>
      </c>
      <c r="AH115">
        <f t="shared" si="46"/>
        <v>0.33333333333333331</v>
      </c>
      <c r="AI115">
        <f>survey_responses[[#This Row],[Tôi thấy Nhà nước đã giải thích rõ ràng, minh bạch về lý do và mục tiêu của việc sửa đổi thuế lần này. - HUMAN-TRU4]]</f>
        <v>10</v>
      </c>
      <c r="AJ115">
        <f t="shared" si="47"/>
        <v>1</v>
      </c>
      <c r="AK115" s="32">
        <f t="shared" si="48"/>
        <v>0.5</v>
      </c>
      <c r="AL115" s="32">
        <f t="shared" si="49"/>
        <v>1</v>
      </c>
      <c r="AM115" s="7">
        <f t="shared" si="50"/>
        <v>0.68518518518518512</v>
      </c>
      <c r="AN115" s="7">
        <f t="shared" si="51"/>
        <v>1</v>
      </c>
      <c r="AO115">
        <f>step3_validation[[#This Row],[AI_OUT1]]</f>
        <v>5</v>
      </c>
      <c r="AP115">
        <f t="shared" si="52"/>
        <v>0.44444444444444442</v>
      </c>
      <c r="AQ115">
        <f>survey_responses[[#This Row],[Sau khi xem xét các quyền lợi và nghĩa vụ, bạn có ủng hộ và tuân thủ chính sách mới hiện nay? - HUMAN-OUT1]]</f>
        <v>10</v>
      </c>
      <c r="AR115">
        <f t="shared" si="53"/>
        <v>1</v>
      </c>
      <c r="AS115" s="32">
        <f t="shared" si="54"/>
        <v>5</v>
      </c>
      <c r="AT115">
        <f t="shared" si="55"/>
        <v>1</v>
      </c>
    </row>
    <row r="116" spans="1:46" x14ac:dyDescent="0.45">
      <c r="A116">
        <f>step3_validation[[#This Row],[AI_ENF1]]</f>
        <v>7</v>
      </c>
      <c r="B116">
        <f t="shared" si="28"/>
        <v>0.66666666666666663</v>
      </c>
      <c r="C116">
        <f>survey_responses[[#This Row],[Tôi tin rằng với các quy định quản lý thuế hiện nay, hành vi gian lận hoặc trốn thuế sẽ dễ dàng bị phát hiện và xử lý nghiêm. - HUMAN-ENF1]]</f>
        <v>1</v>
      </c>
      <c r="D116">
        <f t="shared" si="29"/>
        <v>0</v>
      </c>
      <c r="E116">
        <f>step3_validation[[#This Row],[AI_ENF2]]</f>
        <v>8</v>
      </c>
      <c r="F116">
        <f t="shared" si="30"/>
        <v>0.77777777777777779</v>
      </c>
      <c r="G116">
        <f>survey_responses[[#This Row],[Tôi tin rằng Nhà nước, cơ quan thuế có đủ khả năng và công nghệ để phát hiện, xử lý nghiêm các hành vi trốn thuế. - HUMAN-ENF2]]</f>
        <v>1</v>
      </c>
      <c r="H116">
        <f t="shared" si="31"/>
        <v>0</v>
      </c>
      <c r="I116" s="32">
        <f t="shared" si="32"/>
        <v>0.72222222222222221</v>
      </c>
      <c r="J116" s="32">
        <f t="shared" si="33"/>
        <v>0</v>
      </c>
      <c r="K116">
        <f>step3_validation[[#This Row],[AI_FAC1]]</f>
        <v>6</v>
      </c>
      <c r="L116">
        <f t="shared" si="34"/>
        <v>0.55555555555555558</v>
      </c>
      <c r="M116">
        <f>survey_responses[[#This Row],[Các thủ tục khai báo thuế VÀ/HOẶC quy trình làm việc với cơ quan thuế đơn giản, tiện lợi, nhanh chóng hơn so với trước đây. - HUMAN-FAC1]]</f>
        <v>1</v>
      </c>
      <c r="N116">
        <f t="shared" si="35"/>
        <v>0</v>
      </c>
      <c r="O116">
        <f>step3_validation[[#This Row],[AI_FAC2]]</f>
        <v>6</v>
      </c>
      <c r="P116">
        <f t="shared" si="36"/>
        <v>0.55555555555555558</v>
      </c>
      <c r="Q116">
        <f>survey_responses[[#This Row],[So với trước đây, tôi thấy cách tính thuế và các bậc thuế trong phương án mới đơn giản, dễ hiểu và dễ thực hiện hơn. - HUMAN-FAC2]]</f>
        <v>1</v>
      </c>
      <c r="R116">
        <f t="shared" si="37"/>
        <v>0</v>
      </c>
      <c r="S116" s="32">
        <f t="shared" si="38"/>
        <v>0.55555555555555558</v>
      </c>
      <c r="T116" s="32">
        <f t="shared" si="39"/>
        <v>0</v>
      </c>
      <c r="U116">
        <f>step3_validation[[#This Row],[AI_TRU1]]</f>
        <v>5</v>
      </c>
      <c r="V116">
        <f t="shared" si="40"/>
        <v>0.44444444444444442</v>
      </c>
      <c r="W116">
        <f>survey_responses[[#This Row],[Tôi tin rằng Nhà nước, cơ quan thuế sẽ thực thi chính sách mới một cách khách quan, công tâm và đối xử bình đẳng với mọi người nộp thuế.  - HUMAN-TRU1]]</f>
        <v>1</v>
      </c>
      <c r="X116">
        <f t="shared" si="41"/>
        <v>0</v>
      </c>
      <c r="Y116">
        <f>step3_validation[[#This Row],[AI_TRU2]]</f>
        <v>4</v>
      </c>
      <c r="Z116">
        <f t="shared" si="42"/>
        <v>0.33333333333333331</v>
      </c>
      <c r="AA116">
        <f>survey_responses[[#This Row],[Tôi thấy mức thuế tôi phải đóng theo phương án mới là công bằng (người thu nhập như tôi đóng mức này là hợp lý). - HUMAN-TRU2]]</f>
        <v>1</v>
      </c>
      <c r="AB116">
        <f t="shared" si="43"/>
        <v>0</v>
      </c>
      <c r="AC116">
        <f>step3_validation[[#This Row],[AI_TRU3]]</f>
        <v>5</v>
      </c>
      <c r="AD116">
        <f t="shared" si="44"/>
        <v>0.44444444444444442</v>
      </c>
      <c r="AE116">
        <f>survey_responses[[#This Row],[Tôi tin tưởng số tiền thuế tôi đóng sẽ được Nhà nước sử dụng hiệu quả để cải thiện dịch vụ công (y tế, đường xá...). - HUMAN-TRU3]]</f>
        <v>1</v>
      </c>
      <c r="AF116">
        <f t="shared" si="45"/>
        <v>0</v>
      </c>
      <c r="AG116">
        <f>step3_validation[[#This Row],[AI_TRU4]]</f>
        <v>3</v>
      </c>
      <c r="AH116">
        <f t="shared" si="46"/>
        <v>0.22222222222222221</v>
      </c>
      <c r="AI116">
        <f>survey_responses[[#This Row],[Tôi thấy Nhà nước đã giải thích rõ ràng, minh bạch về lý do và mục tiêu của việc sửa đổi thuế lần này. - HUMAN-TRU4]]</f>
        <v>1</v>
      </c>
      <c r="AJ116">
        <f t="shared" si="47"/>
        <v>0</v>
      </c>
      <c r="AK116" s="32">
        <f t="shared" si="48"/>
        <v>0.36111111111111105</v>
      </c>
      <c r="AL116" s="32">
        <f t="shared" si="49"/>
        <v>0</v>
      </c>
      <c r="AM116" s="7">
        <f t="shared" si="50"/>
        <v>0.54629629629629628</v>
      </c>
      <c r="AN116" s="7">
        <f t="shared" si="51"/>
        <v>0</v>
      </c>
      <c r="AO116">
        <f>step3_validation[[#This Row],[AI_OUT1]]</f>
        <v>7</v>
      </c>
      <c r="AP116">
        <f t="shared" si="52"/>
        <v>0.66666666666666663</v>
      </c>
      <c r="AQ116">
        <f>survey_responses[[#This Row],[Sau khi xem xét các quyền lợi và nghĩa vụ, bạn có ủng hộ và tuân thủ chính sách mới hiện nay? - HUMAN-OUT1]]</f>
        <v>1</v>
      </c>
      <c r="AR116">
        <f t="shared" si="53"/>
        <v>0</v>
      </c>
      <c r="AS116" s="32">
        <f t="shared" si="54"/>
        <v>6</v>
      </c>
      <c r="AT116">
        <f t="shared" si="55"/>
        <v>0</v>
      </c>
    </row>
    <row r="117" spans="1:46" x14ac:dyDescent="0.45">
      <c r="A117">
        <f>step3_validation[[#This Row],[AI_ENF1]]</f>
        <v>7</v>
      </c>
      <c r="B117">
        <f t="shared" si="28"/>
        <v>0.66666666666666663</v>
      </c>
      <c r="C117">
        <f>survey_responses[[#This Row],[Tôi tin rằng với các quy định quản lý thuế hiện nay, hành vi gian lận hoặc trốn thuế sẽ dễ dàng bị phát hiện và xử lý nghiêm. - HUMAN-ENF1]]</f>
        <v>9</v>
      </c>
      <c r="D117">
        <f t="shared" si="29"/>
        <v>0.88888888888888884</v>
      </c>
      <c r="E117">
        <f>step3_validation[[#This Row],[AI_ENF2]]</f>
        <v>8</v>
      </c>
      <c r="F117">
        <f t="shared" si="30"/>
        <v>0.77777777777777779</v>
      </c>
      <c r="G117">
        <f>survey_responses[[#This Row],[Tôi tin rằng Nhà nước, cơ quan thuế có đủ khả năng và công nghệ để phát hiện, xử lý nghiêm các hành vi trốn thuế. - HUMAN-ENF2]]</f>
        <v>9</v>
      </c>
      <c r="H117">
        <f t="shared" si="31"/>
        <v>0.88888888888888884</v>
      </c>
      <c r="I117" s="32">
        <f t="shared" si="32"/>
        <v>0.72222222222222221</v>
      </c>
      <c r="J117" s="32">
        <f t="shared" si="33"/>
        <v>0.88888888888888884</v>
      </c>
      <c r="K117">
        <f>step3_validation[[#This Row],[AI_FAC1]]</f>
        <v>9</v>
      </c>
      <c r="L117">
        <f t="shared" si="34"/>
        <v>0.88888888888888884</v>
      </c>
      <c r="M117">
        <f>survey_responses[[#This Row],[Các thủ tục khai báo thuế VÀ/HOẶC quy trình làm việc với cơ quan thuế đơn giản, tiện lợi, nhanh chóng hơn so với trước đây. - HUMAN-FAC1]]</f>
        <v>9</v>
      </c>
      <c r="N117">
        <f t="shared" si="35"/>
        <v>0.88888888888888884</v>
      </c>
      <c r="O117">
        <f>step3_validation[[#This Row],[AI_FAC2]]</f>
        <v>8</v>
      </c>
      <c r="P117">
        <f t="shared" si="36"/>
        <v>0.77777777777777779</v>
      </c>
      <c r="Q117">
        <f>survey_responses[[#This Row],[So với trước đây, tôi thấy cách tính thuế và các bậc thuế trong phương án mới đơn giản, dễ hiểu và dễ thực hiện hơn. - HUMAN-FAC2]]</f>
        <v>9</v>
      </c>
      <c r="R117">
        <f t="shared" si="37"/>
        <v>0.88888888888888884</v>
      </c>
      <c r="S117" s="32">
        <f t="shared" si="38"/>
        <v>0.83333333333333326</v>
      </c>
      <c r="T117" s="32">
        <f t="shared" si="39"/>
        <v>0.88888888888888884</v>
      </c>
      <c r="U117">
        <f>step3_validation[[#This Row],[AI_TRU1]]</f>
        <v>9</v>
      </c>
      <c r="V117">
        <f t="shared" si="40"/>
        <v>0.88888888888888884</v>
      </c>
      <c r="W117">
        <f>survey_responses[[#This Row],[Tôi tin rằng Nhà nước, cơ quan thuế sẽ thực thi chính sách mới một cách khách quan, công tâm và đối xử bình đẳng với mọi người nộp thuế.  - HUMAN-TRU1]]</f>
        <v>9</v>
      </c>
      <c r="X117">
        <f t="shared" si="41"/>
        <v>0.88888888888888884</v>
      </c>
      <c r="Y117">
        <f>step3_validation[[#This Row],[AI_TRU2]]</f>
        <v>8</v>
      </c>
      <c r="Z117">
        <f t="shared" si="42"/>
        <v>0.77777777777777779</v>
      </c>
      <c r="AA117">
        <f>survey_responses[[#This Row],[Tôi thấy mức thuế tôi phải đóng theo phương án mới là công bằng (người thu nhập như tôi đóng mức này là hợp lý). - HUMAN-TRU2]]</f>
        <v>9</v>
      </c>
      <c r="AB117">
        <f t="shared" si="43"/>
        <v>0.88888888888888884</v>
      </c>
      <c r="AC117">
        <f>step3_validation[[#This Row],[AI_TRU3]]</f>
        <v>9</v>
      </c>
      <c r="AD117">
        <f t="shared" si="44"/>
        <v>0.88888888888888884</v>
      </c>
      <c r="AE117">
        <f>survey_responses[[#This Row],[Tôi tin tưởng số tiền thuế tôi đóng sẽ được Nhà nước sử dụng hiệu quả để cải thiện dịch vụ công (y tế, đường xá...). - HUMAN-TRU3]]</f>
        <v>9</v>
      </c>
      <c r="AF117">
        <f t="shared" si="45"/>
        <v>0.88888888888888884</v>
      </c>
      <c r="AG117">
        <f>step3_validation[[#This Row],[AI_TRU4]]</f>
        <v>8</v>
      </c>
      <c r="AH117">
        <f t="shared" si="46"/>
        <v>0.77777777777777779</v>
      </c>
      <c r="AI117">
        <f>survey_responses[[#This Row],[Tôi thấy Nhà nước đã giải thích rõ ràng, minh bạch về lý do và mục tiêu của việc sửa đổi thuế lần này. - HUMAN-TRU4]]</f>
        <v>8</v>
      </c>
      <c r="AJ117">
        <f t="shared" si="47"/>
        <v>0.77777777777777779</v>
      </c>
      <c r="AK117" s="32">
        <f t="shared" si="48"/>
        <v>0.83333333333333326</v>
      </c>
      <c r="AL117" s="32">
        <f t="shared" si="49"/>
        <v>0.86111111111111105</v>
      </c>
      <c r="AM117" s="7">
        <f t="shared" si="50"/>
        <v>0.79629629629629617</v>
      </c>
      <c r="AN117" s="7">
        <f t="shared" si="51"/>
        <v>0.87962962962962965</v>
      </c>
      <c r="AO117">
        <f>step3_validation[[#This Row],[AI_OUT1]]</f>
        <v>9</v>
      </c>
      <c r="AP117">
        <f t="shared" si="52"/>
        <v>0.88888888888888884</v>
      </c>
      <c r="AQ117">
        <f>survey_responses[[#This Row],[Sau khi xem xét các quyền lợi và nghĩa vụ, bạn có ủng hộ và tuân thủ chính sách mới hiện nay? - HUMAN-OUT1]]</f>
        <v>9</v>
      </c>
      <c r="AR117">
        <f t="shared" si="53"/>
        <v>0.88888888888888884</v>
      </c>
      <c r="AS117" s="32">
        <f t="shared" si="54"/>
        <v>0</v>
      </c>
      <c r="AT117">
        <f t="shared" si="55"/>
        <v>1</v>
      </c>
    </row>
    <row r="118" spans="1:46" x14ac:dyDescent="0.45">
      <c r="A118">
        <f>step3_validation[[#This Row],[AI_ENF1]]</f>
        <v>7</v>
      </c>
      <c r="B118">
        <f t="shared" si="28"/>
        <v>0.66666666666666663</v>
      </c>
      <c r="C118">
        <f>survey_responses[[#This Row],[Tôi tin rằng với các quy định quản lý thuế hiện nay, hành vi gian lận hoặc trốn thuế sẽ dễ dàng bị phát hiện và xử lý nghiêm. - HUMAN-ENF1]]</f>
        <v>8</v>
      </c>
      <c r="D118">
        <f t="shared" si="29"/>
        <v>0.77777777777777779</v>
      </c>
      <c r="E118">
        <f>step3_validation[[#This Row],[AI_ENF2]]</f>
        <v>8</v>
      </c>
      <c r="F118">
        <f t="shared" si="30"/>
        <v>0.77777777777777779</v>
      </c>
      <c r="G118">
        <f>survey_responses[[#This Row],[Tôi tin rằng Nhà nước, cơ quan thuế có đủ khả năng và công nghệ để phát hiện, xử lý nghiêm các hành vi trốn thuế. - HUMAN-ENF2]]</f>
        <v>9</v>
      </c>
      <c r="H118">
        <f t="shared" si="31"/>
        <v>0.88888888888888884</v>
      </c>
      <c r="I118" s="32">
        <f t="shared" si="32"/>
        <v>0.72222222222222221</v>
      </c>
      <c r="J118" s="32">
        <f t="shared" si="33"/>
        <v>0.83333333333333326</v>
      </c>
      <c r="K118">
        <f>step3_validation[[#This Row],[AI_FAC1]]</f>
        <v>6</v>
      </c>
      <c r="L118">
        <f t="shared" si="34"/>
        <v>0.55555555555555558</v>
      </c>
      <c r="M118">
        <f>survey_responses[[#This Row],[Các thủ tục khai báo thuế VÀ/HOẶC quy trình làm việc với cơ quan thuế đơn giản, tiện lợi, nhanh chóng hơn so với trước đây. - HUMAN-FAC1]]</f>
        <v>8</v>
      </c>
      <c r="N118">
        <f t="shared" si="35"/>
        <v>0.77777777777777779</v>
      </c>
      <c r="O118">
        <f>step3_validation[[#This Row],[AI_FAC2]]</f>
        <v>5</v>
      </c>
      <c r="P118">
        <f t="shared" si="36"/>
        <v>0.44444444444444442</v>
      </c>
      <c r="Q118">
        <f>survey_responses[[#This Row],[So với trước đây, tôi thấy cách tính thuế và các bậc thuế trong phương án mới đơn giản, dễ hiểu và dễ thực hiện hơn. - HUMAN-FAC2]]</f>
        <v>6</v>
      </c>
      <c r="R118">
        <f t="shared" si="37"/>
        <v>0.55555555555555558</v>
      </c>
      <c r="S118" s="32">
        <f t="shared" si="38"/>
        <v>0.5</v>
      </c>
      <c r="T118" s="32">
        <f t="shared" si="39"/>
        <v>0.66666666666666674</v>
      </c>
      <c r="U118">
        <f>step3_validation[[#This Row],[AI_TRU1]]</f>
        <v>7</v>
      </c>
      <c r="V118">
        <f t="shared" si="40"/>
        <v>0.66666666666666663</v>
      </c>
      <c r="W118">
        <f>survey_responses[[#This Row],[Tôi tin rằng Nhà nước, cơ quan thuế sẽ thực thi chính sách mới một cách khách quan, công tâm và đối xử bình đẳng với mọi người nộp thuế.  - HUMAN-TRU1]]</f>
        <v>8</v>
      </c>
      <c r="X118">
        <f t="shared" si="41"/>
        <v>0.77777777777777779</v>
      </c>
      <c r="Y118">
        <f>step3_validation[[#This Row],[AI_TRU2]]</f>
        <v>6</v>
      </c>
      <c r="Z118">
        <f t="shared" si="42"/>
        <v>0.55555555555555558</v>
      </c>
      <c r="AA118">
        <f>survey_responses[[#This Row],[Tôi thấy mức thuế tôi phải đóng theo phương án mới là công bằng (người thu nhập như tôi đóng mức này là hợp lý). - HUMAN-TRU2]]</f>
        <v>8</v>
      </c>
      <c r="AB118">
        <f t="shared" si="43"/>
        <v>0.77777777777777779</v>
      </c>
      <c r="AC118">
        <f>step3_validation[[#This Row],[AI_TRU3]]</f>
        <v>7</v>
      </c>
      <c r="AD118">
        <f t="shared" si="44"/>
        <v>0.66666666666666663</v>
      </c>
      <c r="AE118">
        <f>survey_responses[[#This Row],[Tôi tin tưởng số tiền thuế tôi đóng sẽ được Nhà nước sử dụng hiệu quả để cải thiện dịch vụ công (y tế, đường xá...). - HUMAN-TRU3]]</f>
        <v>8</v>
      </c>
      <c r="AF118">
        <f t="shared" si="45"/>
        <v>0.77777777777777779</v>
      </c>
      <c r="AG118">
        <f>step3_validation[[#This Row],[AI_TRU4]]</f>
        <v>6</v>
      </c>
      <c r="AH118">
        <f t="shared" si="46"/>
        <v>0.55555555555555558</v>
      </c>
      <c r="AI118">
        <f>survey_responses[[#This Row],[Tôi thấy Nhà nước đã giải thích rõ ràng, minh bạch về lý do và mục tiêu của việc sửa đổi thuế lần này. - HUMAN-TRU4]]</f>
        <v>8</v>
      </c>
      <c r="AJ118">
        <f t="shared" si="47"/>
        <v>0.77777777777777779</v>
      </c>
      <c r="AK118" s="32">
        <f t="shared" si="48"/>
        <v>0.61111111111111116</v>
      </c>
      <c r="AL118" s="32">
        <f t="shared" si="49"/>
        <v>0.77777777777777779</v>
      </c>
      <c r="AM118" s="7">
        <f t="shared" si="50"/>
        <v>0.61111111111111116</v>
      </c>
      <c r="AN118" s="7">
        <f t="shared" si="51"/>
        <v>0.75925925925925919</v>
      </c>
      <c r="AO118">
        <f>step3_validation[[#This Row],[AI_OUT1]]</f>
        <v>7</v>
      </c>
      <c r="AP118">
        <f t="shared" si="52"/>
        <v>0.66666666666666663</v>
      </c>
      <c r="AQ118">
        <f>survey_responses[[#This Row],[Sau khi xem xét các quyền lợi và nghĩa vụ, bạn có ủng hộ và tuân thủ chính sách mới hiện nay? - HUMAN-OUT1]]</f>
        <v>6</v>
      </c>
      <c r="AR118">
        <f t="shared" si="53"/>
        <v>0.55555555555555558</v>
      </c>
      <c r="AS118" s="32">
        <f t="shared" si="54"/>
        <v>1</v>
      </c>
      <c r="AT118">
        <f t="shared" si="55"/>
        <v>1</v>
      </c>
    </row>
    <row r="119" spans="1:46" x14ac:dyDescent="0.45">
      <c r="A119">
        <f>step3_validation[[#This Row],[AI_ENF1]]</f>
        <v>8</v>
      </c>
      <c r="B119">
        <f t="shared" si="28"/>
        <v>0.77777777777777779</v>
      </c>
      <c r="C119">
        <f>survey_responses[[#This Row],[Tôi tin rằng với các quy định quản lý thuế hiện nay, hành vi gian lận hoặc trốn thuế sẽ dễ dàng bị phát hiện và xử lý nghiêm. - HUMAN-ENF1]]</f>
        <v>4</v>
      </c>
      <c r="D119">
        <f t="shared" si="29"/>
        <v>0.33333333333333331</v>
      </c>
      <c r="E119">
        <f>step3_validation[[#This Row],[AI_ENF2]]</f>
        <v>7</v>
      </c>
      <c r="F119">
        <f t="shared" si="30"/>
        <v>0.66666666666666663</v>
      </c>
      <c r="G119">
        <f>survey_responses[[#This Row],[Tôi tin rằng Nhà nước, cơ quan thuế có đủ khả năng và công nghệ để phát hiện, xử lý nghiêm các hành vi trốn thuế. - HUMAN-ENF2]]</f>
        <v>1</v>
      </c>
      <c r="H119">
        <f t="shared" si="31"/>
        <v>0</v>
      </c>
      <c r="I119" s="32">
        <f t="shared" si="32"/>
        <v>0.72222222222222221</v>
      </c>
      <c r="J119" s="32">
        <f t="shared" si="33"/>
        <v>0.16666666666666666</v>
      </c>
      <c r="K119">
        <f>step3_validation[[#This Row],[AI_FAC1]]</f>
        <v>9</v>
      </c>
      <c r="L119">
        <f t="shared" si="34"/>
        <v>0.88888888888888884</v>
      </c>
      <c r="M119">
        <f>survey_responses[[#This Row],[Các thủ tục khai báo thuế VÀ/HOẶC quy trình làm việc với cơ quan thuế đơn giản, tiện lợi, nhanh chóng hơn so với trước đây. - HUMAN-FAC1]]</f>
        <v>1</v>
      </c>
      <c r="N119">
        <f t="shared" si="35"/>
        <v>0</v>
      </c>
      <c r="O119">
        <f>step3_validation[[#This Row],[AI_FAC2]]</f>
        <v>8</v>
      </c>
      <c r="P119">
        <f t="shared" si="36"/>
        <v>0.77777777777777779</v>
      </c>
      <c r="Q119">
        <f>survey_responses[[#This Row],[So với trước đây, tôi thấy cách tính thuế và các bậc thuế trong phương án mới đơn giản, dễ hiểu và dễ thực hiện hơn. - HUMAN-FAC2]]</f>
        <v>5</v>
      </c>
      <c r="R119">
        <f t="shared" si="37"/>
        <v>0.44444444444444442</v>
      </c>
      <c r="S119" s="32">
        <f t="shared" si="38"/>
        <v>0.83333333333333326</v>
      </c>
      <c r="T119" s="32">
        <f t="shared" si="39"/>
        <v>0.22222222222222221</v>
      </c>
      <c r="U119">
        <f>step3_validation[[#This Row],[AI_TRU1]]</f>
        <v>7</v>
      </c>
      <c r="V119">
        <f t="shared" si="40"/>
        <v>0.66666666666666663</v>
      </c>
      <c r="W119">
        <f>survey_responses[[#This Row],[Tôi tin rằng Nhà nước, cơ quan thuế sẽ thực thi chính sách mới một cách khách quan, công tâm và đối xử bình đẳng với mọi người nộp thuế.  - HUMAN-TRU1]]</f>
        <v>1</v>
      </c>
      <c r="X119">
        <f t="shared" si="41"/>
        <v>0</v>
      </c>
      <c r="Y119">
        <f>step3_validation[[#This Row],[AI_TRU2]]</f>
        <v>8</v>
      </c>
      <c r="Z119">
        <f t="shared" si="42"/>
        <v>0.77777777777777779</v>
      </c>
      <c r="AA119">
        <f>survey_responses[[#This Row],[Tôi thấy mức thuế tôi phải đóng theo phương án mới là công bằng (người thu nhập như tôi đóng mức này là hợp lý). - HUMAN-TRU2]]</f>
        <v>3</v>
      </c>
      <c r="AB119">
        <f t="shared" si="43"/>
        <v>0.22222222222222221</v>
      </c>
      <c r="AC119">
        <f>step3_validation[[#This Row],[AI_TRU3]]</f>
        <v>7</v>
      </c>
      <c r="AD119">
        <f t="shared" si="44"/>
        <v>0.66666666666666663</v>
      </c>
      <c r="AE119">
        <f>survey_responses[[#This Row],[Tôi tin tưởng số tiền thuế tôi đóng sẽ được Nhà nước sử dụng hiệu quả để cải thiện dịch vụ công (y tế, đường xá...). - HUMAN-TRU3]]</f>
        <v>1</v>
      </c>
      <c r="AF119">
        <f t="shared" si="45"/>
        <v>0</v>
      </c>
      <c r="AG119">
        <f>step3_validation[[#This Row],[AI_TRU4]]</f>
        <v>6</v>
      </c>
      <c r="AH119">
        <f t="shared" si="46"/>
        <v>0.55555555555555558</v>
      </c>
      <c r="AI119">
        <f>survey_responses[[#This Row],[Tôi thấy Nhà nước đã giải thích rõ ràng, minh bạch về lý do và mục tiêu của việc sửa đổi thuế lần này. - HUMAN-TRU4]]</f>
        <v>1</v>
      </c>
      <c r="AJ119">
        <f t="shared" si="47"/>
        <v>0</v>
      </c>
      <c r="AK119" s="32">
        <f t="shared" si="48"/>
        <v>0.66666666666666674</v>
      </c>
      <c r="AL119" s="32">
        <f t="shared" si="49"/>
        <v>5.5555555555555552E-2</v>
      </c>
      <c r="AM119" s="7">
        <f t="shared" si="50"/>
        <v>0.74074074074074081</v>
      </c>
      <c r="AN119" s="7">
        <f t="shared" si="51"/>
        <v>0.14814814814814814</v>
      </c>
      <c r="AO119">
        <f>step3_validation[[#This Row],[AI_OUT1]]</f>
        <v>8</v>
      </c>
      <c r="AP119">
        <f t="shared" si="52"/>
        <v>0.77777777777777779</v>
      </c>
      <c r="AQ119">
        <f>survey_responses[[#This Row],[Sau khi xem xét các quyền lợi và nghĩa vụ, bạn có ủng hộ và tuân thủ chính sách mới hiện nay? - HUMAN-OUT1]]</f>
        <v>5</v>
      </c>
      <c r="AR119">
        <f t="shared" si="53"/>
        <v>0.44444444444444442</v>
      </c>
      <c r="AS119" s="32">
        <f t="shared" si="54"/>
        <v>3</v>
      </c>
      <c r="AT119">
        <f t="shared" si="55"/>
        <v>0</v>
      </c>
    </row>
    <row r="120" spans="1:46" x14ac:dyDescent="0.45">
      <c r="A120">
        <f>step3_validation[[#This Row],[AI_ENF1]]</f>
        <v>8</v>
      </c>
      <c r="B120">
        <f t="shared" si="28"/>
        <v>0.77777777777777779</v>
      </c>
      <c r="C120">
        <f>survey_responses[[#This Row],[Tôi tin rằng với các quy định quản lý thuế hiện nay, hành vi gian lận hoặc trốn thuế sẽ dễ dàng bị phát hiện và xử lý nghiêm. - HUMAN-ENF1]]</f>
        <v>8</v>
      </c>
      <c r="D120">
        <f t="shared" si="29"/>
        <v>0.77777777777777779</v>
      </c>
      <c r="E120">
        <f>step3_validation[[#This Row],[AI_ENF2]]</f>
        <v>7</v>
      </c>
      <c r="F120">
        <f t="shared" si="30"/>
        <v>0.66666666666666663</v>
      </c>
      <c r="G120">
        <f>survey_responses[[#This Row],[Tôi tin rằng Nhà nước, cơ quan thuế có đủ khả năng và công nghệ để phát hiện, xử lý nghiêm các hành vi trốn thuế. - HUMAN-ENF2]]</f>
        <v>8</v>
      </c>
      <c r="H120">
        <f t="shared" si="31"/>
        <v>0.77777777777777779</v>
      </c>
      <c r="I120" s="32">
        <f t="shared" si="32"/>
        <v>0.72222222222222221</v>
      </c>
      <c r="J120" s="32">
        <f t="shared" si="33"/>
        <v>0.77777777777777779</v>
      </c>
      <c r="K120">
        <f>step3_validation[[#This Row],[AI_FAC1]]</f>
        <v>9</v>
      </c>
      <c r="L120">
        <f t="shared" si="34"/>
        <v>0.88888888888888884</v>
      </c>
      <c r="M120">
        <f>survey_responses[[#This Row],[Các thủ tục khai báo thuế VÀ/HOẶC quy trình làm việc với cơ quan thuế đơn giản, tiện lợi, nhanh chóng hơn so với trước đây. - HUMAN-FAC1]]</f>
        <v>6</v>
      </c>
      <c r="N120">
        <f t="shared" si="35"/>
        <v>0.55555555555555558</v>
      </c>
      <c r="O120">
        <f>step3_validation[[#This Row],[AI_FAC2]]</f>
        <v>8</v>
      </c>
      <c r="P120">
        <f t="shared" si="36"/>
        <v>0.77777777777777779</v>
      </c>
      <c r="Q120">
        <f>survey_responses[[#This Row],[So với trước đây, tôi thấy cách tính thuế và các bậc thuế trong phương án mới đơn giản, dễ hiểu và dễ thực hiện hơn. - HUMAN-FAC2]]</f>
        <v>9</v>
      </c>
      <c r="R120">
        <f t="shared" si="37"/>
        <v>0.88888888888888884</v>
      </c>
      <c r="S120" s="32">
        <f t="shared" si="38"/>
        <v>0.83333333333333326</v>
      </c>
      <c r="T120" s="32">
        <f t="shared" si="39"/>
        <v>0.72222222222222221</v>
      </c>
      <c r="U120">
        <f>step3_validation[[#This Row],[AI_TRU1]]</f>
        <v>7</v>
      </c>
      <c r="V120">
        <f t="shared" si="40"/>
        <v>0.66666666666666663</v>
      </c>
      <c r="W120">
        <f>survey_responses[[#This Row],[Tôi tin rằng Nhà nước, cơ quan thuế sẽ thực thi chính sách mới một cách khách quan, công tâm và đối xử bình đẳng với mọi người nộp thuế.  - HUMAN-TRU1]]</f>
        <v>8</v>
      </c>
      <c r="X120">
        <f t="shared" si="41"/>
        <v>0.77777777777777779</v>
      </c>
      <c r="Y120">
        <f>step3_validation[[#This Row],[AI_TRU2]]</f>
        <v>8</v>
      </c>
      <c r="Z120">
        <f t="shared" si="42"/>
        <v>0.77777777777777779</v>
      </c>
      <c r="AA120">
        <f>survey_responses[[#This Row],[Tôi thấy mức thuế tôi phải đóng theo phương án mới là công bằng (người thu nhập như tôi đóng mức này là hợp lý). - HUMAN-TRU2]]</f>
        <v>7</v>
      </c>
      <c r="AB120">
        <f t="shared" si="43"/>
        <v>0.66666666666666663</v>
      </c>
      <c r="AC120">
        <f>step3_validation[[#This Row],[AI_TRU3]]</f>
        <v>7</v>
      </c>
      <c r="AD120">
        <f t="shared" si="44"/>
        <v>0.66666666666666663</v>
      </c>
      <c r="AE120">
        <f>survey_responses[[#This Row],[Tôi tin tưởng số tiền thuế tôi đóng sẽ được Nhà nước sử dụng hiệu quả để cải thiện dịch vụ công (y tế, đường xá...). - HUMAN-TRU3]]</f>
        <v>7</v>
      </c>
      <c r="AF120">
        <f t="shared" si="45"/>
        <v>0.66666666666666663</v>
      </c>
      <c r="AG120">
        <f>step3_validation[[#This Row],[AI_TRU4]]</f>
        <v>6</v>
      </c>
      <c r="AH120">
        <f t="shared" si="46"/>
        <v>0.55555555555555558</v>
      </c>
      <c r="AI120">
        <f>survey_responses[[#This Row],[Tôi thấy Nhà nước đã giải thích rõ ràng, minh bạch về lý do và mục tiêu của việc sửa đổi thuế lần này. - HUMAN-TRU4]]</f>
        <v>7</v>
      </c>
      <c r="AJ120">
        <f t="shared" si="47"/>
        <v>0.66666666666666663</v>
      </c>
      <c r="AK120" s="32">
        <f t="shared" si="48"/>
        <v>0.66666666666666674</v>
      </c>
      <c r="AL120" s="32">
        <f t="shared" si="49"/>
        <v>0.69444444444444442</v>
      </c>
      <c r="AM120" s="7">
        <f t="shared" si="50"/>
        <v>0.74074074074074081</v>
      </c>
      <c r="AN120" s="7">
        <f t="shared" si="51"/>
        <v>0.73148148148148151</v>
      </c>
      <c r="AO120">
        <f>step3_validation[[#This Row],[AI_OUT1]]</f>
        <v>8</v>
      </c>
      <c r="AP120">
        <f t="shared" si="52"/>
        <v>0.77777777777777779</v>
      </c>
      <c r="AQ120">
        <f>survey_responses[[#This Row],[Sau khi xem xét các quyền lợi và nghĩa vụ, bạn có ủng hộ và tuân thủ chính sách mới hiện nay? - HUMAN-OUT1]]</f>
        <v>7</v>
      </c>
      <c r="AR120">
        <f t="shared" si="53"/>
        <v>0.66666666666666663</v>
      </c>
      <c r="AS120" s="32">
        <f t="shared" si="54"/>
        <v>1</v>
      </c>
      <c r="AT120">
        <f t="shared" si="55"/>
        <v>1</v>
      </c>
    </row>
    <row r="121" spans="1:46" x14ac:dyDescent="0.45">
      <c r="A121">
        <f>step3_validation[[#This Row],[AI_ENF1]]</f>
        <v>7</v>
      </c>
      <c r="B121">
        <f t="shared" si="28"/>
        <v>0.66666666666666663</v>
      </c>
      <c r="C121">
        <f>survey_responses[[#This Row],[Tôi tin rằng với các quy định quản lý thuế hiện nay, hành vi gian lận hoặc trốn thuế sẽ dễ dàng bị phát hiện và xử lý nghiêm. - HUMAN-ENF1]]</f>
        <v>6</v>
      </c>
      <c r="D121">
        <f t="shared" si="29"/>
        <v>0.55555555555555558</v>
      </c>
      <c r="E121">
        <f>step3_validation[[#This Row],[AI_ENF2]]</f>
        <v>6</v>
      </c>
      <c r="F121">
        <f t="shared" si="30"/>
        <v>0.55555555555555558</v>
      </c>
      <c r="G121">
        <f>survey_responses[[#This Row],[Tôi tin rằng Nhà nước, cơ quan thuế có đủ khả năng và công nghệ để phát hiện, xử lý nghiêm các hành vi trốn thuế. - HUMAN-ENF2]]</f>
        <v>6</v>
      </c>
      <c r="H121">
        <f t="shared" si="31"/>
        <v>0.55555555555555558</v>
      </c>
      <c r="I121" s="32">
        <f t="shared" si="32"/>
        <v>0.61111111111111116</v>
      </c>
      <c r="J121" s="32">
        <f t="shared" si="33"/>
        <v>0.55555555555555558</v>
      </c>
      <c r="K121">
        <f>step3_validation[[#This Row],[AI_FAC1]]</f>
        <v>8</v>
      </c>
      <c r="L121">
        <f t="shared" si="34"/>
        <v>0.77777777777777779</v>
      </c>
      <c r="M121">
        <f>survey_responses[[#This Row],[Các thủ tục khai báo thuế VÀ/HOẶC quy trình làm việc với cơ quan thuế đơn giản, tiện lợi, nhanh chóng hơn so với trước đây. - HUMAN-FAC1]]</f>
        <v>6</v>
      </c>
      <c r="N121">
        <f t="shared" si="35"/>
        <v>0.55555555555555558</v>
      </c>
      <c r="O121">
        <f>step3_validation[[#This Row],[AI_FAC2]]</f>
        <v>9</v>
      </c>
      <c r="P121">
        <f t="shared" si="36"/>
        <v>0.88888888888888884</v>
      </c>
      <c r="Q121">
        <f>survey_responses[[#This Row],[So với trước đây, tôi thấy cách tính thuế và các bậc thuế trong phương án mới đơn giản, dễ hiểu và dễ thực hiện hơn. - HUMAN-FAC2]]</f>
        <v>6</v>
      </c>
      <c r="R121">
        <f t="shared" si="37"/>
        <v>0.55555555555555558</v>
      </c>
      <c r="S121" s="32">
        <f t="shared" si="38"/>
        <v>0.83333333333333326</v>
      </c>
      <c r="T121" s="32">
        <f t="shared" si="39"/>
        <v>0.55555555555555558</v>
      </c>
      <c r="U121">
        <f>step3_validation[[#This Row],[AI_TRU1]]</f>
        <v>5</v>
      </c>
      <c r="V121">
        <f t="shared" si="40"/>
        <v>0.44444444444444442</v>
      </c>
      <c r="W121">
        <f>survey_responses[[#This Row],[Tôi tin rằng Nhà nước, cơ quan thuế sẽ thực thi chính sách mới một cách khách quan, công tâm và đối xử bình đẳng với mọi người nộp thuế.  - HUMAN-TRU1]]</f>
        <v>6</v>
      </c>
      <c r="X121">
        <f t="shared" si="41"/>
        <v>0.55555555555555558</v>
      </c>
      <c r="Y121">
        <f>step3_validation[[#This Row],[AI_TRU2]]</f>
        <v>6</v>
      </c>
      <c r="Z121">
        <f t="shared" si="42"/>
        <v>0.55555555555555558</v>
      </c>
      <c r="AA121">
        <f>survey_responses[[#This Row],[Tôi thấy mức thuế tôi phải đóng theo phương án mới là công bằng (người thu nhập như tôi đóng mức này là hợp lý). - HUMAN-TRU2]]</f>
        <v>6</v>
      </c>
      <c r="AB121">
        <f t="shared" si="43"/>
        <v>0.55555555555555558</v>
      </c>
      <c r="AC121">
        <f>step3_validation[[#This Row],[AI_TRU3]]</f>
        <v>7</v>
      </c>
      <c r="AD121">
        <f t="shared" si="44"/>
        <v>0.66666666666666663</v>
      </c>
      <c r="AE121">
        <f>survey_responses[[#This Row],[Tôi tin tưởng số tiền thuế tôi đóng sẽ được Nhà nước sử dụng hiệu quả để cải thiện dịch vụ công (y tế, đường xá...). - HUMAN-TRU3]]</f>
        <v>6</v>
      </c>
      <c r="AF121">
        <f t="shared" si="45"/>
        <v>0.55555555555555558</v>
      </c>
      <c r="AG121">
        <f>step3_validation[[#This Row],[AI_TRU4]]</f>
        <v>5</v>
      </c>
      <c r="AH121">
        <f t="shared" si="46"/>
        <v>0.44444444444444442</v>
      </c>
      <c r="AI121">
        <f>survey_responses[[#This Row],[Tôi thấy Nhà nước đã giải thích rõ ràng, minh bạch về lý do và mục tiêu của việc sửa đổi thuế lần này. - HUMAN-TRU4]]</f>
        <v>6</v>
      </c>
      <c r="AJ121">
        <f t="shared" si="47"/>
        <v>0.55555555555555558</v>
      </c>
      <c r="AK121" s="32">
        <f t="shared" si="48"/>
        <v>0.52777777777777768</v>
      </c>
      <c r="AL121" s="32">
        <f t="shared" si="49"/>
        <v>0.55555555555555558</v>
      </c>
      <c r="AM121" s="7">
        <f t="shared" si="50"/>
        <v>0.65740740740740733</v>
      </c>
      <c r="AN121" s="7">
        <f t="shared" si="51"/>
        <v>0.55555555555555558</v>
      </c>
      <c r="AO121">
        <f>step3_validation[[#This Row],[AI_OUT1]]</f>
        <v>7</v>
      </c>
      <c r="AP121">
        <f t="shared" si="52"/>
        <v>0.66666666666666663</v>
      </c>
      <c r="AQ121">
        <f>survey_responses[[#This Row],[Sau khi xem xét các quyền lợi và nghĩa vụ, bạn có ủng hộ và tuân thủ chính sách mới hiện nay? - HUMAN-OUT1]]</f>
        <v>6</v>
      </c>
      <c r="AR121">
        <f t="shared" si="53"/>
        <v>0.55555555555555558</v>
      </c>
      <c r="AS121" s="32">
        <f t="shared" si="54"/>
        <v>1</v>
      </c>
      <c r="AT121">
        <f t="shared" si="55"/>
        <v>1</v>
      </c>
    </row>
    <row r="122" spans="1:46" x14ac:dyDescent="0.45">
      <c r="A122">
        <f>step3_validation[[#This Row],[AI_ENF1]]</f>
        <v>7</v>
      </c>
      <c r="B122">
        <f t="shared" si="28"/>
        <v>0.66666666666666663</v>
      </c>
      <c r="C122">
        <f>survey_responses[[#This Row],[Tôi tin rằng với các quy định quản lý thuế hiện nay, hành vi gian lận hoặc trốn thuế sẽ dễ dàng bị phát hiện và xử lý nghiêm. - HUMAN-ENF1]]</f>
        <v>1</v>
      </c>
      <c r="D122">
        <f t="shared" si="29"/>
        <v>0</v>
      </c>
      <c r="E122">
        <f>step3_validation[[#This Row],[AI_ENF2]]</f>
        <v>6</v>
      </c>
      <c r="F122">
        <f t="shared" si="30"/>
        <v>0.55555555555555558</v>
      </c>
      <c r="G122">
        <f>survey_responses[[#This Row],[Tôi tin rằng Nhà nước, cơ quan thuế có đủ khả năng và công nghệ để phát hiện, xử lý nghiêm các hành vi trốn thuế. - HUMAN-ENF2]]</f>
        <v>1</v>
      </c>
      <c r="H122">
        <f t="shared" si="31"/>
        <v>0</v>
      </c>
      <c r="I122" s="32">
        <f t="shared" si="32"/>
        <v>0.61111111111111116</v>
      </c>
      <c r="J122" s="32">
        <f t="shared" si="33"/>
        <v>0</v>
      </c>
      <c r="K122">
        <f>step3_validation[[#This Row],[AI_FAC1]]</f>
        <v>8</v>
      </c>
      <c r="L122">
        <f t="shared" si="34"/>
        <v>0.77777777777777779</v>
      </c>
      <c r="M122">
        <f>survey_responses[[#This Row],[Các thủ tục khai báo thuế VÀ/HOẶC quy trình làm việc với cơ quan thuế đơn giản, tiện lợi, nhanh chóng hơn so với trước đây. - HUMAN-FAC1]]</f>
        <v>1</v>
      </c>
      <c r="N122">
        <f t="shared" si="35"/>
        <v>0</v>
      </c>
      <c r="O122">
        <f>step3_validation[[#This Row],[AI_FAC2]]</f>
        <v>9</v>
      </c>
      <c r="P122">
        <f t="shared" si="36"/>
        <v>0.88888888888888884</v>
      </c>
      <c r="Q122">
        <f>survey_responses[[#This Row],[So với trước đây, tôi thấy cách tính thuế và các bậc thuế trong phương án mới đơn giản, dễ hiểu và dễ thực hiện hơn. - HUMAN-FAC2]]</f>
        <v>5</v>
      </c>
      <c r="R122">
        <f t="shared" si="37"/>
        <v>0.44444444444444442</v>
      </c>
      <c r="S122" s="32">
        <f t="shared" si="38"/>
        <v>0.83333333333333326</v>
      </c>
      <c r="T122" s="32">
        <f t="shared" si="39"/>
        <v>0.22222222222222221</v>
      </c>
      <c r="U122">
        <f>step3_validation[[#This Row],[AI_TRU1]]</f>
        <v>7</v>
      </c>
      <c r="V122">
        <f t="shared" si="40"/>
        <v>0.66666666666666663</v>
      </c>
      <c r="W122">
        <f>survey_responses[[#This Row],[Tôi tin rằng Nhà nước, cơ quan thuế sẽ thực thi chính sách mới một cách khách quan, công tâm và đối xử bình đẳng với mọi người nộp thuế.  - HUMAN-TRU1]]</f>
        <v>1</v>
      </c>
      <c r="X122">
        <f t="shared" si="41"/>
        <v>0</v>
      </c>
      <c r="Y122">
        <f>step3_validation[[#This Row],[AI_TRU2]]</f>
        <v>5</v>
      </c>
      <c r="Z122">
        <f t="shared" si="42"/>
        <v>0.44444444444444442</v>
      </c>
      <c r="AA122">
        <f>survey_responses[[#This Row],[Tôi thấy mức thuế tôi phải đóng theo phương án mới là công bằng (người thu nhập như tôi đóng mức này là hợp lý). - HUMAN-TRU2]]</f>
        <v>1</v>
      </c>
      <c r="AB122">
        <f t="shared" si="43"/>
        <v>0</v>
      </c>
      <c r="AC122">
        <f>step3_validation[[#This Row],[AI_TRU3]]</f>
        <v>6</v>
      </c>
      <c r="AD122">
        <f t="shared" si="44"/>
        <v>0.55555555555555558</v>
      </c>
      <c r="AE122">
        <f>survey_responses[[#This Row],[Tôi tin tưởng số tiền thuế tôi đóng sẽ được Nhà nước sử dụng hiệu quả để cải thiện dịch vụ công (y tế, đường xá...). - HUMAN-TRU3]]</f>
        <v>1</v>
      </c>
      <c r="AF122">
        <f t="shared" si="45"/>
        <v>0</v>
      </c>
      <c r="AG122">
        <f>step3_validation[[#This Row],[AI_TRU4]]</f>
        <v>4</v>
      </c>
      <c r="AH122">
        <f t="shared" si="46"/>
        <v>0.33333333333333331</v>
      </c>
      <c r="AI122">
        <f>survey_responses[[#This Row],[Tôi thấy Nhà nước đã giải thích rõ ràng, minh bạch về lý do và mục tiêu của việc sửa đổi thuế lần này. - HUMAN-TRU4]]</f>
        <v>1</v>
      </c>
      <c r="AJ122">
        <f t="shared" si="47"/>
        <v>0</v>
      </c>
      <c r="AK122" s="32">
        <f t="shared" si="48"/>
        <v>0.5</v>
      </c>
      <c r="AL122" s="32">
        <f t="shared" si="49"/>
        <v>0</v>
      </c>
      <c r="AM122" s="7">
        <f t="shared" si="50"/>
        <v>0.64814814814814814</v>
      </c>
      <c r="AN122" s="7">
        <f t="shared" si="51"/>
        <v>7.407407407407407E-2</v>
      </c>
      <c r="AO122">
        <f>step3_validation[[#This Row],[AI_OUT1]]</f>
        <v>7</v>
      </c>
      <c r="AP122">
        <f t="shared" si="52"/>
        <v>0.66666666666666663</v>
      </c>
      <c r="AQ122">
        <f>survey_responses[[#This Row],[Sau khi xem xét các quyền lợi và nghĩa vụ, bạn có ủng hộ và tuân thủ chính sách mới hiện nay? - HUMAN-OUT1]]</f>
        <v>5</v>
      </c>
      <c r="AR122">
        <f t="shared" si="53"/>
        <v>0.44444444444444442</v>
      </c>
      <c r="AS122" s="32">
        <f t="shared" si="54"/>
        <v>2</v>
      </c>
      <c r="AT122">
        <f t="shared" si="55"/>
        <v>0</v>
      </c>
    </row>
    <row r="123" spans="1:46" x14ac:dyDescent="0.45">
      <c r="A123">
        <f>step3_validation[[#This Row],[AI_ENF1]]</f>
        <v>7</v>
      </c>
      <c r="B123">
        <f t="shared" si="28"/>
        <v>0.66666666666666663</v>
      </c>
      <c r="C123">
        <f>survey_responses[[#This Row],[Tôi tin rằng với các quy định quản lý thuế hiện nay, hành vi gian lận hoặc trốn thuế sẽ dễ dàng bị phát hiện và xử lý nghiêm. - HUMAN-ENF1]]</f>
        <v>4</v>
      </c>
      <c r="D123">
        <f t="shared" si="29"/>
        <v>0.33333333333333331</v>
      </c>
      <c r="E123">
        <f>step3_validation[[#This Row],[AI_ENF2]]</f>
        <v>6</v>
      </c>
      <c r="F123">
        <f t="shared" si="30"/>
        <v>0.55555555555555558</v>
      </c>
      <c r="G123">
        <f>survey_responses[[#This Row],[Tôi tin rằng Nhà nước, cơ quan thuế có đủ khả năng và công nghệ để phát hiện, xử lý nghiêm các hành vi trốn thuế. - HUMAN-ENF2]]</f>
        <v>4</v>
      </c>
      <c r="H123">
        <f t="shared" si="31"/>
        <v>0.33333333333333331</v>
      </c>
      <c r="I123" s="32">
        <f t="shared" si="32"/>
        <v>0.61111111111111116</v>
      </c>
      <c r="J123" s="32">
        <f t="shared" si="33"/>
        <v>0.33333333333333331</v>
      </c>
      <c r="K123">
        <f>step3_validation[[#This Row],[AI_FAC1]]</f>
        <v>8</v>
      </c>
      <c r="L123">
        <f t="shared" si="34"/>
        <v>0.77777777777777779</v>
      </c>
      <c r="M123">
        <f>survey_responses[[#This Row],[Các thủ tục khai báo thuế VÀ/HOẶC quy trình làm việc với cơ quan thuế đơn giản, tiện lợi, nhanh chóng hơn so với trước đây. - HUMAN-FAC1]]</f>
        <v>2</v>
      </c>
      <c r="N123">
        <f t="shared" si="35"/>
        <v>0.1111111111111111</v>
      </c>
      <c r="O123">
        <f>step3_validation[[#This Row],[AI_FAC2]]</f>
        <v>9</v>
      </c>
      <c r="P123">
        <f t="shared" si="36"/>
        <v>0.88888888888888884</v>
      </c>
      <c r="Q123">
        <f>survey_responses[[#This Row],[So với trước đây, tôi thấy cách tính thuế và các bậc thuế trong phương án mới đơn giản, dễ hiểu và dễ thực hiện hơn. - HUMAN-FAC2]]</f>
        <v>5</v>
      </c>
      <c r="R123">
        <f t="shared" si="37"/>
        <v>0.44444444444444442</v>
      </c>
      <c r="S123" s="32">
        <f t="shared" si="38"/>
        <v>0.83333333333333326</v>
      </c>
      <c r="T123" s="32">
        <f t="shared" si="39"/>
        <v>0.27777777777777779</v>
      </c>
      <c r="U123">
        <f>step3_validation[[#This Row],[AI_TRU1]]</f>
        <v>5</v>
      </c>
      <c r="V123">
        <f t="shared" si="40"/>
        <v>0.44444444444444442</v>
      </c>
      <c r="W123">
        <f>survey_responses[[#This Row],[Tôi tin rằng Nhà nước, cơ quan thuế sẽ thực thi chính sách mới một cách khách quan, công tâm và đối xử bình đẳng với mọi người nộp thuế.  - HUMAN-TRU1]]</f>
        <v>1</v>
      </c>
      <c r="X123">
        <f t="shared" si="41"/>
        <v>0</v>
      </c>
      <c r="Y123">
        <f>step3_validation[[#This Row],[AI_TRU2]]</f>
        <v>7</v>
      </c>
      <c r="Z123">
        <f t="shared" si="42"/>
        <v>0.66666666666666663</v>
      </c>
      <c r="AA123">
        <f>survey_responses[[#This Row],[Tôi thấy mức thuế tôi phải đóng theo phương án mới là công bằng (người thu nhập như tôi đóng mức này là hợp lý). - HUMAN-TRU2]]</f>
        <v>1</v>
      </c>
      <c r="AB123">
        <f t="shared" si="43"/>
        <v>0</v>
      </c>
      <c r="AC123">
        <f>step3_validation[[#This Row],[AI_TRU3]]</f>
        <v>6</v>
      </c>
      <c r="AD123">
        <f t="shared" si="44"/>
        <v>0.55555555555555558</v>
      </c>
      <c r="AE123">
        <f>survey_responses[[#This Row],[Tôi tin tưởng số tiền thuế tôi đóng sẽ được Nhà nước sử dụng hiệu quả để cải thiện dịch vụ công (y tế, đường xá...). - HUMAN-TRU3]]</f>
        <v>1</v>
      </c>
      <c r="AF123">
        <f t="shared" si="45"/>
        <v>0</v>
      </c>
      <c r="AG123">
        <f>step3_validation[[#This Row],[AI_TRU4]]</f>
        <v>5</v>
      </c>
      <c r="AH123">
        <f t="shared" si="46"/>
        <v>0.44444444444444442</v>
      </c>
      <c r="AI123">
        <f>survey_responses[[#This Row],[Tôi thấy Nhà nước đã giải thích rõ ràng, minh bạch về lý do và mục tiêu của việc sửa đổi thuế lần này. - HUMAN-TRU4]]</f>
        <v>4</v>
      </c>
      <c r="AJ123">
        <f t="shared" si="47"/>
        <v>0.33333333333333331</v>
      </c>
      <c r="AK123" s="32">
        <f t="shared" si="48"/>
        <v>0.52777777777777779</v>
      </c>
      <c r="AL123" s="32">
        <f t="shared" si="49"/>
        <v>8.3333333333333329E-2</v>
      </c>
      <c r="AM123" s="7">
        <f t="shared" si="50"/>
        <v>0.65740740740740744</v>
      </c>
      <c r="AN123" s="7">
        <f t="shared" si="51"/>
        <v>0.23148148148148151</v>
      </c>
      <c r="AO123">
        <f>step3_validation[[#This Row],[AI_OUT1]]</f>
        <v>7</v>
      </c>
      <c r="AP123">
        <f t="shared" si="52"/>
        <v>0.66666666666666663</v>
      </c>
      <c r="AQ123">
        <f>survey_responses[[#This Row],[Sau khi xem xét các quyền lợi và nghĩa vụ, bạn có ủng hộ và tuân thủ chính sách mới hiện nay? - HUMAN-OUT1]]</f>
        <v>4</v>
      </c>
      <c r="AR123">
        <f t="shared" si="53"/>
        <v>0.33333333333333331</v>
      </c>
      <c r="AS123" s="32">
        <f t="shared" si="54"/>
        <v>3</v>
      </c>
      <c r="AT123">
        <f t="shared" si="55"/>
        <v>0</v>
      </c>
    </row>
    <row r="124" spans="1:46" x14ac:dyDescent="0.45">
      <c r="A124">
        <f>step3_validation[[#This Row],[AI_ENF1]]</f>
        <v>8</v>
      </c>
      <c r="B124">
        <f t="shared" si="28"/>
        <v>0.77777777777777779</v>
      </c>
      <c r="C124">
        <f>survey_responses[[#This Row],[Tôi tin rằng với các quy định quản lý thuế hiện nay, hành vi gian lận hoặc trốn thuế sẽ dễ dàng bị phát hiện và xử lý nghiêm. - HUMAN-ENF1]]</f>
        <v>7</v>
      </c>
      <c r="D124">
        <f t="shared" si="29"/>
        <v>0.66666666666666663</v>
      </c>
      <c r="E124">
        <f>step3_validation[[#This Row],[AI_ENF2]]</f>
        <v>8</v>
      </c>
      <c r="F124">
        <f t="shared" si="30"/>
        <v>0.77777777777777779</v>
      </c>
      <c r="G124">
        <f>survey_responses[[#This Row],[Tôi tin rằng Nhà nước, cơ quan thuế có đủ khả năng và công nghệ để phát hiện, xử lý nghiêm các hành vi trốn thuế. - HUMAN-ENF2]]</f>
        <v>7</v>
      </c>
      <c r="H124">
        <f t="shared" si="31"/>
        <v>0.66666666666666663</v>
      </c>
      <c r="I124" s="32">
        <f t="shared" si="32"/>
        <v>0.77777777777777779</v>
      </c>
      <c r="J124" s="32">
        <f t="shared" si="33"/>
        <v>0.66666666666666663</v>
      </c>
      <c r="K124">
        <f>step3_validation[[#This Row],[AI_FAC1]]</f>
        <v>7</v>
      </c>
      <c r="L124">
        <f t="shared" si="34"/>
        <v>0.66666666666666663</v>
      </c>
      <c r="M124">
        <f>survey_responses[[#This Row],[Các thủ tục khai báo thuế VÀ/HOẶC quy trình làm việc với cơ quan thuế đơn giản, tiện lợi, nhanh chóng hơn so với trước đây. - HUMAN-FAC1]]</f>
        <v>7</v>
      </c>
      <c r="N124">
        <f t="shared" si="35"/>
        <v>0.66666666666666663</v>
      </c>
      <c r="O124">
        <f>step3_validation[[#This Row],[AI_FAC2]]</f>
        <v>6</v>
      </c>
      <c r="P124">
        <f t="shared" si="36"/>
        <v>0.55555555555555558</v>
      </c>
      <c r="Q124">
        <f>survey_responses[[#This Row],[So với trước đây, tôi thấy cách tính thuế và các bậc thuế trong phương án mới đơn giản, dễ hiểu và dễ thực hiện hơn. - HUMAN-FAC2]]</f>
        <v>7</v>
      </c>
      <c r="R124">
        <f t="shared" si="37"/>
        <v>0.66666666666666663</v>
      </c>
      <c r="S124" s="32">
        <f t="shared" si="38"/>
        <v>0.61111111111111116</v>
      </c>
      <c r="T124" s="32">
        <f t="shared" si="39"/>
        <v>0.66666666666666663</v>
      </c>
      <c r="U124">
        <f>step3_validation[[#This Row],[AI_TRU1]]</f>
        <v>7</v>
      </c>
      <c r="V124">
        <f t="shared" si="40"/>
        <v>0.66666666666666663</v>
      </c>
      <c r="W124">
        <f>survey_responses[[#This Row],[Tôi tin rằng Nhà nước, cơ quan thuế sẽ thực thi chính sách mới một cách khách quan, công tâm và đối xử bình đẳng với mọi người nộp thuế.  - HUMAN-TRU1]]</f>
        <v>7</v>
      </c>
      <c r="X124">
        <f t="shared" si="41"/>
        <v>0.66666666666666663</v>
      </c>
      <c r="Y124">
        <f>step3_validation[[#This Row],[AI_TRU2]]</f>
        <v>5</v>
      </c>
      <c r="Z124">
        <f t="shared" si="42"/>
        <v>0.44444444444444442</v>
      </c>
      <c r="AA124">
        <f>survey_responses[[#This Row],[Tôi thấy mức thuế tôi phải đóng theo phương án mới là công bằng (người thu nhập như tôi đóng mức này là hợp lý). - HUMAN-TRU2]]</f>
        <v>7</v>
      </c>
      <c r="AB124">
        <f t="shared" si="43"/>
        <v>0.66666666666666663</v>
      </c>
      <c r="AC124">
        <f>step3_validation[[#This Row],[AI_TRU3]]</f>
        <v>4</v>
      </c>
      <c r="AD124">
        <f t="shared" si="44"/>
        <v>0.33333333333333331</v>
      </c>
      <c r="AE124">
        <f>survey_responses[[#This Row],[Tôi tin tưởng số tiền thuế tôi đóng sẽ được Nhà nước sử dụng hiệu quả để cải thiện dịch vụ công (y tế, đường xá...). - HUMAN-TRU3]]</f>
        <v>7</v>
      </c>
      <c r="AF124">
        <f t="shared" si="45"/>
        <v>0.66666666666666663</v>
      </c>
      <c r="AG124">
        <f>step3_validation[[#This Row],[AI_TRU4]]</f>
        <v>6</v>
      </c>
      <c r="AH124">
        <f t="shared" si="46"/>
        <v>0.55555555555555558</v>
      </c>
      <c r="AI124">
        <f>survey_responses[[#This Row],[Tôi thấy Nhà nước đã giải thích rõ ràng, minh bạch về lý do và mục tiêu của việc sửa đổi thuế lần này. - HUMAN-TRU4]]</f>
        <v>7</v>
      </c>
      <c r="AJ124">
        <f t="shared" si="47"/>
        <v>0.66666666666666663</v>
      </c>
      <c r="AK124" s="32">
        <f t="shared" si="48"/>
        <v>0.5</v>
      </c>
      <c r="AL124" s="32">
        <f t="shared" si="49"/>
        <v>0.66666666666666663</v>
      </c>
      <c r="AM124" s="7">
        <f t="shared" si="50"/>
        <v>0.62962962962962965</v>
      </c>
      <c r="AN124" s="7">
        <f t="shared" si="51"/>
        <v>0.66666666666666663</v>
      </c>
      <c r="AO124">
        <f>step3_validation[[#This Row],[AI_OUT1]]</f>
        <v>7</v>
      </c>
      <c r="AP124">
        <f t="shared" si="52"/>
        <v>0.66666666666666663</v>
      </c>
      <c r="AQ124">
        <f>survey_responses[[#This Row],[Sau khi xem xét các quyền lợi và nghĩa vụ, bạn có ủng hộ và tuân thủ chính sách mới hiện nay? - HUMAN-OUT1]]</f>
        <v>8</v>
      </c>
      <c r="AR124">
        <f t="shared" si="53"/>
        <v>0.77777777777777779</v>
      </c>
      <c r="AS124" s="32">
        <f t="shared" si="54"/>
        <v>1</v>
      </c>
      <c r="AT124">
        <f t="shared" si="55"/>
        <v>1</v>
      </c>
    </row>
    <row r="125" spans="1:46" x14ac:dyDescent="0.45">
      <c r="A125">
        <f>step3_validation[[#This Row],[AI_ENF1]]</f>
        <v>7</v>
      </c>
      <c r="B125">
        <f t="shared" si="28"/>
        <v>0.66666666666666663</v>
      </c>
      <c r="C125">
        <f>survey_responses[[#This Row],[Tôi tin rằng với các quy định quản lý thuế hiện nay, hành vi gian lận hoặc trốn thuế sẽ dễ dàng bị phát hiện và xử lý nghiêm. - HUMAN-ENF1]]</f>
        <v>10</v>
      </c>
      <c r="D125">
        <f t="shared" si="29"/>
        <v>1</v>
      </c>
      <c r="E125">
        <f>step3_validation[[#This Row],[AI_ENF2]]</f>
        <v>8</v>
      </c>
      <c r="F125">
        <f t="shared" si="30"/>
        <v>0.77777777777777779</v>
      </c>
      <c r="G125">
        <f>survey_responses[[#This Row],[Tôi tin rằng Nhà nước, cơ quan thuế có đủ khả năng và công nghệ để phát hiện, xử lý nghiêm các hành vi trốn thuế. - HUMAN-ENF2]]</f>
        <v>9</v>
      </c>
      <c r="H125">
        <f t="shared" si="31"/>
        <v>0.88888888888888884</v>
      </c>
      <c r="I125" s="32">
        <f t="shared" si="32"/>
        <v>0.72222222222222221</v>
      </c>
      <c r="J125" s="32">
        <f t="shared" si="33"/>
        <v>0.94444444444444442</v>
      </c>
      <c r="K125">
        <f>step3_validation[[#This Row],[AI_FAC1]]</f>
        <v>6</v>
      </c>
      <c r="L125">
        <f t="shared" si="34"/>
        <v>0.55555555555555558</v>
      </c>
      <c r="M125">
        <f>survey_responses[[#This Row],[Các thủ tục khai báo thuế VÀ/HOẶC quy trình làm việc với cơ quan thuế đơn giản, tiện lợi, nhanh chóng hơn so với trước đây. - HUMAN-FAC1]]</f>
        <v>10</v>
      </c>
      <c r="N125">
        <f t="shared" si="35"/>
        <v>1</v>
      </c>
      <c r="O125">
        <f>step3_validation[[#This Row],[AI_FAC2]]</f>
        <v>8</v>
      </c>
      <c r="P125">
        <f t="shared" si="36"/>
        <v>0.77777777777777779</v>
      </c>
      <c r="Q125">
        <f>survey_responses[[#This Row],[So với trước đây, tôi thấy cách tính thuế và các bậc thuế trong phương án mới đơn giản, dễ hiểu và dễ thực hiện hơn. - HUMAN-FAC2]]</f>
        <v>10</v>
      </c>
      <c r="R125">
        <f t="shared" si="37"/>
        <v>1</v>
      </c>
      <c r="S125" s="32">
        <f t="shared" si="38"/>
        <v>0.66666666666666674</v>
      </c>
      <c r="T125" s="32">
        <f t="shared" si="39"/>
        <v>1</v>
      </c>
      <c r="U125">
        <f>step3_validation[[#This Row],[AI_TRU1]]</f>
        <v>7</v>
      </c>
      <c r="V125">
        <f t="shared" si="40"/>
        <v>0.66666666666666663</v>
      </c>
      <c r="W125">
        <f>survey_responses[[#This Row],[Tôi tin rằng Nhà nước, cơ quan thuế sẽ thực thi chính sách mới một cách khách quan, công tâm và đối xử bình đẳng với mọi người nộp thuế.  - HUMAN-TRU1]]</f>
        <v>10</v>
      </c>
      <c r="X125">
        <f t="shared" si="41"/>
        <v>1</v>
      </c>
      <c r="Y125">
        <f>step3_validation[[#This Row],[AI_TRU2]]</f>
        <v>8</v>
      </c>
      <c r="Z125">
        <f t="shared" si="42"/>
        <v>0.77777777777777779</v>
      </c>
      <c r="AA125">
        <f>survey_responses[[#This Row],[Tôi thấy mức thuế tôi phải đóng theo phương án mới là công bằng (người thu nhập như tôi đóng mức này là hợp lý). - HUMAN-TRU2]]</f>
        <v>8</v>
      </c>
      <c r="AB125">
        <f t="shared" si="43"/>
        <v>0.77777777777777779</v>
      </c>
      <c r="AC125">
        <f>step3_validation[[#This Row],[AI_TRU3]]</f>
        <v>7</v>
      </c>
      <c r="AD125">
        <f t="shared" si="44"/>
        <v>0.66666666666666663</v>
      </c>
      <c r="AE125">
        <f>survey_responses[[#This Row],[Tôi tin tưởng số tiền thuế tôi đóng sẽ được Nhà nước sử dụng hiệu quả để cải thiện dịch vụ công (y tế, đường xá...). - HUMAN-TRU3]]</f>
        <v>9</v>
      </c>
      <c r="AF125">
        <f t="shared" si="45"/>
        <v>0.88888888888888884</v>
      </c>
      <c r="AG125">
        <f>step3_validation[[#This Row],[AI_TRU4]]</f>
        <v>6</v>
      </c>
      <c r="AH125">
        <f t="shared" si="46"/>
        <v>0.55555555555555558</v>
      </c>
      <c r="AI125">
        <f>survey_responses[[#This Row],[Tôi thấy Nhà nước đã giải thích rõ ràng, minh bạch về lý do và mục tiêu của việc sửa đổi thuế lần này. - HUMAN-TRU4]]</f>
        <v>9</v>
      </c>
      <c r="AJ125">
        <f t="shared" si="47"/>
        <v>0.88888888888888884</v>
      </c>
      <c r="AK125" s="32">
        <f t="shared" si="48"/>
        <v>0.66666666666666674</v>
      </c>
      <c r="AL125" s="32">
        <f t="shared" si="49"/>
        <v>0.88888888888888884</v>
      </c>
      <c r="AM125" s="7">
        <f t="shared" si="50"/>
        <v>0.68518518518518512</v>
      </c>
      <c r="AN125" s="7">
        <f t="shared" si="51"/>
        <v>0.94444444444444431</v>
      </c>
      <c r="AO125">
        <f>step3_validation[[#This Row],[AI_OUT1]]</f>
        <v>8</v>
      </c>
      <c r="AP125">
        <f t="shared" si="52"/>
        <v>0.77777777777777779</v>
      </c>
      <c r="AQ125">
        <f>survey_responses[[#This Row],[Sau khi xem xét các quyền lợi và nghĩa vụ, bạn có ủng hộ và tuân thủ chính sách mới hiện nay? - HUMAN-OUT1]]</f>
        <v>9</v>
      </c>
      <c r="AR125">
        <f t="shared" si="53"/>
        <v>0.88888888888888884</v>
      </c>
      <c r="AS125" s="32">
        <f t="shared" si="54"/>
        <v>1</v>
      </c>
      <c r="AT125">
        <f t="shared" si="55"/>
        <v>1</v>
      </c>
    </row>
    <row r="126" spans="1:46" x14ac:dyDescent="0.45">
      <c r="A126">
        <f>step3_validation[[#This Row],[AI_ENF1]]</f>
        <v>6</v>
      </c>
      <c r="B126">
        <f t="shared" si="28"/>
        <v>0.55555555555555558</v>
      </c>
      <c r="C126">
        <f>survey_responses[[#This Row],[Tôi tin rằng với các quy định quản lý thuế hiện nay, hành vi gian lận hoặc trốn thuế sẽ dễ dàng bị phát hiện và xử lý nghiêm. - HUMAN-ENF1]]</f>
        <v>10</v>
      </c>
      <c r="D126">
        <f t="shared" si="29"/>
        <v>1</v>
      </c>
      <c r="E126">
        <f>step3_validation[[#This Row],[AI_ENF2]]</f>
        <v>6</v>
      </c>
      <c r="F126">
        <f t="shared" si="30"/>
        <v>0.55555555555555558</v>
      </c>
      <c r="G126">
        <f>survey_responses[[#This Row],[Tôi tin rằng Nhà nước, cơ quan thuế có đủ khả năng và công nghệ để phát hiện, xử lý nghiêm các hành vi trốn thuế. - HUMAN-ENF2]]</f>
        <v>10</v>
      </c>
      <c r="H126">
        <f t="shared" si="31"/>
        <v>1</v>
      </c>
      <c r="I126" s="32">
        <f t="shared" si="32"/>
        <v>0.55555555555555558</v>
      </c>
      <c r="J126" s="32">
        <f t="shared" si="33"/>
        <v>1</v>
      </c>
      <c r="K126">
        <f>step3_validation[[#This Row],[AI_FAC1]]</f>
        <v>7</v>
      </c>
      <c r="L126">
        <f t="shared" si="34"/>
        <v>0.66666666666666663</v>
      </c>
      <c r="M126">
        <f>survey_responses[[#This Row],[Các thủ tục khai báo thuế VÀ/HOẶC quy trình làm việc với cơ quan thuế đơn giản, tiện lợi, nhanh chóng hơn so với trước đây. - HUMAN-FAC1]]</f>
        <v>10</v>
      </c>
      <c r="N126">
        <f t="shared" si="35"/>
        <v>1</v>
      </c>
      <c r="O126">
        <f>step3_validation[[#This Row],[AI_FAC2]]</f>
        <v>8</v>
      </c>
      <c r="P126">
        <f t="shared" si="36"/>
        <v>0.77777777777777779</v>
      </c>
      <c r="Q126">
        <f>survey_responses[[#This Row],[So với trước đây, tôi thấy cách tính thuế và các bậc thuế trong phương án mới đơn giản, dễ hiểu và dễ thực hiện hơn. - HUMAN-FAC2]]</f>
        <v>10</v>
      </c>
      <c r="R126">
        <f t="shared" si="37"/>
        <v>1</v>
      </c>
      <c r="S126" s="32">
        <f t="shared" si="38"/>
        <v>0.72222222222222221</v>
      </c>
      <c r="T126" s="32">
        <f t="shared" si="39"/>
        <v>1</v>
      </c>
      <c r="U126">
        <f>step3_validation[[#This Row],[AI_TRU1]]</f>
        <v>7</v>
      </c>
      <c r="V126">
        <f t="shared" si="40"/>
        <v>0.66666666666666663</v>
      </c>
      <c r="W126">
        <f>survey_responses[[#This Row],[Tôi tin rằng Nhà nước, cơ quan thuế sẽ thực thi chính sách mới một cách khách quan, công tâm và đối xử bình đẳng với mọi người nộp thuế.  - HUMAN-TRU1]]</f>
        <v>10</v>
      </c>
      <c r="X126">
        <f t="shared" si="41"/>
        <v>1</v>
      </c>
      <c r="Y126">
        <f>step3_validation[[#This Row],[AI_TRU2]]</f>
        <v>7</v>
      </c>
      <c r="Z126">
        <f t="shared" si="42"/>
        <v>0.66666666666666663</v>
      </c>
      <c r="AA126">
        <f>survey_responses[[#This Row],[Tôi thấy mức thuế tôi phải đóng theo phương án mới là công bằng (người thu nhập như tôi đóng mức này là hợp lý). - HUMAN-TRU2]]</f>
        <v>10</v>
      </c>
      <c r="AB126">
        <f t="shared" si="43"/>
        <v>1</v>
      </c>
      <c r="AC126">
        <f>step3_validation[[#This Row],[AI_TRU3]]</f>
        <v>6</v>
      </c>
      <c r="AD126">
        <f t="shared" si="44"/>
        <v>0.55555555555555558</v>
      </c>
      <c r="AE126">
        <f>survey_responses[[#This Row],[Tôi tin tưởng số tiền thuế tôi đóng sẽ được Nhà nước sử dụng hiệu quả để cải thiện dịch vụ công (y tế, đường xá...). - HUMAN-TRU3]]</f>
        <v>10</v>
      </c>
      <c r="AF126">
        <f t="shared" si="45"/>
        <v>1</v>
      </c>
      <c r="AG126">
        <f>step3_validation[[#This Row],[AI_TRU4]]</f>
        <v>7</v>
      </c>
      <c r="AH126">
        <f t="shared" si="46"/>
        <v>0.66666666666666663</v>
      </c>
      <c r="AI126">
        <f>survey_responses[[#This Row],[Tôi thấy Nhà nước đã giải thích rõ ràng, minh bạch về lý do và mục tiêu của việc sửa đổi thuế lần này. - HUMAN-TRU4]]</f>
        <v>10</v>
      </c>
      <c r="AJ126">
        <f t="shared" si="47"/>
        <v>1</v>
      </c>
      <c r="AK126" s="32">
        <f t="shared" si="48"/>
        <v>0.63888888888888884</v>
      </c>
      <c r="AL126" s="32">
        <f t="shared" si="49"/>
        <v>1</v>
      </c>
      <c r="AM126" s="7">
        <f t="shared" si="50"/>
        <v>0.63888888888888884</v>
      </c>
      <c r="AN126" s="7">
        <f t="shared" si="51"/>
        <v>1</v>
      </c>
      <c r="AO126">
        <f>step3_validation[[#This Row],[AI_OUT1]]</f>
        <v>7</v>
      </c>
      <c r="AP126">
        <f t="shared" si="52"/>
        <v>0.66666666666666663</v>
      </c>
      <c r="AQ126">
        <f>survey_responses[[#This Row],[Sau khi xem xét các quyền lợi và nghĩa vụ, bạn có ủng hộ và tuân thủ chính sách mới hiện nay? - HUMAN-OUT1]]</f>
        <v>10</v>
      </c>
      <c r="AR126">
        <f t="shared" si="53"/>
        <v>1</v>
      </c>
      <c r="AS126" s="32">
        <f t="shared" si="54"/>
        <v>3</v>
      </c>
      <c r="AT126">
        <f t="shared" si="55"/>
        <v>1</v>
      </c>
    </row>
    <row r="127" spans="1:46" x14ac:dyDescent="0.45">
      <c r="A127">
        <f>step3_validation[[#This Row],[AI_ENF1]]</f>
        <v>7</v>
      </c>
      <c r="B127">
        <f t="shared" si="28"/>
        <v>0.66666666666666663</v>
      </c>
      <c r="C127">
        <f>survey_responses[[#This Row],[Tôi tin rằng với các quy định quản lý thuế hiện nay, hành vi gian lận hoặc trốn thuế sẽ dễ dàng bị phát hiện và xử lý nghiêm. - HUMAN-ENF1]]</f>
        <v>8</v>
      </c>
      <c r="D127">
        <f t="shared" si="29"/>
        <v>0.77777777777777779</v>
      </c>
      <c r="E127">
        <f>step3_validation[[#This Row],[AI_ENF2]]</f>
        <v>8</v>
      </c>
      <c r="F127">
        <f t="shared" si="30"/>
        <v>0.77777777777777779</v>
      </c>
      <c r="G127">
        <f>survey_responses[[#This Row],[Tôi tin rằng Nhà nước, cơ quan thuế có đủ khả năng và công nghệ để phát hiện, xử lý nghiêm các hành vi trốn thuế. - HUMAN-ENF2]]</f>
        <v>8</v>
      </c>
      <c r="H127">
        <f t="shared" si="31"/>
        <v>0.77777777777777779</v>
      </c>
      <c r="I127" s="32">
        <f t="shared" si="32"/>
        <v>0.72222222222222221</v>
      </c>
      <c r="J127" s="32">
        <f t="shared" si="33"/>
        <v>0.77777777777777779</v>
      </c>
      <c r="K127">
        <f>step3_validation[[#This Row],[AI_FAC1]]</f>
        <v>6</v>
      </c>
      <c r="L127">
        <f t="shared" si="34"/>
        <v>0.55555555555555558</v>
      </c>
      <c r="M127">
        <f>survey_responses[[#This Row],[Các thủ tục khai báo thuế VÀ/HOẶC quy trình làm việc với cơ quan thuế đơn giản, tiện lợi, nhanh chóng hơn so với trước đây. - HUMAN-FAC1]]</f>
        <v>5</v>
      </c>
      <c r="N127">
        <f t="shared" si="35"/>
        <v>0.44444444444444442</v>
      </c>
      <c r="O127">
        <f>step3_validation[[#This Row],[AI_FAC2]]</f>
        <v>9</v>
      </c>
      <c r="P127">
        <f t="shared" si="36"/>
        <v>0.88888888888888884</v>
      </c>
      <c r="Q127">
        <f>survey_responses[[#This Row],[So với trước đây, tôi thấy cách tính thuế và các bậc thuế trong phương án mới đơn giản, dễ hiểu và dễ thực hiện hơn. - HUMAN-FAC2]]</f>
        <v>8</v>
      </c>
      <c r="R127">
        <f t="shared" si="37"/>
        <v>0.77777777777777779</v>
      </c>
      <c r="S127" s="32">
        <f t="shared" si="38"/>
        <v>0.72222222222222221</v>
      </c>
      <c r="T127" s="32">
        <f t="shared" si="39"/>
        <v>0.61111111111111116</v>
      </c>
      <c r="U127">
        <f>step3_validation[[#This Row],[AI_TRU1]]</f>
        <v>8</v>
      </c>
      <c r="V127">
        <f t="shared" si="40"/>
        <v>0.77777777777777779</v>
      </c>
      <c r="W127">
        <f>survey_responses[[#This Row],[Tôi tin rằng Nhà nước, cơ quan thuế sẽ thực thi chính sách mới một cách khách quan, công tâm và đối xử bình đẳng với mọi người nộp thuế.  - HUMAN-TRU1]]</f>
        <v>8</v>
      </c>
      <c r="X127">
        <f t="shared" si="41"/>
        <v>0.77777777777777779</v>
      </c>
      <c r="Y127">
        <f>step3_validation[[#This Row],[AI_TRU2]]</f>
        <v>9</v>
      </c>
      <c r="Z127">
        <f t="shared" si="42"/>
        <v>0.88888888888888884</v>
      </c>
      <c r="AA127">
        <f>survey_responses[[#This Row],[Tôi thấy mức thuế tôi phải đóng theo phương án mới là công bằng (người thu nhập như tôi đóng mức này là hợp lý). - HUMAN-TRU2]]</f>
        <v>8</v>
      </c>
      <c r="AB127">
        <f t="shared" si="43"/>
        <v>0.77777777777777779</v>
      </c>
      <c r="AC127">
        <f>step3_validation[[#This Row],[AI_TRU3]]</f>
        <v>7</v>
      </c>
      <c r="AD127">
        <f t="shared" si="44"/>
        <v>0.66666666666666663</v>
      </c>
      <c r="AE127">
        <f>survey_responses[[#This Row],[Tôi tin tưởng số tiền thuế tôi đóng sẽ được Nhà nước sử dụng hiệu quả để cải thiện dịch vụ công (y tế, đường xá...). - HUMAN-TRU3]]</f>
        <v>7</v>
      </c>
      <c r="AF127">
        <f t="shared" si="45"/>
        <v>0.66666666666666663</v>
      </c>
      <c r="AG127">
        <f>step3_validation[[#This Row],[AI_TRU4]]</f>
        <v>8</v>
      </c>
      <c r="AH127">
        <f t="shared" si="46"/>
        <v>0.77777777777777779</v>
      </c>
      <c r="AI127">
        <f>survey_responses[[#This Row],[Tôi thấy Nhà nước đã giải thích rõ ràng, minh bạch về lý do và mục tiêu của việc sửa đổi thuế lần này. - HUMAN-TRU4]]</f>
        <v>7</v>
      </c>
      <c r="AJ127">
        <f t="shared" si="47"/>
        <v>0.66666666666666663</v>
      </c>
      <c r="AK127" s="32">
        <f t="shared" si="48"/>
        <v>0.77777777777777768</v>
      </c>
      <c r="AL127" s="32">
        <f t="shared" si="49"/>
        <v>0.72222222222222221</v>
      </c>
      <c r="AM127" s="7">
        <f t="shared" si="50"/>
        <v>0.74074074074074081</v>
      </c>
      <c r="AN127" s="7">
        <f t="shared" si="51"/>
        <v>0.70370370370370372</v>
      </c>
      <c r="AO127">
        <f>step3_validation[[#This Row],[AI_OUT1]]</f>
        <v>7</v>
      </c>
      <c r="AP127">
        <f t="shared" si="52"/>
        <v>0.66666666666666663</v>
      </c>
      <c r="AQ127">
        <f>survey_responses[[#This Row],[Sau khi xem xét các quyền lợi và nghĩa vụ, bạn có ủng hộ và tuân thủ chính sách mới hiện nay? - HUMAN-OUT1]]</f>
        <v>8</v>
      </c>
      <c r="AR127">
        <f t="shared" si="53"/>
        <v>0.77777777777777779</v>
      </c>
      <c r="AS127" s="32">
        <f t="shared" si="54"/>
        <v>1</v>
      </c>
      <c r="AT127">
        <f t="shared" si="55"/>
        <v>1</v>
      </c>
    </row>
    <row r="128" spans="1:46" x14ac:dyDescent="0.45">
      <c r="A128">
        <f>step3_validation[[#This Row],[AI_ENF1]]</f>
        <v>7</v>
      </c>
      <c r="B128">
        <f t="shared" si="28"/>
        <v>0.66666666666666663</v>
      </c>
      <c r="C128">
        <f>survey_responses[[#This Row],[Tôi tin rằng với các quy định quản lý thuế hiện nay, hành vi gian lận hoặc trốn thuế sẽ dễ dàng bị phát hiện và xử lý nghiêm. - HUMAN-ENF1]]</f>
        <v>1</v>
      </c>
      <c r="D128">
        <f t="shared" si="29"/>
        <v>0</v>
      </c>
      <c r="E128">
        <f>step3_validation[[#This Row],[AI_ENF2]]</f>
        <v>6</v>
      </c>
      <c r="F128">
        <f t="shared" si="30"/>
        <v>0.55555555555555558</v>
      </c>
      <c r="G128">
        <f>survey_responses[[#This Row],[Tôi tin rằng Nhà nước, cơ quan thuế có đủ khả năng và công nghệ để phát hiện, xử lý nghiêm các hành vi trốn thuế. - HUMAN-ENF2]]</f>
        <v>1</v>
      </c>
      <c r="H128">
        <f t="shared" si="31"/>
        <v>0</v>
      </c>
      <c r="I128" s="32">
        <f t="shared" si="32"/>
        <v>0.61111111111111116</v>
      </c>
      <c r="J128" s="32">
        <f t="shared" si="33"/>
        <v>0</v>
      </c>
      <c r="K128">
        <f>step3_validation[[#This Row],[AI_FAC1]]</f>
        <v>8</v>
      </c>
      <c r="L128">
        <f t="shared" si="34"/>
        <v>0.77777777777777779</v>
      </c>
      <c r="M128">
        <f>survey_responses[[#This Row],[Các thủ tục khai báo thuế VÀ/HOẶC quy trình làm việc với cơ quan thuế đơn giản, tiện lợi, nhanh chóng hơn so với trước đây. - HUMAN-FAC1]]</f>
        <v>1</v>
      </c>
      <c r="N128">
        <f t="shared" si="35"/>
        <v>0</v>
      </c>
      <c r="O128">
        <f>step3_validation[[#This Row],[AI_FAC2]]</f>
        <v>7</v>
      </c>
      <c r="P128">
        <f t="shared" si="36"/>
        <v>0.66666666666666663</v>
      </c>
      <c r="Q128">
        <f>survey_responses[[#This Row],[So với trước đây, tôi thấy cách tính thuế và các bậc thuế trong phương án mới đơn giản, dễ hiểu và dễ thực hiện hơn. - HUMAN-FAC2]]</f>
        <v>5</v>
      </c>
      <c r="R128">
        <f t="shared" si="37"/>
        <v>0.44444444444444442</v>
      </c>
      <c r="S128" s="32">
        <f t="shared" si="38"/>
        <v>0.72222222222222221</v>
      </c>
      <c r="T128" s="32">
        <f t="shared" si="39"/>
        <v>0.22222222222222221</v>
      </c>
      <c r="U128">
        <f>step3_validation[[#This Row],[AI_TRU1]]</f>
        <v>8</v>
      </c>
      <c r="V128">
        <f t="shared" si="40"/>
        <v>0.77777777777777779</v>
      </c>
      <c r="W128">
        <f>survey_responses[[#This Row],[Tôi tin rằng Nhà nước, cơ quan thuế sẽ thực thi chính sách mới một cách khách quan, công tâm và đối xử bình đẳng với mọi người nộp thuế.  - HUMAN-TRU1]]</f>
        <v>1</v>
      </c>
      <c r="X128">
        <f t="shared" si="41"/>
        <v>0</v>
      </c>
      <c r="Y128">
        <f>step3_validation[[#This Row],[AI_TRU2]]</f>
        <v>7</v>
      </c>
      <c r="Z128">
        <f t="shared" si="42"/>
        <v>0.66666666666666663</v>
      </c>
      <c r="AA128">
        <f>survey_responses[[#This Row],[Tôi thấy mức thuế tôi phải đóng theo phương án mới là công bằng (người thu nhập như tôi đóng mức này là hợp lý). - HUMAN-TRU2]]</f>
        <v>1</v>
      </c>
      <c r="AB128">
        <f t="shared" si="43"/>
        <v>0</v>
      </c>
      <c r="AC128">
        <f>step3_validation[[#This Row],[AI_TRU3]]</f>
        <v>6</v>
      </c>
      <c r="AD128">
        <f t="shared" si="44"/>
        <v>0.55555555555555558</v>
      </c>
      <c r="AE128">
        <f>survey_responses[[#This Row],[Tôi tin tưởng số tiền thuế tôi đóng sẽ được Nhà nước sử dụng hiệu quả để cải thiện dịch vụ công (y tế, đường xá...). - HUMAN-TRU3]]</f>
        <v>1</v>
      </c>
      <c r="AF128">
        <f t="shared" si="45"/>
        <v>0</v>
      </c>
      <c r="AG128">
        <f>step3_validation[[#This Row],[AI_TRU4]]</f>
        <v>5</v>
      </c>
      <c r="AH128">
        <f t="shared" si="46"/>
        <v>0.44444444444444442</v>
      </c>
      <c r="AI128">
        <f>survey_responses[[#This Row],[Tôi thấy Nhà nước đã giải thích rõ ràng, minh bạch về lý do và mục tiêu của việc sửa đổi thuế lần này. - HUMAN-TRU4]]</f>
        <v>5</v>
      </c>
      <c r="AJ128">
        <f t="shared" si="47"/>
        <v>0.44444444444444442</v>
      </c>
      <c r="AK128" s="32">
        <f t="shared" si="48"/>
        <v>0.61111111111111116</v>
      </c>
      <c r="AL128" s="32">
        <f t="shared" si="49"/>
        <v>0.1111111111111111</v>
      </c>
      <c r="AM128" s="7">
        <f t="shared" si="50"/>
        <v>0.64814814814814825</v>
      </c>
      <c r="AN128" s="7">
        <f t="shared" si="51"/>
        <v>0.1111111111111111</v>
      </c>
      <c r="AO128">
        <f>step3_validation[[#This Row],[AI_OUT1]]</f>
        <v>7</v>
      </c>
      <c r="AP128">
        <f t="shared" si="52"/>
        <v>0.66666666666666663</v>
      </c>
      <c r="AQ128">
        <f>survey_responses[[#This Row],[Sau khi xem xét các quyền lợi và nghĩa vụ, bạn có ủng hộ và tuân thủ chính sách mới hiện nay? - HUMAN-OUT1]]</f>
        <v>5</v>
      </c>
      <c r="AR128">
        <f t="shared" si="53"/>
        <v>0.44444444444444442</v>
      </c>
      <c r="AS128" s="32">
        <f t="shared" si="54"/>
        <v>2</v>
      </c>
      <c r="AT128">
        <f t="shared" si="55"/>
        <v>0</v>
      </c>
    </row>
    <row r="129" spans="1:46" x14ac:dyDescent="0.45">
      <c r="A129">
        <f>step3_validation[[#This Row],[AI_ENF1]]</f>
        <v>8</v>
      </c>
      <c r="B129">
        <f t="shared" si="28"/>
        <v>0.77777777777777779</v>
      </c>
      <c r="C129">
        <f>survey_responses[[#This Row],[Tôi tin rằng với các quy định quản lý thuế hiện nay, hành vi gian lận hoặc trốn thuế sẽ dễ dàng bị phát hiện và xử lý nghiêm. - HUMAN-ENF1]]</f>
        <v>6</v>
      </c>
      <c r="D129">
        <f t="shared" si="29"/>
        <v>0.55555555555555558</v>
      </c>
      <c r="E129">
        <f>step3_validation[[#This Row],[AI_ENF2]]</f>
        <v>8</v>
      </c>
      <c r="F129">
        <f t="shared" si="30"/>
        <v>0.77777777777777779</v>
      </c>
      <c r="G129">
        <f>survey_responses[[#This Row],[Tôi tin rằng Nhà nước, cơ quan thuế có đủ khả năng và công nghệ để phát hiện, xử lý nghiêm các hành vi trốn thuế. - HUMAN-ENF2]]</f>
        <v>6</v>
      </c>
      <c r="H129">
        <f t="shared" si="31"/>
        <v>0.55555555555555558</v>
      </c>
      <c r="I129" s="32">
        <f t="shared" si="32"/>
        <v>0.77777777777777779</v>
      </c>
      <c r="J129" s="32">
        <f t="shared" si="33"/>
        <v>0.55555555555555558</v>
      </c>
      <c r="K129">
        <f>step3_validation[[#This Row],[AI_FAC1]]</f>
        <v>7</v>
      </c>
      <c r="L129">
        <f t="shared" si="34"/>
        <v>0.66666666666666663</v>
      </c>
      <c r="M129">
        <f>survey_responses[[#This Row],[Các thủ tục khai báo thuế VÀ/HOẶC quy trình làm việc với cơ quan thuế đơn giản, tiện lợi, nhanh chóng hơn so với trước đây. - HUMAN-FAC1]]</f>
        <v>6</v>
      </c>
      <c r="N129">
        <f t="shared" si="35"/>
        <v>0.55555555555555558</v>
      </c>
      <c r="O129">
        <f>step3_validation[[#This Row],[AI_FAC2]]</f>
        <v>9</v>
      </c>
      <c r="P129">
        <f t="shared" si="36"/>
        <v>0.88888888888888884</v>
      </c>
      <c r="Q129">
        <f>survey_responses[[#This Row],[So với trước đây, tôi thấy cách tính thuế và các bậc thuế trong phương án mới đơn giản, dễ hiểu và dễ thực hiện hơn. - HUMAN-FAC2]]</f>
        <v>8</v>
      </c>
      <c r="R129">
        <f t="shared" si="37"/>
        <v>0.77777777777777779</v>
      </c>
      <c r="S129" s="32">
        <f t="shared" si="38"/>
        <v>0.77777777777777768</v>
      </c>
      <c r="T129" s="32">
        <f t="shared" si="39"/>
        <v>0.66666666666666674</v>
      </c>
      <c r="U129">
        <f>step3_validation[[#This Row],[AI_TRU1]]</f>
        <v>6</v>
      </c>
      <c r="V129">
        <f t="shared" si="40"/>
        <v>0.55555555555555558</v>
      </c>
      <c r="W129">
        <f>survey_responses[[#This Row],[Tôi tin rằng Nhà nước, cơ quan thuế sẽ thực thi chính sách mới một cách khách quan, công tâm và đối xử bình đẳng với mọi người nộp thuế.  - HUMAN-TRU1]]</f>
        <v>6</v>
      </c>
      <c r="X129">
        <f t="shared" si="41"/>
        <v>0.55555555555555558</v>
      </c>
      <c r="Y129">
        <f>step3_validation[[#This Row],[AI_TRU2]]</f>
        <v>7</v>
      </c>
      <c r="Z129">
        <f t="shared" si="42"/>
        <v>0.66666666666666663</v>
      </c>
      <c r="AA129">
        <f>survey_responses[[#This Row],[Tôi thấy mức thuế tôi phải đóng theo phương án mới là công bằng (người thu nhập như tôi đóng mức này là hợp lý). - HUMAN-TRU2]]</f>
        <v>3</v>
      </c>
      <c r="AB129">
        <f t="shared" si="43"/>
        <v>0.22222222222222221</v>
      </c>
      <c r="AC129">
        <f>step3_validation[[#This Row],[AI_TRU3]]</f>
        <v>6</v>
      </c>
      <c r="AD129">
        <f t="shared" si="44"/>
        <v>0.55555555555555558</v>
      </c>
      <c r="AE129">
        <f>survey_responses[[#This Row],[Tôi tin tưởng số tiền thuế tôi đóng sẽ được Nhà nước sử dụng hiệu quả để cải thiện dịch vụ công (y tế, đường xá...). - HUMAN-TRU3]]</f>
        <v>5</v>
      </c>
      <c r="AF129">
        <f t="shared" si="45"/>
        <v>0.44444444444444442</v>
      </c>
      <c r="AG129">
        <f>step3_validation[[#This Row],[AI_TRU4]]</f>
        <v>5</v>
      </c>
      <c r="AH129">
        <f t="shared" si="46"/>
        <v>0.44444444444444442</v>
      </c>
      <c r="AI129">
        <f>survey_responses[[#This Row],[Tôi thấy Nhà nước đã giải thích rõ ràng, minh bạch về lý do và mục tiêu của việc sửa đổi thuế lần này. - HUMAN-TRU4]]</f>
        <v>5</v>
      </c>
      <c r="AJ129">
        <f t="shared" si="47"/>
        <v>0.44444444444444442</v>
      </c>
      <c r="AK129" s="32">
        <f t="shared" si="48"/>
        <v>0.55555555555555558</v>
      </c>
      <c r="AL129" s="32">
        <f t="shared" si="49"/>
        <v>0.41666666666666669</v>
      </c>
      <c r="AM129" s="7">
        <f t="shared" si="50"/>
        <v>0.70370370370370361</v>
      </c>
      <c r="AN129" s="7">
        <f t="shared" si="51"/>
        <v>0.54629629629629639</v>
      </c>
      <c r="AO129">
        <f>step3_validation[[#This Row],[AI_OUT1]]</f>
        <v>7</v>
      </c>
      <c r="AP129">
        <f t="shared" si="52"/>
        <v>0.66666666666666663</v>
      </c>
      <c r="AQ129">
        <f>survey_responses[[#This Row],[Sau khi xem xét các quyền lợi và nghĩa vụ, bạn có ủng hộ và tuân thủ chính sách mới hiện nay? - HUMAN-OUT1]]</f>
        <v>4</v>
      </c>
      <c r="AR129">
        <f t="shared" si="53"/>
        <v>0.33333333333333331</v>
      </c>
      <c r="AS129" s="32">
        <f t="shared" si="54"/>
        <v>3</v>
      </c>
      <c r="AT129">
        <f t="shared" si="55"/>
        <v>0</v>
      </c>
    </row>
    <row r="130" spans="1:46" x14ac:dyDescent="0.45">
      <c r="A130">
        <f>step3_validation[[#This Row],[AI_ENF1]]</f>
        <v>7</v>
      </c>
      <c r="B130">
        <f t="shared" si="28"/>
        <v>0.66666666666666663</v>
      </c>
      <c r="C130">
        <f>survey_responses[[#This Row],[Tôi tin rằng với các quy định quản lý thuế hiện nay, hành vi gian lận hoặc trốn thuế sẽ dễ dàng bị phát hiện và xử lý nghiêm. - HUMAN-ENF1]]</f>
        <v>6</v>
      </c>
      <c r="D130">
        <f t="shared" si="29"/>
        <v>0.55555555555555558</v>
      </c>
      <c r="E130">
        <f>step3_validation[[#This Row],[AI_ENF2]]</f>
        <v>6</v>
      </c>
      <c r="F130">
        <f t="shared" si="30"/>
        <v>0.55555555555555558</v>
      </c>
      <c r="G130">
        <f>survey_responses[[#This Row],[Tôi tin rằng Nhà nước, cơ quan thuế có đủ khả năng và công nghệ để phát hiện, xử lý nghiêm các hành vi trốn thuế. - HUMAN-ENF2]]</f>
        <v>6</v>
      </c>
      <c r="H130">
        <f t="shared" si="31"/>
        <v>0.55555555555555558</v>
      </c>
      <c r="I130" s="32">
        <f t="shared" si="32"/>
        <v>0.61111111111111116</v>
      </c>
      <c r="J130" s="32">
        <f t="shared" si="33"/>
        <v>0.55555555555555558</v>
      </c>
      <c r="K130">
        <f>step3_validation[[#This Row],[AI_FAC1]]</f>
        <v>8</v>
      </c>
      <c r="L130">
        <f t="shared" si="34"/>
        <v>0.77777777777777779</v>
      </c>
      <c r="M130">
        <f>survey_responses[[#This Row],[Các thủ tục khai báo thuế VÀ/HOẶC quy trình làm việc với cơ quan thuế đơn giản, tiện lợi, nhanh chóng hơn so với trước đây. - HUMAN-FAC1]]</f>
        <v>4</v>
      </c>
      <c r="N130">
        <f t="shared" si="35"/>
        <v>0.33333333333333331</v>
      </c>
      <c r="O130">
        <f>step3_validation[[#This Row],[AI_FAC2]]</f>
        <v>9</v>
      </c>
      <c r="P130">
        <f t="shared" si="36"/>
        <v>0.88888888888888884</v>
      </c>
      <c r="Q130">
        <f>survey_responses[[#This Row],[So với trước đây, tôi thấy cách tính thuế và các bậc thuế trong phương án mới đơn giản, dễ hiểu và dễ thực hiện hơn. - HUMAN-FAC2]]</f>
        <v>5</v>
      </c>
      <c r="R130">
        <f t="shared" si="37"/>
        <v>0.44444444444444442</v>
      </c>
      <c r="S130" s="32">
        <f t="shared" si="38"/>
        <v>0.83333333333333326</v>
      </c>
      <c r="T130" s="32">
        <f t="shared" si="39"/>
        <v>0.38888888888888884</v>
      </c>
      <c r="U130">
        <f>step3_validation[[#This Row],[AI_TRU1]]</f>
        <v>7</v>
      </c>
      <c r="V130">
        <f t="shared" si="40"/>
        <v>0.66666666666666663</v>
      </c>
      <c r="W130">
        <f>survey_responses[[#This Row],[Tôi tin rằng Nhà nước, cơ quan thuế sẽ thực thi chính sách mới một cách khách quan, công tâm và đối xử bình đẳng với mọi người nộp thuế.  - HUMAN-TRU1]]</f>
        <v>5</v>
      </c>
      <c r="X130">
        <f t="shared" si="41"/>
        <v>0.44444444444444442</v>
      </c>
      <c r="Y130">
        <f>step3_validation[[#This Row],[AI_TRU2]]</f>
        <v>6</v>
      </c>
      <c r="Z130">
        <f t="shared" si="42"/>
        <v>0.55555555555555558</v>
      </c>
      <c r="AA130">
        <f>survey_responses[[#This Row],[Tôi thấy mức thuế tôi phải đóng theo phương án mới là công bằng (người thu nhập như tôi đóng mức này là hợp lý). - HUMAN-TRU2]]</f>
        <v>1</v>
      </c>
      <c r="AB130">
        <f t="shared" si="43"/>
        <v>0</v>
      </c>
      <c r="AC130">
        <f>step3_validation[[#This Row],[AI_TRU3]]</f>
        <v>7</v>
      </c>
      <c r="AD130">
        <f t="shared" si="44"/>
        <v>0.66666666666666663</v>
      </c>
      <c r="AE130">
        <f>survey_responses[[#This Row],[Tôi tin tưởng số tiền thuế tôi đóng sẽ được Nhà nước sử dụng hiệu quả để cải thiện dịch vụ công (y tế, đường xá...). - HUMAN-TRU3]]</f>
        <v>5</v>
      </c>
      <c r="AF130">
        <f t="shared" si="45"/>
        <v>0.44444444444444442</v>
      </c>
      <c r="AG130">
        <f>step3_validation[[#This Row],[AI_TRU4]]</f>
        <v>6</v>
      </c>
      <c r="AH130">
        <f t="shared" si="46"/>
        <v>0.55555555555555558</v>
      </c>
      <c r="AI130">
        <f>survey_responses[[#This Row],[Tôi thấy Nhà nước đã giải thích rõ ràng, minh bạch về lý do và mục tiêu của việc sửa đổi thuế lần này. - HUMAN-TRU4]]</f>
        <v>4</v>
      </c>
      <c r="AJ130">
        <f t="shared" si="47"/>
        <v>0.33333333333333331</v>
      </c>
      <c r="AK130" s="32">
        <f t="shared" si="48"/>
        <v>0.61111111111111116</v>
      </c>
      <c r="AL130" s="32">
        <f t="shared" si="49"/>
        <v>0.30555555555555552</v>
      </c>
      <c r="AM130" s="7">
        <f t="shared" si="50"/>
        <v>0.68518518518518512</v>
      </c>
      <c r="AN130" s="7">
        <f t="shared" si="51"/>
        <v>0.41666666666666669</v>
      </c>
      <c r="AO130">
        <f>step3_validation[[#This Row],[AI_OUT1]]</f>
        <v>5</v>
      </c>
      <c r="AP130">
        <f t="shared" si="52"/>
        <v>0.44444444444444442</v>
      </c>
      <c r="AQ130">
        <f>survey_responses[[#This Row],[Sau khi xem xét các quyền lợi và nghĩa vụ, bạn có ủng hộ và tuân thủ chính sách mới hiện nay? - HUMAN-OUT1]]</f>
        <v>5</v>
      </c>
      <c r="AR130">
        <f t="shared" si="53"/>
        <v>0.44444444444444442</v>
      </c>
      <c r="AS130" s="32">
        <f t="shared" si="54"/>
        <v>0</v>
      </c>
      <c r="AT130">
        <f t="shared" si="55"/>
        <v>0</v>
      </c>
    </row>
    <row r="131" spans="1:46" x14ac:dyDescent="0.45">
      <c r="A131">
        <f>step3_validation[[#This Row],[AI_ENF1]]</f>
        <v>4</v>
      </c>
      <c r="B131">
        <f t="shared" ref="B131:B194" si="56">(A131-1)/9</f>
        <v>0.33333333333333331</v>
      </c>
      <c r="C131">
        <f>survey_responses[[#This Row],[Tôi tin rằng với các quy định quản lý thuế hiện nay, hành vi gian lận hoặc trốn thuế sẽ dễ dàng bị phát hiện và xử lý nghiêm. - HUMAN-ENF1]]</f>
        <v>5</v>
      </c>
      <c r="D131">
        <f t="shared" ref="D131:D194" si="57">(C131-1)/9</f>
        <v>0.44444444444444442</v>
      </c>
      <c r="E131">
        <f>step3_validation[[#This Row],[AI_ENF2]]</f>
        <v>6</v>
      </c>
      <c r="F131">
        <f t="shared" ref="F131:F194" si="58">(E131-1)/9</f>
        <v>0.55555555555555558</v>
      </c>
      <c r="G131">
        <f>survey_responses[[#This Row],[Tôi tin rằng Nhà nước, cơ quan thuế có đủ khả năng và công nghệ để phát hiện, xử lý nghiêm các hành vi trốn thuế. - HUMAN-ENF2]]</f>
        <v>5</v>
      </c>
      <c r="H131">
        <f t="shared" ref="H131:H194" si="59">(G131-1)/9</f>
        <v>0.44444444444444442</v>
      </c>
      <c r="I131" s="32">
        <f t="shared" ref="I131:I194" si="60">AVERAGE(B131,F131)</f>
        <v>0.44444444444444442</v>
      </c>
      <c r="J131" s="32">
        <f t="shared" ref="J131:J194" si="61">AVERAGE(D131,H131)</f>
        <v>0.44444444444444442</v>
      </c>
      <c r="K131">
        <f>step3_validation[[#This Row],[AI_FAC1]]</f>
        <v>7</v>
      </c>
      <c r="L131">
        <f t="shared" ref="L131:L194" si="62">(K131-1)/9</f>
        <v>0.66666666666666663</v>
      </c>
      <c r="M131">
        <f>survey_responses[[#This Row],[Các thủ tục khai báo thuế VÀ/HOẶC quy trình làm việc với cơ quan thuế đơn giản, tiện lợi, nhanh chóng hơn so với trước đây. - HUMAN-FAC1]]</f>
        <v>1</v>
      </c>
      <c r="N131">
        <f t="shared" ref="N131:N194" si="63">(M131-1)/9</f>
        <v>0</v>
      </c>
      <c r="O131">
        <f>step3_validation[[#This Row],[AI_FAC2]]</f>
        <v>8</v>
      </c>
      <c r="P131">
        <f t="shared" ref="P131:P194" si="64">(O131-1)/9</f>
        <v>0.77777777777777779</v>
      </c>
      <c r="Q131">
        <f>survey_responses[[#This Row],[So với trước đây, tôi thấy cách tính thuế và các bậc thuế trong phương án mới đơn giản, dễ hiểu và dễ thực hiện hơn. - HUMAN-FAC2]]</f>
        <v>4</v>
      </c>
      <c r="R131">
        <f t="shared" ref="R131:R194" si="65">(Q131-1)/9</f>
        <v>0.33333333333333331</v>
      </c>
      <c r="S131" s="32">
        <f t="shared" ref="S131:S194" si="66">AVERAGE(L131,P131)</f>
        <v>0.72222222222222221</v>
      </c>
      <c r="T131" s="32">
        <f t="shared" ref="T131:T194" si="67">AVERAGE(N131,R131)</f>
        <v>0.16666666666666666</v>
      </c>
      <c r="U131">
        <f>step3_validation[[#This Row],[AI_TRU1]]</f>
        <v>6</v>
      </c>
      <c r="V131">
        <f t="shared" ref="V131:V194" si="68">(U131-1)/9</f>
        <v>0.55555555555555558</v>
      </c>
      <c r="W131">
        <f>survey_responses[[#This Row],[Tôi tin rằng Nhà nước, cơ quan thuế sẽ thực thi chính sách mới một cách khách quan, công tâm và đối xử bình đẳng với mọi người nộp thuế.  - HUMAN-TRU1]]</f>
        <v>2</v>
      </c>
      <c r="X131">
        <f t="shared" ref="X131:X194" si="69">(W131-1)/9</f>
        <v>0.1111111111111111</v>
      </c>
      <c r="Y131">
        <f>step3_validation[[#This Row],[AI_TRU2]]</f>
        <v>5</v>
      </c>
      <c r="Z131">
        <f t="shared" ref="Z131:Z194" si="70">(Y131-1)/9</f>
        <v>0.44444444444444442</v>
      </c>
      <c r="AA131">
        <f>survey_responses[[#This Row],[Tôi thấy mức thuế tôi phải đóng theo phương án mới là công bằng (người thu nhập như tôi đóng mức này là hợp lý). - HUMAN-TRU2]]</f>
        <v>1</v>
      </c>
      <c r="AB131">
        <f t="shared" ref="AB131:AB194" si="71">(AA131-1)/9</f>
        <v>0</v>
      </c>
      <c r="AC131">
        <f>step3_validation[[#This Row],[AI_TRU3]]</f>
        <v>6</v>
      </c>
      <c r="AD131">
        <f t="shared" ref="AD131:AD194" si="72">(AC131-1)/9</f>
        <v>0.55555555555555558</v>
      </c>
      <c r="AE131">
        <f>survey_responses[[#This Row],[Tôi tin tưởng số tiền thuế tôi đóng sẽ được Nhà nước sử dụng hiệu quả để cải thiện dịch vụ công (y tế, đường xá...). - HUMAN-TRU3]]</f>
        <v>1</v>
      </c>
      <c r="AF131">
        <f t="shared" ref="AF131:AF194" si="73">(AE131-1)/9</f>
        <v>0</v>
      </c>
      <c r="AG131">
        <f>step3_validation[[#This Row],[AI_TRU4]]</f>
        <v>4</v>
      </c>
      <c r="AH131">
        <f t="shared" ref="AH131:AH194" si="74">(AG131-1)/9</f>
        <v>0.33333333333333331</v>
      </c>
      <c r="AI131">
        <f>survey_responses[[#This Row],[Tôi thấy Nhà nước đã giải thích rõ ràng, minh bạch về lý do và mục tiêu của việc sửa đổi thuế lần này. - HUMAN-TRU4]]</f>
        <v>1</v>
      </c>
      <c r="AJ131">
        <f t="shared" ref="AJ131:AJ194" si="75">(AI131-1)/9</f>
        <v>0</v>
      </c>
      <c r="AK131" s="32">
        <f t="shared" ref="AK131:AK194" si="76">AVERAGE(V131,Z131,AD131,AH131)</f>
        <v>0.47222222222222221</v>
      </c>
      <c r="AL131" s="32">
        <f t="shared" ref="AL131:AL194" si="77">AVERAGE(X131,AB131,AF131,AJ131)</f>
        <v>2.7777777777777776E-2</v>
      </c>
      <c r="AM131" s="7">
        <f t="shared" ref="AM131:AM194" si="78">(I131+S131+AK131)/3</f>
        <v>0.54629629629629628</v>
      </c>
      <c r="AN131" s="7">
        <f t="shared" ref="AN131:AN194" si="79">(J131+T131+AL131)/3</f>
        <v>0.21296296296296294</v>
      </c>
      <c r="AO131">
        <f>step3_validation[[#This Row],[AI_OUT1]]</f>
        <v>5</v>
      </c>
      <c r="AP131">
        <f t="shared" ref="AP131:AP194" si="80">(AO131-1)/9</f>
        <v>0.44444444444444442</v>
      </c>
      <c r="AQ131">
        <f>survey_responses[[#This Row],[Sau khi xem xét các quyền lợi và nghĩa vụ, bạn có ủng hộ và tuân thủ chính sách mới hiện nay? - HUMAN-OUT1]]</f>
        <v>5</v>
      </c>
      <c r="AR131">
        <f t="shared" ref="AR131:AR194" si="81">(AQ131-1)/9</f>
        <v>0.44444444444444442</v>
      </c>
      <c r="AS131" s="32">
        <f t="shared" ref="AS131:AS194" si="82">ABS(AQ131-AO131)</f>
        <v>0</v>
      </c>
      <c r="AT131">
        <f t="shared" ref="AT131:AT194" si="83">IF(AQ131&gt;=6,1,0)</f>
        <v>0</v>
      </c>
    </row>
    <row r="132" spans="1:46" x14ac:dyDescent="0.45">
      <c r="A132">
        <f>step3_validation[[#This Row],[AI_ENF1]]</f>
        <v>8</v>
      </c>
      <c r="B132">
        <f t="shared" si="56"/>
        <v>0.77777777777777779</v>
      </c>
      <c r="C132">
        <f>survey_responses[[#This Row],[Tôi tin rằng với các quy định quản lý thuế hiện nay, hành vi gian lận hoặc trốn thuế sẽ dễ dàng bị phát hiện và xử lý nghiêm. - HUMAN-ENF1]]</f>
        <v>8</v>
      </c>
      <c r="D132">
        <f t="shared" si="57"/>
        <v>0.77777777777777779</v>
      </c>
      <c r="E132">
        <f>step3_validation[[#This Row],[AI_ENF2]]</f>
        <v>7</v>
      </c>
      <c r="F132">
        <f t="shared" si="58"/>
        <v>0.66666666666666663</v>
      </c>
      <c r="G132">
        <f>survey_responses[[#This Row],[Tôi tin rằng Nhà nước, cơ quan thuế có đủ khả năng và công nghệ để phát hiện, xử lý nghiêm các hành vi trốn thuế. - HUMAN-ENF2]]</f>
        <v>9</v>
      </c>
      <c r="H132">
        <f t="shared" si="59"/>
        <v>0.88888888888888884</v>
      </c>
      <c r="I132" s="32">
        <f t="shared" si="60"/>
        <v>0.72222222222222221</v>
      </c>
      <c r="J132" s="32">
        <f t="shared" si="61"/>
        <v>0.83333333333333326</v>
      </c>
      <c r="K132">
        <f>step3_validation[[#This Row],[AI_FAC1]]</f>
        <v>9</v>
      </c>
      <c r="L132">
        <f t="shared" si="62"/>
        <v>0.88888888888888884</v>
      </c>
      <c r="M132">
        <f>survey_responses[[#This Row],[Các thủ tục khai báo thuế VÀ/HOẶC quy trình làm việc với cơ quan thuế đơn giản, tiện lợi, nhanh chóng hơn so với trước đây. - HUMAN-FAC1]]</f>
        <v>5</v>
      </c>
      <c r="N132">
        <f t="shared" si="63"/>
        <v>0.44444444444444442</v>
      </c>
      <c r="O132">
        <f>step3_validation[[#This Row],[AI_FAC2]]</f>
        <v>8</v>
      </c>
      <c r="P132">
        <f t="shared" si="64"/>
        <v>0.77777777777777779</v>
      </c>
      <c r="Q132">
        <f>survey_responses[[#This Row],[So với trước đây, tôi thấy cách tính thuế và các bậc thuế trong phương án mới đơn giản, dễ hiểu và dễ thực hiện hơn. - HUMAN-FAC2]]</f>
        <v>5</v>
      </c>
      <c r="R132">
        <f t="shared" si="65"/>
        <v>0.44444444444444442</v>
      </c>
      <c r="S132" s="32">
        <f t="shared" si="66"/>
        <v>0.83333333333333326</v>
      </c>
      <c r="T132" s="32">
        <f t="shared" si="67"/>
        <v>0.44444444444444442</v>
      </c>
      <c r="U132">
        <f>step3_validation[[#This Row],[AI_TRU1]]</f>
        <v>7</v>
      </c>
      <c r="V132">
        <f t="shared" si="68"/>
        <v>0.66666666666666663</v>
      </c>
      <c r="W132">
        <f>survey_responses[[#This Row],[Tôi tin rằng Nhà nước, cơ quan thuế sẽ thực thi chính sách mới một cách khách quan, công tâm và đối xử bình đẳng với mọi người nộp thuế.  - HUMAN-TRU1]]</f>
        <v>5</v>
      </c>
      <c r="X132">
        <f t="shared" si="69"/>
        <v>0.44444444444444442</v>
      </c>
      <c r="Y132">
        <f>step3_validation[[#This Row],[AI_TRU2]]</f>
        <v>8</v>
      </c>
      <c r="Z132">
        <f t="shared" si="70"/>
        <v>0.77777777777777779</v>
      </c>
      <c r="AA132">
        <f>survey_responses[[#This Row],[Tôi thấy mức thuế tôi phải đóng theo phương án mới là công bằng (người thu nhập như tôi đóng mức này là hợp lý). - HUMAN-TRU2]]</f>
        <v>4</v>
      </c>
      <c r="AB132">
        <f t="shared" si="71"/>
        <v>0.33333333333333331</v>
      </c>
      <c r="AC132">
        <f>step3_validation[[#This Row],[AI_TRU3]]</f>
        <v>6</v>
      </c>
      <c r="AD132">
        <f t="shared" si="72"/>
        <v>0.55555555555555558</v>
      </c>
      <c r="AE132">
        <f>survey_responses[[#This Row],[Tôi tin tưởng số tiền thuế tôi đóng sẽ được Nhà nước sử dụng hiệu quả để cải thiện dịch vụ công (y tế, đường xá...). - HUMAN-TRU3]]</f>
        <v>5</v>
      </c>
      <c r="AF132">
        <f t="shared" si="73"/>
        <v>0.44444444444444442</v>
      </c>
      <c r="AG132">
        <f>step3_validation[[#This Row],[AI_TRU4]]</f>
        <v>7</v>
      </c>
      <c r="AH132">
        <f t="shared" si="74"/>
        <v>0.66666666666666663</v>
      </c>
      <c r="AI132">
        <f>survey_responses[[#This Row],[Tôi thấy Nhà nước đã giải thích rõ ràng, minh bạch về lý do và mục tiêu của việc sửa đổi thuế lần này. - HUMAN-TRU4]]</f>
        <v>5</v>
      </c>
      <c r="AJ132">
        <f t="shared" si="75"/>
        <v>0.44444444444444442</v>
      </c>
      <c r="AK132" s="32">
        <f t="shared" si="76"/>
        <v>0.66666666666666663</v>
      </c>
      <c r="AL132" s="32">
        <f t="shared" si="77"/>
        <v>0.41666666666666663</v>
      </c>
      <c r="AM132" s="7">
        <f t="shared" si="78"/>
        <v>0.74074074074074059</v>
      </c>
      <c r="AN132" s="7">
        <f t="shared" si="79"/>
        <v>0.56481481481481477</v>
      </c>
      <c r="AO132">
        <f>step3_validation[[#This Row],[AI_OUT1]]</f>
        <v>8</v>
      </c>
      <c r="AP132">
        <f t="shared" si="80"/>
        <v>0.77777777777777779</v>
      </c>
      <c r="AQ132">
        <f>survey_responses[[#This Row],[Sau khi xem xét các quyền lợi và nghĩa vụ, bạn có ủng hộ và tuân thủ chính sách mới hiện nay? - HUMAN-OUT1]]</f>
        <v>5</v>
      </c>
      <c r="AR132">
        <f t="shared" si="81"/>
        <v>0.44444444444444442</v>
      </c>
      <c r="AS132" s="32">
        <f t="shared" si="82"/>
        <v>3</v>
      </c>
      <c r="AT132">
        <f t="shared" si="83"/>
        <v>0</v>
      </c>
    </row>
    <row r="133" spans="1:46" x14ac:dyDescent="0.45">
      <c r="A133">
        <f>step3_validation[[#This Row],[AI_ENF1]]</f>
        <v>7</v>
      </c>
      <c r="B133">
        <f t="shared" si="56"/>
        <v>0.66666666666666663</v>
      </c>
      <c r="C133">
        <f>survey_responses[[#This Row],[Tôi tin rằng với các quy định quản lý thuế hiện nay, hành vi gian lận hoặc trốn thuế sẽ dễ dàng bị phát hiện và xử lý nghiêm. - HUMAN-ENF1]]</f>
        <v>9</v>
      </c>
      <c r="D133">
        <f t="shared" si="57"/>
        <v>0.88888888888888884</v>
      </c>
      <c r="E133">
        <f>step3_validation[[#This Row],[AI_ENF2]]</f>
        <v>6</v>
      </c>
      <c r="F133">
        <f t="shared" si="58"/>
        <v>0.55555555555555558</v>
      </c>
      <c r="G133">
        <f>survey_responses[[#This Row],[Tôi tin rằng Nhà nước, cơ quan thuế có đủ khả năng và công nghệ để phát hiện, xử lý nghiêm các hành vi trốn thuế. - HUMAN-ENF2]]</f>
        <v>9</v>
      </c>
      <c r="H133">
        <f t="shared" si="59"/>
        <v>0.88888888888888884</v>
      </c>
      <c r="I133" s="32">
        <f t="shared" si="60"/>
        <v>0.61111111111111116</v>
      </c>
      <c r="J133" s="32">
        <f t="shared" si="61"/>
        <v>0.88888888888888884</v>
      </c>
      <c r="K133">
        <f>step3_validation[[#This Row],[AI_FAC1]]</f>
        <v>8</v>
      </c>
      <c r="L133">
        <f t="shared" si="62"/>
        <v>0.77777777777777779</v>
      </c>
      <c r="M133">
        <f>survey_responses[[#This Row],[Các thủ tục khai báo thuế VÀ/HOẶC quy trình làm việc với cơ quan thuế đơn giản, tiện lợi, nhanh chóng hơn so với trước đây. - HUMAN-FAC1]]</f>
        <v>9</v>
      </c>
      <c r="N133">
        <f t="shared" si="63"/>
        <v>0.88888888888888884</v>
      </c>
      <c r="O133">
        <f>step3_validation[[#This Row],[AI_FAC2]]</f>
        <v>7</v>
      </c>
      <c r="P133">
        <f t="shared" si="64"/>
        <v>0.66666666666666663</v>
      </c>
      <c r="Q133">
        <f>survey_responses[[#This Row],[So với trước đây, tôi thấy cách tính thuế và các bậc thuế trong phương án mới đơn giản, dễ hiểu và dễ thực hiện hơn. - HUMAN-FAC2]]</f>
        <v>9</v>
      </c>
      <c r="R133">
        <f t="shared" si="65"/>
        <v>0.88888888888888884</v>
      </c>
      <c r="S133" s="32">
        <f t="shared" si="66"/>
        <v>0.72222222222222221</v>
      </c>
      <c r="T133" s="32">
        <f t="shared" si="67"/>
        <v>0.88888888888888884</v>
      </c>
      <c r="U133">
        <f>step3_validation[[#This Row],[AI_TRU1]]</f>
        <v>6</v>
      </c>
      <c r="V133">
        <f t="shared" si="68"/>
        <v>0.55555555555555558</v>
      </c>
      <c r="W133">
        <f>survey_responses[[#This Row],[Tôi tin rằng Nhà nước, cơ quan thuế sẽ thực thi chính sách mới một cách khách quan, công tâm và đối xử bình đẳng với mọi người nộp thuế.  - HUMAN-TRU1]]</f>
        <v>7</v>
      </c>
      <c r="X133">
        <f t="shared" si="69"/>
        <v>0.66666666666666663</v>
      </c>
      <c r="Y133">
        <f>step3_validation[[#This Row],[AI_TRU2]]</f>
        <v>5</v>
      </c>
      <c r="Z133">
        <f t="shared" si="70"/>
        <v>0.44444444444444442</v>
      </c>
      <c r="AA133">
        <f>survey_responses[[#This Row],[Tôi thấy mức thuế tôi phải đóng theo phương án mới là công bằng (người thu nhập như tôi đóng mức này là hợp lý). - HUMAN-TRU2]]</f>
        <v>10</v>
      </c>
      <c r="AB133">
        <f t="shared" si="71"/>
        <v>1</v>
      </c>
      <c r="AC133">
        <f>step3_validation[[#This Row],[AI_TRU3]]</f>
        <v>4</v>
      </c>
      <c r="AD133">
        <f t="shared" si="72"/>
        <v>0.33333333333333331</v>
      </c>
      <c r="AE133">
        <f>survey_responses[[#This Row],[Tôi tin tưởng số tiền thuế tôi đóng sẽ được Nhà nước sử dụng hiệu quả để cải thiện dịch vụ công (y tế, đường xá...). - HUMAN-TRU3]]</f>
        <v>5</v>
      </c>
      <c r="AF133">
        <f t="shared" si="73"/>
        <v>0.44444444444444442</v>
      </c>
      <c r="AG133">
        <f>step3_validation[[#This Row],[AI_TRU4]]</f>
        <v>3</v>
      </c>
      <c r="AH133">
        <f t="shared" si="74"/>
        <v>0.22222222222222221</v>
      </c>
      <c r="AI133">
        <f>survey_responses[[#This Row],[Tôi thấy Nhà nước đã giải thích rõ ràng, minh bạch về lý do và mục tiêu của việc sửa đổi thuế lần này. - HUMAN-TRU4]]</f>
        <v>5</v>
      </c>
      <c r="AJ133">
        <f t="shared" si="75"/>
        <v>0.44444444444444442</v>
      </c>
      <c r="AK133" s="32">
        <f t="shared" si="76"/>
        <v>0.38888888888888884</v>
      </c>
      <c r="AL133" s="32">
        <f t="shared" si="77"/>
        <v>0.63888888888888884</v>
      </c>
      <c r="AM133" s="7">
        <f t="shared" si="78"/>
        <v>0.57407407407407407</v>
      </c>
      <c r="AN133" s="7">
        <f t="shared" si="79"/>
        <v>0.80555555555555547</v>
      </c>
      <c r="AO133">
        <f>step3_validation[[#This Row],[AI_OUT1]]</f>
        <v>6</v>
      </c>
      <c r="AP133">
        <f t="shared" si="80"/>
        <v>0.55555555555555558</v>
      </c>
      <c r="AQ133">
        <f>survey_responses[[#This Row],[Sau khi xem xét các quyền lợi và nghĩa vụ, bạn có ủng hộ và tuân thủ chính sách mới hiện nay? - HUMAN-OUT1]]</f>
        <v>9</v>
      </c>
      <c r="AR133">
        <f t="shared" si="81"/>
        <v>0.88888888888888884</v>
      </c>
      <c r="AS133" s="32">
        <f t="shared" si="82"/>
        <v>3</v>
      </c>
      <c r="AT133">
        <f t="shared" si="83"/>
        <v>1</v>
      </c>
    </row>
    <row r="134" spans="1:46" x14ac:dyDescent="0.45">
      <c r="A134">
        <f>step3_validation[[#This Row],[AI_ENF1]]</f>
        <v>8</v>
      </c>
      <c r="B134">
        <f t="shared" si="56"/>
        <v>0.77777777777777779</v>
      </c>
      <c r="C134">
        <f>survey_responses[[#This Row],[Tôi tin rằng với các quy định quản lý thuế hiện nay, hành vi gian lận hoặc trốn thuế sẽ dễ dàng bị phát hiện và xử lý nghiêm. - HUMAN-ENF1]]</f>
        <v>5</v>
      </c>
      <c r="D134">
        <f t="shared" si="57"/>
        <v>0.44444444444444442</v>
      </c>
      <c r="E134">
        <f>step3_validation[[#This Row],[AI_ENF2]]</f>
        <v>9</v>
      </c>
      <c r="F134">
        <f t="shared" si="58"/>
        <v>0.88888888888888884</v>
      </c>
      <c r="G134">
        <f>survey_responses[[#This Row],[Tôi tin rằng Nhà nước, cơ quan thuế có đủ khả năng và công nghệ để phát hiện, xử lý nghiêm các hành vi trốn thuế. - HUMAN-ENF2]]</f>
        <v>5</v>
      </c>
      <c r="H134">
        <f t="shared" si="59"/>
        <v>0.44444444444444442</v>
      </c>
      <c r="I134" s="32">
        <f t="shared" si="60"/>
        <v>0.83333333333333326</v>
      </c>
      <c r="J134" s="32">
        <f t="shared" si="61"/>
        <v>0.44444444444444442</v>
      </c>
      <c r="K134">
        <f>step3_validation[[#This Row],[AI_FAC1]]</f>
        <v>7</v>
      </c>
      <c r="L134">
        <f t="shared" si="62"/>
        <v>0.66666666666666663</v>
      </c>
      <c r="M134">
        <f>survey_responses[[#This Row],[Các thủ tục khai báo thuế VÀ/HOẶC quy trình làm việc với cơ quan thuế đơn giản, tiện lợi, nhanh chóng hơn so với trước đây. - HUMAN-FAC1]]</f>
        <v>5</v>
      </c>
      <c r="N134">
        <f t="shared" si="63"/>
        <v>0.44444444444444442</v>
      </c>
      <c r="O134">
        <f>step3_validation[[#This Row],[AI_FAC2]]</f>
        <v>8</v>
      </c>
      <c r="P134">
        <f t="shared" si="64"/>
        <v>0.77777777777777779</v>
      </c>
      <c r="Q134">
        <f>survey_responses[[#This Row],[So với trước đây, tôi thấy cách tính thuế và các bậc thuế trong phương án mới đơn giản, dễ hiểu và dễ thực hiện hơn. - HUMAN-FAC2]]</f>
        <v>5</v>
      </c>
      <c r="R134">
        <f t="shared" si="65"/>
        <v>0.44444444444444442</v>
      </c>
      <c r="S134" s="32">
        <f t="shared" si="66"/>
        <v>0.72222222222222221</v>
      </c>
      <c r="T134" s="32">
        <f t="shared" si="67"/>
        <v>0.44444444444444442</v>
      </c>
      <c r="U134">
        <f>step3_validation[[#This Row],[AI_TRU1]]</f>
        <v>9</v>
      </c>
      <c r="V134">
        <f t="shared" si="68"/>
        <v>0.88888888888888884</v>
      </c>
      <c r="W134">
        <f>survey_responses[[#This Row],[Tôi tin rằng Nhà nước, cơ quan thuế sẽ thực thi chính sách mới một cách khách quan, công tâm và đối xử bình đẳng với mọi người nộp thuế.  - HUMAN-TRU1]]</f>
        <v>5</v>
      </c>
      <c r="X134">
        <f t="shared" si="69"/>
        <v>0.44444444444444442</v>
      </c>
      <c r="Y134">
        <f>step3_validation[[#This Row],[AI_TRU2]]</f>
        <v>8</v>
      </c>
      <c r="Z134">
        <f t="shared" si="70"/>
        <v>0.77777777777777779</v>
      </c>
      <c r="AA134">
        <f>survey_responses[[#This Row],[Tôi thấy mức thuế tôi phải đóng theo phương án mới là công bằng (người thu nhập như tôi đóng mức này là hợp lý). - HUMAN-TRU2]]</f>
        <v>5</v>
      </c>
      <c r="AB134">
        <f t="shared" si="71"/>
        <v>0.44444444444444442</v>
      </c>
      <c r="AC134">
        <f>step3_validation[[#This Row],[AI_TRU3]]</f>
        <v>9</v>
      </c>
      <c r="AD134">
        <f t="shared" si="72"/>
        <v>0.88888888888888884</v>
      </c>
      <c r="AE134">
        <f>survey_responses[[#This Row],[Tôi tin tưởng số tiền thuế tôi đóng sẽ được Nhà nước sử dụng hiệu quả để cải thiện dịch vụ công (y tế, đường xá...). - HUMAN-TRU3]]</f>
        <v>5</v>
      </c>
      <c r="AF134">
        <f t="shared" si="73"/>
        <v>0.44444444444444442</v>
      </c>
      <c r="AG134">
        <f>step3_validation[[#This Row],[AI_TRU4]]</f>
        <v>7</v>
      </c>
      <c r="AH134">
        <f t="shared" si="74"/>
        <v>0.66666666666666663</v>
      </c>
      <c r="AI134">
        <f>survey_responses[[#This Row],[Tôi thấy Nhà nước đã giải thích rõ ràng, minh bạch về lý do và mục tiêu của việc sửa đổi thuế lần này. - HUMAN-TRU4]]</f>
        <v>5</v>
      </c>
      <c r="AJ134">
        <f t="shared" si="75"/>
        <v>0.44444444444444442</v>
      </c>
      <c r="AK134" s="32">
        <f t="shared" si="76"/>
        <v>0.80555555555555547</v>
      </c>
      <c r="AL134" s="32">
        <f t="shared" si="77"/>
        <v>0.44444444444444442</v>
      </c>
      <c r="AM134" s="7">
        <f t="shared" si="78"/>
        <v>0.78703703703703687</v>
      </c>
      <c r="AN134" s="7">
        <f t="shared" si="79"/>
        <v>0.44444444444444442</v>
      </c>
      <c r="AO134">
        <f>step3_validation[[#This Row],[AI_OUT1]]</f>
        <v>8</v>
      </c>
      <c r="AP134">
        <f t="shared" si="80"/>
        <v>0.77777777777777779</v>
      </c>
      <c r="AQ134">
        <f>survey_responses[[#This Row],[Sau khi xem xét các quyền lợi và nghĩa vụ, bạn có ủng hộ và tuân thủ chính sách mới hiện nay? - HUMAN-OUT1]]</f>
        <v>5</v>
      </c>
      <c r="AR134">
        <f t="shared" si="81"/>
        <v>0.44444444444444442</v>
      </c>
      <c r="AS134" s="32">
        <f t="shared" si="82"/>
        <v>3</v>
      </c>
      <c r="AT134">
        <f t="shared" si="83"/>
        <v>0</v>
      </c>
    </row>
    <row r="135" spans="1:46" x14ac:dyDescent="0.45">
      <c r="A135">
        <f>step3_validation[[#This Row],[AI_ENF1]]</f>
        <v>8</v>
      </c>
      <c r="B135">
        <f t="shared" si="56"/>
        <v>0.77777777777777779</v>
      </c>
      <c r="C135">
        <f>survey_responses[[#This Row],[Tôi tin rằng với các quy định quản lý thuế hiện nay, hành vi gian lận hoặc trốn thuế sẽ dễ dàng bị phát hiện và xử lý nghiêm. - HUMAN-ENF1]]</f>
        <v>9</v>
      </c>
      <c r="D135">
        <f t="shared" si="57"/>
        <v>0.88888888888888884</v>
      </c>
      <c r="E135">
        <f>step3_validation[[#This Row],[AI_ENF2]]</f>
        <v>9</v>
      </c>
      <c r="F135">
        <f t="shared" si="58"/>
        <v>0.88888888888888884</v>
      </c>
      <c r="G135">
        <f>survey_responses[[#This Row],[Tôi tin rằng Nhà nước, cơ quan thuế có đủ khả năng và công nghệ để phát hiện, xử lý nghiêm các hành vi trốn thuế. - HUMAN-ENF2]]</f>
        <v>9</v>
      </c>
      <c r="H135">
        <f t="shared" si="59"/>
        <v>0.88888888888888884</v>
      </c>
      <c r="I135" s="32">
        <f t="shared" si="60"/>
        <v>0.83333333333333326</v>
      </c>
      <c r="J135" s="32">
        <f t="shared" si="61"/>
        <v>0.88888888888888884</v>
      </c>
      <c r="K135">
        <f>step3_validation[[#This Row],[AI_FAC1]]</f>
        <v>7</v>
      </c>
      <c r="L135">
        <f t="shared" si="62"/>
        <v>0.66666666666666663</v>
      </c>
      <c r="M135">
        <f>survey_responses[[#This Row],[Các thủ tục khai báo thuế VÀ/HOẶC quy trình làm việc với cơ quan thuế đơn giản, tiện lợi, nhanh chóng hơn so với trước đây. - HUMAN-FAC1]]</f>
        <v>5</v>
      </c>
      <c r="N135">
        <f t="shared" si="63"/>
        <v>0.44444444444444442</v>
      </c>
      <c r="O135">
        <f>step3_validation[[#This Row],[AI_FAC2]]</f>
        <v>6</v>
      </c>
      <c r="P135">
        <f t="shared" si="64"/>
        <v>0.55555555555555558</v>
      </c>
      <c r="Q135">
        <f>survey_responses[[#This Row],[So với trước đây, tôi thấy cách tính thuế và các bậc thuế trong phương án mới đơn giản, dễ hiểu và dễ thực hiện hơn. - HUMAN-FAC2]]</f>
        <v>9</v>
      </c>
      <c r="R135">
        <f t="shared" si="65"/>
        <v>0.88888888888888884</v>
      </c>
      <c r="S135" s="32">
        <f t="shared" si="66"/>
        <v>0.61111111111111116</v>
      </c>
      <c r="T135" s="32">
        <f t="shared" si="67"/>
        <v>0.66666666666666663</v>
      </c>
      <c r="U135">
        <f>step3_validation[[#This Row],[AI_TRU1]]</f>
        <v>7</v>
      </c>
      <c r="V135">
        <f t="shared" si="68"/>
        <v>0.66666666666666663</v>
      </c>
      <c r="W135">
        <f>survey_responses[[#This Row],[Tôi tin rằng Nhà nước, cơ quan thuế sẽ thực thi chính sách mới một cách khách quan, công tâm và đối xử bình đẳng với mọi người nộp thuế.  - HUMAN-TRU1]]</f>
        <v>8</v>
      </c>
      <c r="X135">
        <f t="shared" si="69"/>
        <v>0.77777777777777779</v>
      </c>
      <c r="Y135">
        <f>step3_validation[[#This Row],[AI_TRU2]]</f>
        <v>6</v>
      </c>
      <c r="Z135">
        <f t="shared" si="70"/>
        <v>0.55555555555555558</v>
      </c>
      <c r="AA135">
        <f>survey_responses[[#This Row],[Tôi thấy mức thuế tôi phải đóng theo phương án mới là công bằng (người thu nhập như tôi đóng mức này là hợp lý). - HUMAN-TRU2]]</f>
        <v>10</v>
      </c>
      <c r="AB135">
        <f t="shared" si="71"/>
        <v>1</v>
      </c>
      <c r="AC135">
        <f>step3_validation[[#This Row],[AI_TRU3]]</f>
        <v>7</v>
      </c>
      <c r="AD135">
        <f t="shared" si="72"/>
        <v>0.66666666666666663</v>
      </c>
      <c r="AE135">
        <f>survey_responses[[#This Row],[Tôi tin tưởng số tiền thuế tôi đóng sẽ được Nhà nước sử dụng hiệu quả để cải thiện dịch vụ công (y tế, đường xá...). - HUMAN-TRU3]]</f>
        <v>5</v>
      </c>
      <c r="AF135">
        <f t="shared" si="73"/>
        <v>0.44444444444444442</v>
      </c>
      <c r="AG135">
        <f>step3_validation[[#This Row],[AI_TRU4]]</f>
        <v>6</v>
      </c>
      <c r="AH135">
        <f t="shared" si="74"/>
        <v>0.55555555555555558</v>
      </c>
      <c r="AI135">
        <f>survey_responses[[#This Row],[Tôi thấy Nhà nước đã giải thích rõ ràng, minh bạch về lý do và mục tiêu của việc sửa đổi thuế lần này. - HUMAN-TRU4]]</f>
        <v>5</v>
      </c>
      <c r="AJ135">
        <f t="shared" si="75"/>
        <v>0.44444444444444442</v>
      </c>
      <c r="AK135" s="32">
        <f t="shared" si="76"/>
        <v>0.61111111111111116</v>
      </c>
      <c r="AL135" s="32">
        <f t="shared" si="77"/>
        <v>0.66666666666666674</v>
      </c>
      <c r="AM135" s="7">
        <f t="shared" si="78"/>
        <v>0.68518518518518512</v>
      </c>
      <c r="AN135" s="7">
        <f t="shared" si="79"/>
        <v>0.74074074074074081</v>
      </c>
      <c r="AO135">
        <f>step3_validation[[#This Row],[AI_OUT1]]</f>
        <v>7</v>
      </c>
      <c r="AP135">
        <f t="shared" si="80"/>
        <v>0.66666666666666663</v>
      </c>
      <c r="AQ135">
        <f>survey_responses[[#This Row],[Sau khi xem xét các quyền lợi và nghĩa vụ, bạn có ủng hộ và tuân thủ chính sách mới hiện nay? - HUMAN-OUT1]]</f>
        <v>7</v>
      </c>
      <c r="AR135">
        <f t="shared" si="81"/>
        <v>0.66666666666666663</v>
      </c>
      <c r="AS135" s="32">
        <f t="shared" si="82"/>
        <v>0</v>
      </c>
      <c r="AT135">
        <f t="shared" si="83"/>
        <v>1</v>
      </c>
    </row>
    <row r="136" spans="1:46" x14ac:dyDescent="0.45">
      <c r="A136">
        <f>step3_validation[[#This Row],[AI_ENF1]]</f>
        <v>8</v>
      </c>
      <c r="B136">
        <f t="shared" si="56"/>
        <v>0.77777777777777779</v>
      </c>
      <c r="C136">
        <f>survey_responses[[#This Row],[Tôi tin rằng với các quy định quản lý thuế hiện nay, hành vi gian lận hoặc trốn thuế sẽ dễ dàng bị phát hiện và xử lý nghiêm. - HUMAN-ENF1]]</f>
        <v>5</v>
      </c>
      <c r="D136">
        <f t="shared" si="57"/>
        <v>0.44444444444444442</v>
      </c>
      <c r="E136">
        <f>step3_validation[[#This Row],[AI_ENF2]]</f>
        <v>8</v>
      </c>
      <c r="F136">
        <f t="shared" si="58"/>
        <v>0.77777777777777779</v>
      </c>
      <c r="G136">
        <f>survey_responses[[#This Row],[Tôi tin rằng Nhà nước, cơ quan thuế có đủ khả năng và công nghệ để phát hiện, xử lý nghiêm các hành vi trốn thuế. - HUMAN-ENF2]]</f>
        <v>5</v>
      </c>
      <c r="H136">
        <f t="shared" si="59"/>
        <v>0.44444444444444442</v>
      </c>
      <c r="I136" s="32">
        <f t="shared" si="60"/>
        <v>0.77777777777777779</v>
      </c>
      <c r="J136" s="32">
        <f t="shared" si="61"/>
        <v>0.44444444444444442</v>
      </c>
      <c r="K136">
        <f>step3_validation[[#This Row],[AI_FAC1]]</f>
        <v>7</v>
      </c>
      <c r="L136">
        <f t="shared" si="62"/>
        <v>0.66666666666666663</v>
      </c>
      <c r="M136">
        <f>survey_responses[[#This Row],[Các thủ tục khai báo thuế VÀ/HOẶC quy trình làm việc với cơ quan thuế đơn giản, tiện lợi, nhanh chóng hơn so với trước đây. - HUMAN-FAC1]]</f>
        <v>5</v>
      </c>
      <c r="N136">
        <f t="shared" si="63"/>
        <v>0.44444444444444442</v>
      </c>
      <c r="O136">
        <f>step3_validation[[#This Row],[AI_FAC2]]</f>
        <v>6</v>
      </c>
      <c r="P136">
        <f t="shared" si="64"/>
        <v>0.55555555555555558</v>
      </c>
      <c r="Q136">
        <f>survey_responses[[#This Row],[So với trước đây, tôi thấy cách tính thuế và các bậc thuế trong phương án mới đơn giản, dễ hiểu và dễ thực hiện hơn. - HUMAN-FAC2]]</f>
        <v>6</v>
      </c>
      <c r="R136">
        <f t="shared" si="65"/>
        <v>0.55555555555555558</v>
      </c>
      <c r="S136" s="32">
        <f t="shared" si="66"/>
        <v>0.61111111111111116</v>
      </c>
      <c r="T136" s="32">
        <f t="shared" si="67"/>
        <v>0.5</v>
      </c>
      <c r="U136">
        <f>step3_validation[[#This Row],[AI_TRU1]]</f>
        <v>6</v>
      </c>
      <c r="V136">
        <f t="shared" si="68"/>
        <v>0.55555555555555558</v>
      </c>
      <c r="W136">
        <f>survey_responses[[#This Row],[Tôi tin rằng Nhà nước, cơ quan thuế sẽ thực thi chính sách mới một cách khách quan, công tâm và đối xử bình đẳng với mọi người nộp thuế.  - HUMAN-TRU1]]</f>
        <v>6</v>
      </c>
      <c r="X136">
        <f t="shared" si="69"/>
        <v>0.55555555555555558</v>
      </c>
      <c r="Y136">
        <f>step3_validation[[#This Row],[AI_TRU2]]</f>
        <v>5</v>
      </c>
      <c r="Z136">
        <f t="shared" si="70"/>
        <v>0.44444444444444442</v>
      </c>
      <c r="AA136">
        <f>survey_responses[[#This Row],[Tôi thấy mức thuế tôi phải đóng theo phương án mới là công bằng (người thu nhập như tôi đóng mức này là hợp lý). - HUMAN-TRU2]]</f>
        <v>6</v>
      </c>
      <c r="AB136">
        <f t="shared" si="71"/>
        <v>0.55555555555555558</v>
      </c>
      <c r="AC136">
        <f>step3_validation[[#This Row],[AI_TRU3]]</f>
        <v>4</v>
      </c>
      <c r="AD136">
        <f t="shared" si="72"/>
        <v>0.33333333333333331</v>
      </c>
      <c r="AE136">
        <f>survey_responses[[#This Row],[Tôi tin tưởng số tiền thuế tôi đóng sẽ được Nhà nước sử dụng hiệu quả để cải thiện dịch vụ công (y tế, đường xá...). - HUMAN-TRU3]]</f>
        <v>6</v>
      </c>
      <c r="AF136">
        <f t="shared" si="73"/>
        <v>0.55555555555555558</v>
      </c>
      <c r="AG136">
        <f>step3_validation[[#This Row],[AI_TRU4]]</f>
        <v>3</v>
      </c>
      <c r="AH136">
        <f t="shared" si="74"/>
        <v>0.22222222222222221</v>
      </c>
      <c r="AI136">
        <f>survey_responses[[#This Row],[Tôi thấy Nhà nước đã giải thích rõ ràng, minh bạch về lý do và mục tiêu của việc sửa đổi thuế lần này. - HUMAN-TRU4]]</f>
        <v>6</v>
      </c>
      <c r="AJ136">
        <f t="shared" si="75"/>
        <v>0.55555555555555558</v>
      </c>
      <c r="AK136" s="32">
        <f t="shared" si="76"/>
        <v>0.38888888888888884</v>
      </c>
      <c r="AL136" s="32">
        <f t="shared" si="77"/>
        <v>0.55555555555555558</v>
      </c>
      <c r="AM136" s="7">
        <f t="shared" si="78"/>
        <v>0.59259259259259256</v>
      </c>
      <c r="AN136" s="7">
        <f t="shared" si="79"/>
        <v>0.5</v>
      </c>
      <c r="AO136">
        <f>step3_validation[[#This Row],[AI_OUT1]]</f>
        <v>7</v>
      </c>
      <c r="AP136">
        <f t="shared" si="80"/>
        <v>0.66666666666666663</v>
      </c>
      <c r="AQ136">
        <f>survey_responses[[#This Row],[Sau khi xem xét các quyền lợi và nghĩa vụ, bạn có ủng hộ và tuân thủ chính sách mới hiện nay? - HUMAN-OUT1]]</f>
        <v>6</v>
      </c>
      <c r="AR136">
        <f t="shared" si="81"/>
        <v>0.55555555555555558</v>
      </c>
      <c r="AS136" s="32">
        <f t="shared" si="82"/>
        <v>1</v>
      </c>
      <c r="AT136">
        <f t="shared" si="83"/>
        <v>1</v>
      </c>
    </row>
    <row r="137" spans="1:46" x14ac:dyDescent="0.45">
      <c r="A137">
        <f>step3_validation[[#This Row],[AI_ENF1]]</f>
        <v>7</v>
      </c>
      <c r="B137">
        <f t="shared" si="56"/>
        <v>0.66666666666666663</v>
      </c>
      <c r="C137">
        <f>survey_responses[[#This Row],[Tôi tin rằng với các quy định quản lý thuế hiện nay, hành vi gian lận hoặc trốn thuế sẽ dễ dàng bị phát hiện và xử lý nghiêm. - HUMAN-ENF1]]</f>
        <v>8</v>
      </c>
      <c r="D137">
        <f t="shared" si="57"/>
        <v>0.77777777777777779</v>
      </c>
      <c r="E137">
        <f>step3_validation[[#This Row],[AI_ENF2]]</f>
        <v>8</v>
      </c>
      <c r="F137">
        <f t="shared" si="58"/>
        <v>0.77777777777777779</v>
      </c>
      <c r="G137">
        <f>survey_responses[[#This Row],[Tôi tin rằng Nhà nước, cơ quan thuế có đủ khả năng và công nghệ để phát hiện, xử lý nghiêm các hành vi trốn thuế. - HUMAN-ENF2]]</f>
        <v>8</v>
      </c>
      <c r="H137">
        <f t="shared" si="59"/>
        <v>0.77777777777777779</v>
      </c>
      <c r="I137" s="32">
        <f t="shared" si="60"/>
        <v>0.72222222222222221</v>
      </c>
      <c r="J137" s="32">
        <f t="shared" si="61"/>
        <v>0.77777777777777779</v>
      </c>
      <c r="K137">
        <f>step3_validation[[#This Row],[AI_FAC1]]</f>
        <v>8</v>
      </c>
      <c r="L137">
        <f t="shared" si="62"/>
        <v>0.77777777777777779</v>
      </c>
      <c r="M137">
        <f>survey_responses[[#This Row],[Các thủ tục khai báo thuế VÀ/HOẶC quy trình làm việc với cơ quan thuế đơn giản, tiện lợi, nhanh chóng hơn so với trước đây. - HUMAN-FAC1]]</f>
        <v>8</v>
      </c>
      <c r="N137">
        <f t="shared" si="63"/>
        <v>0.77777777777777779</v>
      </c>
      <c r="O137">
        <f>step3_validation[[#This Row],[AI_FAC2]]</f>
        <v>7</v>
      </c>
      <c r="P137">
        <f t="shared" si="64"/>
        <v>0.66666666666666663</v>
      </c>
      <c r="Q137">
        <f>survey_responses[[#This Row],[So với trước đây, tôi thấy cách tính thuế và các bậc thuế trong phương án mới đơn giản, dễ hiểu và dễ thực hiện hơn. - HUMAN-FAC2]]</f>
        <v>8</v>
      </c>
      <c r="R137">
        <f t="shared" si="65"/>
        <v>0.77777777777777779</v>
      </c>
      <c r="S137" s="32">
        <f t="shared" si="66"/>
        <v>0.72222222222222221</v>
      </c>
      <c r="T137" s="32">
        <f t="shared" si="67"/>
        <v>0.77777777777777779</v>
      </c>
      <c r="U137">
        <f>step3_validation[[#This Row],[AI_TRU1]]</f>
        <v>8</v>
      </c>
      <c r="V137">
        <f t="shared" si="68"/>
        <v>0.77777777777777779</v>
      </c>
      <c r="W137">
        <f>survey_responses[[#This Row],[Tôi tin rằng Nhà nước, cơ quan thuế sẽ thực thi chính sách mới một cách khách quan, công tâm và đối xử bình đẳng với mọi người nộp thuế.  - HUMAN-TRU1]]</f>
        <v>10</v>
      </c>
      <c r="X137">
        <f t="shared" si="69"/>
        <v>1</v>
      </c>
      <c r="Y137">
        <f>step3_validation[[#This Row],[AI_TRU2]]</f>
        <v>6</v>
      </c>
      <c r="Z137">
        <f t="shared" si="70"/>
        <v>0.55555555555555558</v>
      </c>
      <c r="AA137">
        <f>survey_responses[[#This Row],[Tôi thấy mức thuế tôi phải đóng theo phương án mới là công bằng (người thu nhập như tôi đóng mức này là hợp lý). - HUMAN-TRU2]]</f>
        <v>10</v>
      </c>
      <c r="AB137">
        <f t="shared" si="71"/>
        <v>1</v>
      </c>
      <c r="AC137">
        <f>step3_validation[[#This Row],[AI_TRU3]]</f>
        <v>7</v>
      </c>
      <c r="AD137">
        <f t="shared" si="72"/>
        <v>0.66666666666666663</v>
      </c>
      <c r="AE137">
        <f>survey_responses[[#This Row],[Tôi tin tưởng số tiền thuế tôi đóng sẽ được Nhà nước sử dụng hiệu quả để cải thiện dịch vụ công (y tế, đường xá...). - HUMAN-TRU3]]</f>
        <v>10</v>
      </c>
      <c r="AF137">
        <f t="shared" si="73"/>
        <v>1</v>
      </c>
      <c r="AG137">
        <f>step3_validation[[#This Row],[AI_TRU4]]</f>
        <v>8</v>
      </c>
      <c r="AH137">
        <f t="shared" si="74"/>
        <v>0.77777777777777779</v>
      </c>
      <c r="AI137">
        <f>survey_responses[[#This Row],[Tôi thấy Nhà nước đã giải thích rõ ràng, minh bạch về lý do và mục tiêu của việc sửa đổi thuế lần này. - HUMAN-TRU4]]</f>
        <v>10</v>
      </c>
      <c r="AJ137">
        <f t="shared" si="75"/>
        <v>1</v>
      </c>
      <c r="AK137" s="32">
        <f t="shared" si="76"/>
        <v>0.69444444444444442</v>
      </c>
      <c r="AL137" s="32">
        <f t="shared" si="77"/>
        <v>1</v>
      </c>
      <c r="AM137" s="7">
        <f t="shared" si="78"/>
        <v>0.71296296296296291</v>
      </c>
      <c r="AN137" s="7">
        <f t="shared" si="79"/>
        <v>0.85185185185185175</v>
      </c>
      <c r="AO137">
        <f>step3_validation[[#This Row],[AI_OUT1]]</f>
        <v>9</v>
      </c>
      <c r="AP137">
        <f t="shared" si="80"/>
        <v>0.88888888888888884</v>
      </c>
      <c r="AQ137">
        <f>survey_responses[[#This Row],[Sau khi xem xét các quyền lợi và nghĩa vụ, bạn có ủng hộ và tuân thủ chính sách mới hiện nay? - HUMAN-OUT1]]</f>
        <v>10</v>
      </c>
      <c r="AR137">
        <f t="shared" si="81"/>
        <v>1</v>
      </c>
      <c r="AS137" s="32">
        <f t="shared" si="82"/>
        <v>1</v>
      </c>
      <c r="AT137">
        <f t="shared" si="83"/>
        <v>1</v>
      </c>
    </row>
    <row r="138" spans="1:46" x14ac:dyDescent="0.45">
      <c r="A138">
        <f>step3_validation[[#This Row],[AI_ENF1]]</f>
        <v>7</v>
      </c>
      <c r="B138">
        <f t="shared" si="56"/>
        <v>0.66666666666666663</v>
      </c>
      <c r="C138">
        <f>survey_responses[[#This Row],[Tôi tin rằng với các quy định quản lý thuế hiện nay, hành vi gian lận hoặc trốn thuế sẽ dễ dàng bị phát hiện và xử lý nghiêm. - HUMAN-ENF1]]</f>
        <v>8</v>
      </c>
      <c r="D138">
        <f t="shared" si="57"/>
        <v>0.77777777777777779</v>
      </c>
      <c r="E138">
        <f>step3_validation[[#This Row],[AI_ENF2]]</f>
        <v>6</v>
      </c>
      <c r="F138">
        <f t="shared" si="58"/>
        <v>0.55555555555555558</v>
      </c>
      <c r="G138">
        <f>survey_responses[[#This Row],[Tôi tin rằng Nhà nước, cơ quan thuế có đủ khả năng và công nghệ để phát hiện, xử lý nghiêm các hành vi trốn thuế. - HUMAN-ENF2]]</f>
        <v>8</v>
      </c>
      <c r="H138">
        <f t="shared" si="59"/>
        <v>0.77777777777777779</v>
      </c>
      <c r="I138" s="32">
        <f t="shared" si="60"/>
        <v>0.61111111111111116</v>
      </c>
      <c r="J138" s="32">
        <f t="shared" si="61"/>
        <v>0.77777777777777779</v>
      </c>
      <c r="K138">
        <f>step3_validation[[#This Row],[AI_FAC1]]</f>
        <v>8</v>
      </c>
      <c r="L138">
        <f t="shared" si="62"/>
        <v>0.77777777777777779</v>
      </c>
      <c r="M138">
        <f>survey_responses[[#This Row],[Các thủ tục khai báo thuế VÀ/HOẶC quy trình làm việc với cơ quan thuế đơn giản, tiện lợi, nhanh chóng hơn so với trước đây. - HUMAN-FAC1]]</f>
        <v>8</v>
      </c>
      <c r="N138">
        <f t="shared" si="63"/>
        <v>0.77777777777777779</v>
      </c>
      <c r="O138">
        <f>step3_validation[[#This Row],[AI_FAC2]]</f>
        <v>7</v>
      </c>
      <c r="P138">
        <f t="shared" si="64"/>
        <v>0.66666666666666663</v>
      </c>
      <c r="Q138">
        <f>survey_responses[[#This Row],[So với trước đây, tôi thấy cách tính thuế và các bậc thuế trong phương án mới đơn giản, dễ hiểu và dễ thực hiện hơn. - HUMAN-FAC2]]</f>
        <v>8</v>
      </c>
      <c r="R138">
        <f t="shared" si="65"/>
        <v>0.77777777777777779</v>
      </c>
      <c r="S138" s="32">
        <f t="shared" si="66"/>
        <v>0.72222222222222221</v>
      </c>
      <c r="T138" s="32">
        <f t="shared" si="67"/>
        <v>0.77777777777777779</v>
      </c>
      <c r="U138">
        <f>step3_validation[[#This Row],[AI_TRU1]]</f>
        <v>9</v>
      </c>
      <c r="V138">
        <f t="shared" si="68"/>
        <v>0.88888888888888884</v>
      </c>
      <c r="W138">
        <f>survey_responses[[#This Row],[Tôi tin rằng Nhà nước, cơ quan thuế sẽ thực thi chính sách mới một cách khách quan, công tâm và đối xử bình đẳng với mọi người nộp thuế.  - HUMAN-TRU1]]</f>
        <v>8</v>
      </c>
      <c r="X138">
        <f t="shared" si="69"/>
        <v>0.77777777777777779</v>
      </c>
      <c r="Y138">
        <f>step3_validation[[#This Row],[AI_TRU2]]</f>
        <v>6</v>
      </c>
      <c r="Z138">
        <f t="shared" si="70"/>
        <v>0.55555555555555558</v>
      </c>
      <c r="AA138">
        <f>survey_responses[[#This Row],[Tôi thấy mức thuế tôi phải đóng theo phương án mới là công bằng (người thu nhập như tôi đóng mức này là hợp lý). - HUMAN-TRU2]]</f>
        <v>8</v>
      </c>
      <c r="AB138">
        <f t="shared" si="71"/>
        <v>0.77777777777777779</v>
      </c>
      <c r="AC138">
        <f>step3_validation[[#This Row],[AI_TRU3]]</f>
        <v>7</v>
      </c>
      <c r="AD138">
        <f t="shared" si="72"/>
        <v>0.66666666666666663</v>
      </c>
      <c r="AE138">
        <f>survey_responses[[#This Row],[Tôi tin tưởng số tiền thuế tôi đóng sẽ được Nhà nước sử dụng hiệu quả để cải thiện dịch vụ công (y tế, đường xá...). - HUMAN-TRU3]]</f>
        <v>5</v>
      </c>
      <c r="AF138">
        <f t="shared" si="73"/>
        <v>0.44444444444444442</v>
      </c>
      <c r="AG138">
        <f>step3_validation[[#This Row],[AI_TRU4]]</f>
        <v>5</v>
      </c>
      <c r="AH138">
        <f t="shared" si="74"/>
        <v>0.44444444444444442</v>
      </c>
      <c r="AI138">
        <f>survey_responses[[#This Row],[Tôi thấy Nhà nước đã giải thích rõ ràng, minh bạch về lý do và mục tiêu của việc sửa đổi thuế lần này. - HUMAN-TRU4]]</f>
        <v>7</v>
      </c>
      <c r="AJ138">
        <f t="shared" si="75"/>
        <v>0.66666666666666663</v>
      </c>
      <c r="AK138" s="32">
        <f t="shared" si="76"/>
        <v>0.63888888888888884</v>
      </c>
      <c r="AL138" s="32">
        <f t="shared" si="77"/>
        <v>0.66666666666666663</v>
      </c>
      <c r="AM138" s="7">
        <f t="shared" si="78"/>
        <v>0.65740740740740744</v>
      </c>
      <c r="AN138" s="7">
        <f t="shared" si="79"/>
        <v>0.74074074074074081</v>
      </c>
      <c r="AO138">
        <f>step3_validation[[#This Row],[AI_OUT1]]</f>
        <v>6</v>
      </c>
      <c r="AP138">
        <f t="shared" si="80"/>
        <v>0.55555555555555558</v>
      </c>
      <c r="AQ138">
        <f>survey_responses[[#This Row],[Sau khi xem xét các quyền lợi và nghĩa vụ, bạn có ủng hộ và tuân thủ chính sách mới hiện nay? - HUMAN-OUT1]]</f>
        <v>8</v>
      </c>
      <c r="AR138">
        <f t="shared" si="81"/>
        <v>0.77777777777777779</v>
      </c>
      <c r="AS138" s="32">
        <f t="shared" si="82"/>
        <v>2</v>
      </c>
      <c r="AT138">
        <f t="shared" si="83"/>
        <v>1</v>
      </c>
    </row>
    <row r="139" spans="1:46" x14ac:dyDescent="0.45">
      <c r="A139">
        <f>step3_validation[[#This Row],[AI_ENF1]]</f>
        <v>8</v>
      </c>
      <c r="B139">
        <f t="shared" si="56"/>
        <v>0.77777777777777779</v>
      </c>
      <c r="C139">
        <f>survey_responses[[#This Row],[Tôi tin rằng với các quy định quản lý thuế hiện nay, hành vi gian lận hoặc trốn thuế sẽ dễ dàng bị phát hiện và xử lý nghiêm. - HUMAN-ENF1]]</f>
        <v>8</v>
      </c>
      <c r="D139">
        <f t="shared" si="57"/>
        <v>0.77777777777777779</v>
      </c>
      <c r="E139">
        <f>step3_validation[[#This Row],[AI_ENF2]]</f>
        <v>7</v>
      </c>
      <c r="F139">
        <f t="shared" si="58"/>
        <v>0.66666666666666663</v>
      </c>
      <c r="G139">
        <f>survey_responses[[#This Row],[Tôi tin rằng Nhà nước, cơ quan thuế có đủ khả năng và công nghệ để phát hiện, xử lý nghiêm các hành vi trốn thuế. - HUMAN-ENF2]]</f>
        <v>9</v>
      </c>
      <c r="H139">
        <f t="shared" si="59"/>
        <v>0.88888888888888884</v>
      </c>
      <c r="I139" s="32">
        <f t="shared" si="60"/>
        <v>0.72222222222222221</v>
      </c>
      <c r="J139" s="32">
        <f t="shared" si="61"/>
        <v>0.83333333333333326</v>
      </c>
      <c r="K139">
        <f>step3_validation[[#This Row],[AI_FAC1]]</f>
        <v>9</v>
      </c>
      <c r="L139">
        <f t="shared" si="62"/>
        <v>0.88888888888888884</v>
      </c>
      <c r="M139">
        <f>survey_responses[[#This Row],[Các thủ tục khai báo thuế VÀ/HOẶC quy trình làm việc với cơ quan thuế đơn giản, tiện lợi, nhanh chóng hơn so với trước đây. - HUMAN-FAC1]]</f>
        <v>7</v>
      </c>
      <c r="N139">
        <f t="shared" si="63"/>
        <v>0.66666666666666663</v>
      </c>
      <c r="O139">
        <f>step3_validation[[#This Row],[AI_FAC2]]</f>
        <v>8</v>
      </c>
      <c r="P139">
        <f t="shared" si="64"/>
        <v>0.77777777777777779</v>
      </c>
      <c r="Q139">
        <f>survey_responses[[#This Row],[So với trước đây, tôi thấy cách tính thuế và các bậc thuế trong phương án mới đơn giản, dễ hiểu và dễ thực hiện hơn. - HUMAN-FAC2]]</f>
        <v>7</v>
      </c>
      <c r="R139">
        <f t="shared" si="65"/>
        <v>0.66666666666666663</v>
      </c>
      <c r="S139" s="32">
        <f t="shared" si="66"/>
        <v>0.83333333333333326</v>
      </c>
      <c r="T139" s="32">
        <f t="shared" si="67"/>
        <v>0.66666666666666663</v>
      </c>
      <c r="U139">
        <f>step3_validation[[#This Row],[AI_TRU1]]</f>
        <v>7</v>
      </c>
      <c r="V139">
        <f t="shared" si="68"/>
        <v>0.66666666666666663</v>
      </c>
      <c r="W139">
        <f>survey_responses[[#This Row],[Tôi tin rằng Nhà nước, cơ quan thuế sẽ thực thi chính sách mới một cách khách quan, công tâm và đối xử bình đẳng với mọi người nộp thuế.  - HUMAN-TRU1]]</f>
        <v>6</v>
      </c>
      <c r="X139">
        <f t="shared" si="69"/>
        <v>0.55555555555555558</v>
      </c>
      <c r="Y139">
        <f>step3_validation[[#This Row],[AI_TRU2]]</f>
        <v>6</v>
      </c>
      <c r="Z139">
        <f t="shared" si="70"/>
        <v>0.55555555555555558</v>
      </c>
      <c r="AA139">
        <f>survey_responses[[#This Row],[Tôi thấy mức thuế tôi phải đóng theo phương án mới là công bằng (người thu nhập như tôi đóng mức này là hợp lý). - HUMAN-TRU2]]</f>
        <v>6</v>
      </c>
      <c r="AB139">
        <f t="shared" si="71"/>
        <v>0.55555555555555558</v>
      </c>
      <c r="AC139">
        <f>step3_validation[[#This Row],[AI_TRU3]]</f>
        <v>7</v>
      </c>
      <c r="AD139">
        <f t="shared" si="72"/>
        <v>0.66666666666666663</v>
      </c>
      <c r="AE139">
        <f>survey_responses[[#This Row],[Tôi tin tưởng số tiền thuế tôi đóng sẽ được Nhà nước sử dụng hiệu quả để cải thiện dịch vụ công (y tế, đường xá...). - HUMAN-TRU3]]</f>
        <v>2</v>
      </c>
      <c r="AF139">
        <f t="shared" si="73"/>
        <v>0.1111111111111111</v>
      </c>
      <c r="AG139">
        <f>step3_validation[[#This Row],[AI_TRU4]]</f>
        <v>6</v>
      </c>
      <c r="AH139">
        <f t="shared" si="74"/>
        <v>0.55555555555555558</v>
      </c>
      <c r="AI139">
        <f>survey_responses[[#This Row],[Tôi thấy Nhà nước đã giải thích rõ ràng, minh bạch về lý do và mục tiêu của việc sửa đổi thuế lần này. - HUMAN-TRU4]]</f>
        <v>5</v>
      </c>
      <c r="AJ139">
        <f t="shared" si="75"/>
        <v>0.44444444444444442</v>
      </c>
      <c r="AK139" s="32">
        <f t="shared" si="76"/>
        <v>0.61111111111111116</v>
      </c>
      <c r="AL139" s="32">
        <f t="shared" si="77"/>
        <v>0.41666666666666669</v>
      </c>
      <c r="AM139" s="7">
        <f t="shared" si="78"/>
        <v>0.72222222222222221</v>
      </c>
      <c r="AN139" s="7">
        <f t="shared" si="79"/>
        <v>0.63888888888888895</v>
      </c>
      <c r="AO139">
        <f>step3_validation[[#This Row],[AI_OUT1]]</f>
        <v>5</v>
      </c>
      <c r="AP139">
        <f t="shared" si="80"/>
        <v>0.44444444444444442</v>
      </c>
      <c r="AQ139">
        <f>survey_responses[[#This Row],[Sau khi xem xét các quyền lợi và nghĩa vụ, bạn có ủng hộ và tuân thủ chính sách mới hiện nay? - HUMAN-OUT1]]</f>
        <v>6</v>
      </c>
      <c r="AR139">
        <f t="shared" si="81"/>
        <v>0.55555555555555558</v>
      </c>
      <c r="AS139" s="32">
        <f t="shared" si="82"/>
        <v>1</v>
      </c>
      <c r="AT139">
        <f t="shared" si="83"/>
        <v>1</v>
      </c>
    </row>
    <row r="140" spans="1:46" x14ac:dyDescent="0.45">
      <c r="A140">
        <f>step3_validation[[#This Row],[AI_ENF1]]</f>
        <v>8</v>
      </c>
      <c r="B140">
        <f t="shared" si="56"/>
        <v>0.77777777777777779</v>
      </c>
      <c r="C140">
        <f>survey_responses[[#This Row],[Tôi tin rằng với các quy định quản lý thuế hiện nay, hành vi gian lận hoặc trốn thuế sẽ dễ dàng bị phát hiện và xử lý nghiêm. - HUMAN-ENF1]]</f>
        <v>5</v>
      </c>
      <c r="D140">
        <f t="shared" si="57"/>
        <v>0.44444444444444442</v>
      </c>
      <c r="E140">
        <f>step3_validation[[#This Row],[AI_ENF2]]</f>
        <v>9</v>
      </c>
      <c r="F140">
        <f t="shared" si="58"/>
        <v>0.88888888888888884</v>
      </c>
      <c r="G140">
        <f>survey_responses[[#This Row],[Tôi tin rằng Nhà nước, cơ quan thuế có đủ khả năng và công nghệ để phát hiện, xử lý nghiêm các hành vi trốn thuế. - HUMAN-ENF2]]</f>
        <v>4</v>
      </c>
      <c r="H140">
        <f t="shared" si="59"/>
        <v>0.33333333333333331</v>
      </c>
      <c r="I140" s="32">
        <f t="shared" si="60"/>
        <v>0.83333333333333326</v>
      </c>
      <c r="J140" s="32">
        <f t="shared" si="61"/>
        <v>0.38888888888888884</v>
      </c>
      <c r="K140">
        <f>step3_validation[[#This Row],[AI_FAC1]]</f>
        <v>9</v>
      </c>
      <c r="L140">
        <f t="shared" si="62"/>
        <v>0.88888888888888884</v>
      </c>
      <c r="M140">
        <f>survey_responses[[#This Row],[Các thủ tục khai báo thuế VÀ/HOẶC quy trình làm việc với cơ quan thuế đơn giản, tiện lợi, nhanh chóng hơn so với trước đây. - HUMAN-FAC1]]</f>
        <v>7</v>
      </c>
      <c r="N140">
        <f t="shared" si="63"/>
        <v>0.66666666666666663</v>
      </c>
      <c r="O140">
        <f>step3_validation[[#This Row],[AI_FAC2]]</f>
        <v>8</v>
      </c>
      <c r="P140">
        <f t="shared" si="64"/>
        <v>0.77777777777777779</v>
      </c>
      <c r="Q140">
        <f>survey_responses[[#This Row],[So với trước đây, tôi thấy cách tính thuế và các bậc thuế trong phương án mới đơn giản, dễ hiểu và dễ thực hiện hơn. - HUMAN-FAC2]]</f>
        <v>6</v>
      </c>
      <c r="R140">
        <f t="shared" si="65"/>
        <v>0.55555555555555558</v>
      </c>
      <c r="S140" s="32">
        <f t="shared" si="66"/>
        <v>0.83333333333333326</v>
      </c>
      <c r="T140" s="32">
        <f t="shared" si="67"/>
        <v>0.61111111111111116</v>
      </c>
      <c r="U140">
        <f>step3_validation[[#This Row],[AI_TRU1]]</f>
        <v>9</v>
      </c>
      <c r="V140">
        <f t="shared" si="68"/>
        <v>0.88888888888888884</v>
      </c>
      <c r="W140">
        <f>survey_responses[[#This Row],[Tôi tin rằng Nhà nước, cơ quan thuế sẽ thực thi chính sách mới một cách khách quan, công tâm và đối xử bình đẳng với mọi người nộp thuế.  - HUMAN-TRU1]]</f>
        <v>3</v>
      </c>
      <c r="X140">
        <f t="shared" si="69"/>
        <v>0.22222222222222221</v>
      </c>
      <c r="Y140">
        <f>step3_validation[[#This Row],[AI_TRU2]]</f>
        <v>8</v>
      </c>
      <c r="Z140">
        <f t="shared" si="70"/>
        <v>0.77777777777777779</v>
      </c>
      <c r="AA140">
        <f>survey_responses[[#This Row],[Tôi thấy mức thuế tôi phải đóng theo phương án mới là công bằng (người thu nhập như tôi đóng mức này là hợp lý). - HUMAN-TRU2]]</f>
        <v>4</v>
      </c>
      <c r="AB140">
        <f t="shared" si="71"/>
        <v>0.33333333333333331</v>
      </c>
      <c r="AC140">
        <f>step3_validation[[#This Row],[AI_TRU3]]</f>
        <v>9</v>
      </c>
      <c r="AD140">
        <f t="shared" si="72"/>
        <v>0.88888888888888884</v>
      </c>
      <c r="AE140">
        <f>survey_responses[[#This Row],[Tôi tin tưởng số tiền thuế tôi đóng sẽ được Nhà nước sử dụng hiệu quả để cải thiện dịch vụ công (y tế, đường xá...). - HUMAN-TRU3]]</f>
        <v>4</v>
      </c>
      <c r="AF140">
        <f t="shared" si="73"/>
        <v>0.33333333333333331</v>
      </c>
      <c r="AG140">
        <f>step3_validation[[#This Row],[AI_TRU4]]</f>
        <v>7</v>
      </c>
      <c r="AH140">
        <f t="shared" si="74"/>
        <v>0.66666666666666663</v>
      </c>
      <c r="AI140">
        <f>survey_responses[[#This Row],[Tôi thấy Nhà nước đã giải thích rõ ràng, minh bạch về lý do và mục tiêu của việc sửa đổi thuế lần này. - HUMAN-TRU4]]</f>
        <v>5</v>
      </c>
      <c r="AJ140">
        <f t="shared" si="75"/>
        <v>0.44444444444444442</v>
      </c>
      <c r="AK140" s="32">
        <f t="shared" si="76"/>
        <v>0.80555555555555547</v>
      </c>
      <c r="AL140" s="32">
        <f t="shared" si="77"/>
        <v>0.33333333333333331</v>
      </c>
      <c r="AM140" s="7">
        <f t="shared" si="78"/>
        <v>0.82407407407407396</v>
      </c>
      <c r="AN140" s="7">
        <f t="shared" si="79"/>
        <v>0.44444444444444442</v>
      </c>
      <c r="AO140">
        <f>step3_validation[[#This Row],[AI_OUT1]]</f>
        <v>8</v>
      </c>
      <c r="AP140">
        <f t="shared" si="80"/>
        <v>0.77777777777777779</v>
      </c>
      <c r="AQ140">
        <f>survey_responses[[#This Row],[Sau khi xem xét các quyền lợi và nghĩa vụ, bạn có ủng hộ và tuân thủ chính sách mới hiện nay? - HUMAN-OUT1]]</f>
        <v>5</v>
      </c>
      <c r="AR140">
        <f t="shared" si="81"/>
        <v>0.44444444444444442</v>
      </c>
      <c r="AS140" s="32">
        <f t="shared" si="82"/>
        <v>3</v>
      </c>
      <c r="AT140">
        <f t="shared" si="83"/>
        <v>0</v>
      </c>
    </row>
    <row r="141" spans="1:46" x14ac:dyDescent="0.45">
      <c r="A141">
        <f>step3_validation[[#This Row],[AI_ENF1]]</f>
        <v>8</v>
      </c>
      <c r="B141">
        <f t="shared" si="56"/>
        <v>0.77777777777777779</v>
      </c>
      <c r="C141">
        <f>survey_responses[[#This Row],[Tôi tin rằng với các quy định quản lý thuế hiện nay, hành vi gian lận hoặc trốn thuế sẽ dễ dàng bị phát hiện và xử lý nghiêm. - HUMAN-ENF1]]</f>
        <v>10</v>
      </c>
      <c r="D141">
        <f t="shared" si="57"/>
        <v>1</v>
      </c>
      <c r="E141">
        <f>step3_validation[[#This Row],[AI_ENF2]]</f>
        <v>7</v>
      </c>
      <c r="F141">
        <f t="shared" si="58"/>
        <v>0.66666666666666663</v>
      </c>
      <c r="G141">
        <f>survey_responses[[#This Row],[Tôi tin rằng Nhà nước, cơ quan thuế có đủ khả năng và công nghệ để phát hiện, xử lý nghiêm các hành vi trốn thuế. - HUMAN-ENF2]]</f>
        <v>9</v>
      </c>
      <c r="H141">
        <f t="shared" si="59"/>
        <v>0.88888888888888884</v>
      </c>
      <c r="I141" s="32">
        <f t="shared" si="60"/>
        <v>0.72222222222222221</v>
      </c>
      <c r="J141" s="32">
        <f t="shared" si="61"/>
        <v>0.94444444444444442</v>
      </c>
      <c r="K141">
        <f>step3_validation[[#This Row],[AI_FAC1]]</f>
        <v>9</v>
      </c>
      <c r="L141">
        <f t="shared" si="62"/>
        <v>0.88888888888888884</v>
      </c>
      <c r="M141">
        <f>survey_responses[[#This Row],[Các thủ tục khai báo thuế VÀ/HOẶC quy trình làm việc với cơ quan thuế đơn giản, tiện lợi, nhanh chóng hơn so với trước đây. - HUMAN-FAC1]]</f>
        <v>9</v>
      </c>
      <c r="N141">
        <f t="shared" si="63"/>
        <v>0.88888888888888884</v>
      </c>
      <c r="O141">
        <f>step3_validation[[#This Row],[AI_FAC2]]</f>
        <v>8</v>
      </c>
      <c r="P141">
        <f t="shared" si="64"/>
        <v>0.77777777777777779</v>
      </c>
      <c r="Q141">
        <f>survey_responses[[#This Row],[So với trước đây, tôi thấy cách tính thuế và các bậc thuế trong phương án mới đơn giản, dễ hiểu và dễ thực hiện hơn. - HUMAN-FAC2]]</f>
        <v>9</v>
      </c>
      <c r="R141">
        <f t="shared" si="65"/>
        <v>0.88888888888888884</v>
      </c>
      <c r="S141" s="32">
        <f t="shared" si="66"/>
        <v>0.83333333333333326</v>
      </c>
      <c r="T141" s="32">
        <f t="shared" si="67"/>
        <v>0.88888888888888884</v>
      </c>
      <c r="U141">
        <f>step3_validation[[#This Row],[AI_TRU1]]</f>
        <v>7</v>
      </c>
      <c r="V141">
        <f t="shared" si="68"/>
        <v>0.66666666666666663</v>
      </c>
      <c r="W141">
        <f>survey_responses[[#This Row],[Tôi tin rằng Nhà nước, cơ quan thuế sẽ thực thi chính sách mới một cách khách quan, công tâm và đối xử bình đẳng với mọi người nộp thuế.  - HUMAN-TRU1]]</f>
        <v>8</v>
      </c>
      <c r="X141">
        <f t="shared" si="69"/>
        <v>0.77777777777777779</v>
      </c>
      <c r="Y141">
        <f>step3_validation[[#This Row],[AI_TRU2]]</f>
        <v>7</v>
      </c>
      <c r="Z141">
        <f t="shared" si="70"/>
        <v>0.66666666666666663</v>
      </c>
      <c r="AA141">
        <f>survey_responses[[#This Row],[Tôi thấy mức thuế tôi phải đóng theo phương án mới là công bằng (người thu nhập như tôi đóng mức này là hợp lý). - HUMAN-TRU2]]</f>
        <v>8</v>
      </c>
      <c r="AB141">
        <f t="shared" si="71"/>
        <v>0.77777777777777779</v>
      </c>
      <c r="AC141">
        <f>step3_validation[[#This Row],[AI_TRU3]]</f>
        <v>6</v>
      </c>
      <c r="AD141">
        <f t="shared" si="72"/>
        <v>0.55555555555555558</v>
      </c>
      <c r="AE141">
        <f>survey_responses[[#This Row],[Tôi tin tưởng số tiền thuế tôi đóng sẽ được Nhà nước sử dụng hiệu quả để cải thiện dịch vụ công (y tế, đường xá...). - HUMAN-TRU3]]</f>
        <v>8</v>
      </c>
      <c r="AF141">
        <f t="shared" si="73"/>
        <v>0.77777777777777779</v>
      </c>
      <c r="AG141">
        <f>step3_validation[[#This Row],[AI_TRU4]]</f>
        <v>5</v>
      </c>
      <c r="AH141">
        <f t="shared" si="74"/>
        <v>0.44444444444444442</v>
      </c>
      <c r="AI141">
        <f>survey_responses[[#This Row],[Tôi thấy Nhà nước đã giải thích rõ ràng, minh bạch về lý do và mục tiêu của việc sửa đổi thuế lần này. - HUMAN-TRU4]]</f>
        <v>8</v>
      </c>
      <c r="AJ141">
        <f t="shared" si="75"/>
        <v>0.77777777777777779</v>
      </c>
      <c r="AK141" s="32">
        <f t="shared" si="76"/>
        <v>0.58333333333333326</v>
      </c>
      <c r="AL141" s="32">
        <f t="shared" si="77"/>
        <v>0.77777777777777779</v>
      </c>
      <c r="AM141" s="7">
        <f t="shared" si="78"/>
        <v>0.7129629629629628</v>
      </c>
      <c r="AN141" s="7">
        <f t="shared" si="79"/>
        <v>0.87037037037037035</v>
      </c>
      <c r="AO141">
        <f>step3_validation[[#This Row],[AI_OUT1]]</f>
        <v>0</v>
      </c>
      <c r="AP141">
        <f t="shared" si="80"/>
        <v>-0.1111111111111111</v>
      </c>
      <c r="AQ141">
        <f>survey_responses[[#This Row],[Sau khi xem xét các quyền lợi và nghĩa vụ, bạn có ủng hộ và tuân thủ chính sách mới hiện nay? - HUMAN-OUT1]]</f>
        <v>10</v>
      </c>
      <c r="AR141">
        <f t="shared" si="81"/>
        <v>1</v>
      </c>
      <c r="AS141" s="32">
        <f t="shared" si="82"/>
        <v>10</v>
      </c>
      <c r="AT141">
        <f t="shared" si="83"/>
        <v>1</v>
      </c>
    </row>
    <row r="142" spans="1:46" x14ac:dyDescent="0.45">
      <c r="A142">
        <f>step3_validation[[#This Row],[AI_ENF1]]</f>
        <v>7</v>
      </c>
      <c r="B142">
        <f t="shared" si="56"/>
        <v>0.66666666666666663</v>
      </c>
      <c r="C142">
        <f>survey_responses[[#This Row],[Tôi tin rằng với các quy định quản lý thuế hiện nay, hành vi gian lận hoặc trốn thuế sẽ dễ dàng bị phát hiện và xử lý nghiêm. - HUMAN-ENF1]]</f>
        <v>8</v>
      </c>
      <c r="D142">
        <f t="shared" si="57"/>
        <v>0.77777777777777779</v>
      </c>
      <c r="E142">
        <f>step3_validation[[#This Row],[AI_ENF2]]</f>
        <v>7</v>
      </c>
      <c r="F142">
        <f t="shared" si="58"/>
        <v>0.66666666666666663</v>
      </c>
      <c r="G142">
        <f>survey_responses[[#This Row],[Tôi tin rằng Nhà nước, cơ quan thuế có đủ khả năng và công nghệ để phát hiện, xử lý nghiêm các hành vi trốn thuế. - HUMAN-ENF2]]</f>
        <v>7</v>
      </c>
      <c r="H142">
        <f t="shared" si="59"/>
        <v>0.66666666666666663</v>
      </c>
      <c r="I142" s="32">
        <f t="shared" si="60"/>
        <v>0.66666666666666663</v>
      </c>
      <c r="J142" s="32">
        <f t="shared" si="61"/>
        <v>0.72222222222222221</v>
      </c>
      <c r="K142">
        <f>step3_validation[[#This Row],[AI_FAC1]]</f>
        <v>8</v>
      </c>
      <c r="L142">
        <f t="shared" si="62"/>
        <v>0.77777777777777779</v>
      </c>
      <c r="M142">
        <f>survey_responses[[#This Row],[Các thủ tục khai báo thuế VÀ/HOẶC quy trình làm việc với cơ quan thuế đơn giản, tiện lợi, nhanh chóng hơn so với trước đây. - HUMAN-FAC1]]</f>
        <v>6</v>
      </c>
      <c r="N142">
        <f t="shared" si="63"/>
        <v>0.55555555555555558</v>
      </c>
      <c r="O142">
        <f>step3_validation[[#This Row],[AI_FAC2]]</f>
        <v>6</v>
      </c>
      <c r="P142">
        <f t="shared" si="64"/>
        <v>0.55555555555555558</v>
      </c>
      <c r="Q142">
        <f>survey_responses[[#This Row],[So với trước đây, tôi thấy cách tính thuế và các bậc thuế trong phương án mới đơn giản, dễ hiểu và dễ thực hiện hơn. - HUMAN-FAC2]]</f>
        <v>6</v>
      </c>
      <c r="R142">
        <f t="shared" si="65"/>
        <v>0.55555555555555558</v>
      </c>
      <c r="S142" s="32">
        <f t="shared" si="66"/>
        <v>0.66666666666666674</v>
      </c>
      <c r="T142" s="32">
        <f t="shared" si="67"/>
        <v>0.55555555555555558</v>
      </c>
      <c r="U142">
        <f>step3_validation[[#This Row],[AI_TRU1]]</f>
        <v>7</v>
      </c>
      <c r="V142">
        <f t="shared" si="68"/>
        <v>0.66666666666666663</v>
      </c>
      <c r="W142">
        <f>survey_responses[[#This Row],[Tôi tin rằng Nhà nước, cơ quan thuế sẽ thực thi chính sách mới một cách khách quan, công tâm và đối xử bình đẳng với mọi người nộp thuế.  - HUMAN-TRU1]]</f>
        <v>5</v>
      </c>
      <c r="X142">
        <f t="shared" si="69"/>
        <v>0.44444444444444442</v>
      </c>
      <c r="Y142">
        <f>step3_validation[[#This Row],[AI_TRU2]]</f>
        <v>8</v>
      </c>
      <c r="Z142">
        <f t="shared" si="70"/>
        <v>0.77777777777777779</v>
      </c>
      <c r="AA142">
        <f>survey_responses[[#This Row],[Tôi thấy mức thuế tôi phải đóng theo phương án mới là công bằng (người thu nhập như tôi đóng mức này là hợp lý). - HUMAN-TRU2]]</f>
        <v>5</v>
      </c>
      <c r="AB142">
        <f t="shared" si="71"/>
        <v>0.44444444444444442</v>
      </c>
      <c r="AC142">
        <f>step3_validation[[#This Row],[AI_TRU3]]</f>
        <v>7</v>
      </c>
      <c r="AD142">
        <f t="shared" si="72"/>
        <v>0.66666666666666663</v>
      </c>
      <c r="AE142">
        <f>survey_responses[[#This Row],[Tôi tin tưởng số tiền thuế tôi đóng sẽ được Nhà nước sử dụng hiệu quả để cải thiện dịch vụ công (y tế, đường xá...). - HUMAN-TRU3]]</f>
        <v>3</v>
      </c>
      <c r="AF142">
        <f t="shared" si="73"/>
        <v>0.22222222222222221</v>
      </c>
      <c r="AG142">
        <f>step3_validation[[#This Row],[AI_TRU4]]</f>
        <v>6</v>
      </c>
      <c r="AH142">
        <f t="shared" si="74"/>
        <v>0.55555555555555558</v>
      </c>
      <c r="AI142">
        <f>survey_responses[[#This Row],[Tôi thấy Nhà nước đã giải thích rõ ràng, minh bạch về lý do và mục tiêu của việc sửa đổi thuế lần này. - HUMAN-TRU4]]</f>
        <v>3</v>
      </c>
      <c r="AJ142">
        <f t="shared" si="75"/>
        <v>0.22222222222222221</v>
      </c>
      <c r="AK142" s="32">
        <f t="shared" si="76"/>
        <v>0.66666666666666674</v>
      </c>
      <c r="AL142" s="32">
        <f t="shared" si="77"/>
        <v>0.33333333333333337</v>
      </c>
      <c r="AM142" s="7">
        <f t="shared" si="78"/>
        <v>0.66666666666666663</v>
      </c>
      <c r="AN142" s="7">
        <f t="shared" si="79"/>
        <v>0.53703703703703709</v>
      </c>
      <c r="AO142">
        <f>step3_validation[[#This Row],[AI_OUT1]]</f>
        <v>7</v>
      </c>
      <c r="AP142">
        <f t="shared" si="80"/>
        <v>0.66666666666666663</v>
      </c>
      <c r="AQ142">
        <f>survey_responses[[#This Row],[Sau khi xem xét các quyền lợi và nghĩa vụ, bạn có ủng hộ và tuân thủ chính sách mới hiện nay? - HUMAN-OUT1]]</f>
        <v>5</v>
      </c>
      <c r="AR142">
        <f t="shared" si="81"/>
        <v>0.44444444444444442</v>
      </c>
      <c r="AS142" s="32">
        <f t="shared" si="82"/>
        <v>2</v>
      </c>
      <c r="AT142">
        <f t="shared" si="83"/>
        <v>0</v>
      </c>
    </row>
    <row r="143" spans="1:46" x14ac:dyDescent="0.45">
      <c r="A143">
        <f>step3_validation[[#This Row],[AI_ENF1]]</f>
        <v>7</v>
      </c>
      <c r="B143">
        <f t="shared" si="56"/>
        <v>0.66666666666666663</v>
      </c>
      <c r="C143">
        <f>survey_responses[[#This Row],[Tôi tin rằng với các quy định quản lý thuế hiện nay, hành vi gian lận hoặc trốn thuế sẽ dễ dàng bị phát hiện và xử lý nghiêm. - HUMAN-ENF1]]</f>
        <v>5</v>
      </c>
      <c r="D143">
        <f t="shared" si="57"/>
        <v>0.44444444444444442</v>
      </c>
      <c r="E143">
        <f>step3_validation[[#This Row],[AI_ENF2]]</f>
        <v>8</v>
      </c>
      <c r="F143">
        <f t="shared" si="58"/>
        <v>0.77777777777777779</v>
      </c>
      <c r="G143">
        <f>survey_responses[[#This Row],[Tôi tin rằng Nhà nước, cơ quan thuế có đủ khả năng và công nghệ để phát hiện, xử lý nghiêm các hành vi trốn thuế. - HUMAN-ENF2]]</f>
        <v>6</v>
      </c>
      <c r="H143">
        <f t="shared" si="59"/>
        <v>0.55555555555555558</v>
      </c>
      <c r="I143" s="32">
        <f t="shared" si="60"/>
        <v>0.72222222222222221</v>
      </c>
      <c r="J143" s="32">
        <f t="shared" si="61"/>
        <v>0.5</v>
      </c>
      <c r="K143">
        <f>step3_validation[[#This Row],[AI_FAC1]]</f>
        <v>6</v>
      </c>
      <c r="L143">
        <f t="shared" si="62"/>
        <v>0.55555555555555558</v>
      </c>
      <c r="M143">
        <f>survey_responses[[#This Row],[Các thủ tục khai báo thuế VÀ/HOẶC quy trình làm việc với cơ quan thuế đơn giản, tiện lợi, nhanh chóng hơn so với trước đây. - HUMAN-FAC1]]</f>
        <v>5</v>
      </c>
      <c r="N143">
        <f t="shared" si="63"/>
        <v>0.44444444444444442</v>
      </c>
      <c r="O143">
        <f>step3_validation[[#This Row],[AI_FAC2]]</f>
        <v>8</v>
      </c>
      <c r="P143">
        <f t="shared" si="64"/>
        <v>0.77777777777777779</v>
      </c>
      <c r="Q143">
        <f>survey_responses[[#This Row],[So với trước đây, tôi thấy cách tính thuế và các bậc thuế trong phương án mới đơn giản, dễ hiểu và dễ thực hiện hơn. - HUMAN-FAC2]]</f>
        <v>7</v>
      </c>
      <c r="R143">
        <f t="shared" si="65"/>
        <v>0.66666666666666663</v>
      </c>
      <c r="S143" s="32">
        <f t="shared" si="66"/>
        <v>0.66666666666666674</v>
      </c>
      <c r="T143" s="32">
        <f t="shared" si="67"/>
        <v>0.55555555555555558</v>
      </c>
      <c r="U143">
        <f>step3_validation[[#This Row],[AI_TRU1]]</f>
        <v>6</v>
      </c>
      <c r="V143">
        <f t="shared" si="68"/>
        <v>0.55555555555555558</v>
      </c>
      <c r="W143">
        <f>survey_responses[[#This Row],[Tôi tin rằng Nhà nước, cơ quan thuế sẽ thực thi chính sách mới một cách khách quan, công tâm và đối xử bình đẳng với mọi người nộp thuế.  - HUMAN-TRU1]]</f>
        <v>6</v>
      </c>
      <c r="X143">
        <f t="shared" si="69"/>
        <v>0.55555555555555558</v>
      </c>
      <c r="Y143">
        <f>step3_validation[[#This Row],[AI_TRU2]]</f>
        <v>7</v>
      </c>
      <c r="Z143">
        <f t="shared" si="70"/>
        <v>0.66666666666666663</v>
      </c>
      <c r="AA143">
        <f>survey_responses[[#This Row],[Tôi thấy mức thuế tôi phải đóng theo phương án mới là công bằng (người thu nhập như tôi đóng mức này là hợp lý). - HUMAN-TRU2]]</f>
        <v>6</v>
      </c>
      <c r="AB143">
        <f t="shared" si="71"/>
        <v>0.55555555555555558</v>
      </c>
      <c r="AC143">
        <f>step3_validation[[#This Row],[AI_TRU3]]</f>
        <v>5</v>
      </c>
      <c r="AD143">
        <f t="shared" si="72"/>
        <v>0.44444444444444442</v>
      </c>
      <c r="AE143">
        <f>survey_responses[[#This Row],[Tôi tin tưởng số tiền thuế tôi đóng sẽ được Nhà nước sử dụng hiệu quả để cải thiện dịch vụ công (y tế, đường xá...). - HUMAN-TRU3]]</f>
        <v>6</v>
      </c>
      <c r="AF143">
        <f t="shared" si="73"/>
        <v>0.55555555555555558</v>
      </c>
      <c r="AG143">
        <f>step3_validation[[#This Row],[AI_TRU4]]</f>
        <v>4</v>
      </c>
      <c r="AH143">
        <f t="shared" si="74"/>
        <v>0.33333333333333331</v>
      </c>
      <c r="AI143">
        <f>survey_responses[[#This Row],[Tôi thấy Nhà nước đã giải thích rõ ràng, minh bạch về lý do và mục tiêu của việc sửa đổi thuế lần này. - HUMAN-TRU4]]</f>
        <v>7</v>
      </c>
      <c r="AJ143">
        <f t="shared" si="75"/>
        <v>0.66666666666666663</v>
      </c>
      <c r="AK143" s="32">
        <f t="shared" si="76"/>
        <v>0.5</v>
      </c>
      <c r="AL143" s="32">
        <f t="shared" si="77"/>
        <v>0.58333333333333337</v>
      </c>
      <c r="AM143" s="7">
        <f t="shared" si="78"/>
        <v>0.62962962962962965</v>
      </c>
      <c r="AN143" s="7">
        <f t="shared" si="79"/>
        <v>0.54629629629629628</v>
      </c>
      <c r="AO143">
        <f>step3_validation[[#This Row],[AI_OUT1]]</f>
        <v>6</v>
      </c>
      <c r="AP143">
        <f t="shared" si="80"/>
        <v>0.55555555555555558</v>
      </c>
      <c r="AQ143">
        <f>survey_responses[[#This Row],[Sau khi xem xét các quyền lợi và nghĩa vụ, bạn có ủng hộ và tuân thủ chính sách mới hiện nay? - HUMAN-OUT1]]</f>
        <v>7</v>
      </c>
      <c r="AR143">
        <f t="shared" si="81"/>
        <v>0.66666666666666663</v>
      </c>
      <c r="AS143" s="32">
        <f t="shared" si="82"/>
        <v>1</v>
      </c>
      <c r="AT143">
        <f t="shared" si="83"/>
        <v>1</v>
      </c>
    </row>
    <row r="144" spans="1:46" x14ac:dyDescent="0.45">
      <c r="A144">
        <f>step3_validation[[#This Row],[AI_ENF1]]</f>
        <v>8</v>
      </c>
      <c r="B144">
        <f t="shared" si="56"/>
        <v>0.77777777777777779</v>
      </c>
      <c r="C144">
        <f>survey_responses[[#This Row],[Tôi tin rằng với các quy định quản lý thuế hiện nay, hành vi gian lận hoặc trốn thuế sẽ dễ dàng bị phát hiện và xử lý nghiêm. - HUMAN-ENF1]]</f>
        <v>1</v>
      </c>
      <c r="D144">
        <f t="shared" si="57"/>
        <v>0</v>
      </c>
      <c r="E144">
        <f>step3_validation[[#This Row],[AI_ENF2]]</f>
        <v>9</v>
      </c>
      <c r="F144">
        <f t="shared" si="58"/>
        <v>0.88888888888888884</v>
      </c>
      <c r="G144">
        <f>survey_responses[[#This Row],[Tôi tin rằng Nhà nước, cơ quan thuế có đủ khả năng và công nghệ để phát hiện, xử lý nghiêm các hành vi trốn thuế. - HUMAN-ENF2]]</f>
        <v>1</v>
      </c>
      <c r="H144">
        <f t="shared" si="59"/>
        <v>0</v>
      </c>
      <c r="I144" s="32">
        <f t="shared" si="60"/>
        <v>0.83333333333333326</v>
      </c>
      <c r="J144" s="32">
        <f t="shared" si="61"/>
        <v>0</v>
      </c>
      <c r="K144">
        <f>step3_validation[[#This Row],[AI_FAC1]]</f>
        <v>7</v>
      </c>
      <c r="L144">
        <f t="shared" si="62"/>
        <v>0.66666666666666663</v>
      </c>
      <c r="M144">
        <f>survey_responses[[#This Row],[Các thủ tục khai báo thuế VÀ/HOẶC quy trình làm việc với cơ quan thuế đơn giản, tiện lợi, nhanh chóng hơn so với trước đây. - HUMAN-FAC1]]</f>
        <v>8</v>
      </c>
      <c r="N144">
        <f t="shared" si="63"/>
        <v>0.77777777777777779</v>
      </c>
      <c r="O144">
        <f>step3_validation[[#This Row],[AI_FAC2]]</f>
        <v>8</v>
      </c>
      <c r="P144">
        <f t="shared" si="64"/>
        <v>0.77777777777777779</v>
      </c>
      <c r="Q144">
        <f>survey_responses[[#This Row],[So với trước đây, tôi thấy cách tính thuế và các bậc thuế trong phương án mới đơn giản, dễ hiểu và dễ thực hiện hơn. - HUMAN-FAC2]]</f>
        <v>8</v>
      </c>
      <c r="R144">
        <f t="shared" si="65"/>
        <v>0.77777777777777779</v>
      </c>
      <c r="S144" s="32">
        <f t="shared" si="66"/>
        <v>0.72222222222222221</v>
      </c>
      <c r="T144" s="32">
        <f t="shared" si="67"/>
        <v>0.77777777777777779</v>
      </c>
      <c r="U144">
        <f>step3_validation[[#This Row],[AI_TRU1]]</f>
        <v>7</v>
      </c>
      <c r="V144">
        <f t="shared" si="68"/>
        <v>0.66666666666666663</v>
      </c>
      <c r="W144">
        <f>survey_responses[[#This Row],[Tôi tin rằng Nhà nước, cơ quan thuế sẽ thực thi chính sách mới một cách khách quan, công tâm và đối xử bình đẳng với mọi người nộp thuế.  - HUMAN-TRU1]]</f>
        <v>8</v>
      </c>
      <c r="X144">
        <f t="shared" si="69"/>
        <v>0.77777777777777779</v>
      </c>
      <c r="Y144">
        <f>step3_validation[[#This Row],[AI_TRU2]]</f>
        <v>8</v>
      </c>
      <c r="Z144">
        <f t="shared" si="70"/>
        <v>0.77777777777777779</v>
      </c>
      <c r="AA144">
        <f>survey_responses[[#This Row],[Tôi thấy mức thuế tôi phải đóng theo phương án mới là công bằng (người thu nhập như tôi đóng mức này là hợp lý). - HUMAN-TRU2]]</f>
        <v>8</v>
      </c>
      <c r="AB144">
        <f t="shared" si="71"/>
        <v>0.77777777777777779</v>
      </c>
      <c r="AC144">
        <f>step3_validation[[#This Row],[AI_TRU3]]</f>
        <v>7</v>
      </c>
      <c r="AD144">
        <f t="shared" si="72"/>
        <v>0.66666666666666663</v>
      </c>
      <c r="AE144">
        <f>survey_responses[[#This Row],[Tôi tin tưởng số tiền thuế tôi đóng sẽ được Nhà nước sử dụng hiệu quả để cải thiện dịch vụ công (y tế, đường xá...). - HUMAN-TRU3]]</f>
        <v>8</v>
      </c>
      <c r="AF144">
        <f t="shared" si="73"/>
        <v>0.77777777777777779</v>
      </c>
      <c r="AG144">
        <f>step3_validation[[#This Row],[AI_TRU4]]</f>
        <v>6</v>
      </c>
      <c r="AH144">
        <f t="shared" si="74"/>
        <v>0.55555555555555558</v>
      </c>
      <c r="AI144">
        <f>survey_responses[[#This Row],[Tôi thấy Nhà nước đã giải thích rõ ràng, minh bạch về lý do và mục tiêu của việc sửa đổi thuế lần này. - HUMAN-TRU4]]</f>
        <v>8</v>
      </c>
      <c r="AJ144">
        <f t="shared" si="75"/>
        <v>0.77777777777777779</v>
      </c>
      <c r="AK144" s="32">
        <f t="shared" si="76"/>
        <v>0.66666666666666674</v>
      </c>
      <c r="AL144" s="32">
        <f t="shared" si="77"/>
        <v>0.77777777777777779</v>
      </c>
      <c r="AM144" s="7">
        <f t="shared" si="78"/>
        <v>0.74074074074074081</v>
      </c>
      <c r="AN144" s="7">
        <f t="shared" si="79"/>
        <v>0.51851851851851849</v>
      </c>
      <c r="AO144">
        <f>step3_validation[[#This Row],[AI_OUT1]]</f>
        <v>7</v>
      </c>
      <c r="AP144">
        <f t="shared" si="80"/>
        <v>0.66666666666666663</v>
      </c>
      <c r="AQ144">
        <f>survey_responses[[#This Row],[Sau khi xem xét các quyền lợi và nghĩa vụ, bạn có ủng hộ và tuân thủ chính sách mới hiện nay? - HUMAN-OUT1]]</f>
        <v>8</v>
      </c>
      <c r="AR144">
        <f t="shared" si="81"/>
        <v>0.77777777777777779</v>
      </c>
      <c r="AS144" s="32">
        <f t="shared" si="82"/>
        <v>1</v>
      </c>
      <c r="AT144">
        <f t="shared" si="83"/>
        <v>1</v>
      </c>
    </row>
    <row r="145" spans="1:46" x14ac:dyDescent="0.45">
      <c r="A145">
        <f>step3_validation[[#This Row],[AI_ENF1]]</f>
        <v>7</v>
      </c>
      <c r="B145">
        <f t="shared" si="56"/>
        <v>0.66666666666666663</v>
      </c>
      <c r="C145">
        <f>survey_responses[[#This Row],[Tôi tin rằng với các quy định quản lý thuế hiện nay, hành vi gian lận hoặc trốn thuế sẽ dễ dàng bị phát hiện và xử lý nghiêm. - HUMAN-ENF1]]</f>
        <v>9</v>
      </c>
      <c r="D145">
        <f t="shared" si="57"/>
        <v>0.88888888888888884</v>
      </c>
      <c r="E145">
        <f>step3_validation[[#This Row],[AI_ENF2]]</f>
        <v>6</v>
      </c>
      <c r="F145">
        <f t="shared" si="58"/>
        <v>0.55555555555555558</v>
      </c>
      <c r="G145">
        <f>survey_responses[[#This Row],[Tôi tin rằng Nhà nước, cơ quan thuế có đủ khả năng và công nghệ để phát hiện, xử lý nghiêm các hành vi trốn thuế. - HUMAN-ENF2]]</f>
        <v>9</v>
      </c>
      <c r="H145">
        <f t="shared" si="59"/>
        <v>0.88888888888888884</v>
      </c>
      <c r="I145" s="32">
        <f t="shared" si="60"/>
        <v>0.61111111111111116</v>
      </c>
      <c r="J145" s="32">
        <f t="shared" si="61"/>
        <v>0.88888888888888884</v>
      </c>
      <c r="K145">
        <f>step3_validation[[#This Row],[AI_FAC1]]</f>
        <v>8</v>
      </c>
      <c r="L145">
        <f t="shared" si="62"/>
        <v>0.77777777777777779</v>
      </c>
      <c r="M145">
        <f>survey_responses[[#This Row],[Các thủ tục khai báo thuế VÀ/HOẶC quy trình làm việc với cơ quan thuế đơn giản, tiện lợi, nhanh chóng hơn so với trước đây. - HUMAN-FAC1]]</f>
        <v>9</v>
      </c>
      <c r="N145">
        <f t="shared" si="63"/>
        <v>0.88888888888888884</v>
      </c>
      <c r="O145">
        <f>step3_validation[[#This Row],[AI_FAC2]]</f>
        <v>4</v>
      </c>
      <c r="P145">
        <f t="shared" si="64"/>
        <v>0.33333333333333331</v>
      </c>
      <c r="Q145">
        <f>survey_responses[[#This Row],[So với trước đây, tôi thấy cách tính thuế và các bậc thuế trong phương án mới đơn giản, dễ hiểu và dễ thực hiện hơn. - HUMAN-FAC2]]</f>
        <v>9</v>
      </c>
      <c r="R145">
        <f t="shared" si="65"/>
        <v>0.88888888888888884</v>
      </c>
      <c r="S145" s="32">
        <f t="shared" si="66"/>
        <v>0.55555555555555558</v>
      </c>
      <c r="T145" s="32">
        <f t="shared" si="67"/>
        <v>0.88888888888888884</v>
      </c>
      <c r="U145">
        <f>step3_validation[[#This Row],[AI_TRU1]]</f>
        <v>8</v>
      </c>
      <c r="V145">
        <f t="shared" si="68"/>
        <v>0.77777777777777779</v>
      </c>
      <c r="W145">
        <f>survey_responses[[#This Row],[Tôi tin rằng Nhà nước, cơ quan thuế sẽ thực thi chính sách mới một cách khách quan, công tâm và đối xử bình đẳng với mọi người nộp thuế.  - HUMAN-TRU1]]</f>
        <v>10</v>
      </c>
      <c r="X145">
        <f t="shared" si="69"/>
        <v>1</v>
      </c>
      <c r="Y145">
        <f>step3_validation[[#This Row],[AI_TRU2]]</f>
        <v>3</v>
      </c>
      <c r="Z145">
        <f t="shared" si="70"/>
        <v>0.22222222222222221</v>
      </c>
      <c r="AA145">
        <f>survey_responses[[#This Row],[Tôi thấy mức thuế tôi phải đóng theo phương án mới là công bằng (người thu nhập như tôi đóng mức này là hợp lý). - HUMAN-TRU2]]</f>
        <v>5</v>
      </c>
      <c r="AB145">
        <f t="shared" si="71"/>
        <v>0.44444444444444442</v>
      </c>
      <c r="AC145">
        <f>step3_validation[[#This Row],[AI_TRU3]]</f>
        <v>6</v>
      </c>
      <c r="AD145">
        <f t="shared" si="72"/>
        <v>0.55555555555555558</v>
      </c>
      <c r="AE145">
        <f>survey_responses[[#This Row],[Tôi tin tưởng số tiền thuế tôi đóng sẽ được Nhà nước sử dụng hiệu quả để cải thiện dịch vụ công (y tế, đường xá...). - HUMAN-TRU3]]</f>
        <v>9</v>
      </c>
      <c r="AF145">
        <f t="shared" si="73"/>
        <v>0.88888888888888884</v>
      </c>
      <c r="AG145">
        <f>step3_validation[[#This Row],[AI_TRU4]]</f>
        <v>5</v>
      </c>
      <c r="AH145">
        <f t="shared" si="74"/>
        <v>0.44444444444444442</v>
      </c>
      <c r="AI145">
        <f>survey_responses[[#This Row],[Tôi thấy Nhà nước đã giải thích rõ ràng, minh bạch về lý do và mục tiêu của việc sửa đổi thuế lần này. - HUMAN-TRU4]]</f>
        <v>9</v>
      </c>
      <c r="AJ145">
        <f t="shared" si="75"/>
        <v>0.88888888888888884</v>
      </c>
      <c r="AK145" s="32">
        <f t="shared" si="76"/>
        <v>0.5</v>
      </c>
      <c r="AL145" s="32">
        <f t="shared" si="77"/>
        <v>0.80555555555555547</v>
      </c>
      <c r="AM145" s="7">
        <f t="shared" si="78"/>
        <v>0.55555555555555558</v>
      </c>
      <c r="AN145" s="7">
        <f t="shared" si="79"/>
        <v>0.86111111111111105</v>
      </c>
      <c r="AO145">
        <f>step3_validation[[#This Row],[AI_OUT1]]</f>
        <v>7</v>
      </c>
      <c r="AP145">
        <f t="shared" si="80"/>
        <v>0.66666666666666663</v>
      </c>
      <c r="AQ145">
        <f>survey_responses[[#This Row],[Sau khi xem xét các quyền lợi và nghĩa vụ, bạn có ủng hộ và tuân thủ chính sách mới hiện nay? - HUMAN-OUT1]]</f>
        <v>10</v>
      </c>
      <c r="AR145">
        <f t="shared" si="81"/>
        <v>1</v>
      </c>
      <c r="AS145" s="32">
        <f t="shared" si="82"/>
        <v>3</v>
      </c>
      <c r="AT145">
        <f t="shared" si="83"/>
        <v>1</v>
      </c>
    </row>
    <row r="146" spans="1:46" x14ac:dyDescent="0.45">
      <c r="A146">
        <f>step3_validation[[#This Row],[AI_ENF1]]</f>
        <v>7</v>
      </c>
      <c r="B146">
        <f t="shared" si="56"/>
        <v>0.66666666666666663</v>
      </c>
      <c r="C146">
        <f>survey_responses[[#This Row],[Tôi tin rằng với các quy định quản lý thuế hiện nay, hành vi gian lận hoặc trốn thuế sẽ dễ dàng bị phát hiện và xử lý nghiêm. - HUMAN-ENF1]]</f>
        <v>10</v>
      </c>
      <c r="D146">
        <f t="shared" si="57"/>
        <v>1</v>
      </c>
      <c r="E146">
        <f>step3_validation[[#This Row],[AI_ENF2]]</f>
        <v>6</v>
      </c>
      <c r="F146">
        <f t="shared" si="58"/>
        <v>0.55555555555555558</v>
      </c>
      <c r="G146">
        <f>survey_responses[[#This Row],[Tôi tin rằng Nhà nước, cơ quan thuế có đủ khả năng và công nghệ để phát hiện, xử lý nghiêm các hành vi trốn thuế. - HUMAN-ENF2]]</f>
        <v>10</v>
      </c>
      <c r="H146">
        <f t="shared" si="59"/>
        <v>1</v>
      </c>
      <c r="I146" s="32">
        <f t="shared" si="60"/>
        <v>0.61111111111111116</v>
      </c>
      <c r="J146" s="32">
        <f t="shared" si="61"/>
        <v>1</v>
      </c>
      <c r="K146">
        <f>step3_validation[[#This Row],[AI_FAC1]]</f>
        <v>8</v>
      </c>
      <c r="L146">
        <f t="shared" si="62"/>
        <v>0.77777777777777779</v>
      </c>
      <c r="M146">
        <f>survey_responses[[#This Row],[Các thủ tục khai báo thuế VÀ/HOẶC quy trình làm việc với cơ quan thuế đơn giản, tiện lợi, nhanh chóng hơn so với trước đây. - HUMAN-FAC1]]</f>
        <v>9</v>
      </c>
      <c r="N146">
        <f t="shared" si="63"/>
        <v>0.88888888888888884</v>
      </c>
      <c r="O146">
        <f>step3_validation[[#This Row],[AI_FAC2]]</f>
        <v>9</v>
      </c>
      <c r="P146">
        <f t="shared" si="64"/>
        <v>0.88888888888888884</v>
      </c>
      <c r="Q146">
        <f>survey_responses[[#This Row],[So với trước đây, tôi thấy cách tính thuế và các bậc thuế trong phương án mới đơn giản, dễ hiểu và dễ thực hiện hơn. - HUMAN-FAC2]]</f>
        <v>6</v>
      </c>
      <c r="R146">
        <f t="shared" si="65"/>
        <v>0.55555555555555558</v>
      </c>
      <c r="S146" s="32">
        <f t="shared" si="66"/>
        <v>0.83333333333333326</v>
      </c>
      <c r="T146" s="32">
        <f t="shared" si="67"/>
        <v>0.72222222222222221</v>
      </c>
      <c r="U146">
        <f>step3_validation[[#This Row],[AI_TRU1]]</f>
        <v>7</v>
      </c>
      <c r="V146">
        <f t="shared" si="68"/>
        <v>0.66666666666666663</v>
      </c>
      <c r="W146">
        <f>survey_responses[[#This Row],[Tôi tin rằng Nhà nước, cơ quan thuế sẽ thực thi chính sách mới một cách khách quan, công tâm và đối xử bình đẳng với mọi người nộp thuế.  - HUMAN-TRU1]]</f>
        <v>6</v>
      </c>
      <c r="X146">
        <f t="shared" si="69"/>
        <v>0.55555555555555558</v>
      </c>
      <c r="Y146">
        <f>step3_validation[[#This Row],[AI_TRU2]]</f>
        <v>6</v>
      </c>
      <c r="Z146">
        <f t="shared" si="70"/>
        <v>0.55555555555555558</v>
      </c>
      <c r="AA146">
        <f>survey_responses[[#This Row],[Tôi thấy mức thuế tôi phải đóng theo phương án mới là công bằng (người thu nhập như tôi đóng mức này là hợp lý). - HUMAN-TRU2]]</f>
        <v>3</v>
      </c>
      <c r="AB146">
        <f t="shared" si="71"/>
        <v>0.22222222222222221</v>
      </c>
      <c r="AC146">
        <f>step3_validation[[#This Row],[AI_TRU3]]</f>
        <v>5</v>
      </c>
      <c r="AD146">
        <f t="shared" si="72"/>
        <v>0.44444444444444442</v>
      </c>
      <c r="AE146">
        <f>survey_responses[[#This Row],[Tôi tin tưởng số tiền thuế tôi đóng sẽ được Nhà nước sử dụng hiệu quả để cải thiện dịch vụ công (y tế, đường xá...). - HUMAN-TRU3]]</f>
        <v>5</v>
      </c>
      <c r="AF146">
        <f t="shared" si="73"/>
        <v>0.44444444444444442</v>
      </c>
      <c r="AG146">
        <f>step3_validation[[#This Row],[AI_TRU4]]</f>
        <v>6</v>
      </c>
      <c r="AH146">
        <f t="shared" si="74"/>
        <v>0.55555555555555558</v>
      </c>
      <c r="AI146">
        <f>survey_responses[[#This Row],[Tôi thấy Nhà nước đã giải thích rõ ràng, minh bạch về lý do và mục tiêu của việc sửa đổi thuế lần này. - HUMAN-TRU4]]</f>
        <v>5</v>
      </c>
      <c r="AJ146">
        <f t="shared" si="75"/>
        <v>0.44444444444444442</v>
      </c>
      <c r="AK146" s="32">
        <f t="shared" si="76"/>
        <v>0.55555555555555558</v>
      </c>
      <c r="AL146" s="32">
        <f t="shared" si="77"/>
        <v>0.41666666666666669</v>
      </c>
      <c r="AM146" s="7">
        <f t="shared" si="78"/>
        <v>0.66666666666666663</v>
      </c>
      <c r="AN146" s="7">
        <f t="shared" si="79"/>
        <v>0.71296296296296291</v>
      </c>
      <c r="AO146">
        <f>step3_validation[[#This Row],[AI_OUT1]]</f>
        <v>7</v>
      </c>
      <c r="AP146">
        <f t="shared" si="80"/>
        <v>0.66666666666666663</v>
      </c>
      <c r="AQ146">
        <f>survey_responses[[#This Row],[Sau khi xem xét các quyền lợi và nghĩa vụ, bạn có ủng hộ và tuân thủ chính sách mới hiện nay? - HUMAN-OUT1]]</f>
        <v>1</v>
      </c>
      <c r="AR146">
        <f t="shared" si="81"/>
        <v>0</v>
      </c>
      <c r="AS146" s="32">
        <f t="shared" si="82"/>
        <v>6</v>
      </c>
      <c r="AT146">
        <f t="shared" si="83"/>
        <v>0</v>
      </c>
    </row>
    <row r="147" spans="1:46" x14ac:dyDescent="0.45">
      <c r="A147">
        <f>step3_validation[[#This Row],[AI_ENF1]]</f>
        <v>7</v>
      </c>
      <c r="B147">
        <f t="shared" si="56"/>
        <v>0.66666666666666663</v>
      </c>
      <c r="C147">
        <f>survey_responses[[#This Row],[Tôi tin rằng với các quy định quản lý thuế hiện nay, hành vi gian lận hoặc trốn thuế sẽ dễ dàng bị phát hiện và xử lý nghiêm. - HUMAN-ENF1]]</f>
        <v>8</v>
      </c>
      <c r="D147">
        <f t="shared" si="57"/>
        <v>0.77777777777777779</v>
      </c>
      <c r="E147">
        <f>step3_validation[[#This Row],[AI_ENF2]]</f>
        <v>8</v>
      </c>
      <c r="F147">
        <f t="shared" si="58"/>
        <v>0.77777777777777779</v>
      </c>
      <c r="G147">
        <f>survey_responses[[#This Row],[Tôi tin rằng Nhà nước, cơ quan thuế có đủ khả năng và công nghệ để phát hiện, xử lý nghiêm các hành vi trốn thuế. - HUMAN-ENF2]]</f>
        <v>8</v>
      </c>
      <c r="H147">
        <f t="shared" si="59"/>
        <v>0.77777777777777779</v>
      </c>
      <c r="I147" s="32">
        <f t="shared" si="60"/>
        <v>0.72222222222222221</v>
      </c>
      <c r="J147" s="32">
        <f t="shared" si="61"/>
        <v>0.77777777777777779</v>
      </c>
      <c r="K147">
        <f>step3_validation[[#This Row],[AI_FAC1]]</f>
        <v>6</v>
      </c>
      <c r="L147">
        <f t="shared" si="62"/>
        <v>0.55555555555555558</v>
      </c>
      <c r="M147">
        <f>survey_responses[[#This Row],[Các thủ tục khai báo thuế VÀ/HOẶC quy trình làm việc với cơ quan thuế đơn giản, tiện lợi, nhanh chóng hơn so với trước đây. - HUMAN-FAC1]]</f>
        <v>5</v>
      </c>
      <c r="N147">
        <f t="shared" si="63"/>
        <v>0.44444444444444442</v>
      </c>
      <c r="O147">
        <f>step3_validation[[#This Row],[AI_FAC2]]</f>
        <v>9</v>
      </c>
      <c r="P147">
        <f t="shared" si="64"/>
        <v>0.88888888888888884</v>
      </c>
      <c r="Q147">
        <f>survey_responses[[#This Row],[So với trước đây, tôi thấy cách tính thuế và các bậc thuế trong phương án mới đơn giản, dễ hiểu và dễ thực hiện hơn. - HUMAN-FAC2]]</f>
        <v>5</v>
      </c>
      <c r="R147">
        <f t="shared" si="65"/>
        <v>0.44444444444444442</v>
      </c>
      <c r="S147" s="32">
        <f t="shared" si="66"/>
        <v>0.72222222222222221</v>
      </c>
      <c r="T147" s="32">
        <f t="shared" si="67"/>
        <v>0.44444444444444442</v>
      </c>
      <c r="U147">
        <f>step3_validation[[#This Row],[AI_TRU1]]</f>
        <v>7</v>
      </c>
      <c r="V147">
        <f t="shared" si="68"/>
        <v>0.66666666666666663</v>
      </c>
      <c r="W147">
        <f>survey_responses[[#This Row],[Tôi tin rằng Nhà nước, cơ quan thuế sẽ thực thi chính sách mới một cách khách quan, công tâm và đối xử bình đẳng với mọi người nộp thuế.  - HUMAN-TRU1]]</f>
        <v>5</v>
      </c>
      <c r="X147">
        <f t="shared" si="69"/>
        <v>0.44444444444444442</v>
      </c>
      <c r="Y147">
        <f>step3_validation[[#This Row],[AI_TRU2]]</f>
        <v>8</v>
      </c>
      <c r="Z147">
        <f t="shared" si="70"/>
        <v>0.77777777777777779</v>
      </c>
      <c r="AA147">
        <f>survey_responses[[#This Row],[Tôi thấy mức thuế tôi phải đóng theo phương án mới là công bằng (người thu nhập như tôi đóng mức này là hợp lý). - HUMAN-TRU2]]</f>
        <v>3</v>
      </c>
      <c r="AB147">
        <f t="shared" si="71"/>
        <v>0.22222222222222221</v>
      </c>
      <c r="AC147">
        <f>step3_validation[[#This Row],[AI_TRU3]]</f>
        <v>7</v>
      </c>
      <c r="AD147">
        <f t="shared" si="72"/>
        <v>0.66666666666666663</v>
      </c>
      <c r="AE147">
        <f>survey_responses[[#This Row],[Tôi tin tưởng số tiền thuế tôi đóng sẽ được Nhà nước sử dụng hiệu quả để cải thiện dịch vụ công (y tế, đường xá...). - HUMAN-TRU3]]</f>
        <v>5</v>
      </c>
      <c r="AF147">
        <f t="shared" si="73"/>
        <v>0.44444444444444442</v>
      </c>
      <c r="AG147">
        <f>step3_validation[[#This Row],[AI_TRU4]]</f>
        <v>6</v>
      </c>
      <c r="AH147">
        <f t="shared" si="74"/>
        <v>0.55555555555555558</v>
      </c>
      <c r="AI147">
        <f>survey_responses[[#This Row],[Tôi thấy Nhà nước đã giải thích rõ ràng, minh bạch về lý do và mục tiêu của việc sửa đổi thuế lần này. - HUMAN-TRU4]]</f>
        <v>5</v>
      </c>
      <c r="AJ147">
        <f t="shared" si="75"/>
        <v>0.44444444444444442</v>
      </c>
      <c r="AK147" s="32">
        <f t="shared" si="76"/>
        <v>0.66666666666666674</v>
      </c>
      <c r="AL147" s="32">
        <f t="shared" si="77"/>
        <v>0.3888888888888889</v>
      </c>
      <c r="AM147" s="7">
        <f t="shared" si="78"/>
        <v>0.70370370370370372</v>
      </c>
      <c r="AN147" s="7">
        <f t="shared" si="79"/>
        <v>0.53703703703703709</v>
      </c>
      <c r="AO147">
        <f>step3_validation[[#This Row],[AI_OUT1]]</f>
        <v>5</v>
      </c>
      <c r="AP147">
        <f t="shared" si="80"/>
        <v>0.44444444444444442</v>
      </c>
      <c r="AQ147">
        <f>survey_responses[[#This Row],[Sau khi xem xét các quyền lợi và nghĩa vụ, bạn có ủng hộ và tuân thủ chính sách mới hiện nay? - HUMAN-OUT1]]</f>
        <v>5</v>
      </c>
      <c r="AR147">
        <f t="shared" si="81"/>
        <v>0.44444444444444442</v>
      </c>
      <c r="AS147" s="32">
        <f t="shared" si="82"/>
        <v>0</v>
      </c>
      <c r="AT147">
        <f t="shared" si="83"/>
        <v>0</v>
      </c>
    </row>
    <row r="148" spans="1:46" x14ac:dyDescent="0.45">
      <c r="A148">
        <f>step3_validation[[#This Row],[AI_ENF1]]</f>
        <v>6</v>
      </c>
      <c r="B148">
        <f t="shared" si="56"/>
        <v>0.55555555555555558</v>
      </c>
      <c r="C148">
        <f>survey_responses[[#This Row],[Tôi tin rằng với các quy định quản lý thuế hiện nay, hành vi gian lận hoặc trốn thuế sẽ dễ dàng bị phát hiện và xử lý nghiêm. - HUMAN-ENF1]]</f>
        <v>7</v>
      </c>
      <c r="D148">
        <f t="shared" si="57"/>
        <v>0.66666666666666663</v>
      </c>
      <c r="E148">
        <f>step3_validation[[#This Row],[AI_ENF2]]</f>
        <v>7</v>
      </c>
      <c r="F148">
        <f t="shared" si="58"/>
        <v>0.66666666666666663</v>
      </c>
      <c r="G148">
        <f>survey_responses[[#This Row],[Tôi tin rằng Nhà nước, cơ quan thuế có đủ khả năng và công nghệ để phát hiện, xử lý nghiêm các hành vi trốn thuế. - HUMAN-ENF2]]</f>
        <v>7</v>
      </c>
      <c r="H148">
        <f t="shared" si="59"/>
        <v>0.66666666666666663</v>
      </c>
      <c r="I148" s="32">
        <f t="shared" si="60"/>
        <v>0.61111111111111116</v>
      </c>
      <c r="J148" s="32">
        <f t="shared" si="61"/>
        <v>0.66666666666666663</v>
      </c>
      <c r="K148">
        <f>step3_validation[[#This Row],[AI_FAC1]]</f>
        <v>8</v>
      </c>
      <c r="L148">
        <f t="shared" si="62"/>
        <v>0.77777777777777779</v>
      </c>
      <c r="M148">
        <f>survey_responses[[#This Row],[Các thủ tục khai báo thuế VÀ/HOẶC quy trình làm việc với cơ quan thuế đơn giản, tiện lợi, nhanh chóng hơn so với trước đây. - HUMAN-FAC1]]</f>
        <v>1</v>
      </c>
      <c r="N148">
        <f t="shared" si="63"/>
        <v>0</v>
      </c>
      <c r="O148">
        <f>step3_validation[[#This Row],[AI_FAC2]]</f>
        <v>9</v>
      </c>
      <c r="P148">
        <f t="shared" si="64"/>
        <v>0.88888888888888884</v>
      </c>
      <c r="Q148">
        <f>survey_responses[[#This Row],[So với trước đây, tôi thấy cách tính thuế và các bậc thuế trong phương án mới đơn giản, dễ hiểu và dễ thực hiện hơn. - HUMAN-FAC2]]</f>
        <v>6</v>
      </c>
      <c r="R148">
        <f t="shared" si="65"/>
        <v>0.55555555555555558</v>
      </c>
      <c r="S148" s="32">
        <f t="shared" si="66"/>
        <v>0.83333333333333326</v>
      </c>
      <c r="T148" s="32">
        <f t="shared" si="67"/>
        <v>0.27777777777777779</v>
      </c>
      <c r="U148">
        <f>step3_validation[[#This Row],[AI_TRU1]]</f>
        <v>7</v>
      </c>
      <c r="V148">
        <f t="shared" si="68"/>
        <v>0.66666666666666663</v>
      </c>
      <c r="W148">
        <f>survey_responses[[#This Row],[Tôi tin rằng Nhà nước, cơ quan thuế sẽ thực thi chính sách mới một cách khách quan, công tâm và đối xử bình đẳng với mọi người nộp thuế.  - HUMAN-TRU1]]</f>
        <v>3</v>
      </c>
      <c r="X148">
        <f t="shared" si="69"/>
        <v>0.22222222222222221</v>
      </c>
      <c r="Y148">
        <f>step3_validation[[#This Row],[AI_TRU2]]</f>
        <v>8</v>
      </c>
      <c r="Z148">
        <f t="shared" si="70"/>
        <v>0.77777777777777779</v>
      </c>
      <c r="AA148">
        <f>survey_responses[[#This Row],[Tôi thấy mức thuế tôi phải đóng theo phương án mới là công bằng (người thu nhập như tôi đóng mức này là hợp lý). - HUMAN-TRU2]]</f>
        <v>5</v>
      </c>
      <c r="AB148">
        <f t="shared" si="71"/>
        <v>0.44444444444444442</v>
      </c>
      <c r="AC148">
        <f>step3_validation[[#This Row],[AI_TRU3]]</f>
        <v>7</v>
      </c>
      <c r="AD148">
        <f t="shared" si="72"/>
        <v>0.66666666666666663</v>
      </c>
      <c r="AE148">
        <f>survey_responses[[#This Row],[Tôi tin tưởng số tiền thuế tôi đóng sẽ được Nhà nước sử dụng hiệu quả để cải thiện dịch vụ công (y tế, đường xá...). - HUMAN-TRU3]]</f>
        <v>1</v>
      </c>
      <c r="AF148">
        <f t="shared" si="73"/>
        <v>0</v>
      </c>
      <c r="AG148">
        <f>step3_validation[[#This Row],[AI_TRU4]]</f>
        <v>6</v>
      </c>
      <c r="AH148">
        <f t="shared" si="74"/>
        <v>0.55555555555555558</v>
      </c>
      <c r="AI148">
        <f>survey_responses[[#This Row],[Tôi thấy Nhà nước đã giải thích rõ ràng, minh bạch về lý do và mục tiêu của việc sửa đổi thuế lần này. - HUMAN-TRU4]]</f>
        <v>4</v>
      </c>
      <c r="AJ148">
        <f t="shared" si="75"/>
        <v>0.33333333333333331</v>
      </c>
      <c r="AK148" s="32">
        <f t="shared" si="76"/>
        <v>0.66666666666666674</v>
      </c>
      <c r="AL148" s="32">
        <f t="shared" si="77"/>
        <v>0.25</v>
      </c>
      <c r="AM148" s="7">
        <f t="shared" si="78"/>
        <v>0.70370370370370372</v>
      </c>
      <c r="AN148" s="7">
        <f t="shared" si="79"/>
        <v>0.39814814814814814</v>
      </c>
      <c r="AO148">
        <f>step3_validation[[#This Row],[AI_OUT1]]</f>
        <v>8</v>
      </c>
      <c r="AP148">
        <f t="shared" si="80"/>
        <v>0.77777777777777779</v>
      </c>
      <c r="AQ148">
        <f>survey_responses[[#This Row],[Sau khi xem xét các quyền lợi và nghĩa vụ, bạn có ủng hộ và tuân thủ chính sách mới hiện nay? - HUMAN-OUT1]]</f>
        <v>5</v>
      </c>
      <c r="AR148">
        <f t="shared" si="81"/>
        <v>0.44444444444444442</v>
      </c>
      <c r="AS148" s="32">
        <f t="shared" si="82"/>
        <v>3</v>
      </c>
      <c r="AT148">
        <f t="shared" si="83"/>
        <v>0</v>
      </c>
    </row>
    <row r="149" spans="1:46" x14ac:dyDescent="0.45">
      <c r="A149">
        <f>step3_validation[[#This Row],[AI_ENF1]]</f>
        <v>7</v>
      </c>
      <c r="B149">
        <f t="shared" si="56"/>
        <v>0.66666666666666663</v>
      </c>
      <c r="C149">
        <f>survey_responses[[#This Row],[Tôi tin rằng với các quy định quản lý thuế hiện nay, hành vi gian lận hoặc trốn thuế sẽ dễ dàng bị phát hiện và xử lý nghiêm. - HUMAN-ENF1]]</f>
        <v>6</v>
      </c>
      <c r="D149">
        <f t="shared" si="57"/>
        <v>0.55555555555555558</v>
      </c>
      <c r="E149">
        <f>step3_validation[[#This Row],[AI_ENF2]]</f>
        <v>6</v>
      </c>
      <c r="F149">
        <f t="shared" si="58"/>
        <v>0.55555555555555558</v>
      </c>
      <c r="G149">
        <f>survey_responses[[#This Row],[Tôi tin rằng Nhà nước, cơ quan thuế có đủ khả năng và công nghệ để phát hiện, xử lý nghiêm các hành vi trốn thuế. - HUMAN-ENF2]]</f>
        <v>6</v>
      </c>
      <c r="H149">
        <f t="shared" si="59"/>
        <v>0.55555555555555558</v>
      </c>
      <c r="I149" s="32">
        <f t="shared" si="60"/>
        <v>0.61111111111111116</v>
      </c>
      <c r="J149" s="32">
        <f t="shared" si="61"/>
        <v>0.55555555555555558</v>
      </c>
      <c r="K149">
        <f>step3_validation[[#This Row],[AI_FAC1]]</f>
        <v>9</v>
      </c>
      <c r="L149">
        <f t="shared" si="62"/>
        <v>0.88888888888888884</v>
      </c>
      <c r="M149">
        <f>survey_responses[[#This Row],[Các thủ tục khai báo thuế VÀ/HOẶC quy trình làm việc với cơ quan thuế đơn giản, tiện lợi, nhanh chóng hơn so với trước đây. - HUMAN-FAC1]]</f>
        <v>5</v>
      </c>
      <c r="N149">
        <f t="shared" si="63"/>
        <v>0.44444444444444442</v>
      </c>
      <c r="O149">
        <f>step3_validation[[#This Row],[AI_FAC2]]</f>
        <v>8</v>
      </c>
      <c r="P149">
        <f t="shared" si="64"/>
        <v>0.77777777777777779</v>
      </c>
      <c r="Q149">
        <f>survey_responses[[#This Row],[So với trước đây, tôi thấy cách tính thuế và các bậc thuế trong phương án mới đơn giản, dễ hiểu và dễ thực hiện hơn. - HUMAN-FAC2]]</f>
        <v>7</v>
      </c>
      <c r="R149">
        <f t="shared" si="65"/>
        <v>0.66666666666666663</v>
      </c>
      <c r="S149" s="32">
        <f t="shared" si="66"/>
        <v>0.83333333333333326</v>
      </c>
      <c r="T149" s="32">
        <f t="shared" si="67"/>
        <v>0.55555555555555558</v>
      </c>
      <c r="U149">
        <f>step3_validation[[#This Row],[AI_TRU1]]</f>
        <v>6</v>
      </c>
      <c r="V149">
        <f t="shared" si="68"/>
        <v>0.55555555555555558</v>
      </c>
      <c r="W149">
        <f>survey_responses[[#This Row],[Tôi tin rằng Nhà nước, cơ quan thuế sẽ thực thi chính sách mới một cách khách quan, công tâm và đối xử bình đẳng với mọi người nộp thuế.  - HUMAN-TRU1]]</f>
        <v>5</v>
      </c>
      <c r="X149">
        <f t="shared" si="69"/>
        <v>0.44444444444444442</v>
      </c>
      <c r="Y149">
        <f>step3_validation[[#This Row],[AI_TRU2]]</f>
        <v>8</v>
      </c>
      <c r="Z149">
        <f t="shared" si="70"/>
        <v>0.77777777777777779</v>
      </c>
      <c r="AA149">
        <f>survey_responses[[#This Row],[Tôi thấy mức thuế tôi phải đóng theo phương án mới là công bằng (người thu nhập như tôi đóng mức này là hợp lý). - HUMAN-TRU2]]</f>
        <v>7</v>
      </c>
      <c r="AB149">
        <f t="shared" si="71"/>
        <v>0.66666666666666663</v>
      </c>
      <c r="AC149">
        <f>step3_validation[[#This Row],[AI_TRU3]]</f>
        <v>7</v>
      </c>
      <c r="AD149">
        <f t="shared" si="72"/>
        <v>0.66666666666666663</v>
      </c>
      <c r="AE149">
        <f>survey_responses[[#This Row],[Tôi tin tưởng số tiền thuế tôi đóng sẽ được Nhà nước sử dụng hiệu quả để cải thiện dịch vụ công (y tế, đường xá...). - HUMAN-TRU3]]</f>
        <v>5</v>
      </c>
      <c r="AF149">
        <f t="shared" si="73"/>
        <v>0.44444444444444442</v>
      </c>
      <c r="AG149">
        <f>step3_validation[[#This Row],[AI_TRU4]]</f>
        <v>5</v>
      </c>
      <c r="AH149">
        <f t="shared" si="74"/>
        <v>0.44444444444444442</v>
      </c>
      <c r="AI149">
        <f>survey_responses[[#This Row],[Tôi thấy Nhà nước đã giải thích rõ ràng, minh bạch về lý do và mục tiêu của việc sửa đổi thuế lần này. - HUMAN-TRU4]]</f>
        <v>6</v>
      </c>
      <c r="AJ149">
        <f t="shared" si="75"/>
        <v>0.55555555555555558</v>
      </c>
      <c r="AK149" s="32">
        <f t="shared" si="76"/>
        <v>0.61111111111111116</v>
      </c>
      <c r="AL149" s="32">
        <f t="shared" si="77"/>
        <v>0.52777777777777779</v>
      </c>
      <c r="AM149" s="7">
        <f t="shared" si="78"/>
        <v>0.68518518518518512</v>
      </c>
      <c r="AN149" s="7">
        <f t="shared" si="79"/>
        <v>0.54629629629629628</v>
      </c>
      <c r="AO149">
        <f>step3_validation[[#This Row],[AI_OUT1]]</f>
        <v>7</v>
      </c>
      <c r="AP149">
        <f t="shared" si="80"/>
        <v>0.66666666666666663</v>
      </c>
      <c r="AQ149">
        <f>survey_responses[[#This Row],[Sau khi xem xét các quyền lợi và nghĩa vụ, bạn có ủng hộ và tuân thủ chính sách mới hiện nay? - HUMAN-OUT1]]</f>
        <v>7</v>
      </c>
      <c r="AR149">
        <f t="shared" si="81"/>
        <v>0.66666666666666663</v>
      </c>
      <c r="AS149" s="32">
        <f t="shared" si="82"/>
        <v>0</v>
      </c>
      <c r="AT149">
        <f t="shared" si="83"/>
        <v>1</v>
      </c>
    </row>
    <row r="150" spans="1:46" x14ac:dyDescent="0.45">
      <c r="A150">
        <f>step3_validation[[#This Row],[AI_ENF1]]</f>
        <v>6</v>
      </c>
      <c r="B150">
        <f t="shared" si="56"/>
        <v>0.55555555555555558</v>
      </c>
      <c r="C150">
        <f>survey_responses[[#This Row],[Tôi tin rằng với các quy định quản lý thuế hiện nay, hành vi gian lận hoặc trốn thuế sẽ dễ dàng bị phát hiện và xử lý nghiêm. - HUMAN-ENF1]]</f>
        <v>10</v>
      </c>
      <c r="D150">
        <f t="shared" si="57"/>
        <v>1</v>
      </c>
      <c r="E150">
        <f>step3_validation[[#This Row],[AI_ENF2]]</f>
        <v>7</v>
      </c>
      <c r="F150">
        <f t="shared" si="58"/>
        <v>0.66666666666666663</v>
      </c>
      <c r="G150">
        <f>survey_responses[[#This Row],[Tôi tin rằng Nhà nước, cơ quan thuế có đủ khả năng và công nghệ để phát hiện, xử lý nghiêm các hành vi trốn thuế. - HUMAN-ENF2]]</f>
        <v>10</v>
      </c>
      <c r="H150">
        <f t="shared" si="59"/>
        <v>1</v>
      </c>
      <c r="I150" s="32">
        <f t="shared" si="60"/>
        <v>0.61111111111111116</v>
      </c>
      <c r="J150" s="32">
        <f t="shared" si="61"/>
        <v>1</v>
      </c>
      <c r="K150">
        <f>step3_validation[[#This Row],[AI_FAC1]]</f>
        <v>8</v>
      </c>
      <c r="L150">
        <f t="shared" si="62"/>
        <v>0.77777777777777779</v>
      </c>
      <c r="M150">
        <f>survey_responses[[#This Row],[Các thủ tục khai báo thuế VÀ/HOẶC quy trình làm việc với cơ quan thuế đơn giản, tiện lợi, nhanh chóng hơn so với trước đây. - HUMAN-FAC1]]</f>
        <v>7</v>
      </c>
      <c r="N150">
        <f t="shared" si="63"/>
        <v>0.66666666666666663</v>
      </c>
      <c r="O150">
        <f>step3_validation[[#This Row],[AI_FAC2]]</f>
        <v>9</v>
      </c>
      <c r="P150">
        <f t="shared" si="64"/>
        <v>0.88888888888888884</v>
      </c>
      <c r="Q150">
        <f>survey_responses[[#This Row],[So với trước đây, tôi thấy cách tính thuế và các bậc thuế trong phương án mới đơn giản, dễ hiểu và dễ thực hiện hơn. - HUMAN-FAC2]]</f>
        <v>8</v>
      </c>
      <c r="R150">
        <f t="shared" si="65"/>
        <v>0.77777777777777779</v>
      </c>
      <c r="S150" s="32">
        <f t="shared" si="66"/>
        <v>0.83333333333333326</v>
      </c>
      <c r="T150" s="32">
        <f t="shared" si="67"/>
        <v>0.72222222222222221</v>
      </c>
      <c r="U150">
        <f>step3_validation[[#This Row],[AI_TRU1]]</f>
        <v>8</v>
      </c>
      <c r="V150">
        <f t="shared" si="68"/>
        <v>0.77777777777777779</v>
      </c>
      <c r="W150">
        <f>survey_responses[[#This Row],[Tôi tin rằng Nhà nước, cơ quan thuế sẽ thực thi chính sách mới một cách khách quan, công tâm và đối xử bình đẳng với mọi người nộp thuế.  - HUMAN-TRU1]]</f>
        <v>8</v>
      </c>
      <c r="X150">
        <f t="shared" si="69"/>
        <v>0.77777777777777779</v>
      </c>
      <c r="Y150">
        <f>step3_validation[[#This Row],[AI_TRU2]]</f>
        <v>7</v>
      </c>
      <c r="Z150">
        <f t="shared" si="70"/>
        <v>0.66666666666666663</v>
      </c>
      <c r="AA150">
        <f>survey_responses[[#This Row],[Tôi thấy mức thuế tôi phải đóng theo phương án mới là công bằng (người thu nhập như tôi đóng mức này là hợp lý). - HUMAN-TRU2]]</f>
        <v>4</v>
      </c>
      <c r="AB150">
        <f t="shared" si="71"/>
        <v>0.33333333333333331</v>
      </c>
      <c r="AC150">
        <f>step3_validation[[#This Row],[AI_TRU3]]</f>
        <v>8</v>
      </c>
      <c r="AD150">
        <f t="shared" si="72"/>
        <v>0.77777777777777779</v>
      </c>
      <c r="AE150">
        <f>survey_responses[[#This Row],[Tôi tin tưởng số tiền thuế tôi đóng sẽ được Nhà nước sử dụng hiệu quả để cải thiện dịch vụ công (y tế, đường xá...). - HUMAN-TRU3]]</f>
        <v>1</v>
      </c>
      <c r="AF150">
        <f t="shared" si="73"/>
        <v>0</v>
      </c>
      <c r="AG150">
        <f>step3_validation[[#This Row],[AI_TRU4]]</f>
        <v>5</v>
      </c>
      <c r="AH150">
        <f t="shared" si="74"/>
        <v>0.44444444444444442</v>
      </c>
      <c r="AI150">
        <f>survey_responses[[#This Row],[Tôi thấy Nhà nước đã giải thích rõ ràng, minh bạch về lý do và mục tiêu của việc sửa đổi thuế lần này. - HUMAN-TRU4]]</f>
        <v>3</v>
      </c>
      <c r="AJ150">
        <f t="shared" si="75"/>
        <v>0.22222222222222221</v>
      </c>
      <c r="AK150" s="32">
        <f t="shared" si="76"/>
        <v>0.66666666666666674</v>
      </c>
      <c r="AL150" s="32">
        <f t="shared" si="77"/>
        <v>0.33333333333333337</v>
      </c>
      <c r="AM150" s="7">
        <f t="shared" si="78"/>
        <v>0.70370370370370372</v>
      </c>
      <c r="AN150" s="7">
        <f t="shared" si="79"/>
        <v>0.68518518518518523</v>
      </c>
      <c r="AO150">
        <f>step3_validation[[#This Row],[AI_OUT1]]</f>
        <v>7</v>
      </c>
      <c r="AP150">
        <f t="shared" si="80"/>
        <v>0.66666666666666663</v>
      </c>
      <c r="AQ150">
        <f>survey_responses[[#This Row],[Sau khi xem xét các quyền lợi và nghĩa vụ, bạn có ủng hộ và tuân thủ chính sách mới hiện nay? - HUMAN-OUT1]]</f>
        <v>6</v>
      </c>
      <c r="AR150">
        <f t="shared" si="81"/>
        <v>0.55555555555555558</v>
      </c>
      <c r="AS150" s="32">
        <f t="shared" si="82"/>
        <v>1</v>
      </c>
      <c r="AT150">
        <f t="shared" si="83"/>
        <v>1</v>
      </c>
    </row>
    <row r="151" spans="1:46" x14ac:dyDescent="0.45">
      <c r="A151">
        <f>step3_validation[[#This Row],[AI_ENF1]]</f>
        <v>7</v>
      </c>
      <c r="B151">
        <f t="shared" si="56"/>
        <v>0.66666666666666663</v>
      </c>
      <c r="C151">
        <f>survey_responses[[#This Row],[Tôi tin rằng với các quy định quản lý thuế hiện nay, hành vi gian lận hoặc trốn thuế sẽ dễ dàng bị phát hiện và xử lý nghiêm. - HUMAN-ENF1]]</f>
        <v>7</v>
      </c>
      <c r="D151">
        <f t="shared" si="57"/>
        <v>0.66666666666666663</v>
      </c>
      <c r="E151">
        <f>step3_validation[[#This Row],[AI_ENF2]]</f>
        <v>6</v>
      </c>
      <c r="F151">
        <f t="shared" si="58"/>
        <v>0.55555555555555558</v>
      </c>
      <c r="G151">
        <f>survey_responses[[#This Row],[Tôi tin rằng Nhà nước, cơ quan thuế có đủ khả năng và công nghệ để phát hiện, xử lý nghiêm các hành vi trốn thuế. - HUMAN-ENF2]]</f>
        <v>10</v>
      </c>
      <c r="H151">
        <f t="shared" si="59"/>
        <v>1</v>
      </c>
      <c r="I151" s="32">
        <f t="shared" si="60"/>
        <v>0.61111111111111116</v>
      </c>
      <c r="J151" s="32">
        <f t="shared" si="61"/>
        <v>0.83333333333333326</v>
      </c>
      <c r="K151">
        <f>step3_validation[[#This Row],[AI_FAC1]]</f>
        <v>8</v>
      </c>
      <c r="L151">
        <f t="shared" si="62"/>
        <v>0.77777777777777779</v>
      </c>
      <c r="M151">
        <f>survey_responses[[#This Row],[Các thủ tục khai báo thuế VÀ/HOẶC quy trình làm việc với cơ quan thuế đơn giản, tiện lợi, nhanh chóng hơn so với trước đây. - HUMAN-FAC1]]</f>
        <v>5</v>
      </c>
      <c r="N151">
        <f t="shared" si="63"/>
        <v>0.44444444444444442</v>
      </c>
      <c r="O151">
        <f>step3_validation[[#This Row],[AI_FAC2]]</f>
        <v>9</v>
      </c>
      <c r="P151">
        <f t="shared" si="64"/>
        <v>0.88888888888888884</v>
      </c>
      <c r="Q151">
        <f>survey_responses[[#This Row],[So với trước đây, tôi thấy cách tính thuế và các bậc thuế trong phương án mới đơn giản, dễ hiểu và dễ thực hiện hơn. - HUMAN-FAC2]]</f>
        <v>7</v>
      </c>
      <c r="R151">
        <f t="shared" si="65"/>
        <v>0.66666666666666663</v>
      </c>
      <c r="S151" s="32">
        <f t="shared" si="66"/>
        <v>0.83333333333333326</v>
      </c>
      <c r="T151" s="32">
        <f t="shared" si="67"/>
        <v>0.55555555555555558</v>
      </c>
      <c r="U151">
        <f>step3_validation[[#This Row],[AI_TRU1]]</f>
        <v>5</v>
      </c>
      <c r="V151">
        <f t="shared" si="68"/>
        <v>0.44444444444444442</v>
      </c>
      <c r="W151">
        <f>survey_responses[[#This Row],[Tôi tin rằng Nhà nước, cơ quan thuế sẽ thực thi chính sách mới một cách khách quan, công tâm và đối xử bình đẳng với mọi người nộp thuế.  - HUMAN-TRU1]]</f>
        <v>7</v>
      </c>
      <c r="X151">
        <f t="shared" si="69"/>
        <v>0.66666666666666663</v>
      </c>
      <c r="Y151">
        <f>step3_validation[[#This Row],[AI_TRU2]]</f>
        <v>6</v>
      </c>
      <c r="Z151">
        <f t="shared" si="70"/>
        <v>0.55555555555555558</v>
      </c>
      <c r="AA151">
        <f>survey_responses[[#This Row],[Tôi thấy mức thuế tôi phải đóng theo phương án mới là công bằng (người thu nhập như tôi đóng mức này là hợp lý). - HUMAN-TRU2]]</f>
        <v>7</v>
      </c>
      <c r="AB151">
        <f t="shared" si="71"/>
        <v>0.66666666666666663</v>
      </c>
      <c r="AC151">
        <f>step3_validation[[#This Row],[AI_TRU3]]</f>
        <v>4</v>
      </c>
      <c r="AD151">
        <f t="shared" si="72"/>
        <v>0.33333333333333331</v>
      </c>
      <c r="AE151">
        <f>survey_responses[[#This Row],[Tôi tin tưởng số tiền thuế tôi đóng sẽ được Nhà nước sử dụng hiệu quả để cải thiện dịch vụ công (y tế, đường xá...). - HUMAN-TRU3]]</f>
        <v>7</v>
      </c>
      <c r="AF151">
        <f t="shared" si="73"/>
        <v>0.66666666666666663</v>
      </c>
      <c r="AG151">
        <f>step3_validation[[#This Row],[AI_TRU4]]</f>
        <v>5</v>
      </c>
      <c r="AH151">
        <f t="shared" si="74"/>
        <v>0.44444444444444442</v>
      </c>
      <c r="AI151">
        <f>survey_responses[[#This Row],[Tôi thấy Nhà nước đã giải thích rõ ràng, minh bạch về lý do và mục tiêu của việc sửa đổi thuế lần này. - HUMAN-TRU4]]</f>
        <v>7</v>
      </c>
      <c r="AJ151">
        <f t="shared" si="75"/>
        <v>0.66666666666666663</v>
      </c>
      <c r="AK151" s="32">
        <f t="shared" si="76"/>
        <v>0.44444444444444442</v>
      </c>
      <c r="AL151" s="32">
        <f t="shared" si="77"/>
        <v>0.66666666666666663</v>
      </c>
      <c r="AM151" s="7">
        <f t="shared" si="78"/>
        <v>0.62962962962962965</v>
      </c>
      <c r="AN151" s="7">
        <f t="shared" si="79"/>
        <v>0.68518518518518512</v>
      </c>
      <c r="AO151">
        <f>step3_validation[[#This Row],[AI_OUT1]]</f>
        <v>8</v>
      </c>
      <c r="AP151">
        <f t="shared" si="80"/>
        <v>0.77777777777777779</v>
      </c>
      <c r="AQ151">
        <f>survey_responses[[#This Row],[Sau khi xem xét các quyền lợi và nghĩa vụ, bạn có ủng hộ và tuân thủ chính sách mới hiện nay? - HUMAN-OUT1]]</f>
        <v>10</v>
      </c>
      <c r="AR151">
        <f t="shared" si="81"/>
        <v>1</v>
      </c>
      <c r="AS151" s="32">
        <f t="shared" si="82"/>
        <v>2</v>
      </c>
      <c r="AT151">
        <f t="shared" si="83"/>
        <v>1</v>
      </c>
    </row>
    <row r="152" spans="1:46" x14ac:dyDescent="0.45">
      <c r="A152">
        <f>step3_validation[[#This Row],[AI_ENF1]]</f>
        <v>7</v>
      </c>
      <c r="B152">
        <f t="shared" si="56"/>
        <v>0.66666666666666663</v>
      </c>
      <c r="C152">
        <f>survey_responses[[#This Row],[Tôi tin rằng với các quy định quản lý thuế hiện nay, hành vi gian lận hoặc trốn thuế sẽ dễ dàng bị phát hiện và xử lý nghiêm. - HUMAN-ENF1]]</f>
        <v>8</v>
      </c>
      <c r="D152">
        <f t="shared" si="57"/>
        <v>0.77777777777777779</v>
      </c>
      <c r="E152">
        <f>step3_validation[[#This Row],[AI_ENF2]]</f>
        <v>7</v>
      </c>
      <c r="F152">
        <f t="shared" si="58"/>
        <v>0.66666666666666663</v>
      </c>
      <c r="G152">
        <f>survey_responses[[#This Row],[Tôi tin rằng Nhà nước, cơ quan thuế có đủ khả năng và công nghệ để phát hiện, xử lý nghiêm các hành vi trốn thuế. - HUMAN-ENF2]]</f>
        <v>8</v>
      </c>
      <c r="H152">
        <f t="shared" si="59"/>
        <v>0.77777777777777779</v>
      </c>
      <c r="I152" s="32">
        <f t="shared" si="60"/>
        <v>0.66666666666666663</v>
      </c>
      <c r="J152" s="32">
        <f t="shared" si="61"/>
        <v>0.77777777777777779</v>
      </c>
      <c r="K152">
        <f>step3_validation[[#This Row],[AI_FAC1]]</f>
        <v>8</v>
      </c>
      <c r="L152">
        <f t="shared" si="62"/>
        <v>0.77777777777777779</v>
      </c>
      <c r="M152">
        <f>survey_responses[[#This Row],[Các thủ tục khai báo thuế VÀ/HOẶC quy trình làm việc với cơ quan thuế đơn giản, tiện lợi, nhanh chóng hơn so với trước đây. - HUMAN-FAC1]]</f>
        <v>8</v>
      </c>
      <c r="N152">
        <f t="shared" si="63"/>
        <v>0.77777777777777779</v>
      </c>
      <c r="O152">
        <f>step3_validation[[#This Row],[AI_FAC2]]</f>
        <v>9</v>
      </c>
      <c r="P152">
        <f t="shared" si="64"/>
        <v>0.88888888888888884</v>
      </c>
      <c r="Q152">
        <f>survey_responses[[#This Row],[So với trước đây, tôi thấy cách tính thuế và các bậc thuế trong phương án mới đơn giản, dễ hiểu và dễ thực hiện hơn. - HUMAN-FAC2]]</f>
        <v>8</v>
      </c>
      <c r="R152">
        <f t="shared" si="65"/>
        <v>0.77777777777777779</v>
      </c>
      <c r="S152" s="32">
        <f t="shared" si="66"/>
        <v>0.83333333333333326</v>
      </c>
      <c r="T152" s="32">
        <f t="shared" si="67"/>
        <v>0.77777777777777779</v>
      </c>
      <c r="U152">
        <f>step3_validation[[#This Row],[AI_TRU1]]</f>
        <v>6</v>
      </c>
      <c r="V152">
        <f t="shared" si="68"/>
        <v>0.55555555555555558</v>
      </c>
      <c r="W152">
        <f>survey_responses[[#This Row],[Tôi tin rằng Nhà nước, cơ quan thuế sẽ thực thi chính sách mới một cách khách quan, công tâm và đối xử bình đẳng với mọi người nộp thuế.  - HUMAN-TRU1]]</f>
        <v>8</v>
      </c>
      <c r="X152">
        <f t="shared" si="69"/>
        <v>0.77777777777777779</v>
      </c>
      <c r="Y152">
        <f>step3_validation[[#This Row],[AI_TRU2]]</f>
        <v>7</v>
      </c>
      <c r="Z152">
        <f t="shared" si="70"/>
        <v>0.66666666666666663</v>
      </c>
      <c r="AA152">
        <f>survey_responses[[#This Row],[Tôi thấy mức thuế tôi phải đóng theo phương án mới là công bằng (người thu nhập như tôi đóng mức này là hợp lý). - HUMAN-TRU2]]</f>
        <v>8</v>
      </c>
      <c r="AB152">
        <f t="shared" si="71"/>
        <v>0.77777777777777779</v>
      </c>
      <c r="AC152">
        <f>step3_validation[[#This Row],[AI_TRU3]]</f>
        <v>6</v>
      </c>
      <c r="AD152">
        <f t="shared" si="72"/>
        <v>0.55555555555555558</v>
      </c>
      <c r="AE152">
        <f>survey_responses[[#This Row],[Tôi tin tưởng số tiền thuế tôi đóng sẽ được Nhà nước sử dụng hiệu quả để cải thiện dịch vụ công (y tế, đường xá...). - HUMAN-TRU3]]</f>
        <v>8</v>
      </c>
      <c r="AF152">
        <f t="shared" si="73"/>
        <v>0.77777777777777779</v>
      </c>
      <c r="AG152">
        <f>step3_validation[[#This Row],[AI_TRU4]]</f>
        <v>7</v>
      </c>
      <c r="AH152">
        <f t="shared" si="74"/>
        <v>0.66666666666666663</v>
      </c>
      <c r="AI152">
        <f>survey_responses[[#This Row],[Tôi thấy Nhà nước đã giải thích rõ ràng, minh bạch về lý do và mục tiêu của việc sửa đổi thuế lần này. - HUMAN-TRU4]]</f>
        <v>8</v>
      </c>
      <c r="AJ152">
        <f t="shared" si="75"/>
        <v>0.77777777777777779</v>
      </c>
      <c r="AK152" s="32">
        <f t="shared" si="76"/>
        <v>0.61111111111111116</v>
      </c>
      <c r="AL152" s="32">
        <f t="shared" si="77"/>
        <v>0.77777777777777779</v>
      </c>
      <c r="AM152" s="7">
        <f t="shared" si="78"/>
        <v>0.70370370370370372</v>
      </c>
      <c r="AN152" s="7">
        <f t="shared" si="79"/>
        <v>0.77777777777777779</v>
      </c>
      <c r="AO152">
        <f>step3_validation[[#This Row],[AI_OUT1]]</f>
        <v>8</v>
      </c>
      <c r="AP152">
        <f t="shared" si="80"/>
        <v>0.77777777777777779</v>
      </c>
      <c r="AQ152">
        <f>survey_responses[[#This Row],[Sau khi xem xét các quyền lợi và nghĩa vụ, bạn có ủng hộ và tuân thủ chính sách mới hiện nay? - HUMAN-OUT1]]</f>
        <v>8</v>
      </c>
      <c r="AR152">
        <f t="shared" si="81"/>
        <v>0.77777777777777779</v>
      </c>
      <c r="AS152" s="32">
        <f t="shared" si="82"/>
        <v>0</v>
      </c>
      <c r="AT152">
        <f t="shared" si="83"/>
        <v>1</v>
      </c>
    </row>
    <row r="153" spans="1:46" x14ac:dyDescent="0.45">
      <c r="A153">
        <f>step3_validation[[#This Row],[AI_ENF1]]</f>
        <v>8</v>
      </c>
      <c r="B153">
        <f t="shared" si="56"/>
        <v>0.77777777777777779</v>
      </c>
      <c r="C153">
        <f>survey_responses[[#This Row],[Tôi tin rằng với các quy định quản lý thuế hiện nay, hành vi gian lận hoặc trốn thuế sẽ dễ dàng bị phát hiện và xử lý nghiêm. - HUMAN-ENF1]]</f>
        <v>10</v>
      </c>
      <c r="D153">
        <f t="shared" si="57"/>
        <v>1</v>
      </c>
      <c r="E153">
        <f>step3_validation[[#This Row],[AI_ENF2]]</f>
        <v>7</v>
      </c>
      <c r="F153">
        <f t="shared" si="58"/>
        <v>0.66666666666666663</v>
      </c>
      <c r="G153">
        <f>survey_responses[[#This Row],[Tôi tin rằng Nhà nước, cơ quan thuế có đủ khả năng và công nghệ để phát hiện, xử lý nghiêm các hành vi trốn thuế. - HUMAN-ENF2]]</f>
        <v>10</v>
      </c>
      <c r="H153">
        <f t="shared" si="59"/>
        <v>1</v>
      </c>
      <c r="I153" s="32">
        <f t="shared" si="60"/>
        <v>0.72222222222222221</v>
      </c>
      <c r="J153" s="32">
        <f t="shared" si="61"/>
        <v>1</v>
      </c>
      <c r="K153">
        <f>step3_validation[[#This Row],[AI_FAC1]]</f>
        <v>9</v>
      </c>
      <c r="L153">
        <f t="shared" si="62"/>
        <v>0.88888888888888884</v>
      </c>
      <c r="M153">
        <f>survey_responses[[#This Row],[Các thủ tục khai báo thuế VÀ/HOẶC quy trình làm việc với cơ quan thuế đơn giản, tiện lợi, nhanh chóng hơn so với trước đây. - HUMAN-FAC1]]</f>
        <v>10</v>
      </c>
      <c r="N153">
        <f t="shared" si="63"/>
        <v>1</v>
      </c>
      <c r="O153">
        <f>step3_validation[[#This Row],[AI_FAC2]]</f>
        <v>8</v>
      </c>
      <c r="P153">
        <f t="shared" si="64"/>
        <v>0.77777777777777779</v>
      </c>
      <c r="Q153">
        <f>survey_responses[[#This Row],[So với trước đây, tôi thấy cách tính thuế và các bậc thuế trong phương án mới đơn giản, dễ hiểu và dễ thực hiện hơn. - HUMAN-FAC2]]</f>
        <v>10</v>
      </c>
      <c r="R153">
        <f t="shared" si="65"/>
        <v>1</v>
      </c>
      <c r="S153" s="32">
        <f t="shared" si="66"/>
        <v>0.83333333333333326</v>
      </c>
      <c r="T153" s="32">
        <f t="shared" si="67"/>
        <v>1</v>
      </c>
      <c r="U153">
        <f>step3_validation[[#This Row],[AI_TRU1]]</f>
        <v>7</v>
      </c>
      <c r="V153">
        <f t="shared" si="68"/>
        <v>0.66666666666666663</v>
      </c>
      <c r="W153">
        <f>survey_responses[[#This Row],[Tôi tin rằng Nhà nước, cơ quan thuế sẽ thực thi chính sách mới một cách khách quan, công tâm và đối xử bình đẳng với mọi người nộp thuế.  - HUMAN-TRU1]]</f>
        <v>10</v>
      </c>
      <c r="X153">
        <f t="shared" si="69"/>
        <v>1</v>
      </c>
      <c r="Y153">
        <f>step3_validation[[#This Row],[AI_TRU2]]</f>
        <v>8</v>
      </c>
      <c r="Z153">
        <f t="shared" si="70"/>
        <v>0.77777777777777779</v>
      </c>
      <c r="AA153">
        <f>survey_responses[[#This Row],[Tôi thấy mức thuế tôi phải đóng theo phương án mới là công bằng (người thu nhập như tôi đóng mức này là hợp lý). - HUMAN-TRU2]]</f>
        <v>10</v>
      </c>
      <c r="AB153">
        <f t="shared" si="71"/>
        <v>1</v>
      </c>
      <c r="AC153">
        <f>step3_validation[[#This Row],[AI_TRU3]]</f>
        <v>7</v>
      </c>
      <c r="AD153">
        <f t="shared" si="72"/>
        <v>0.66666666666666663</v>
      </c>
      <c r="AE153">
        <f>survey_responses[[#This Row],[Tôi tin tưởng số tiền thuế tôi đóng sẽ được Nhà nước sử dụng hiệu quả để cải thiện dịch vụ công (y tế, đường xá...). - HUMAN-TRU3]]</f>
        <v>10</v>
      </c>
      <c r="AF153">
        <f t="shared" si="73"/>
        <v>1</v>
      </c>
      <c r="AG153">
        <f>step3_validation[[#This Row],[AI_TRU4]]</f>
        <v>6</v>
      </c>
      <c r="AH153">
        <f t="shared" si="74"/>
        <v>0.55555555555555558</v>
      </c>
      <c r="AI153">
        <f>survey_responses[[#This Row],[Tôi thấy Nhà nước đã giải thích rõ ràng, minh bạch về lý do và mục tiêu của việc sửa đổi thuế lần này. - HUMAN-TRU4]]</f>
        <v>10</v>
      </c>
      <c r="AJ153">
        <f t="shared" si="75"/>
        <v>1</v>
      </c>
      <c r="AK153" s="32">
        <f t="shared" si="76"/>
        <v>0.66666666666666674</v>
      </c>
      <c r="AL153" s="32">
        <f t="shared" si="77"/>
        <v>1</v>
      </c>
      <c r="AM153" s="7">
        <f t="shared" si="78"/>
        <v>0.74074074074074081</v>
      </c>
      <c r="AN153" s="7">
        <f t="shared" si="79"/>
        <v>1</v>
      </c>
      <c r="AO153">
        <f>step3_validation[[#This Row],[AI_OUT1]]</f>
        <v>8</v>
      </c>
      <c r="AP153">
        <f t="shared" si="80"/>
        <v>0.77777777777777779</v>
      </c>
      <c r="AQ153">
        <f>survey_responses[[#This Row],[Sau khi xem xét các quyền lợi và nghĩa vụ, bạn có ủng hộ và tuân thủ chính sách mới hiện nay? - HUMAN-OUT1]]</f>
        <v>10</v>
      </c>
      <c r="AR153">
        <f t="shared" si="81"/>
        <v>1</v>
      </c>
      <c r="AS153" s="32">
        <f t="shared" si="82"/>
        <v>2</v>
      </c>
      <c r="AT153">
        <f t="shared" si="83"/>
        <v>1</v>
      </c>
    </row>
    <row r="154" spans="1:46" x14ac:dyDescent="0.45">
      <c r="A154">
        <f>step3_validation[[#This Row],[AI_ENF1]]</f>
        <v>6</v>
      </c>
      <c r="B154">
        <f t="shared" si="56"/>
        <v>0.55555555555555558</v>
      </c>
      <c r="C154">
        <f>survey_responses[[#This Row],[Tôi tin rằng với các quy định quản lý thuế hiện nay, hành vi gian lận hoặc trốn thuế sẽ dễ dàng bị phát hiện và xử lý nghiêm. - HUMAN-ENF1]]</f>
        <v>7</v>
      </c>
      <c r="D154">
        <f t="shared" si="57"/>
        <v>0.66666666666666663</v>
      </c>
      <c r="E154">
        <f>step3_validation[[#This Row],[AI_ENF2]]</f>
        <v>8</v>
      </c>
      <c r="F154">
        <f t="shared" si="58"/>
        <v>0.77777777777777779</v>
      </c>
      <c r="G154">
        <f>survey_responses[[#This Row],[Tôi tin rằng Nhà nước, cơ quan thuế có đủ khả năng và công nghệ để phát hiện, xử lý nghiêm các hành vi trốn thuế. - HUMAN-ENF2]]</f>
        <v>7</v>
      </c>
      <c r="H154">
        <f t="shared" si="59"/>
        <v>0.66666666666666663</v>
      </c>
      <c r="I154" s="32">
        <f t="shared" si="60"/>
        <v>0.66666666666666674</v>
      </c>
      <c r="J154" s="32">
        <f t="shared" si="61"/>
        <v>0.66666666666666663</v>
      </c>
      <c r="K154">
        <f>step3_validation[[#This Row],[AI_FAC1]]</f>
        <v>7</v>
      </c>
      <c r="L154">
        <f t="shared" si="62"/>
        <v>0.66666666666666663</v>
      </c>
      <c r="M154">
        <f>survey_responses[[#This Row],[Các thủ tục khai báo thuế VÀ/HOẶC quy trình làm việc với cơ quan thuế đơn giản, tiện lợi, nhanh chóng hơn so với trước đây. - HUMAN-FAC1]]</f>
        <v>5</v>
      </c>
      <c r="N154">
        <f t="shared" si="63"/>
        <v>0.44444444444444442</v>
      </c>
      <c r="O154">
        <f>step3_validation[[#This Row],[AI_FAC2]]</f>
        <v>5</v>
      </c>
      <c r="P154">
        <f t="shared" si="64"/>
        <v>0.44444444444444442</v>
      </c>
      <c r="Q154">
        <f>survey_responses[[#This Row],[So với trước đây, tôi thấy cách tính thuế và các bậc thuế trong phương án mới đơn giản, dễ hiểu và dễ thực hiện hơn. - HUMAN-FAC2]]</f>
        <v>7</v>
      </c>
      <c r="R154">
        <f t="shared" si="65"/>
        <v>0.66666666666666663</v>
      </c>
      <c r="S154" s="32">
        <f t="shared" si="66"/>
        <v>0.55555555555555558</v>
      </c>
      <c r="T154" s="32">
        <f t="shared" si="67"/>
        <v>0.55555555555555558</v>
      </c>
      <c r="U154">
        <f>step3_validation[[#This Row],[AI_TRU1]]</f>
        <v>4</v>
      </c>
      <c r="V154">
        <f t="shared" si="68"/>
        <v>0.33333333333333331</v>
      </c>
      <c r="W154">
        <f>survey_responses[[#This Row],[Tôi tin rằng Nhà nước, cơ quan thuế sẽ thực thi chính sách mới một cách khách quan, công tâm và đối xử bình đẳng với mọi người nộp thuế.  - HUMAN-TRU1]]</f>
        <v>7</v>
      </c>
      <c r="X154">
        <f t="shared" si="69"/>
        <v>0.66666666666666663</v>
      </c>
      <c r="Y154">
        <f>step3_validation[[#This Row],[AI_TRU2]]</f>
        <v>6</v>
      </c>
      <c r="Z154">
        <f t="shared" si="70"/>
        <v>0.55555555555555558</v>
      </c>
      <c r="AA154">
        <f>survey_responses[[#This Row],[Tôi thấy mức thuế tôi phải đóng theo phương án mới là công bằng (người thu nhập như tôi đóng mức này là hợp lý). - HUMAN-TRU2]]</f>
        <v>7</v>
      </c>
      <c r="AB154">
        <f t="shared" si="71"/>
        <v>0.66666666666666663</v>
      </c>
      <c r="AC154">
        <f>step3_validation[[#This Row],[AI_TRU3]]</f>
        <v>7</v>
      </c>
      <c r="AD154">
        <f t="shared" si="72"/>
        <v>0.66666666666666663</v>
      </c>
      <c r="AE154">
        <f>survey_responses[[#This Row],[Tôi tin tưởng số tiền thuế tôi đóng sẽ được Nhà nước sử dụng hiệu quả để cải thiện dịch vụ công (y tế, đường xá...). - HUMAN-TRU3]]</f>
        <v>7</v>
      </c>
      <c r="AF154">
        <f t="shared" si="73"/>
        <v>0.66666666666666663</v>
      </c>
      <c r="AG154">
        <f>step3_validation[[#This Row],[AI_TRU4]]</f>
        <v>5</v>
      </c>
      <c r="AH154">
        <f t="shared" si="74"/>
        <v>0.44444444444444442</v>
      </c>
      <c r="AI154">
        <f>survey_responses[[#This Row],[Tôi thấy Nhà nước đã giải thích rõ ràng, minh bạch về lý do và mục tiêu của việc sửa đổi thuế lần này. - HUMAN-TRU4]]</f>
        <v>7</v>
      </c>
      <c r="AJ154">
        <f t="shared" si="75"/>
        <v>0.66666666666666663</v>
      </c>
      <c r="AK154" s="32">
        <f t="shared" si="76"/>
        <v>0.49999999999999994</v>
      </c>
      <c r="AL154" s="32">
        <f t="shared" si="77"/>
        <v>0.66666666666666663</v>
      </c>
      <c r="AM154" s="7">
        <f t="shared" si="78"/>
        <v>0.57407407407407407</v>
      </c>
      <c r="AN154" s="7">
        <f t="shared" si="79"/>
        <v>0.62962962962962965</v>
      </c>
      <c r="AO154">
        <f>step3_validation[[#This Row],[AI_OUT1]]</f>
        <v>3</v>
      </c>
      <c r="AP154">
        <f t="shared" si="80"/>
        <v>0.22222222222222221</v>
      </c>
      <c r="AQ154">
        <f>survey_responses[[#This Row],[Sau khi xem xét các quyền lợi và nghĩa vụ, bạn có ủng hộ và tuân thủ chính sách mới hiện nay? - HUMAN-OUT1]]</f>
        <v>7</v>
      </c>
      <c r="AR154">
        <f t="shared" si="81"/>
        <v>0.66666666666666663</v>
      </c>
      <c r="AS154" s="32">
        <f t="shared" si="82"/>
        <v>4</v>
      </c>
      <c r="AT154">
        <f t="shared" si="83"/>
        <v>1</v>
      </c>
    </row>
    <row r="155" spans="1:46" x14ac:dyDescent="0.45">
      <c r="A155">
        <f>step3_validation[[#This Row],[AI_ENF1]]</f>
        <v>7</v>
      </c>
      <c r="B155">
        <f t="shared" si="56"/>
        <v>0.66666666666666663</v>
      </c>
      <c r="C155">
        <f>survey_responses[[#This Row],[Tôi tin rằng với các quy định quản lý thuế hiện nay, hành vi gian lận hoặc trốn thuế sẽ dễ dàng bị phát hiện và xử lý nghiêm. - HUMAN-ENF1]]</f>
        <v>7</v>
      </c>
      <c r="D155">
        <f t="shared" si="57"/>
        <v>0.66666666666666663</v>
      </c>
      <c r="E155">
        <f>step3_validation[[#This Row],[AI_ENF2]]</f>
        <v>6</v>
      </c>
      <c r="F155">
        <f t="shared" si="58"/>
        <v>0.55555555555555558</v>
      </c>
      <c r="G155">
        <f>survey_responses[[#This Row],[Tôi tin rằng Nhà nước, cơ quan thuế có đủ khả năng và công nghệ để phát hiện, xử lý nghiêm các hành vi trốn thuế. - HUMAN-ENF2]]</f>
        <v>8</v>
      </c>
      <c r="H155">
        <f t="shared" si="59"/>
        <v>0.77777777777777779</v>
      </c>
      <c r="I155" s="32">
        <f t="shared" si="60"/>
        <v>0.61111111111111116</v>
      </c>
      <c r="J155" s="32">
        <f t="shared" si="61"/>
        <v>0.72222222222222221</v>
      </c>
      <c r="K155">
        <f>step3_validation[[#This Row],[AI_FAC1]]</f>
        <v>8</v>
      </c>
      <c r="L155">
        <f t="shared" si="62"/>
        <v>0.77777777777777779</v>
      </c>
      <c r="M155">
        <f>survey_responses[[#This Row],[Các thủ tục khai báo thuế VÀ/HOẶC quy trình làm việc với cơ quan thuế đơn giản, tiện lợi, nhanh chóng hơn so với trước đây. - HUMAN-FAC1]]</f>
        <v>8</v>
      </c>
      <c r="N155">
        <f t="shared" si="63"/>
        <v>0.77777777777777779</v>
      </c>
      <c r="O155">
        <f>step3_validation[[#This Row],[AI_FAC2]]</f>
        <v>9</v>
      </c>
      <c r="P155">
        <f t="shared" si="64"/>
        <v>0.88888888888888884</v>
      </c>
      <c r="Q155">
        <f>survey_responses[[#This Row],[So với trước đây, tôi thấy cách tính thuế và các bậc thuế trong phương án mới đơn giản, dễ hiểu và dễ thực hiện hơn. - HUMAN-FAC2]]</f>
        <v>8</v>
      </c>
      <c r="R155">
        <f t="shared" si="65"/>
        <v>0.77777777777777779</v>
      </c>
      <c r="S155" s="32">
        <f t="shared" si="66"/>
        <v>0.83333333333333326</v>
      </c>
      <c r="T155" s="32">
        <f t="shared" si="67"/>
        <v>0.77777777777777779</v>
      </c>
      <c r="U155">
        <f>step3_validation[[#This Row],[AI_TRU1]]</f>
        <v>8</v>
      </c>
      <c r="V155">
        <f t="shared" si="68"/>
        <v>0.77777777777777779</v>
      </c>
      <c r="W155">
        <f>survey_responses[[#This Row],[Tôi tin rằng Nhà nước, cơ quan thuế sẽ thực thi chính sách mới một cách khách quan, công tâm và đối xử bình đẳng với mọi người nộp thuế.  - HUMAN-TRU1]]</f>
        <v>6</v>
      </c>
      <c r="X155">
        <f t="shared" si="69"/>
        <v>0.55555555555555558</v>
      </c>
      <c r="Y155">
        <f>step3_validation[[#This Row],[AI_TRU2]]</f>
        <v>7</v>
      </c>
      <c r="Z155">
        <f t="shared" si="70"/>
        <v>0.66666666666666663</v>
      </c>
      <c r="AA155">
        <f>survey_responses[[#This Row],[Tôi thấy mức thuế tôi phải đóng theo phương án mới là công bằng (người thu nhập như tôi đóng mức này là hợp lý). - HUMAN-TRU2]]</f>
        <v>8</v>
      </c>
      <c r="AB155">
        <f t="shared" si="71"/>
        <v>0.77777777777777779</v>
      </c>
      <c r="AC155">
        <f>step3_validation[[#This Row],[AI_TRU3]]</f>
        <v>8</v>
      </c>
      <c r="AD155">
        <f t="shared" si="72"/>
        <v>0.77777777777777779</v>
      </c>
      <c r="AE155">
        <f>survey_responses[[#This Row],[Tôi tin tưởng số tiền thuế tôi đóng sẽ được Nhà nước sử dụng hiệu quả để cải thiện dịch vụ công (y tế, đường xá...). - HUMAN-TRU3]]</f>
        <v>5</v>
      </c>
      <c r="AF155">
        <f t="shared" si="73"/>
        <v>0.44444444444444442</v>
      </c>
      <c r="AG155">
        <f>step3_validation[[#This Row],[AI_TRU4]]</f>
        <v>6</v>
      </c>
      <c r="AH155">
        <f t="shared" si="74"/>
        <v>0.55555555555555558</v>
      </c>
      <c r="AI155">
        <f>survey_responses[[#This Row],[Tôi thấy Nhà nước đã giải thích rõ ràng, minh bạch về lý do và mục tiêu của việc sửa đổi thuế lần này. - HUMAN-TRU4]]</f>
        <v>8</v>
      </c>
      <c r="AJ155">
        <f t="shared" si="75"/>
        <v>0.77777777777777779</v>
      </c>
      <c r="AK155" s="32">
        <f t="shared" si="76"/>
        <v>0.69444444444444442</v>
      </c>
      <c r="AL155" s="32">
        <f t="shared" si="77"/>
        <v>0.63888888888888895</v>
      </c>
      <c r="AM155" s="7">
        <f t="shared" si="78"/>
        <v>0.71296296296296291</v>
      </c>
      <c r="AN155" s="7">
        <f t="shared" si="79"/>
        <v>0.71296296296296291</v>
      </c>
      <c r="AO155">
        <f>step3_validation[[#This Row],[AI_OUT1]]</f>
        <v>8</v>
      </c>
      <c r="AP155">
        <f t="shared" si="80"/>
        <v>0.77777777777777779</v>
      </c>
      <c r="AQ155">
        <f>survey_responses[[#This Row],[Sau khi xem xét các quyền lợi và nghĩa vụ, bạn có ủng hộ và tuân thủ chính sách mới hiện nay? - HUMAN-OUT1]]</f>
        <v>8</v>
      </c>
      <c r="AR155">
        <f t="shared" si="81"/>
        <v>0.77777777777777779</v>
      </c>
      <c r="AS155" s="32">
        <f t="shared" si="82"/>
        <v>0</v>
      </c>
      <c r="AT155">
        <f t="shared" si="83"/>
        <v>1</v>
      </c>
    </row>
    <row r="156" spans="1:46" x14ac:dyDescent="0.45">
      <c r="A156">
        <f>step3_validation[[#This Row],[AI_ENF1]]</f>
        <v>7</v>
      </c>
      <c r="B156">
        <f t="shared" si="56"/>
        <v>0.66666666666666663</v>
      </c>
      <c r="C156">
        <f>survey_responses[[#This Row],[Tôi tin rằng với các quy định quản lý thuế hiện nay, hành vi gian lận hoặc trốn thuế sẽ dễ dàng bị phát hiện và xử lý nghiêm. - HUMAN-ENF1]]</f>
        <v>10</v>
      </c>
      <c r="D156">
        <f t="shared" si="57"/>
        <v>1</v>
      </c>
      <c r="E156">
        <f>step3_validation[[#This Row],[AI_ENF2]]</f>
        <v>8</v>
      </c>
      <c r="F156">
        <f t="shared" si="58"/>
        <v>0.77777777777777779</v>
      </c>
      <c r="G156">
        <f>survey_responses[[#This Row],[Tôi tin rằng Nhà nước, cơ quan thuế có đủ khả năng và công nghệ để phát hiện, xử lý nghiêm các hành vi trốn thuế. - HUMAN-ENF2]]</f>
        <v>10</v>
      </c>
      <c r="H156">
        <f t="shared" si="59"/>
        <v>1</v>
      </c>
      <c r="I156" s="32">
        <f t="shared" si="60"/>
        <v>0.72222222222222221</v>
      </c>
      <c r="J156" s="32">
        <f t="shared" si="61"/>
        <v>1</v>
      </c>
      <c r="K156">
        <f>step3_validation[[#This Row],[AI_FAC1]]</f>
        <v>6</v>
      </c>
      <c r="L156">
        <f t="shared" si="62"/>
        <v>0.55555555555555558</v>
      </c>
      <c r="M156">
        <f>survey_responses[[#This Row],[Các thủ tục khai báo thuế VÀ/HOẶC quy trình làm việc với cơ quan thuế đơn giản, tiện lợi, nhanh chóng hơn so với trước đây. - HUMAN-FAC1]]</f>
        <v>10</v>
      </c>
      <c r="N156">
        <f t="shared" si="63"/>
        <v>1</v>
      </c>
      <c r="O156">
        <f>step3_validation[[#This Row],[AI_FAC2]]</f>
        <v>7</v>
      </c>
      <c r="P156">
        <f t="shared" si="64"/>
        <v>0.66666666666666663</v>
      </c>
      <c r="Q156">
        <f>survey_responses[[#This Row],[So với trước đây, tôi thấy cách tính thuế và các bậc thuế trong phương án mới đơn giản, dễ hiểu và dễ thực hiện hơn. - HUMAN-FAC2]]</f>
        <v>10</v>
      </c>
      <c r="R156">
        <f t="shared" si="65"/>
        <v>1</v>
      </c>
      <c r="S156" s="32">
        <f t="shared" si="66"/>
        <v>0.61111111111111116</v>
      </c>
      <c r="T156" s="32">
        <f t="shared" si="67"/>
        <v>1</v>
      </c>
      <c r="U156">
        <f>step3_validation[[#This Row],[AI_TRU1]]</f>
        <v>8</v>
      </c>
      <c r="V156">
        <f t="shared" si="68"/>
        <v>0.77777777777777779</v>
      </c>
      <c r="W156">
        <f>survey_responses[[#This Row],[Tôi tin rằng Nhà nước, cơ quan thuế sẽ thực thi chính sách mới một cách khách quan, công tâm và đối xử bình đẳng với mọi người nộp thuế.  - HUMAN-TRU1]]</f>
        <v>10</v>
      </c>
      <c r="X156">
        <f t="shared" si="69"/>
        <v>1</v>
      </c>
      <c r="Y156">
        <f>step3_validation[[#This Row],[AI_TRU2]]</f>
        <v>7</v>
      </c>
      <c r="Z156">
        <f t="shared" si="70"/>
        <v>0.66666666666666663</v>
      </c>
      <c r="AA156">
        <f>survey_responses[[#This Row],[Tôi thấy mức thuế tôi phải đóng theo phương án mới là công bằng (người thu nhập như tôi đóng mức này là hợp lý). - HUMAN-TRU2]]</f>
        <v>10</v>
      </c>
      <c r="AB156">
        <f t="shared" si="71"/>
        <v>1</v>
      </c>
      <c r="AC156">
        <f>step3_validation[[#This Row],[AI_TRU3]]</f>
        <v>6</v>
      </c>
      <c r="AD156">
        <f t="shared" si="72"/>
        <v>0.55555555555555558</v>
      </c>
      <c r="AE156">
        <f>survey_responses[[#This Row],[Tôi tin tưởng số tiền thuế tôi đóng sẽ được Nhà nước sử dụng hiệu quả để cải thiện dịch vụ công (y tế, đường xá...). - HUMAN-TRU3]]</f>
        <v>10</v>
      </c>
      <c r="AF156">
        <f t="shared" si="73"/>
        <v>1</v>
      </c>
      <c r="AG156">
        <f>step3_validation[[#This Row],[AI_TRU4]]</f>
        <v>7</v>
      </c>
      <c r="AH156">
        <f t="shared" si="74"/>
        <v>0.66666666666666663</v>
      </c>
      <c r="AI156">
        <f>survey_responses[[#This Row],[Tôi thấy Nhà nước đã giải thích rõ ràng, minh bạch về lý do và mục tiêu của việc sửa đổi thuế lần này. - HUMAN-TRU4]]</f>
        <v>10</v>
      </c>
      <c r="AJ156">
        <f t="shared" si="75"/>
        <v>1</v>
      </c>
      <c r="AK156" s="32">
        <f t="shared" si="76"/>
        <v>0.66666666666666663</v>
      </c>
      <c r="AL156" s="32">
        <f t="shared" si="77"/>
        <v>1</v>
      </c>
      <c r="AM156" s="7">
        <f t="shared" si="78"/>
        <v>0.66666666666666663</v>
      </c>
      <c r="AN156" s="7">
        <f t="shared" si="79"/>
        <v>1</v>
      </c>
      <c r="AO156">
        <f>step3_validation[[#This Row],[AI_OUT1]]</f>
        <v>8</v>
      </c>
      <c r="AP156">
        <f t="shared" si="80"/>
        <v>0.77777777777777779</v>
      </c>
      <c r="AQ156">
        <f>survey_responses[[#This Row],[Sau khi xem xét các quyền lợi và nghĩa vụ, bạn có ủng hộ và tuân thủ chính sách mới hiện nay? - HUMAN-OUT1]]</f>
        <v>10</v>
      </c>
      <c r="AR156">
        <f t="shared" si="81"/>
        <v>1</v>
      </c>
      <c r="AS156" s="32">
        <f t="shared" si="82"/>
        <v>2</v>
      </c>
      <c r="AT156">
        <f t="shared" si="83"/>
        <v>1</v>
      </c>
    </row>
    <row r="157" spans="1:46" x14ac:dyDescent="0.45">
      <c r="A157">
        <f>step3_validation[[#This Row],[AI_ENF1]]</f>
        <v>5</v>
      </c>
      <c r="B157">
        <f t="shared" si="56"/>
        <v>0.44444444444444442</v>
      </c>
      <c r="C157">
        <f>survey_responses[[#This Row],[Tôi tin rằng với các quy định quản lý thuế hiện nay, hành vi gian lận hoặc trốn thuế sẽ dễ dàng bị phát hiện và xử lý nghiêm. - HUMAN-ENF1]]</f>
        <v>10</v>
      </c>
      <c r="D157">
        <f t="shared" si="57"/>
        <v>1</v>
      </c>
      <c r="E157">
        <f>step3_validation[[#This Row],[AI_ENF2]]</f>
        <v>6</v>
      </c>
      <c r="F157">
        <f t="shared" si="58"/>
        <v>0.55555555555555558</v>
      </c>
      <c r="G157">
        <f>survey_responses[[#This Row],[Tôi tin rằng Nhà nước, cơ quan thuế có đủ khả năng và công nghệ để phát hiện, xử lý nghiêm các hành vi trốn thuế. - HUMAN-ENF2]]</f>
        <v>10</v>
      </c>
      <c r="H157">
        <f t="shared" si="59"/>
        <v>1</v>
      </c>
      <c r="I157" s="32">
        <f t="shared" si="60"/>
        <v>0.5</v>
      </c>
      <c r="J157" s="32">
        <f t="shared" si="61"/>
        <v>1</v>
      </c>
      <c r="K157">
        <f>step3_validation[[#This Row],[AI_FAC1]]</f>
        <v>8</v>
      </c>
      <c r="L157">
        <f t="shared" si="62"/>
        <v>0.77777777777777779</v>
      </c>
      <c r="M157">
        <f>survey_responses[[#This Row],[Các thủ tục khai báo thuế VÀ/HOẶC quy trình làm việc với cơ quan thuế đơn giản, tiện lợi, nhanh chóng hơn so với trước đây. - HUMAN-FAC1]]</f>
        <v>10</v>
      </c>
      <c r="N157">
        <f t="shared" si="63"/>
        <v>1</v>
      </c>
      <c r="O157">
        <f>step3_validation[[#This Row],[AI_FAC2]]</f>
        <v>9</v>
      </c>
      <c r="P157">
        <f t="shared" si="64"/>
        <v>0.88888888888888884</v>
      </c>
      <c r="Q157">
        <f>survey_responses[[#This Row],[So với trước đây, tôi thấy cách tính thuế và các bậc thuế trong phương án mới đơn giản, dễ hiểu và dễ thực hiện hơn. - HUMAN-FAC2]]</f>
        <v>10</v>
      </c>
      <c r="R157">
        <f t="shared" si="65"/>
        <v>1</v>
      </c>
      <c r="S157" s="32">
        <f t="shared" si="66"/>
        <v>0.83333333333333326</v>
      </c>
      <c r="T157" s="32">
        <f t="shared" si="67"/>
        <v>1</v>
      </c>
      <c r="U157">
        <f>step3_validation[[#This Row],[AI_TRU1]]</f>
        <v>7</v>
      </c>
      <c r="V157">
        <f t="shared" si="68"/>
        <v>0.66666666666666663</v>
      </c>
      <c r="W157">
        <f>survey_responses[[#This Row],[Tôi tin rằng Nhà nước, cơ quan thuế sẽ thực thi chính sách mới một cách khách quan, công tâm và đối xử bình đẳng với mọi người nộp thuế.  - HUMAN-TRU1]]</f>
        <v>10</v>
      </c>
      <c r="X157">
        <f t="shared" si="69"/>
        <v>1</v>
      </c>
      <c r="Y157">
        <f>step3_validation[[#This Row],[AI_TRU2]]</f>
        <v>8</v>
      </c>
      <c r="Z157">
        <f t="shared" si="70"/>
        <v>0.77777777777777779</v>
      </c>
      <c r="AA157">
        <f>survey_responses[[#This Row],[Tôi thấy mức thuế tôi phải đóng theo phương án mới là công bằng (người thu nhập như tôi đóng mức này là hợp lý). - HUMAN-TRU2]]</f>
        <v>10</v>
      </c>
      <c r="AB157">
        <f t="shared" si="71"/>
        <v>1</v>
      </c>
      <c r="AC157">
        <f>step3_validation[[#This Row],[AI_TRU3]]</f>
        <v>7</v>
      </c>
      <c r="AD157">
        <f t="shared" si="72"/>
        <v>0.66666666666666663</v>
      </c>
      <c r="AE157">
        <f>survey_responses[[#This Row],[Tôi tin tưởng số tiền thuế tôi đóng sẽ được Nhà nước sử dụng hiệu quả để cải thiện dịch vụ công (y tế, đường xá...). - HUMAN-TRU3]]</f>
        <v>10</v>
      </c>
      <c r="AF157">
        <f t="shared" si="73"/>
        <v>1</v>
      </c>
      <c r="AG157">
        <f>step3_validation[[#This Row],[AI_TRU4]]</f>
        <v>6</v>
      </c>
      <c r="AH157">
        <f t="shared" si="74"/>
        <v>0.55555555555555558</v>
      </c>
      <c r="AI157">
        <f>survey_responses[[#This Row],[Tôi thấy Nhà nước đã giải thích rõ ràng, minh bạch về lý do và mục tiêu của việc sửa đổi thuế lần này. - HUMAN-TRU4]]</f>
        <v>10</v>
      </c>
      <c r="AJ157">
        <f t="shared" si="75"/>
        <v>1</v>
      </c>
      <c r="AK157" s="32">
        <f t="shared" si="76"/>
        <v>0.66666666666666674</v>
      </c>
      <c r="AL157" s="32">
        <f t="shared" si="77"/>
        <v>1</v>
      </c>
      <c r="AM157" s="7">
        <f t="shared" si="78"/>
        <v>0.66666666666666663</v>
      </c>
      <c r="AN157" s="7">
        <f t="shared" si="79"/>
        <v>1</v>
      </c>
      <c r="AO157">
        <f>step3_validation[[#This Row],[AI_OUT1]]</f>
        <v>7</v>
      </c>
      <c r="AP157">
        <f t="shared" si="80"/>
        <v>0.66666666666666663</v>
      </c>
      <c r="AQ157">
        <f>survey_responses[[#This Row],[Sau khi xem xét các quyền lợi và nghĩa vụ, bạn có ủng hộ và tuân thủ chính sách mới hiện nay? - HUMAN-OUT1]]</f>
        <v>10</v>
      </c>
      <c r="AR157">
        <f t="shared" si="81"/>
        <v>1</v>
      </c>
      <c r="AS157" s="32">
        <f t="shared" si="82"/>
        <v>3</v>
      </c>
      <c r="AT157">
        <f t="shared" si="83"/>
        <v>1</v>
      </c>
    </row>
    <row r="158" spans="1:46" x14ac:dyDescent="0.45">
      <c r="A158">
        <f>step3_validation[[#This Row],[AI_ENF1]]</f>
        <v>4</v>
      </c>
      <c r="B158">
        <f t="shared" si="56"/>
        <v>0.33333333333333331</v>
      </c>
      <c r="C158">
        <f>survey_responses[[#This Row],[Tôi tin rằng với các quy định quản lý thuế hiện nay, hành vi gian lận hoặc trốn thuế sẽ dễ dàng bị phát hiện và xử lý nghiêm. - HUMAN-ENF1]]</f>
        <v>10</v>
      </c>
      <c r="D158">
        <f t="shared" si="57"/>
        <v>1</v>
      </c>
      <c r="E158">
        <f>step3_validation[[#This Row],[AI_ENF2]]</f>
        <v>5</v>
      </c>
      <c r="F158">
        <f t="shared" si="58"/>
        <v>0.44444444444444442</v>
      </c>
      <c r="G158">
        <f>survey_responses[[#This Row],[Tôi tin rằng Nhà nước, cơ quan thuế có đủ khả năng và công nghệ để phát hiện, xử lý nghiêm các hành vi trốn thuế. - HUMAN-ENF2]]</f>
        <v>10</v>
      </c>
      <c r="H158">
        <f t="shared" si="59"/>
        <v>1</v>
      </c>
      <c r="I158" s="32">
        <f t="shared" si="60"/>
        <v>0.38888888888888884</v>
      </c>
      <c r="J158" s="32">
        <f t="shared" si="61"/>
        <v>1</v>
      </c>
      <c r="K158">
        <f>step3_validation[[#This Row],[AI_FAC1]]</f>
        <v>7</v>
      </c>
      <c r="L158">
        <f t="shared" si="62"/>
        <v>0.66666666666666663</v>
      </c>
      <c r="M158">
        <f>survey_responses[[#This Row],[Các thủ tục khai báo thuế VÀ/HOẶC quy trình làm việc với cơ quan thuế đơn giản, tiện lợi, nhanh chóng hơn so với trước đây. - HUMAN-FAC1]]</f>
        <v>1</v>
      </c>
      <c r="N158">
        <f t="shared" si="63"/>
        <v>0</v>
      </c>
      <c r="O158">
        <f>step3_validation[[#This Row],[AI_FAC2]]</f>
        <v>6</v>
      </c>
      <c r="P158">
        <f t="shared" si="64"/>
        <v>0.55555555555555558</v>
      </c>
      <c r="Q158">
        <f>survey_responses[[#This Row],[So với trước đây, tôi thấy cách tính thuế và các bậc thuế trong phương án mới đơn giản, dễ hiểu và dễ thực hiện hơn. - HUMAN-FAC2]]</f>
        <v>10</v>
      </c>
      <c r="R158">
        <f t="shared" si="65"/>
        <v>1</v>
      </c>
      <c r="S158" s="32">
        <f t="shared" si="66"/>
        <v>0.61111111111111116</v>
      </c>
      <c r="T158" s="32">
        <f t="shared" si="67"/>
        <v>0.5</v>
      </c>
      <c r="U158">
        <f>step3_validation[[#This Row],[AI_TRU1]]</f>
        <v>4</v>
      </c>
      <c r="V158">
        <f t="shared" si="68"/>
        <v>0.33333333333333331</v>
      </c>
      <c r="W158">
        <f>survey_responses[[#This Row],[Tôi tin rằng Nhà nước, cơ quan thuế sẽ thực thi chính sách mới một cách khách quan, công tâm và đối xử bình đẳng với mọi người nộp thuế.  - HUMAN-TRU1]]</f>
        <v>1</v>
      </c>
      <c r="X158">
        <f t="shared" si="69"/>
        <v>0</v>
      </c>
      <c r="Y158">
        <f>step3_validation[[#This Row],[AI_TRU2]]</f>
        <v>5</v>
      </c>
      <c r="Z158">
        <f t="shared" si="70"/>
        <v>0.44444444444444442</v>
      </c>
      <c r="AA158">
        <f>survey_responses[[#This Row],[Tôi thấy mức thuế tôi phải đóng theo phương án mới là công bằng (người thu nhập như tôi đóng mức này là hợp lý). - HUMAN-TRU2]]</f>
        <v>1</v>
      </c>
      <c r="AB158">
        <f t="shared" si="71"/>
        <v>0</v>
      </c>
      <c r="AC158">
        <f>step3_validation[[#This Row],[AI_TRU3]]</f>
        <v>4</v>
      </c>
      <c r="AD158">
        <f t="shared" si="72"/>
        <v>0.33333333333333331</v>
      </c>
      <c r="AE158">
        <f>survey_responses[[#This Row],[Tôi tin tưởng số tiền thuế tôi đóng sẽ được Nhà nước sử dụng hiệu quả để cải thiện dịch vụ công (y tế, đường xá...). - HUMAN-TRU3]]</f>
        <v>1</v>
      </c>
      <c r="AF158">
        <f t="shared" si="73"/>
        <v>0</v>
      </c>
      <c r="AG158">
        <f>step3_validation[[#This Row],[AI_TRU4]]</f>
        <v>5</v>
      </c>
      <c r="AH158">
        <f t="shared" si="74"/>
        <v>0.44444444444444442</v>
      </c>
      <c r="AI158">
        <f>survey_responses[[#This Row],[Tôi thấy Nhà nước đã giải thích rõ ràng, minh bạch về lý do và mục tiêu của việc sửa đổi thuế lần này. - HUMAN-TRU4]]</f>
        <v>1</v>
      </c>
      <c r="AJ158">
        <f t="shared" si="75"/>
        <v>0</v>
      </c>
      <c r="AK158" s="32">
        <f t="shared" si="76"/>
        <v>0.38888888888888884</v>
      </c>
      <c r="AL158" s="32">
        <f t="shared" si="77"/>
        <v>0</v>
      </c>
      <c r="AM158" s="7">
        <f t="shared" si="78"/>
        <v>0.46296296296296297</v>
      </c>
      <c r="AN158" s="7">
        <f t="shared" si="79"/>
        <v>0.5</v>
      </c>
      <c r="AO158">
        <f>step3_validation[[#This Row],[AI_OUT1]]</f>
        <v>6</v>
      </c>
      <c r="AP158">
        <f t="shared" si="80"/>
        <v>0.55555555555555558</v>
      </c>
      <c r="AQ158">
        <f>survey_responses[[#This Row],[Sau khi xem xét các quyền lợi và nghĩa vụ, bạn có ủng hộ và tuân thủ chính sách mới hiện nay? - HUMAN-OUT1]]</f>
        <v>6</v>
      </c>
      <c r="AR158">
        <f t="shared" si="81"/>
        <v>0.55555555555555558</v>
      </c>
      <c r="AS158" s="32">
        <f t="shared" si="82"/>
        <v>0</v>
      </c>
      <c r="AT158">
        <f t="shared" si="83"/>
        <v>1</v>
      </c>
    </row>
    <row r="159" spans="1:46" x14ac:dyDescent="0.45">
      <c r="A159">
        <f>step3_validation[[#This Row],[AI_ENF1]]</f>
        <v>7</v>
      </c>
      <c r="B159">
        <f t="shared" si="56"/>
        <v>0.66666666666666663</v>
      </c>
      <c r="C159">
        <f>survey_responses[[#This Row],[Tôi tin rằng với các quy định quản lý thuế hiện nay, hành vi gian lận hoặc trốn thuế sẽ dễ dàng bị phát hiện và xử lý nghiêm. - HUMAN-ENF1]]</f>
        <v>7</v>
      </c>
      <c r="D159">
        <f t="shared" si="57"/>
        <v>0.66666666666666663</v>
      </c>
      <c r="E159">
        <f>step3_validation[[#This Row],[AI_ENF2]]</f>
        <v>8</v>
      </c>
      <c r="F159">
        <f t="shared" si="58"/>
        <v>0.77777777777777779</v>
      </c>
      <c r="G159">
        <f>survey_responses[[#This Row],[Tôi tin rằng Nhà nước, cơ quan thuế có đủ khả năng và công nghệ để phát hiện, xử lý nghiêm các hành vi trốn thuế. - HUMAN-ENF2]]</f>
        <v>8</v>
      </c>
      <c r="H159">
        <f t="shared" si="59"/>
        <v>0.77777777777777779</v>
      </c>
      <c r="I159" s="32">
        <f t="shared" si="60"/>
        <v>0.72222222222222221</v>
      </c>
      <c r="J159" s="32">
        <f t="shared" si="61"/>
        <v>0.72222222222222221</v>
      </c>
      <c r="K159">
        <f>step3_validation[[#This Row],[AI_FAC1]]</f>
        <v>5</v>
      </c>
      <c r="L159">
        <f t="shared" si="62"/>
        <v>0.44444444444444442</v>
      </c>
      <c r="M159">
        <f>survey_responses[[#This Row],[Các thủ tục khai báo thuế VÀ/HOẶC quy trình làm việc với cơ quan thuế đơn giản, tiện lợi, nhanh chóng hơn so với trước đây. - HUMAN-FAC1]]</f>
        <v>6</v>
      </c>
      <c r="N159">
        <f t="shared" si="63"/>
        <v>0.55555555555555558</v>
      </c>
      <c r="O159">
        <f>step3_validation[[#This Row],[AI_FAC2]]</f>
        <v>6</v>
      </c>
      <c r="P159">
        <f t="shared" si="64"/>
        <v>0.55555555555555558</v>
      </c>
      <c r="Q159">
        <f>survey_responses[[#This Row],[So với trước đây, tôi thấy cách tính thuế và các bậc thuế trong phương án mới đơn giản, dễ hiểu và dễ thực hiện hơn. - HUMAN-FAC2]]</f>
        <v>6</v>
      </c>
      <c r="R159">
        <f t="shared" si="65"/>
        <v>0.55555555555555558</v>
      </c>
      <c r="S159" s="32">
        <f t="shared" si="66"/>
        <v>0.5</v>
      </c>
      <c r="T159" s="32">
        <f t="shared" si="67"/>
        <v>0.55555555555555558</v>
      </c>
      <c r="U159">
        <f>step3_validation[[#This Row],[AI_TRU1]]</f>
        <v>7</v>
      </c>
      <c r="V159">
        <f t="shared" si="68"/>
        <v>0.66666666666666663</v>
      </c>
      <c r="W159">
        <f>survey_responses[[#This Row],[Tôi tin rằng Nhà nước, cơ quan thuế sẽ thực thi chính sách mới một cách khách quan, công tâm và đối xử bình đẳng với mọi người nộp thuế.  - HUMAN-TRU1]]</f>
        <v>7</v>
      </c>
      <c r="X159">
        <f t="shared" si="69"/>
        <v>0.66666666666666663</v>
      </c>
      <c r="Y159">
        <f>step3_validation[[#This Row],[AI_TRU2]]</f>
        <v>6</v>
      </c>
      <c r="Z159">
        <f t="shared" si="70"/>
        <v>0.55555555555555558</v>
      </c>
      <c r="AA159">
        <f>survey_responses[[#This Row],[Tôi thấy mức thuế tôi phải đóng theo phương án mới là công bằng (người thu nhập như tôi đóng mức này là hợp lý). - HUMAN-TRU2]]</f>
        <v>5</v>
      </c>
      <c r="AB159">
        <f t="shared" si="71"/>
        <v>0.44444444444444442</v>
      </c>
      <c r="AC159">
        <f>step3_validation[[#This Row],[AI_TRU3]]</f>
        <v>7</v>
      </c>
      <c r="AD159">
        <f t="shared" si="72"/>
        <v>0.66666666666666663</v>
      </c>
      <c r="AE159">
        <f>survey_responses[[#This Row],[Tôi tin tưởng số tiền thuế tôi đóng sẽ được Nhà nước sử dụng hiệu quả để cải thiện dịch vụ công (y tế, đường xá...). - HUMAN-TRU3]]</f>
        <v>6</v>
      </c>
      <c r="AF159">
        <f t="shared" si="73"/>
        <v>0.55555555555555558</v>
      </c>
      <c r="AG159">
        <f>step3_validation[[#This Row],[AI_TRU4]]</f>
        <v>5</v>
      </c>
      <c r="AH159">
        <f t="shared" si="74"/>
        <v>0.44444444444444442</v>
      </c>
      <c r="AI159">
        <f>survey_responses[[#This Row],[Tôi thấy Nhà nước đã giải thích rõ ràng, minh bạch về lý do và mục tiêu của việc sửa đổi thuế lần này. - HUMAN-TRU4]]</f>
        <v>7</v>
      </c>
      <c r="AJ159">
        <f t="shared" si="75"/>
        <v>0.66666666666666663</v>
      </c>
      <c r="AK159" s="32">
        <f t="shared" si="76"/>
        <v>0.58333333333333326</v>
      </c>
      <c r="AL159" s="32">
        <f t="shared" si="77"/>
        <v>0.58333333333333337</v>
      </c>
      <c r="AM159" s="7">
        <f t="shared" si="78"/>
        <v>0.60185185185185186</v>
      </c>
      <c r="AN159" s="7">
        <f t="shared" si="79"/>
        <v>0.62037037037037035</v>
      </c>
      <c r="AO159">
        <f>step3_validation[[#This Row],[AI_OUT1]]</f>
        <v>4</v>
      </c>
      <c r="AP159">
        <f t="shared" si="80"/>
        <v>0.33333333333333331</v>
      </c>
      <c r="AQ159">
        <f>survey_responses[[#This Row],[Sau khi xem xét các quyền lợi và nghĩa vụ, bạn có ủng hộ và tuân thủ chính sách mới hiện nay? - HUMAN-OUT1]]</f>
        <v>7</v>
      </c>
      <c r="AR159">
        <f t="shared" si="81"/>
        <v>0.66666666666666663</v>
      </c>
      <c r="AS159" s="32">
        <f t="shared" si="82"/>
        <v>3</v>
      </c>
      <c r="AT159">
        <f t="shared" si="83"/>
        <v>1</v>
      </c>
    </row>
    <row r="160" spans="1:46" x14ac:dyDescent="0.45">
      <c r="A160">
        <f>step3_validation[[#This Row],[AI_ENF1]]</f>
        <v>7</v>
      </c>
      <c r="B160">
        <f t="shared" si="56"/>
        <v>0.66666666666666663</v>
      </c>
      <c r="C160">
        <f>survey_responses[[#This Row],[Tôi tin rằng với các quy định quản lý thuế hiện nay, hành vi gian lận hoặc trốn thuế sẽ dễ dàng bị phát hiện và xử lý nghiêm. - HUMAN-ENF1]]</f>
        <v>2</v>
      </c>
      <c r="D160">
        <f t="shared" si="57"/>
        <v>0.1111111111111111</v>
      </c>
      <c r="E160">
        <f>step3_validation[[#This Row],[AI_ENF2]]</f>
        <v>8</v>
      </c>
      <c r="F160">
        <f t="shared" si="58"/>
        <v>0.77777777777777779</v>
      </c>
      <c r="G160">
        <f>survey_responses[[#This Row],[Tôi tin rằng Nhà nước, cơ quan thuế có đủ khả năng và công nghệ để phát hiện, xử lý nghiêm các hành vi trốn thuế. - HUMAN-ENF2]]</f>
        <v>7</v>
      </c>
      <c r="H160">
        <f t="shared" si="59"/>
        <v>0.66666666666666663</v>
      </c>
      <c r="I160" s="32">
        <f t="shared" si="60"/>
        <v>0.72222222222222221</v>
      </c>
      <c r="J160" s="32">
        <f t="shared" si="61"/>
        <v>0.38888888888888884</v>
      </c>
      <c r="K160">
        <f>step3_validation[[#This Row],[AI_FAC1]]</f>
        <v>9</v>
      </c>
      <c r="L160">
        <f t="shared" si="62"/>
        <v>0.88888888888888884</v>
      </c>
      <c r="M160">
        <f>survey_responses[[#This Row],[Các thủ tục khai báo thuế VÀ/HOẶC quy trình làm việc với cơ quan thuế đơn giản, tiện lợi, nhanh chóng hơn so với trước đây. - HUMAN-FAC1]]</f>
        <v>10</v>
      </c>
      <c r="N160">
        <f t="shared" si="63"/>
        <v>1</v>
      </c>
      <c r="O160">
        <f>step3_validation[[#This Row],[AI_FAC2]]</f>
        <v>8</v>
      </c>
      <c r="P160">
        <f t="shared" si="64"/>
        <v>0.77777777777777779</v>
      </c>
      <c r="Q160">
        <f>survey_responses[[#This Row],[So với trước đây, tôi thấy cách tính thuế và các bậc thuế trong phương án mới đơn giản, dễ hiểu và dễ thực hiện hơn. - HUMAN-FAC2]]</f>
        <v>2</v>
      </c>
      <c r="R160">
        <f t="shared" si="65"/>
        <v>0.1111111111111111</v>
      </c>
      <c r="S160" s="32">
        <f t="shared" si="66"/>
        <v>0.83333333333333326</v>
      </c>
      <c r="T160" s="32">
        <f t="shared" si="67"/>
        <v>0.55555555555555558</v>
      </c>
      <c r="U160">
        <f>step3_validation[[#This Row],[AI_TRU1]]</f>
        <v>7</v>
      </c>
      <c r="V160">
        <f t="shared" si="68"/>
        <v>0.66666666666666663</v>
      </c>
      <c r="W160">
        <f>survey_responses[[#This Row],[Tôi tin rằng Nhà nước, cơ quan thuế sẽ thực thi chính sách mới một cách khách quan, công tâm và đối xử bình đẳng với mọi người nộp thuế.  - HUMAN-TRU1]]</f>
        <v>10</v>
      </c>
      <c r="X160">
        <f t="shared" si="69"/>
        <v>1</v>
      </c>
      <c r="Y160">
        <f>step3_validation[[#This Row],[AI_TRU2]]</f>
        <v>6</v>
      </c>
      <c r="Z160">
        <f t="shared" si="70"/>
        <v>0.55555555555555558</v>
      </c>
      <c r="AA160">
        <f>survey_responses[[#This Row],[Tôi thấy mức thuế tôi phải đóng theo phương án mới là công bằng (người thu nhập như tôi đóng mức này là hợp lý). - HUMAN-TRU2]]</f>
        <v>5</v>
      </c>
      <c r="AB160">
        <f t="shared" si="71"/>
        <v>0.44444444444444442</v>
      </c>
      <c r="AC160">
        <f>step3_validation[[#This Row],[AI_TRU3]]</f>
        <v>7</v>
      </c>
      <c r="AD160">
        <f t="shared" si="72"/>
        <v>0.66666666666666663</v>
      </c>
      <c r="AE160">
        <f>survey_responses[[#This Row],[Tôi tin tưởng số tiền thuế tôi đóng sẽ được Nhà nước sử dụng hiệu quả để cải thiện dịch vụ công (y tế, đường xá...). - HUMAN-TRU3]]</f>
        <v>10</v>
      </c>
      <c r="AF160">
        <f t="shared" si="73"/>
        <v>1</v>
      </c>
      <c r="AG160">
        <f>step3_validation[[#This Row],[AI_TRU4]]</f>
        <v>6</v>
      </c>
      <c r="AH160">
        <f t="shared" si="74"/>
        <v>0.55555555555555558</v>
      </c>
      <c r="AI160">
        <f>survey_responses[[#This Row],[Tôi thấy Nhà nước đã giải thích rõ ràng, minh bạch về lý do và mục tiêu của việc sửa đổi thuế lần này. - HUMAN-TRU4]]</f>
        <v>3</v>
      </c>
      <c r="AJ160">
        <f t="shared" si="75"/>
        <v>0.22222222222222221</v>
      </c>
      <c r="AK160" s="32">
        <f t="shared" si="76"/>
        <v>0.61111111111111116</v>
      </c>
      <c r="AL160" s="32">
        <f t="shared" si="77"/>
        <v>0.66666666666666674</v>
      </c>
      <c r="AM160" s="7">
        <f t="shared" si="78"/>
        <v>0.72222222222222221</v>
      </c>
      <c r="AN160" s="7">
        <f t="shared" si="79"/>
        <v>0.53703703703703709</v>
      </c>
      <c r="AO160">
        <f>step3_validation[[#This Row],[AI_OUT1]]</f>
        <v>7</v>
      </c>
      <c r="AP160">
        <f t="shared" si="80"/>
        <v>0.66666666666666663</v>
      </c>
      <c r="AQ160">
        <f>survey_responses[[#This Row],[Sau khi xem xét các quyền lợi và nghĩa vụ, bạn có ủng hộ và tuân thủ chính sách mới hiện nay? - HUMAN-OUT1]]</f>
        <v>3</v>
      </c>
      <c r="AR160">
        <f t="shared" si="81"/>
        <v>0.22222222222222221</v>
      </c>
      <c r="AS160" s="32">
        <f t="shared" si="82"/>
        <v>4</v>
      </c>
      <c r="AT160">
        <f t="shared" si="83"/>
        <v>0</v>
      </c>
    </row>
    <row r="161" spans="1:46" x14ac:dyDescent="0.45">
      <c r="A161">
        <f>step3_validation[[#This Row],[AI_ENF1]]</f>
        <v>8</v>
      </c>
      <c r="B161">
        <f t="shared" si="56"/>
        <v>0.77777777777777779</v>
      </c>
      <c r="C161">
        <f>survey_responses[[#This Row],[Tôi tin rằng với các quy định quản lý thuế hiện nay, hành vi gian lận hoặc trốn thuế sẽ dễ dàng bị phát hiện và xử lý nghiêm. - HUMAN-ENF1]]</f>
        <v>9</v>
      </c>
      <c r="D161">
        <f t="shared" si="57"/>
        <v>0.88888888888888884</v>
      </c>
      <c r="E161">
        <f>step3_validation[[#This Row],[AI_ENF2]]</f>
        <v>9</v>
      </c>
      <c r="F161">
        <f t="shared" si="58"/>
        <v>0.88888888888888884</v>
      </c>
      <c r="G161">
        <f>survey_responses[[#This Row],[Tôi tin rằng Nhà nước, cơ quan thuế có đủ khả năng và công nghệ để phát hiện, xử lý nghiêm các hành vi trốn thuế. - HUMAN-ENF2]]</f>
        <v>9</v>
      </c>
      <c r="H161">
        <f t="shared" si="59"/>
        <v>0.88888888888888884</v>
      </c>
      <c r="I161" s="32">
        <f t="shared" si="60"/>
        <v>0.83333333333333326</v>
      </c>
      <c r="J161" s="32">
        <f t="shared" si="61"/>
        <v>0.88888888888888884</v>
      </c>
      <c r="K161">
        <f>step3_validation[[#This Row],[AI_FAC1]]</f>
        <v>7</v>
      </c>
      <c r="L161">
        <f t="shared" si="62"/>
        <v>0.66666666666666663</v>
      </c>
      <c r="M161">
        <f>survey_responses[[#This Row],[Các thủ tục khai báo thuế VÀ/HOẶC quy trình làm việc với cơ quan thuế đơn giản, tiện lợi, nhanh chóng hơn so với trước đây. - HUMAN-FAC1]]</f>
        <v>10</v>
      </c>
      <c r="N161">
        <f t="shared" si="63"/>
        <v>1</v>
      </c>
      <c r="O161">
        <f>step3_validation[[#This Row],[AI_FAC2]]</f>
        <v>9</v>
      </c>
      <c r="P161">
        <f t="shared" si="64"/>
        <v>0.88888888888888884</v>
      </c>
      <c r="Q161">
        <f>survey_responses[[#This Row],[So với trước đây, tôi thấy cách tính thuế và các bậc thuế trong phương án mới đơn giản, dễ hiểu và dễ thực hiện hơn. - HUMAN-FAC2]]</f>
        <v>2</v>
      </c>
      <c r="R161">
        <f t="shared" si="65"/>
        <v>0.1111111111111111</v>
      </c>
      <c r="S161" s="32">
        <f t="shared" si="66"/>
        <v>0.77777777777777768</v>
      </c>
      <c r="T161" s="32">
        <f t="shared" si="67"/>
        <v>0.55555555555555558</v>
      </c>
      <c r="U161">
        <f>step3_validation[[#This Row],[AI_TRU1]]</f>
        <v>8</v>
      </c>
      <c r="V161">
        <f t="shared" si="68"/>
        <v>0.77777777777777779</v>
      </c>
      <c r="W161">
        <f>survey_responses[[#This Row],[Tôi tin rằng Nhà nước, cơ quan thuế sẽ thực thi chính sách mới một cách khách quan, công tâm và đối xử bình đẳng với mọi người nộp thuế.  - HUMAN-TRU1]]</f>
        <v>9</v>
      </c>
      <c r="X161">
        <f t="shared" si="69"/>
        <v>0.88888888888888884</v>
      </c>
      <c r="Y161">
        <f>step3_validation[[#This Row],[AI_TRU2]]</f>
        <v>7</v>
      </c>
      <c r="Z161">
        <f t="shared" si="70"/>
        <v>0.66666666666666663</v>
      </c>
      <c r="AA161">
        <f>survey_responses[[#This Row],[Tôi thấy mức thuế tôi phải đóng theo phương án mới là công bằng (người thu nhập như tôi đóng mức này là hợp lý). - HUMAN-TRU2]]</f>
        <v>9</v>
      </c>
      <c r="AB161">
        <f t="shared" si="71"/>
        <v>0.88888888888888884</v>
      </c>
      <c r="AC161">
        <f>step3_validation[[#This Row],[AI_TRU3]]</f>
        <v>8</v>
      </c>
      <c r="AD161">
        <f t="shared" si="72"/>
        <v>0.77777777777777779</v>
      </c>
      <c r="AE161">
        <f>survey_responses[[#This Row],[Tôi tin tưởng số tiền thuế tôi đóng sẽ được Nhà nước sử dụng hiệu quả để cải thiện dịch vụ công (y tế, đường xá...). - HUMAN-TRU3]]</f>
        <v>6</v>
      </c>
      <c r="AF161">
        <f t="shared" si="73"/>
        <v>0.55555555555555558</v>
      </c>
      <c r="AG161">
        <f>step3_validation[[#This Row],[AI_TRU4]]</f>
        <v>7</v>
      </c>
      <c r="AH161">
        <f t="shared" si="74"/>
        <v>0.66666666666666663</v>
      </c>
      <c r="AI161">
        <f>survey_responses[[#This Row],[Tôi thấy Nhà nước đã giải thích rõ ràng, minh bạch về lý do và mục tiêu của việc sửa đổi thuế lần này. - HUMAN-TRU4]]</f>
        <v>8</v>
      </c>
      <c r="AJ161">
        <f t="shared" si="75"/>
        <v>0.77777777777777779</v>
      </c>
      <c r="AK161" s="32">
        <f t="shared" si="76"/>
        <v>0.72222222222222221</v>
      </c>
      <c r="AL161" s="32">
        <f t="shared" si="77"/>
        <v>0.77777777777777768</v>
      </c>
      <c r="AM161" s="7">
        <f t="shared" si="78"/>
        <v>0.77777777777777768</v>
      </c>
      <c r="AN161" s="7">
        <f t="shared" si="79"/>
        <v>0.74074074074074081</v>
      </c>
      <c r="AO161">
        <f>step3_validation[[#This Row],[AI_OUT1]]</f>
        <v>8</v>
      </c>
      <c r="AP161">
        <f t="shared" si="80"/>
        <v>0.77777777777777779</v>
      </c>
      <c r="AQ161">
        <f>survey_responses[[#This Row],[Sau khi xem xét các quyền lợi và nghĩa vụ, bạn có ủng hộ và tuân thủ chính sách mới hiện nay? - HUMAN-OUT1]]</f>
        <v>10</v>
      </c>
      <c r="AR161">
        <f t="shared" si="81"/>
        <v>1</v>
      </c>
      <c r="AS161" s="32">
        <f t="shared" si="82"/>
        <v>2</v>
      </c>
      <c r="AT161">
        <f t="shared" si="83"/>
        <v>1</v>
      </c>
    </row>
    <row r="162" spans="1:46" x14ac:dyDescent="0.45">
      <c r="A162">
        <f>step3_validation[[#This Row],[AI_ENF1]]</f>
        <v>8</v>
      </c>
      <c r="B162">
        <f t="shared" si="56"/>
        <v>0.77777777777777779</v>
      </c>
      <c r="C162">
        <f>survey_responses[[#This Row],[Tôi tin rằng với các quy định quản lý thuế hiện nay, hành vi gian lận hoặc trốn thuế sẽ dễ dàng bị phát hiện và xử lý nghiêm. - HUMAN-ENF1]]</f>
        <v>7</v>
      </c>
      <c r="D162">
        <f t="shared" si="57"/>
        <v>0.66666666666666663</v>
      </c>
      <c r="E162">
        <f>step3_validation[[#This Row],[AI_ENF2]]</f>
        <v>7</v>
      </c>
      <c r="F162">
        <f t="shared" si="58"/>
        <v>0.66666666666666663</v>
      </c>
      <c r="G162">
        <f>survey_responses[[#This Row],[Tôi tin rằng Nhà nước, cơ quan thuế có đủ khả năng và công nghệ để phát hiện, xử lý nghiêm các hành vi trốn thuế. - HUMAN-ENF2]]</f>
        <v>5</v>
      </c>
      <c r="H162">
        <f t="shared" si="59"/>
        <v>0.44444444444444442</v>
      </c>
      <c r="I162" s="32">
        <f t="shared" si="60"/>
        <v>0.72222222222222221</v>
      </c>
      <c r="J162" s="32">
        <f t="shared" si="61"/>
        <v>0.55555555555555558</v>
      </c>
      <c r="K162">
        <f>step3_validation[[#This Row],[AI_FAC1]]</f>
        <v>6</v>
      </c>
      <c r="L162">
        <f t="shared" si="62"/>
        <v>0.55555555555555558</v>
      </c>
      <c r="M162">
        <f>survey_responses[[#This Row],[Các thủ tục khai báo thuế VÀ/HOẶC quy trình làm việc với cơ quan thuế đơn giản, tiện lợi, nhanh chóng hơn so với trước đây. - HUMAN-FAC1]]</f>
        <v>7</v>
      </c>
      <c r="N162">
        <f t="shared" si="63"/>
        <v>0.66666666666666663</v>
      </c>
      <c r="O162">
        <f>step3_validation[[#This Row],[AI_FAC2]]</f>
        <v>8</v>
      </c>
      <c r="P162">
        <f t="shared" si="64"/>
        <v>0.77777777777777779</v>
      </c>
      <c r="Q162">
        <f>survey_responses[[#This Row],[So với trước đây, tôi thấy cách tính thuế và các bậc thuế trong phương án mới đơn giản, dễ hiểu và dễ thực hiện hơn. - HUMAN-FAC2]]</f>
        <v>5</v>
      </c>
      <c r="R162">
        <f t="shared" si="65"/>
        <v>0.44444444444444442</v>
      </c>
      <c r="S162" s="32">
        <f t="shared" si="66"/>
        <v>0.66666666666666674</v>
      </c>
      <c r="T162" s="32">
        <f t="shared" si="67"/>
        <v>0.55555555555555558</v>
      </c>
      <c r="U162">
        <f>step3_validation[[#This Row],[AI_TRU1]]</f>
        <v>7</v>
      </c>
      <c r="V162">
        <f t="shared" si="68"/>
        <v>0.66666666666666663</v>
      </c>
      <c r="W162">
        <f>survey_responses[[#This Row],[Tôi tin rằng Nhà nước, cơ quan thuế sẽ thực thi chính sách mới một cách khách quan, công tâm và đối xử bình đẳng với mọi người nộp thuế.  - HUMAN-TRU1]]</f>
        <v>3</v>
      </c>
      <c r="X162">
        <f t="shared" si="69"/>
        <v>0.22222222222222221</v>
      </c>
      <c r="Y162">
        <f>step3_validation[[#This Row],[AI_TRU2]]</f>
        <v>6</v>
      </c>
      <c r="Z162">
        <f t="shared" si="70"/>
        <v>0.55555555555555558</v>
      </c>
      <c r="AA162">
        <f>survey_responses[[#This Row],[Tôi thấy mức thuế tôi phải đóng theo phương án mới là công bằng (người thu nhập như tôi đóng mức này là hợp lý). - HUMAN-TRU2]]</f>
        <v>4</v>
      </c>
      <c r="AB162">
        <f t="shared" si="71"/>
        <v>0.33333333333333331</v>
      </c>
      <c r="AC162">
        <f>step3_validation[[#This Row],[AI_TRU3]]</f>
        <v>7</v>
      </c>
      <c r="AD162">
        <f t="shared" si="72"/>
        <v>0.66666666666666663</v>
      </c>
      <c r="AE162">
        <f>survey_responses[[#This Row],[Tôi tin tưởng số tiền thuế tôi đóng sẽ được Nhà nước sử dụng hiệu quả để cải thiện dịch vụ công (y tế, đường xá...). - HUMAN-TRU3]]</f>
        <v>1</v>
      </c>
      <c r="AF162">
        <f t="shared" si="73"/>
        <v>0</v>
      </c>
      <c r="AG162">
        <f>step3_validation[[#This Row],[AI_TRU4]]</f>
        <v>6</v>
      </c>
      <c r="AH162">
        <f t="shared" si="74"/>
        <v>0.55555555555555558</v>
      </c>
      <c r="AI162">
        <f>survey_responses[[#This Row],[Tôi thấy Nhà nước đã giải thích rõ ràng, minh bạch về lý do và mục tiêu của việc sửa đổi thuế lần này. - HUMAN-TRU4]]</f>
        <v>5</v>
      </c>
      <c r="AJ162">
        <f t="shared" si="75"/>
        <v>0.44444444444444442</v>
      </c>
      <c r="AK162" s="32">
        <f t="shared" si="76"/>
        <v>0.61111111111111116</v>
      </c>
      <c r="AL162" s="32">
        <f t="shared" si="77"/>
        <v>0.25</v>
      </c>
      <c r="AM162" s="7">
        <f t="shared" si="78"/>
        <v>0.66666666666666663</v>
      </c>
      <c r="AN162" s="7">
        <f t="shared" si="79"/>
        <v>0.45370370370370372</v>
      </c>
      <c r="AO162">
        <f>step3_validation[[#This Row],[AI_OUT1]]</f>
        <v>7</v>
      </c>
      <c r="AP162">
        <f t="shared" si="80"/>
        <v>0.66666666666666663</v>
      </c>
      <c r="AQ162">
        <f>survey_responses[[#This Row],[Sau khi xem xét các quyền lợi và nghĩa vụ, bạn có ủng hộ và tuân thủ chính sách mới hiện nay? - HUMAN-OUT1]]</f>
        <v>5</v>
      </c>
      <c r="AR162">
        <f t="shared" si="81"/>
        <v>0.44444444444444442</v>
      </c>
      <c r="AS162" s="32">
        <f t="shared" si="82"/>
        <v>2</v>
      </c>
      <c r="AT162">
        <f t="shared" si="83"/>
        <v>0</v>
      </c>
    </row>
    <row r="163" spans="1:46" x14ac:dyDescent="0.45">
      <c r="A163">
        <f>step3_validation[[#This Row],[AI_ENF1]]</f>
        <v>8</v>
      </c>
      <c r="B163">
        <f t="shared" si="56"/>
        <v>0.77777777777777779</v>
      </c>
      <c r="C163">
        <f>survey_responses[[#This Row],[Tôi tin rằng với các quy định quản lý thuế hiện nay, hành vi gian lận hoặc trốn thuế sẽ dễ dàng bị phát hiện và xử lý nghiêm. - HUMAN-ENF1]]</f>
        <v>3</v>
      </c>
      <c r="D163">
        <f t="shared" si="57"/>
        <v>0.22222222222222221</v>
      </c>
      <c r="E163">
        <f>step3_validation[[#This Row],[AI_ENF2]]</f>
        <v>8</v>
      </c>
      <c r="F163">
        <f t="shared" si="58"/>
        <v>0.77777777777777779</v>
      </c>
      <c r="G163">
        <f>survey_responses[[#This Row],[Tôi tin rằng Nhà nước, cơ quan thuế có đủ khả năng và công nghệ để phát hiện, xử lý nghiêm các hành vi trốn thuế. - HUMAN-ENF2]]</f>
        <v>8</v>
      </c>
      <c r="H163">
        <f t="shared" si="59"/>
        <v>0.77777777777777779</v>
      </c>
      <c r="I163" s="32">
        <f t="shared" si="60"/>
        <v>0.77777777777777779</v>
      </c>
      <c r="J163" s="32">
        <f t="shared" si="61"/>
        <v>0.5</v>
      </c>
      <c r="K163">
        <f>step3_validation[[#This Row],[AI_FAC1]]</f>
        <v>9</v>
      </c>
      <c r="L163">
        <f t="shared" si="62"/>
        <v>0.88888888888888884</v>
      </c>
      <c r="M163">
        <f>survey_responses[[#This Row],[Các thủ tục khai báo thuế VÀ/HOẶC quy trình làm việc với cơ quan thuế đơn giản, tiện lợi, nhanh chóng hơn so với trước đây. - HUMAN-FAC1]]</f>
        <v>4</v>
      </c>
      <c r="N163">
        <f t="shared" si="63"/>
        <v>0.33333333333333331</v>
      </c>
      <c r="O163">
        <f>step3_validation[[#This Row],[AI_FAC2]]</f>
        <v>9</v>
      </c>
      <c r="P163">
        <f t="shared" si="64"/>
        <v>0.88888888888888884</v>
      </c>
      <c r="Q163">
        <f>survey_responses[[#This Row],[So với trước đây, tôi thấy cách tính thuế và các bậc thuế trong phương án mới đơn giản, dễ hiểu và dễ thực hiện hơn. - HUMAN-FAC2]]</f>
        <v>5</v>
      </c>
      <c r="R163">
        <f t="shared" si="65"/>
        <v>0.44444444444444442</v>
      </c>
      <c r="S163" s="32">
        <f t="shared" si="66"/>
        <v>0.88888888888888884</v>
      </c>
      <c r="T163" s="32">
        <f t="shared" si="67"/>
        <v>0.38888888888888884</v>
      </c>
      <c r="U163">
        <f>step3_validation[[#This Row],[AI_TRU1]]</f>
        <v>8</v>
      </c>
      <c r="V163">
        <f t="shared" si="68"/>
        <v>0.77777777777777779</v>
      </c>
      <c r="W163">
        <f>survey_responses[[#This Row],[Tôi tin rằng Nhà nước, cơ quan thuế sẽ thực thi chính sách mới một cách khách quan, công tâm và đối xử bình đẳng với mọi người nộp thuế.  - HUMAN-TRU1]]</f>
        <v>5</v>
      </c>
      <c r="X163">
        <f t="shared" si="69"/>
        <v>0.44444444444444442</v>
      </c>
      <c r="Y163">
        <f>step3_validation[[#This Row],[AI_TRU2]]</f>
        <v>9</v>
      </c>
      <c r="Z163">
        <f t="shared" si="70"/>
        <v>0.88888888888888884</v>
      </c>
      <c r="AA163">
        <f>survey_responses[[#This Row],[Tôi thấy mức thuế tôi phải đóng theo phương án mới là công bằng (người thu nhập như tôi đóng mức này là hợp lý). - HUMAN-TRU2]]</f>
        <v>5</v>
      </c>
      <c r="AB163">
        <f t="shared" si="71"/>
        <v>0.44444444444444442</v>
      </c>
      <c r="AC163">
        <f>step3_validation[[#This Row],[AI_TRU3]]</f>
        <v>8</v>
      </c>
      <c r="AD163">
        <f t="shared" si="72"/>
        <v>0.77777777777777779</v>
      </c>
      <c r="AE163">
        <f>survey_responses[[#This Row],[Tôi tin tưởng số tiền thuế tôi đóng sẽ được Nhà nước sử dụng hiệu quả để cải thiện dịch vụ công (y tế, đường xá...). - HUMAN-TRU3]]</f>
        <v>5</v>
      </c>
      <c r="AF163">
        <f t="shared" si="73"/>
        <v>0.44444444444444442</v>
      </c>
      <c r="AG163">
        <f>step3_validation[[#This Row],[AI_TRU4]]</f>
        <v>8</v>
      </c>
      <c r="AH163">
        <f t="shared" si="74"/>
        <v>0.77777777777777779</v>
      </c>
      <c r="AI163">
        <f>survey_responses[[#This Row],[Tôi thấy Nhà nước đã giải thích rõ ràng, minh bạch về lý do và mục tiêu của việc sửa đổi thuế lần này. - HUMAN-TRU4]]</f>
        <v>5</v>
      </c>
      <c r="AJ163">
        <f t="shared" si="75"/>
        <v>0.44444444444444442</v>
      </c>
      <c r="AK163" s="32">
        <f t="shared" si="76"/>
        <v>0.80555555555555547</v>
      </c>
      <c r="AL163" s="32">
        <f t="shared" si="77"/>
        <v>0.44444444444444442</v>
      </c>
      <c r="AM163" s="7">
        <f t="shared" si="78"/>
        <v>0.82407407407407396</v>
      </c>
      <c r="AN163" s="7">
        <f t="shared" si="79"/>
        <v>0.44444444444444442</v>
      </c>
      <c r="AO163">
        <f>step3_validation[[#This Row],[AI_OUT1]]</f>
        <v>9</v>
      </c>
      <c r="AP163">
        <f t="shared" si="80"/>
        <v>0.88888888888888884</v>
      </c>
      <c r="AQ163">
        <f>survey_responses[[#This Row],[Sau khi xem xét các quyền lợi và nghĩa vụ, bạn có ủng hộ và tuân thủ chính sách mới hiện nay? - HUMAN-OUT1]]</f>
        <v>5</v>
      </c>
      <c r="AR163">
        <f t="shared" si="81"/>
        <v>0.44444444444444442</v>
      </c>
      <c r="AS163" s="32">
        <f t="shared" si="82"/>
        <v>4</v>
      </c>
      <c r="AT163">
        <f t="shared" si="83"/>
        <v>0</v>
      </c>
    </row>
    <row r="164" spans="1:46" x14ac:dyDescent="0.45">
      <c r="A164">
        <f>step3_validation[[#This Row],[AI_ENF1]]</f>
        <v>5</v>
      </c>
      <c r="B164">
        <f t="shared" si="56"/>
        <v>0.44444444444444442</v>
      </c>
      <c r="C164">
        <f>survey_responses[[#This Row],[Tôi tin rằng với các quy định quản lý thuế hiện nay, hành vi gian lận hoặc trốn thuế sẽ dễ dàng bị phát hiện và xử lý nghiêm. - HUMAN-ENF1]]</f>
        <v>10</v>
      </c>
      <c r="D164">
        <f t="shared" si="57"/>
        <v>1</v>
      </c>
      <c r="E164">
        <f>step3_validation[[#This Row],[AI_ENF2]]</f>
        <v>8</v>
      </c>
      <c r="F164">
        <f t="shared" si="58"/>
        <v>0.77777777777777779</v>
      </c>
      <c r="G164">
        <f>survey_responses[[#This Row],[Tôi tin rằng Nhà nước, cơ quan thuế có đủ khả năng và công nghệ để phát hiện, xử lý nghiêm các hành vi trốn thuế. - HUMAN-ENF2]]</f>
        <v>10</v>
      </c>
      <c r="H164">
        <f t="shared" si="59"/>
        <v>1</v>
      </c>
      <c r="I164" s="32">
        <f t="shared" si="60"/>
        <v>0.61111111111111116</v>
      </c>
      <c r="J164" s="32">
        <f t="shared" si="61"/>
        <v>1</v>
      </c>
      <c r="K164">
        <f>step3_validation[[#This Row],[AI_FAC1]]</f>
        <v>9</v>
      </c>
      <c r="L164">
        <f t="shared" si="62"/>
        <v>0.88888888888888884</v>
      </c>
      <c r="M164">
        <f>survey_responses[[#This Row],[Các thủ tục khai báo thuế VÀ/HOẶC quy trình làm việc với cơ quan thuế đơn giản, tiện lợi, nhanh chóng hơn so với trước đây. - HUMAN-FAC1]]</f>
        <v>10</v>
      </c>
      <c r="N164">
        <f t="shared" si="63"/>
        <v>1</v>
      </c>
      <c r="O164">
        <f>step3_validation[[#This Row],[AI_FAC2]]</f>
        <v>8</v>
      </c>
      <c r="P164">
        <f t="shared" si="64"/>
        <v>0.77777777777777779</v>
      </c>
      <c r="Q164">
        <f>survey_responses[[#This Row],[So với trước đây, tôi thấy cách tính thuế và các bậc thuế trong phương án mới đơn giản, dễ hiểu và dễ thực hiện hơn. - HUMAN-FAC2]]</f>
        <v>10</v>
      </c>
      <c r="R164">
        <f t="shared" si="65"/>
        <v>1</v>
      </c>
      <c r="S164" s="32">
        <f t="shared" si="66"/>
        <v>0.83333333333333326</v>
      </c>
      <c r="T164" s="32">
        <f t="shared" si="67"/>
        <v>1</v>
      </c>
      <c r="U164">
        <f>step3_validation[[#This Row],[AI_TRU1]]</f>
        <v>7</v>
      </c>
      <c r="V164">
        <f t="shared" si="68"/>
        <v>0.66666666666666663</v>
      </c>
      <c r="W164">
        <f>survey_responses[[#This Row],[Tôi tin rằng Nhà nước, cơ quan thuế sẽ thực thi chính sách mới một cách khách quan, công tâm và đối xử bình đẳng với mọi người nộp thuế.  - HUMAN-TRU1]]</f>
        <v>10</v>
      </c>
      <c r="X164">
        <f t="shared" si="69"/>
        <v>1</v>
      </c>
      <c r="Y164">
        <f>step3_validation[[#This Row],[AI_TRU2]]</f>
        <v>4</v>
      </c>
      <c r="Z164">
        <f t="shared" si="70"/>
        <v>0.33333333333333331</v>
      </c>
      <c r="AA164">
        <f>survey_responses[[#This Row],[Tôi thấy mức thuế tôi phải đóng theo phương án mới là công bằng (người thu nhập như tôi đóng mức này là hợp lý). - HUMAN-TRU2]]</f>
        <v>10</v>
      </c>
      <c r="AB164">
        <f t="shared" si="71"/>
        <v>1</v>
      </c>
      <c r="AC164">
        <f>step3_validation[[#This Row],[AI_TRU3]]</f>
        <v>6</v>
      </c>
      <c r="AD164">
        <f t="shared" si="72"/>
        <v>0.55555555555555558</v>
      </c>
      <c r="AE164">
        <f>survey_responses[[#This Row],[Tôi tin tưởng số tiền thuế tôi đóng sẽ được Nhà nước sử dụng hiệu quả để cải thiện dịch vụ công (y tế, đường xá...). - HUMAN-TRU3]]</f>
        <v>10</v>
      </c>
      <c r="AF164">
        <f t="shared" si="73"/>
        <v>1</v>
      </c>
      <c r="AG164">
        <f>step3_validation[[#This Row],[AI_TRU4]]</f>
        <v>5</v>
      </c>
      <c r="AH164">
        <f t="shared" si="74"/>
        <v>0.44444444444444442</v>
      </c>
      <c r="AI164">
        <f>survey_responses[[#This Row],[Tôi thấy Nhà nước đã giải thích rõ ràng, minh bạch về lý do và mục tiêu của việc sửa đổi thuế lần này. - HUMAN-TRU4]]</f>
        <v>10</v>
      </c>
      <c r="AJ164">
        <f t="shared" si="75"/>
        <v>1</v>
      </c>
      <c r="AK164" s="32">
        <f t="shared" si="76"/>
        <v>0.5</v>
      </c>
      <c r="AL164" s="32">
        <f t="shared" si="77"/>
        <v>1</v>
      </c>
      <c r="AM164" s="7">
        <f t="shared" si="78"/>
        <v>0.64814814814814814</v>
      </c>
      <c r="AN164" s="7">
        <f t="shared" si="79"/>
        <v>1</v>
      </c>
      <c r="AO164">
        <f>step3_validation[[#This Row],[AI_OUT1]]</f>
        <v>6</v>
      </c>
      <c r="AP164">
        <f t="shared" si="80"/>
        <v>0.55555555555555558</v>
      </c>
      <c r="AQ164">
        <f>survey_responses[[#This Row],[Sau khi xem xét các quyền lợi và nghĩa vụ, bạn có ủng hộ và tuân thủ chính sách mới hiện nay? - HUMAN-OUT1]]</f>
        <v>10</v>
      </c>
      <c r="AR164">
        <f t="shared" si="81"/>
        <v>1</v>
      </c>
      <c r="AS164" s="32">
        <f t="shared" si="82"/>
        <v>4</v>
      </c>
      <c r="AT164">
        <f t="shared" si="83"/>
        <v>1</v>
      </c>
    </row>
    <row r="165" spans="1:46" x14ac:dyDescent="0.45">
      <c r="A165">
        <f>step3_validation[[#This Row],[AI_ENF1]]</f>
        <v>8</v>
      </c>
      <c r="B165">
        <f t="shared" si="56"/>
        <v>0.77777777777777779</v>
      </c>
      <c r="C165">
        <f>survey_responses[[#This Row],[Tôi tin rằng với các quy định quản lý thuế hiện nay, hành vi gian lận hoặc trốn thuế sẽ dễ dàng bị phát hiện và xử lý nghiêm. - HUMAN-ENF1]]</f>
        <v>8</v>
      </c>
      <c r="D165">
        <f t="shared" si="57"/>
        <v>0.77777777777777779</v>
      </c>
      <c r="E165">
        <f>step3_validation[[#This Row],[AI_ENF2]]</f>
        <v>9</v>
      </c>
      <c r="F165">
        <f t="shared" si="58"/>
        <v>0.88888888888888884</v>
      </c>
      <c r="G165">
        <f>survey_responses[[#This Row],[Tôi tin rằng Nhà nước, cơ quan thuế có đủ khả năng và công nghệ để phát hiện, xử lý nghiêm các hành vi trốn thuế. - HUMAN-ENF2]]</f>
        <v>9</v>
      </c>
      <c r="H165">
        <f t="shared" si="59"/>
        <v>0.88888888888888884</v>
      </c>
      <c r="I165" s="32">
        <f t="shared" si="60"/>
        <v>0.83333333333333326</v>
      </c>
      <c r="J165" s="32">
        <f t="shared" si="61"/>
        <v>0.83333333333333326</v>
      </c>
      <c r="K165">
        <f>step3_validation[[#This Row],[AI_FAC1]]</f>
        <v>8</v>
      </c>
      <c r="L165">
        <f t="shared" si="62"/>
        <v>0.77777777777777779</v>
      </c>
      <c r="M165">
        <f>survey_responses[[#This Row],[Các thủ tục khai báo thuế VÀ/HOẶC quy trình làm việc với cơ quan thuế đơn giản, tiện lợi, nhanh chóng hơn so với trước đây. - HUMAN-FAC1]]</f>
        <v>9</v>
      </c>
      <c r="N165">
        <f t="shared" si="63"/>
        <v>0.88888888888888884</v>
      </c>
      <c r="O165">
        <f>step3_validation[[#This Row],[AI_FAC2]]</f>
        <v>7</v>
      </c>
      <c r="P165">
        <f t="shared" si="64"/>
        <v>0.66666666666666663</v>
      </c>
      <c r="Q165">
        <f>survey_responses[[#This Row],[So với trước đây, tôi thấy cách tính thuế và các bậc thuế trong phương án mới đơn giản, dễ hiểu và dễ thực hiện hơn. - HUMAN-FAC2]]</f>
        <v>9</v>
      </c>
      <c r="R165">
        <f t="shared" si="65"/>
        <v>0.88888888888888884</v>
      </c>
      <c r="S165" s="32">
        <f t="shared" si="66"/>
        <v>0.72222222222222221</v>
      </c>
      <c r="T165" s="32">
        <f t="shared" si="67"/>
        <v>0.88888888888888884</v>
      </c>
      <c r="U165">
        <f>step3_validation[[#This Row],[AI_TRU1]]</f>
        <v>8</v>
      </c>
      <c r="V165">
        <f t="shared" si="68"/>
        <v>0.77777777777777779</v>
      </c>
      <c r="W165">
        <f>survey_responses[[#This Row],[Tôi tin rằng Nhà nước, cơ quan thuế sẽ thực thi chính sách mới một cách khách quan, công tâm và đối xử bình đẳng với mọi người nộp thuế.  - HUMAN-TRU1]]</f>
        <v>5</v>
      </c>
      <c r="X165">
        <f t="shared" si="69"/>
        <v>0.44444444444444442</v>
      </c>
      <c r="Y165">
        <f>step3_validation[[#This Row],[AI_TRU2]]</f>
        <v>7</v>
      </c>
      <c r="Z165">
        <f t="shared" si="70"/>
        <v>0.66666666666666663</v>
      </c>
      <c r="AA165">
        <f>survey_responses[[#This Row],[Tôi thấy mức thuế tôi phải đóng theo phương án mới là công bằng (người thu nhập như tôi đóng mức này là hợp lý). - HUMAN-TRU2]]</f>
        <v>7</v>
      </c>
      <c r="AB165">
        <f t="shared" si="71"/>
        <v>0.66666666666666663</v>
      </c>
      <c r="AC165">
        <f>step3_validation[[#This Row],[AI_TRU3]]</f>
        <v>8</v>
      </c>
      <c r="AD165">
        <f t="shared" si="72"/>
        <v>0.77777777777777779</v>
      </c>
      <c r="AE165">
        <f>survey_responses[[#This Row],[Tôi tin tưởng số tiền thuế tôi đóng sẽ được Nhà nước sử dụng hiệu quả để cải thiện dịch vụ công (y tế, đường xá...). - HUMAN-TRU3]]</f>
        <v>5</v>
      </c>
      <c r="AF165">
        <f t="shared" si="73"/>
        <v>0.44444444444444442</v>
      </c>
      <c r="AG165">
        <f>step3_validation[[#This Row],[AI_TRU4]]</f>
        <v>6</v>
      </c>
      <c r="AH165">
        <f t="shared" si="74"/>
        <v>0.55555555555555558</v>
      </c>
      <c r="AI165">
        <f>survey_responses[[#This Row],[Tôi thấy Nhà nước đã giải thích rõ ràng, minh bạch về lý do và mục tiêu của việc sửa đổi thuế lần này. - HUMAN-TRU4]]</f>
        <v>7</v>
      </c>
      <c r="AJ165">
        <f t="shared" si="75"/>
        <v>0.66666666666666663</v>
      </c>
      <c r="AK165" s="32">
        <f t="shared" si="76"/>
        <v>0.69444444444444442</v>
      </c>
      <c r="AL165" s="32">
        <f t="shared" si="77"/>
        <v>0.55555555555555558</v>
      </c>
      <c r="AM165" s="7">
        <f t="shared" si="78"/>
        <v>0.75</v>
      </c>
      <c r="AN165" s="7">
        <f t="shared" si="79"/>
        <v>0.75925925925925919</v>
      </c>
      <c r="AO165">
        <f>step3_validation[[#This Row],[AI_OUT1]]</f>
        <v>7</v>
      </c>
      <c r="AP165">
        <f t="shared" si="80"/>
        <v>0.66666666666666663</v>
      </c>
      <c r="AQ165">
        <f>survey_responses[[#This Row],[Sau khi xem xét các quyền lợi và nghĩa vụ, bạn có ủng hộ và tuân thủ chính sách mới hiện nay? - HUMAN-OUT1]]</f>
        <v>7</v>
      </c>
      <c r="AR165">
        <f t="shared" si="81"/>
        <v>0.66666666666666663</v>
      </c>
      <c r="AS165" s="32">
        <f t="shared" si="82"/>
        <v>0</v>
      </c>
      <c r="AT165">
        <f t="shared" si="83"/>
        <v>1</v>
      </c>
    </row>
    <row r="166" spans="1:46" x14ac:dyDescent="0.45">
      <c r="A166">
        <f>step3_validation[[#This Row],[AI_ENF1]]</f>
        <v>8</v>
      </c>
      <c r="B166">
        <f t="shared" si="56"/>
        <v>0.77777777777777779</v>
      </c>
      <c r="C166">
        <f>survey_responses[[#This Row],[Tôi tin rằng với các quy định quản lý thuế hiện nay, hành vi gian lận hoặc trốn thuế sẽ dễ dàng bị phát hiện và xử lý nghiêm. - HUMAN-ENF1]]</f>
        <v>5</v>
      </c>
      <c r="D166">
        <f t="shared" si="57"/>
        <v>0.44444444444444442</v>
      </c>
      <c r="E166">
        <f>step3_validation[[#This Row],[AI_ENF2]]</f>
        <v>7</v>
      </c>
      <c r="F166">
        <f t="shared" si="58"/>
        <v>0.66666666666666663</v>
      </c>
      <c r="G166">
        <f>survey_responses[[#This Row],[Tôi tin rằng Nhà nước, cơ quan thuế có đủ khả năng và công nghệ để phát hiện, xử lý nghiêm các hành vi trốn thuế. - HUMAN-ENF2]]</f>
        <v>5</v>
      </c>
      <c r="H166">
        <f t="shared" si="59"/>
        <v>0.44444444444444442</v>
      </c>
      <c r="I166" s="32">
        <f t="shared" si="60"/>
        <v>0.72222222222222221</v>
      </c>
      <c r="J166" s="32">
        <f t="shared" si="61"/>
        <v>0.44444444444444442</v>
      </c>
      <c r="K166">
        <f>step3_validation[[#This Row],[AI_FAC1]]</f>
        <v>9</v>
      </c>
      <c r="L166">
        <f t="shared" si="62"/>
        <v>0.88888888888888884</v>
      </c>
      <c r="M166">
        <f>survey_responses[[#This Row],[Các thủ tục khai báo thuế VÀ/HOẶC quy trình làm việc với cơ quan thuế đơn giản, tiện lợi, nhanh chóng hơn so với trước đây. - HUMAN-FAC1]]</f>
        <v>6</v>
      </c>
      <c r="N166">
        <f t="shared" si="63"/>
        <v>0.55555555555555558</v>
      </c>
      <c r="O166">
        <f>step3_validation[[#This Row],[AI_FAC2]]</f>
        <v>8</v>
      </c>
      <c r="P166">
        <f t="shared" si="64"/>
        <v>0.77777777777777779</v>
      </c>
      <c r="Q166">
        <f>survey_responses[[#This Row],[So với trước đây, tôi thấy cách tính thuế và các bậc thuế trong phương án mới đơn giản, dễ hiểu và dễ thực hiện hơn. - HUMAN-FAC2]]</f>
        <v>6</v>
      </c>
      <c r="R166">
        <f t="shared" si="65"/>
        <v>0.55555555555555558</v>
      </c>
      <c r="S166" s="32">
        <f t="shared" si="66"/>
        <v>0.83333333333333326</v>
      </c>
      <c r="T166" s="32">
        <f t="shared" si="67"/>
        <v>0.55555555555555558</v>
      </c>
      <c r="U166">
        <f>step3_validation[[#This Row],[AI_TRU1]]</f>
        <v>7</v>
      </c>
      <c r="V166">
        <f t="shared" si="68"/>
        <v>0.66666666666666663</v>
      </c>
      <c r="W166">
        <f>survey_responses[[#This Row],[Tôi tin rằng Nhà nước, cơ quan thuế sẽ thực thi chính sách mới một cách khách quan, công tâm và đối xử bình đẳng với mọi người nộp thuế.  - HUMAN-TRU1]]</f>
        <v>6</v>
      </c>
      <c r="X166">
        <f t="shared" si="69"/>
        <v>0.55555555555555558</v>
      </c>
      <c r="Y166">
        <f>step3_validation[[#This Row],[AI_TRU2]]</f>
        <v>6</v>
      </c>
      <c r="Z166">
        <f t="shared" si="70"/>
        <v>0.55555555555555558</v>
      </c>
      <c r="AA166">
        <f>survey_responses[[#This Row],[Tôi thấy mức thuế tôi phải đóng theo phương án mới là công bằng (người thu nhập như tôi đóng mức này là hợp lý). - HUMAN-TRU2]]</f>
        <v>6</v>
      </c>
      <c r="AB166">
        <f t="shared" si="71"/>
        <v>0.55555555555555558</v>
      </c>
      <c r="AC166">
        <f>step3_validation[[#This Row],[AI_TRU3]]</f>
        <v>5</v>
      </c>
      <c r="AD166">
        <f t="shared" si="72"/>
        <v>0.44444444444444442</v>
      </c>
      <c r="AE166">
        <f>survey_responses[[#This Row],[Tôi tin tưởng số tiền thuế tôi đóng sẽ được Nhà nước sử dụng hiệu quả để cải thiện dịch vụ công (y tế, đường xá...). - HUMAN-TRU3]]</f>
        <v>5</v>
      </c>
      <c r="AF166">
        <f t="shared" si="73"/>
        <v>0.44444444444444442</v>
      </c>
      <c r="AG166">
        <f>step3_validation[[#This Row],[AI_TRU4]]</f>
        <v>6</v>
      </c>
      <c r="AH166">
        <f t="shared" si="74"/>
        <v>0.55555555555555558</v>
      </c>
      <c r="AI166">
        <f>survey_responses[[#This Row],[Tôi thấy Nhà nước đã giải thích rõ ràng, minh bạch về lý do và mục tiêu của việc sửa đổi thuế lần này. - HUMAN-TRU4]]</f>
        <v>7</v>
      </c>
      <c r="AJ166">
        <f t="shared" si="75"/>
        <v>0.66666666666666663</v>
      </c>
      <c r="AK166" s="32">
        <f t="shared" si="76"/>
        <v>0.55555555555555558</v>
      </c>
      <c r="AL166" s="32">
        <f t="shared" si="77"/>
        <v>0.55555555555555558</v>
      </c>
      <c r="AM166" s="7">
        <f t="shared" si="78"/>
        <v>0.70370370370370361</v>
      </c>
      <c r="AN166" s="7">
        <f t="shared" si="79"/>
        <v>0.51851851851851849</v>
      </c>
      <c r="AO166">
        <f>step3_validation[[#This Row],[AI_OUT1]]</f>
        <v>7</v>
      </c>
      <c r="AP166">
        <f t="shared" si="80"/>
        <v>0.66666666666666663</v>
      </c>
      <c r="AQ166">
        <f>survey_responses[[#This Row],[Sau khi xem xét các quyền lợi và nghĩa vụ, bạn có ủng hộ và tuân thủ chính sách mới hiện nay? - HUMAN-OUT1]]</f>
        <v>8</v>
      </c>
      <c r="AR166">
        <f t="shared" si="81"/>
        <v>0.77777777777777779</v>
      </c>
      <c r="AS166" s="32">
        <f t="shared" si="82"/>
        <v>1</v>
      </c>
      <c r="AT166">
        <f t="shared" si="83"/>
        <v>1</v>
      </c>
    </row>
    <row r="167" spans="1:46" x14ac:dyDescent="0.45">
      <c r="A167">
        <f>step3_validation[[#This Row],[AI_ENF1]]</f>
        <v>8</v>
      </c>
      <c r="B167">
        <f t="shared" si="56"/>
        <v>0.77777777777777779</v>
      </c>
      <c r="C167">
        <f>survey_responses[[#This Row],[Tôi tin rằng với các quy định quản lý thuế hiện nay, hành vi gian lận hoặc trốn thuế sẽ dễ dàng bị phát hiện và xử lý nghiêm. - HUMAN-ENF1]]</f>
        <v>10</v>
      </c>
      <c r="D167">
        <f t="shared" si="57"/>
        <v>1</v>
      </c>
      <c r="E167">
        <f>step3_validation[[#This Row],[AI_ENF2]]</f>
        <v>7</v>
      </c>
      <c r="F167">
        <f t="shared" si="58"/>
        <v>0.66666666666666663</v>
      </c>
      <c r="G167">
        <f>survey_responses[[#This Row],[Tôi tin rằng Nhà nước, cơ quan thuế có đủ khả năng và công nghệ để phát hiện, xử lý nghiêm các hành vi trốn thuế. - HUMAN-ENF2]]</f>
        <v>8</v>
      </c>
      <c r="H167">
        <f t="shared" si="59"/>
        <v>0.77777777777777779</v>
      </c>
      <c r="I167" s="32">
        <f t="shared" si="60"/>
        <v>0.72222222222222221</v>
      </c>
      <c r="J167" s="32">
        <f t="shared" si="61"/>
        <v>0.88888888888888884</v>
      </c>
      <c r="K167">
        <f>step3_validation[[#This Row],[AI_FAC1]]</f>
        <v>8</v>
      </c>
      <c r="L167">
        <f t="shared" si="62"/>
        <v>0.77777777777777779</v>
      </c>
      <c r="M167">
        <f>survey_responses[[#This Row],[Các thủ tục khai báo thuế VÀ/HOẶC quy trình làm việc với cơ quan thuế đơn giản, tiện lợi, nhanh chóng hơn so với trước đây. - HUMAN-FAC1]]</f>
        <v>10</v>
      </c>
      <c r="N167">
        <f t="shared" si="63"/>
        <v>1</v>
      </c>
      <c r="O167">
        <f>step3_validation[[#This Row],[AI_FAC2]]</f>
        <v>8</v>
      </c>
      <c r="P167">
        <f t="shared" si="64"/>
        <v>0.77777777777777779</v>
      </c>
      <c r="Q167">
        <f>survey_responses[[#This Row],[So với trước đây, tôi thấy cách tính thuế và các bậc thuế trong phương án mới đơn giản, dễ hiểu và dễ thực hiện hơn. - HUMAN-FAC2]]</f>
        <v>10</v>
      </c>
      <c r="R167">
        <f t="shared" si="65"/>
        <v>1</v>
      </c>
      <c r="S167" s="32">
        <f t="shared" si="66"/>
        <v>0.77777777777777779</v>
      </c>
      <c r="T167" s="32">
        <f t="shared" si="67"/>
        <v>1</v>
      </c>
      <c r="U167">
        <f>step3_validation[[#This Row],[AI_TRU1]]</f>
        <v>7</v>
      </c>
      <c r="V167">
        <f t="shared" si="68"/>
        <v>0.66666666666666663</v>
      </c>
      <c r="W167">
        <f>survey_responses[[#This Row],[Tôi tin rằng Nhà nước, cơ quan thuế sẽ thực thi chính sách mới một cách khách quan, công tâm và đối xử bình đẳng với mọi người nộp thuế.  - HUMAN-TRU1]]</f>
        <v>10</v>
      </c>
      <c r="X167">
        <f t="shared" si="69"/>
        <v>1</v>
      </c>
      <c r="Y167">
        <f>step3_validation[[#This Row],[AI_TRU2]]</f>
        <v>7</v>
      </c>
      <c r="Z167">
        <f t="shared" si="70"/>
        <v>0.66666666666666663</v>
      </c>
      <c r="AA167">
        <f>survey_responses[[#This Row],[Tôi thấy mức thuế tôi phải đóng theo phương án mới là công bằng (người thu nhập như tôi đóng mức này là hợp lý). - HUMAN-TRU2]]</f>
        <v>10</v>
      </c>
      <c r="AB167">
        <f t="shared" si="71"/>
        <v>1</v>
      </c>
      <c r="AC167">
        <f>step3_validation[[#This Row],[AI_TRU3]]</f>
        <v>7</v>
      </c>
      <c r="AD167">
        <f t="shared" si="72"/>
        <v>0.66666666666666663</v>
      </c>
      <c r="AE167">
        <f>survey_responses[[#This Row],[Tôi tin tưởng số tiền thuế tôi đóng sẽ được Nhà nước sử dụng hiệu quả để cải thiện dịch vụ công (y tế, đường xá...). - HUMAN-TRU3]]</f>
        <v>10</v>
      </c>
      <c r="AF167">
        <f t="shared" si="73"/>
        <v>1</v>
      </c>
      <c r="AG167">
        <f>step3_validation[[#This Row],[AI_TRU4]]</f>
        <v>7</v>
      </c>
      <c r="AH167">
        <f t="shared" si="74"/>
        <v>0.66666666666666663</v>
      </c>
      <c r="AI167">
        <f>survey_responses[[#This Row],[Tôi thấy Nhà nước đã giải thích rõ ràng, minh bạch về lý do và mục tiêu của việc sửa đổi thuế lần này. - HUMAN-TRU4]]</f>
        <v>10</v>
      </c>
      <c r="AJ167">
        <f t="shared" si="75"/>
        <v>1</v>
      </c>
      <c r="AK167" s="32">
        <f t="shared" si="76"/>
        <v>0.66666666666666663</v>
      </c>
      <c r="AL167" s="32">
        <f t="shared" si="77"/>
        <v>1</v>
      </c>
      <c r="AM167" s="7">
        <f t="shared" si="78"/>
        <v>0.72222222222222221</v>
      </c>
      <c r="AN167" s="7">
        <f t="shared" si="79"/>
        <v>0.96296296296296291</v>
      </c>
      <c r="AO167">
        <f>step3_validation[[#This Row],[AI_OUT1]]</f>
        <v>7</v>
      </c>
      <c r="AP167">
        <f t="shared" si="80"/>
        <v>0.66666666666666663</v>
      </c>
      <c r="AQ167">
        <f>survey_responses[[#This Row],[Sau khi xem xét các quyền lợi và nghĩa vụ, bạn có ủng hộ và tuân thủ chính sách mới hiện nay? - HUMAN-OUT1]]</f>
        <v>8</v>
      </c>
      <c r="AR167">
        <f t="shared" si="81"/>
        <v>0.77777777777777779</v>
      </c>
      <c r="AS167" s="32">
        <f t="shared" si="82"/>
        <v>1</v>
      </c>
      <c r="AT167">
        <f t="shared" si="83"/>
        <v>1</v>
      </c>
    </row>
    <row r="168" spans="1:46" x14ac:dyDescent="0.45">
      <c r="A168">
        <f>step3_validation[[#This Row],[AI_ENF1]]</f>
        <v>7</v>
      </c>
      <c r="B168">
        <f t="shared" si="56"/>
        <v>0.66666666666666663</v>
      </c>
      <c r="C168">
        <f>survey_responses[[#This Row],[Tôi tin rằng với các quy định quản lý thuế hiện nay, hành vi gian lận hoặc trốn thuế sẽ dễ dàng bị phát hiện và xử lý nghiêm. - HUMAN-ENF1]]</f>
        <v>5</v>
      </c>
      <c r="D168">
        <f t="shared" si="57"/>
        <v>0.44444444444444442</v>
      </c>
      <c r="E168">
        <f>step3_validation[[#This Row],[AI_ENF2]]</f>
        <v>8</v>
      </c>
      <c r="F168">
        <f t="shared" si="58"/>
        <v>0.77777777777777779</v>
      </c>
      <c r="G168">
        <f>survey_responses[[#This Row],[Tôi tin rằng Nhà nước, cơ quan thuế có đủ khả năng và công nghệ để phát hiện, xử lý nghiêm các hành vi trốn thuế. - HUMAN-ENF2]]</f>
        <v>8</v>
      </c>
      <c r="H168">
        <f t="shared" si="59"/>
        <v>0.77777777777777779</v>
      </c>
      <c r="I168" s="32">
        <f t="shared" si="60"/>
        <v>0.72222222222222221</v>
      </c>
      <c r="J168" s="32">
        <f t="shared" si="61"/>
        <v>0.61111111111111116</v>
      </c>
      <c r="K168">
        <f>step3_validation[[#This Row],[AI_FAC1]]</f>
        <v>6</v>
      </c>
      <c r="L168">
        <f t="shared" si="62"/>
        <v>0.55555555555555558</v>
      </c>
      <c r="M168">
        <f>survey_responses[[#This Row],[Các thủ tục khai báo thuế VÀ/HOẶC quy trình làm việc với cơ quan thuế đơn giản, tiện lợi, nhanh chóng hơn so với trước đây. - HUMAN-FAC1]]</f>
        <v>5</v>
      </c>
      <c r="N168">
        <f t="shared" si="63"/>
        <v>0.44444444444444442</v>
      </c>
      <c r="O168">
        <f>step3_validation[[#This Row],[AI_FAC2]]</f>
        <v>7</v>
      </c>
      <c r="P168">
        <f t="shared" si="64"/>
        <v>0.66666666666666663</v>
      </c>
      <c r="Q168">
        <f>survey_responses[[#This Row],[So với trước đây, tôi thấy cách tính thuế và các bậc thuế trong phương án mới đơn giản, dễ hiểu và dễ thực hiện hơn. - HUMAN-FAC2]]</f>
        <v>8</v>
      </c>
      <c r="R168">
        <f t="shared" si="65"/>
        <v>0.77777777777777779</v>
      </c>
      <c r="S168" s="32">
        <f t="shared" si="66"/>
        <v>0.61111111111111116</v>
      </c>
      <c r="T168" s="32">
        <f t="shared" si="67"/>
        <v>0.61111111111111116</v>
      </c>
      <c r="U168">
        <f>step3_validation[[#This Row],[AI_TRU1]]</f>
        <v>6</v>
      </c>
      <c r="V168">
        <f t="shared" si="68"/>
        <v>0.55555555555555558</v>
      </c>
      <c r="W168">
        <f>survey_responses[[#This Row],[Tôi tin rằng Nhà nước, cơ quan thuế sẽ thực thi chính sách mới một cách khách quan, công tâm và đối xử bình đẳng với mọi người nộp thuế.  - HUMAN-TRU1]]</f>
        <v>4</v>
      </c>
      <c r="X168">
        <f t="shared" si="69"/>
        <v>0.33333333333333331</v>
      </c>
      <c r="Y168">
        <f>step3_validation[[#This Row],[AI_TRU2]]</f>
        <v>7</v>
      </c>
      <c r="Z168">
        <f t="shared" si="70"/>
        <v>0.66666666666666663</v>
      </c>
      <c r="AA168">
        <f>survey_responses[[#This Row],[Tôi thấy mức thuế tôi phải đóng theo phương án mới là công bằng (người thu nhập như tôi đóng mức này là hợp lý). - HUMAN-TRU2]]</f>
        <v>5</v>
      </c>
      <c r="AB168">
        <f t="shared" si="71"/>
        <v>0.44444444444444442</v>
      </c>
      <c r="AC168">
        <f>step3_validation[[#This Row],[AI_TRU3]]</f>
        <v>6</v>
      </c>
      <c r="AD168">
        <f t="shared" si="72"/>
        <v>0.55555555555555558</v>
      </c>
      <c r="AE168">
        <f>survey_responses[[#This Row],[Tôi tin tưởng số tiền thuế tôi đóng sẽ được Nhà nước sử dụng hiệu quả để cải thiện dịch vụ công (y tế, đường xá...). - HUMAN-TRU3]]</f>
        <v>1</v>
      </c>
      <c r="AF168">
        <f t="shared" si="73"/>
        <v>0</v>
      </c>
      <c r="AG168">
        <f>step3_validation[[#This Row],[AI_TRU4]]</f>
        <v>5</v>
      </c>
      <c r="AH168">
        <f t="shared" si="74"/>
        <v>0.44444444444444442</v>
      </c>
      <c r="AI168">
        <f>survey_responses[[#This Row],[Tôi thấy Nhà nước đã giải thích rõ ràng, minh bạch về lý do và mục tiêu của việc sửa đổi thuế lần này. - HUMAN-TRU4]]</f>
        <v>5</v>
      </c>
      <c r="AJ168">
        <f t="shared" si="75"/>
        <v>0.44444444444444442</v>
      </c>
      <c r="AK168" s="32">
        <f t="shared" si="76"/>
        <v>0.55555555555555558</v>
      </c>
      <c r="AL168" s="32">
        <f t="shared" si="77"/>
        <v>0.30555555555555552</v>
      </c>
      <c r="AM168" s="7">
        <f t="shared" si="78"/>
        <v>0.62962962962962965</v>
      </c>
      <c r="AN168" s="7">
        <f t="shared" si="79"/>
        <v>0.5092592592592593</v>
      </c>
      <c r="AO168">
        <f>step3_validation[[#This Row],[AI_OUT1]]</f>
        <v>6</v>
      </c>
      <c r="AP168">
        <f t="shared" si="80"/>
        <v>0.55555555555555558</v>
      </c>
      <c r="AQ168">
        <f>survey_responses[[#This Row],[Sau khi xem xét các quyền lợi và nghĩa vụ, bạn có ủng hộ và tuân thủ chính sách mới hiện nay? - HUMAN-OUT1]]</f>
        <v>5</v>
      </c>
      <c r="AR168">
        <f t="shared" si="81"/>
        <v>0.44444444444444442</v>
      </c>
      <c r="AS168" s="32">
        <f t="shared" si="82"/>
        <v>1</v>
      </c>
      <c r="AT168">
        <f t="shared" si="83"/>
        <v>0</v>
      </c>
    </row>
    <row r="169" spans="1:46" x14ac:dyDescent="0.45">
      <c r="A169">
        <f>step3_validation[[#This Row],[AI_ENF1]]</f>
        <v>7</v>
      </c>
      <c r="B169">
        <f t="shared" si="56"/>
        <v>0.66666666666666663</v>
      </c>
      <c r="C169">
        <f>survey_responses[[#This Row],[Tôi tin rằng với các quy định quản lý thuế hiện nay, hành vi gian lận hoặc trốn thuế sẽ dễ dàng bị phát hiện và xử lý nghiêm. - HUMAN-ENF1]]</f>
        <v>7</v>
      </c>
      <c r="D169">
        <f t="shared" si="57"/>
        <v>0.66666666666666663</v>
      </c>
      <c r="E169">
        <f>step3_validation[[#This Row],[AI_ENF2]]</f>
        <v>8</v>
      </c>
      <c r="F169">
        <f t="shared" si="58"/>
        <v>0.77777777777777779</v>
      </c>
      <c r="G169">
        <f>survey_responses[[#This Row],[Tôi tin rằng Nhà nước, cơ quan thuế có đủ khả năng và công nghệ để phát hiện, xử lý nghiêm các hành vi trốn thuế. - HUMAN-ENF2]]</f>
        <v>7</v>
      </c>
      <c r="H169">
        <f t="shared" si="59"/>
        <v>0.66666666666666663</v>
      </c>
      <c r="I169" s="32">
        <f t="shared" si="60"/>
        <v>0.72222222222222221</v>
      </c>
      <c r="J169" s="32">
        <f t="shared" si="61"/>
        <v>0.66666666666666663</v>
      </c>
      <c r="K169">
        <f>step3_validation[[#This Row],[AI_FAC1]]</f>
        <v>6</v>
      </c>
      <c r="L169">
        <f t="shared" si="62"/>
        <v>0.55555555555555558</v>
      </c>
      <c r="M169">
        <f>survey_responses[[#This Row],[Các thủ tục khai báo thuế VÀ/HOẶC quy trình làm việc với cơ quan thuế đơn giản, tiện lợi, nhanh chóng hơn so với trước đây. - HUMAN-FAC1]]</f>
        <v>8</v>
      </c>
      <c r="N169">
        <f t="shared" si="63"/>
        <v>0.77777777777777779</v>
      </c>
      <c r="O169">
        <f>step3_validation[[#This Row],[AI_FAC2]]</f>
        <v>9</v>
      </c>
      <c r="P169">
        <f t="shared" si="64"/>
        <v>0.88888888888888884</v>
      </c>
      <c r="Q169">
        <f>survey_responses[[#This Row],[So với trước đây, tôi thấy cách tính thuế và các bậc thuế trong phương án mới đơn giản, dễ hiểu và dễ thực hiện hơn. - HUMAN-FAC2]]</f>
        <v>8</v>
      </c>
      <c r="R169">
        <f t="shared" si="65"/>
        <v>0.77777777777777779</v>
      </c>
      <c r="S169" s="32">
        <f t="shared" si="66"/>
        <v>0.72222222222222221</v>
      </c>
      <c r="T169" s="32">
        <f t="shared" si="67"/>
        <v>0.77777777777777779</v>
      </c>
      <c r="U169">
        <f>step3_validation[[#This Row],[AI_TRU1]]</f>
        <v>7</v>
      </c>
      <c r="V169">
        <f t="shared" si="68"/>
        <v>0.66666666666666663</v>
      </c>
      <c r="W169">
        <f>survey_responses[[#This Row],[Tôi tin rằng Nhà nước, cơ quan thuế sẽ thực thi chính sách mới một cách khách quan, công tâm và đối xử bình đẳng với mọi người nộp thuế.  - HUMAN-TRU1]]</f>
        <v>7</v>
      </c>
      <c r="X169">
        <f t="shared" si="69"/>
        <v>0.66666666666666663</v>
      </c>
      <c r="Y169">
        <f>step3_validation[[#This Row],[AI_TRU2]]</f>
        <v>6</v>
      </c>
      <c r="Z169">
        <f t="shared" si="70"/>
        <v>0.55555555555555558</v>
      </c>
      <c r="AA169">
        <f>survey_responses[[#This Row],[Tôi thấy mức thuế tôi phải đóng theo phương án mới là công bằng (người thu nhập như tôi đóng mức này là hợp lý). - HUMAN-TRU2]]</f>
        <v>8</v>
      </c>
      <c r="AB169">
        <f t="shared" si="71"/>
        <v>0.77777777777777779</v>
      </c>
      <c r="AC169">
        <f>step3_validation[[#This Row],[AI_TRU3]]</f>
        <v>7</v>
      </c>
      <c r="AD169">
        <f t="shared" si="72"/>
        <v>0.66666666666666663</v>
      </c>
      <c r="AE169">
        <f>survey_responses[[#This Row],[Tôi tin tưởng số tiền thuế tôi đóng sẽ được Nhà nước sử dụng hiệu quả để cải thiện dịch vụ công (y tế, đường xá...). - HUMAN-TRU3]]</f>
        <v>8</v>
      </c>
      <c r="AF169">
        <f t="shared" si="73"/>
        <v>0.77777777777777779</v>
      </c>
      <c r="AG169">
        <f>step3_validation[[#This Row],[AI_TRU4]]</f>
        <v>5</v>
      </c>
      <c r="AH169">
        <f t="shared" si="74"/>
        <v>0.44444444444444442</v>
      </c>
      <c r="AI169">
        <f>survey_responses[[#This Row],[Tôi thấy Nhà nước đã giải thích rõ ràng, minh bạch về lý do và mục tiêu của việc sửa đổi thuế lần này. - HUMAN-TRU4]]</f>
        <v>8</v>
      </c>
      <c r="AJ169">
        <f t="shared" si="75"/>
        <v>0.77777777777777779</v>
      </c>
      <c r="AK169" s="32">
        <f t="shared" si="76"/>
        <v>0.58333333333333326</v>
      </c>
      <c r="AL169" s="32">
        <f t="shared" si="77"/>
        <v>0.75</v>
      </c>
      <c r="AM169" s="7">
        <f t="shared" si="78"/>
        <v>0.67592592592592593</v>
      </c>
      <c r="AN169" s="7">
        <f t="shared" si="79"/>
        <v>0.73148148148148151</v>
      </c>
      <c r="AO169">
        <f>step3_validation[[#This Row],[AI_OUT1]]</f>
        <v>6</v>
      </c>
      <c r="AP169">
        <f t="shared" si="80"/>
        <v>0.55555555555555558</v>
      </c>
      <c r="AQ169">
        <f>survey_responses[[#This Row],[Sau khi xem xét các quyền lợi và nghĩa vụ, bạn có ủng hộ và tuân thủ chính sách mới hiện nay? - HUMAN-OUT1]]</f>
        <v>9</v>
      </c>
      <c r="AR169">
        <f t="shared" si="81"/>
        <v>0.88888888888888884</v>
      </c>
      <c r="AS169" s="32">
        <f t="shared" si="82"/>
        <v>3</v>
      </c>
      <c r="AT169">
        <f t="shared" si="83"/>
        <v>1</v>
      </c>
    </row>
    <row r="170" spans="1:46" x14ac:dyDescent="0.45">
      <c r="A170">
        <f>step3_validation[[#This Row],[AI_ENF1]]</f>
        <v>8</v>
      </c>
      <c r="B170">
        <f t="shared" si="56"/>
        <v>0.77777777777777779</v>
      </c>
      <c r="C170">
        <f>survey_responses[[#This Row],[Tôi tin rằng với các quy định quản lý thuế hiện nay, hành vi gian lận hoặc trốn thuế sẽ dễ dàng bị phát hiện và xử lý nghiêm. - HUMAN-ENF1]]</f>
        <v>8</v>
      </c>
      <c r="D170">
        <f t="shared" si="57"/>
        <v>0.77777777777777779</v>
      </c>
      <c r="E170">
        <f>step3_validation[[#This Row],[AI_ENF2]]</f>
        <v>9</v>
      </c>
      <c r="F170">
        <f t="shared" si="58"/>
        <v>0.88888888888888884</v>
      </c>
      <c r="G170">
        <f>survey_responses[[#This Row],[Tôi tin rằng Nhà nước, cơ quan thuế có đủ khả năng và công nghệ để phát hiện, xử lý nghiêm các hành vi trốn thuế. - HUMAN-ENF2]]</f>
        <v>8</v>
      </c>
      <c r="H170">
        <f t="shared" si="59"/>
        <v>0.77777777777777779</v>
      </c>
      <c r="I170" s="32">
        <f t="shared" si="60"/>
        <v>0.83333333333333326</v>
      </c>
      <c r="J170" s="32">
        <f t="shared" si="61"/>
        <v>0.77777777777777779</v>
      </c>
      <c r="K170">
        <f>step3_validation[[#This Row],[AI_FAC1]]</f>
        <v>8</v>
      </c>
      <c r="L170">
        <f t="shared" si="62"/>
        <v>0.77777777777777779</v>
      </c>
      <c r="M170">
        <f>survey_responses[[#This Row],[Các thủ tục khai báo thuế VÀ/HOẶC quy trình làm việc với cơ quan thuế đơn giản, tiện lợi, nhanh chóng hơn so với trước đây. - HUMAN-FAC1]]</f>
        <v>7</v>
      </c>
      <c r="N170">
        <f t="shared" si="63"/>
        <v>0.66666666666666663</v>
      </c>
      <c r="O170">
        <f>step3_validation[[#This Row],[AI_FAC2]]</f>
        <v>7</v>
      </c>
      <c r="P170">
        <f t="shared" si="64"/>
        <v>0.66666666666666663</v>
      </c>
      <c r="Q170">
        <f>survey_responses[[#This Row],[So với trước đây, tôi thấy cách tính thuế và các bậc thuế trong phương án mới đơn giản, dễ hiểu và dễ thực hiện hơn. - HUMAN-FAC2]]</f>
        <v>8</v>
      </c>
      <c r="R170">
        <f t="shared" si="65"/>
        <v>0.77777777777777779</v>
      </c>
      <c r="S170" s="32">
        <f t="shared" si="66"/>
        <v>0.72222222222222221</v>
      </c>
      <c r="T170" s="32">
        <f t="shared" si="67"/>
        <v>0.72222222222222221</v>
      </c>
      <c r="U170">
        <f>step3_validation[[#This Row],[AI_TRU1]]</f>
        <v>6</v>
      </c>
      <c r="V170">
        <f t="shared" si="68"/>
        <v>0.55555555555555558</v>
      </c>
      <c r="W170">
        <f>survey_responses[[#This Row],[Tôi tin rằng Nhà nước, cơ quan thuế sẽ thực thi chính sách mới một cách khách quan, công tâm và đối xử bình đẳng với mọi người nộp thuế.  - HUMAN-TRU1]]</f>
        <v>7</v>
      </c>
      <c r="X170">
        <f t="shared" si="69"/>
        <v>0.66666666666666663</v>
      </c>
      <c r="Y170">
        <f>step3_validation[[#This Row],[AI_TRU2]]</f>
        <v>7</v>
      </c>
      <c r="Z170">
        <f t="shared" si="70"/>
        <v>0.66666666666666663</v>
      </c>
      <c r="AA170">
        <f>survey_responses[[#This Row],[Tôi thấy mức thuế tôi phải đóng theo phương án mới là công bằng (người thu nhập như tôi đóng mức này là hợp lý). - HUMAN-TRU2]]</f>
        <v>7</v>
      </c>
      <c r="AB170">
        <f t="shared" si="71"/>
        <v>0.66666666666666663</v>
      </c>
      <c r="AC170">
        <f>step3_validation[[#This Row],[AI_TRU3]]</f>
        <v>8</v>
      </c>
      <c r="AD170">
        <f t="shared" si="72"/>
        <v>0.77777777777777779</v>
      </c>
      <c r="AE170">
        <f>survey_responses[[#This Row],[Tôi tin tưởng số tiền thuế tôi đóng sẽ được Nhà nước sử dụng hiệu quả để cải thiện dịch vụ công (y tế, đường xá...). - HUMAN-TRU3]]</f>
        <v>7</v>
      </c>
      <c r="AF170">
        <f t="shared" si="73"/>
        <v>0.66666666666666663</v>
      </c>
      <c r="AG170">
        <f>step3_validation[[#This Row],[AI_TRU4]]</f>
        <v>5</v>
      </c>
      <c r="AH170">
        <f t="shared" si="74"/>
        <v>0.44444444444444442</v>
      </c>
      <c r="AI170">
        <f>survey_responses[[#This Row],[Tôi thấy Nhà nước đã giải thích rõ ràng, minh bạch về lý do và mục tiêu của việc sửa đổi thuế lần này. - HUMAN-TRU4]]</f>
        <v>8</v>
      </c>
      <c r="AJ170">
        <f t="shared" si="75"/>
        <v>0.77777777777777779</v>
      </c>
      <c r="AK170" s="32">
        <f t="shared" si="76"/>
        <v>0.61111111111111116</v>
      </c>
      <c r="AL170" s="32">
        <f t="shared" si="77"/>
        <v>0.69444444444444442</v>
      </c>
      <c r="AM170" s="7">
        <f t="shared" si="78"/>
        <v>0.72222222222222221</v>
      </c>
      <c r="AN170" s="7">
        <f t="shared" si="79"/>
        <v>0.73148148148148151</v>
      </c>
      <c r="AO170">
        <f>step3_validation[[#This Row],[AI_OUT1]]</f>
        <v>7</v>
      </c>
      <c r="AP170">
        <f t="shared" si="80"/>
        <v>0.66666666666666663</v>
      </c>
      <c r="AQ170">
        <f>survey_responses[[#This Row],[Sau khi xem xét các quyền lợi và nghĩa vụ, bạn có ủng hộ và tuân thủ chính sách mới hiện nay? - HUMAN-OUT1]]</f>
        <v>8</v>
      </c>
      <c r="AR170">
        <f t="shared" si="81"/>
        <v>0.77777777777777779</v>
      </c>
      <c r="AS170" s="32">
        <f t="shared" si="82"/>
        <v>1</v>
      </c>
      <c r="AT170">
        <f t="shared" si="83"/>
        <v>1</v>
      </c>
    </row>
    <row r="171" spans="1:46" x14ac:dyDescent="0.45">
      <c r="A171">
        <f>step3_validation[[#This Row],[AI_ENF1]]</f>
        <v>7</v>
      </c>
      <c r="B171">
        <f t="shared" si="56"/>
        <v>0.66666666666666663</v>
      </c>
      <c r="C171">
        <f>survey_responses[[#This Row],[Tôi tin rằng với các quy định quản lý thuế hiện nay, hành vi gian lận hoặc trốn thuế sẽ dễ dàng bị phát hiện và xử lý nghiêm. - HUMAN-ENF1]]</f>
        <v>5</v>
      </c>
      <c r="D171">
        <f t="shared" si="57"/>
        <v>0.44444444444444442</v>
      </c>
      <c r="E171">
        <f>step3_validation[[#This Row],[AI_ENF2]]</f>
        <v>8</v>
      </c>
      <c r="F171">
        <f t="shared" si="58"/>
        <v>0.77777777777777779</v>
      </c>
      <c r="G171">
        <f>survey_responses[[#This Row],[Tôi tin rằng Nhà nước, cơ quan thuế có đủ khả năng và công nghệ để phát hiện, xử lý nghiêm các hành vi trốn thuế. - HUMAN-ENF2]]</f>
        <v>8</v>
      </c>
      <c r="H171">
        <f t="shared" si="59"/>
        <v>0.77777777777777779</v>
      </c>
      <c r="I171" s="32">
        <f t="shared" si="60"/>
        <v>0.72222222222222221</v>
      </c>
      <c r="J171" s="32">
        <f t="shared" si="61"/>
        <v>0.61111111111111116</v>
      </c>
      <c r="K171">
        <f>step3_validation[[#This Row],[AI_FAC1]]</f>
        <v>9</v>
      </c>
      <c r="L171">
        <f t="shared" si="62"/>
        <v>0.88888888888888884</v>
      </c>
      <c r="M171">
        <f>survey_responses[[#This Row],[Các thủ tục khai báo thuế VÀ/HOẶC quy trình làm việc với cơ quan thuế đơn giản, tiện lợi, nhanh chóng hơn so với trước đây. - HUMAN-FAC1]]</f>
        <v>7</v>
      </c>
      <c r="N171">
        <f t="shared" si="63"/>
        <v>0.66666666666666663</v>
      </c>
      <c r="O171">
        <f>step3_validation[[#This Row],[AI_FAC2]]</f>
        <v>8</v>
      </c>
      <c r="P171">
        <f t="shared" si="64"/>
        <v>0.77777777777777779</v>
      </c>
      <c r="Q171">
        <f>survey_responses[[#This Row],[So với trước đây, tôi thấy cách tính thuế và các bậc thuế trong phương án mới đơn giản, dễ hiểu và dễ thực hiện hơn. - HUMAN-FAC2]]</f>
        <v>8</v>
      </c>
      <c r="R171">
        <f t="shared" si="65"/>
        <v>0.77777777777777779</v>
      </c>
      <c r="S171" s="32">
        <f t="shared" si="66"/>
        <v>0.83333333333333326</v>
      </c>
      <c r="T171" s="32">
        <f t="shared" si="67"/>
        <v>0.72222222222222221</v>
      </c>
      <c r="U171">
        <f>step3_validation[[#This Row],[AI_TRU1]]</f>
        <v>7</v>
      </c>
      <c r="V171">
        <f t="shared" si="68"/>
        <v>0.66666666666666663</v>
      </c>
      <c r="W171">
        <f>survey_responses[[#This Row],[Tôi tin rằng Nhà nước, cơ quan thuế sẽ thực thi chính sách mới một cách khách quan, công tâm và đối xử bình đẳng với mọi người nộp thuế.  - HUMAN-TRU1]]</f>
        <v>1</v>
      </c>
      <c r="X171">
        <f t="shared" si="69"/>
        <v>0</v>
      </c>
      <c r="Y171">
        <f>step3_validation[[#This Row],[AI_TRU2]]</f>
        <v>8</v>
      </c>
      <c r="Z171">
        <f t="shared" si="70"/>
        <v>0.77777777777777779</v>
      </c>
      <c r="AA171">
        <f>survey_responses[[#This Row],[Tôi thấy mức thuế tôi phải đóng theo phương án mới là công bằng (người thu nhập như tôi đóng mức này là hợp lý). - HUMAN-TRU2]]</f>
        <v>2</v>
      </c>
      <c r="AB171">
        <f t="shared" si="71"/>
        <v>0.1111111111111111</v>
      </c>
      <c r="AC171">
        <f>step3_validation[[#This Row],[AI_TRU3]]</f>
        <v>6</v>
      </c>
      <c r="AD171">
        <f t="shared" si="72"/>
        <v>0.55555555555555558</v>
      </c>
      <c r="AE171">
        <f>survey_responses[[#This Row],[Tôi tin tưởng số tiền thuế tôi đóng sẽ được Nhà nước sử dụng hiệu quả để cải thiện dịch vụ công (y tế, đường xá...). - HUMAN-TRU3]]</f>
        <v>3</v>
      </c>
      <c r="AF171">
        <f t="shared" si="73"/>
        <v>0.22222222222222221</v>
      </c>
      <c r="AG171">
        <f>step3_validation[[#This Row],[AI_TRU4]]</f>
        <v>5</v>
      </c>
      <c r="AH171">
        <f t="shared" si="74"/>
        <v>0.44444444444444442</v>
      </c>
      <c r="AI171">
        <f>survey_responses[[#This Row],[Tôi thấy Nhà nước đã giải thích rõ ràng, minh bạch về lý do và mục tiêu của việc sửa đổi thuế lần này. - HUMAN-TRU4]]</f>
        <v>3</v>
      </c>
      <c r="AJ171">
        <f t="shared" si="75"/>
        <v>0.22222222222222221</v>
      </c>
      <c r="AK171" s="32">
        <f t="shared" si="76"/>
        <v>0.61111111111111116</v>
      </c>
      <c r="AL171" s="32">
        <f t="shared" si="77"/>
        <v>0.1388888888888889</v>
      </c>
      <c r="AM171" s="7">
        <f t="shared" si="78"/>
        <v>0.72222222222222221</v>
      </c>
      <c r="AN171" s="7">
        <f t="shared" si="79"/>
        <v>0.49074074074074076</v>
      </c>
      <c r="AO171">
        <f>step3_validation[[#This Row],[AI_OUT1]]</f>
        <v>7</v>
      </c>
      <c r="AP171">
        <f t="shared" si="80"/>
        <v>0.66666666666666663</v>
      </c>
      <c r="AQ171">
        <f>survey_responses[[#This Row],[Sau khi xem xét các quyền lợi và nghĩa vụ, bạn có ủng hộ và tuân thủ chính sách mới hiện nay? - HUMAN-OUT1]]</f>
        <v>7</v>
      </c>
      <c r="AR171">
        <f t="shared" si="81"/>
        <v>0.66666666666666663</v>
      </c>
      <c r="AS171" s="32">
        <f t="shared" si="82"/>
        <v>0</v>
      </c>
      <c r="AT171">
        <f t="shared" si="83"/>
        <v>1</v>
      </c>
    </row>
    <row r="172" spans="1:46" x14ac:dyDescent="0.45">
      <c r="A172">
        <f>step3_validation[[#This Row],[AI_ENF1]]</f>
        <v>8</v>
      </c>
      <c r="B172">
        <f t="shared" si="56"/>
        <v>0.77777777777777779</v>
      </c>
      <c r="C172">
        <f>survey_responses[[#This Row],[Tôi tin rằng với các quy định quản lý thuế hiện nay, hành vi gian lận hoặc trốn thuế sẽ dễ dàng bị phát hiện và xử lý nghiêm. - HUMAN-ENF1]]</f>
        <v>6</v>
      </c>
      <c r="D172">
        <f t="shared" si="57"/>
        <v>0.55555555555555558</v>
      </c>
      <c r="E172">
        <f>step3_validation[[#This Row],[AI_ENF2]]</f>
        <v>7</v>
      </c>
      <c r="F172">
        <f t="shared" si="58"/>
        <v>0.66666666666666663</v>
      </c>
      <c r="G172">
        <f>survey_responses[[#This Row],[Tôi tin rằng Nhà nước, cơ quan thuế có đủ khả năng và công nghệ để phát hiện, xử lý nghiêm các hành vi trốn thuế. - HUMAN-ENF2]]</f>
        <v>7</v>
      </c>
      <c r="H172">
        <f t="shared" si="59"/>
        <v>0.66666666666666663</v>
      </c>
      <c r="I172" s="32">
        <f t="shared" si="60"/>
        <v>0.72222222222222221</v>
      </c>
      <c r="J172" s="32">
        <f t="shared" si="61"/>
        <v>0.61111111111111116</v>
      </c>
      <c r="K172">
        <f>step3_validation[[#This Row],[AI_FAC1]]</f>
        <v>9</v>
      </c>
      <c r="L172">
        <f t="shared" si="62"/>
        <v>0.88888888888888884</v>
      </c>
      <c r="M172">
        <f>survey_responses[[#This Row],[Các thủ tục khai báo thuế VÀ/HOẶC quy trình làm việc với cơ quan thuế đơn giản, tiện lợi, nhanh chóng hơn so với trước đây. - HUMAN-FAC1]]</f>
        <v>5</v>
      </c>
      <c r="N172">
        <f t="shared" si="63"/>
        <v>0.44444444444444442</v>
      </c>
      <c r="O172">
        <f>step3_validation[[#This Row],[AI_FAC2]]</f>
        <v>8</v>
      </c>
      <c r="P172">
        <f t="shared" si="64"/>
        <v>0.77777777777777779</v>
      </c>
      <c r="Q172">
        <f>survey_responses[[#This Row],[So với trước đây, tôi thấy cách tính thuế và các bậc thuế trong phương án mới đơn giản, dễ hiểu và dễ thực hiện hơn. - HUMAN-FAC2]]</f>
        <v>7</v>
      </c>
      <c r="R172">
        <f t="shared" si="65"/>
        <v>0.66666666666666663</v>
      </c>
      <c r="S172" s="32">
        <f t="shared" si="66"/>
        <v>0.83333333333333326</v>
      </c>
      <c r="T172" s="32">
        <f t="shared" si="67"/>
        <v>0.55555555555555558</v>
      </c>
      <c r="U172">
        <f>step3_validation[[#This Row],[AI_TRU1]]</f>
        <v>7</v>
      </c>
      <c r="V172">
        <f t="shared" si="68"/>
        <v>0.66666666666666663</v>
      </c>
      <c r="W172">
        <f>survey_responses[[#This Row],[Tôi tin rằng Nhà nước, cơ quan thuế sẽ thực thi chính sách mới một cách khách quan, công tâm và đối xử bình đẳng với mọi người nộp thuế.  - HUMAN-TRU1]]</f>
        <v>7</v>
      </c>
      <c r="X172">
        <f t="shared" si="69"/>
        <v>0.66666666666666663</v>
      </c>
      <c r="Y172">
        <f>step3_validation[[#This Row],[AI_TRU2]]</f>
        <v>6</v>
      </c>
      <c r="Z172">
        <f t="shared" si="70"/>
        <v>0.55555555555555558</v>
      </c>
      <c r="AA172">
        <f>survey_responses[[#This Row],[Tôi thấy mức thuế tôi phải đóng theo phương án mới là công bằng (người thu nhập như tôi đóng mức này là hợp lý). - HUMAN-TRU2]]</f>
        <v>7</v>
      </c>
      <c r="AB172">
        <f t="shared" si="71"/>
        <v>0.66666666666666663</v>
      </c>
      <c r="AC172">
        <f>step3_validation[[#This Row],[AI_TRU3]]</f>
        <v>5</v>
      </c>
      <c r="AD172">
        <f t="shared" si="72"/>
        <v>0.44444444444444442</v>
      </c>
      <c r="AE172">
        <f>survey_responses[[#This Row],[Tôi tin tưởng số tiền thuế tôi đóng sẽ được Nhà nước sử dụng hiệu quả để cải thiện dịch vụ công (y tế, đường xá...). - HUMAN-TRU3]]</f>
        <v>5</v>
      </c>
      <c r="AF172">
        <f t="shared" si="73"/>
        <v>0.44444444444444442</v>
      </c>
      <c r="AG172">
        <f>step3_validation[[#This Row],[AI_TRU4]]</f>
        <v>6</v>
      </c>
      <c r="AH172">
        <f t="shared" si="74"/>
        <v>0.55555555555555558</v>
      </c>
      <c r="AI172">
        <f>survey_responses[[#This Row],[Tôi thấy Nhà nước đã giải thích rõ ràng, minh bạch về lý do và mục tiêu của việc sửa đổi thuế lần này. - HUMAN-TRU4]]</f>
        <v>7</v>
      </c>
      <c r="AJ172">
        <f t="shared" si="75"/>
        <v>0.66666666666666663</v>
      </c>
      <c r="AK172" s="32">
        <f t="shared" si="76"/>
        <v>0.55555555555555558</v>
      </c>
      <c r="AL172" s="32">
        <f t="shared" si="77"/>
        <v>0.61111111111111105</v>
      </c>
      <c r="AM172" s="7">
        <f t="shared" si="78"/>
        <v>0.70370370370370361</v>
      </c>
      <c r="AN172" s="7">
        <f t="shared" si="79"/>
        <v>0.59259259259259256</v>
      </c>
      <c r="AO172">
        <f>step3_validation[[#This Row],[AI_OUT1]]</f>
        <v>7</v>
      </c>
      <c r="AP172">
        <f t="shared" si="80"/>
        <v>0.66666666666666663</v>
      </c>
      <c r="AQ172">
        <f>survey_responses[[#This Row],[Sau khi xem xét các quyền lợi và nghĩa vụ, bạn có ủng hộ và tuân thủ chính sách mới hiện nay? - HUMAN-OUT1]]</f>
        <v>7</v>
      </c>
      <c r="AR172">
        <f t="shared" si="81"/>
        <v>0.66666666666666663</v>
      </c>
      <c r="AS172" s="32">
        <f t="shared" si="82"/>
        <v>0</v>
      </c>
      <c r="AT172">
        <f t="shared" si="83"/>
        <v>1</v>
      </c>
    </row>
    <row r="173" spans="1:46" x14ac:dyDescent="0.45">
      <c r="A173">
        <f>step3_validation[[#This Row],[AI_ENF1]]</f>
        <v>7</v>
      </c>
      <c r="B173">
        <f t="shared" si="56"/>
        <v>0.66666666666666663</v>
      </c>
      <c r="C173">
        <f>survey_responses[[#This Row],[Tôi tin rằng với các quy định quản lý thuế hiện nay, hành vi gian lận hoặc trốn thuế sẽ dễ dàng bị phát hiện và xử lý nghiêm. - HUMAN-ENF1]]</f>
        <v>8</v>
      </c>
      <c r="D173">
        <f t="shared" si="57"/>
        <v>0.77777777777777779</v>
      </c>
      <c r="E173">
        <f>step3_validation[[#This Row],[AI_ENF2]]</f>
        <v>8</v>
      </c>
      <c r="F173">
        <f t="shared" si="58"/>
        <v>0.77777777777777779</v>
      </c>
      <c r="G173">
        <f>survey_responses[[#This Row],[Tôi tin rằng Nhà nước, cơ quan thuế có đủ khả năng và công nghệ để phát hiện, xử lý nghiêm các hành vi trốn thuế. - HUMAN-ENF2]]</f>
        <v>8</v>
      </c>
      <c r="H173">
        <f t="shared" si="59"/>
        <v>0.77777777777777779</v>
      </c>
      <c r="I173" s="32">
        <f t="shared" si="60"/>
        <v>0.72222222222222221</v>
      </c>
      <c r="J173" s="32">
        <f t="shared" si="61"/>
        <v>0.77777777777777779</v>
      </c>
      <c r="K173">
        <f>step3_validation[[#This Row],[AI_FAC1]]</f>
        <v>6</v>
      </c>
      <c r="L173">
        <f t="shared" si="62"/>
        <v>0.55555555555555558</v>
      </c>
      <c r="M173">
        <f>survey_responses[[#This Row],[Các thủ tục khai báo thuế VÀ/HOẶC quy trình làm việc với cơ quan thuế đơn giản, tiện lợi, nhanh chóng hơn so với trước đây. - HUMAN-FAC1]]</f>
        <v>8</v>
      </c>
      <c r="N173">
        <f t="shared" si="63"/>
        <v>0.77777777777777779</v>
      </c>
      <c r="O173">
        <f>step3_validation[[#This Row],[AI_FAC2]]</f>
        <v>7</v>
      </c>
      <c r="P173">
        <f t="shared" si="64"/>
        <v>0.66666666666666663</v>
      </c>
      <c r="Q173">
        <f>survey_responses[[#This Row],[So với trước đây, tôi thấy cách tính thuế và các bậc thuế trong phương án mới đơn giản, dễ hiểu và dễ thực hiện hơn. - HUMAN-FAC2]]</f>
        <v>9</v>
      </c>
      <c r="R173">
        <f t="shared" si="65"/>
        <v>0.88888888888888884</v>
      </c>
      <c r="S173" s="32">
        <f t="shared" si="66"/>
        <v>0.61111111111111116</v>
      </c>
      <c r="T173" s="32">
        <f t="shared" si="67"/>
        <v>0.83333333333333326</v>
      </c>
      <c r="U173">
        <f>step3_validation[[#This Row],[AI_TRU1]]</f>
        <v>8</v>
      </c>
      <c r="V173">
        <f t="shared" si="68"/>
        <v>0.77777777777777779</v>
      </c>
      <c r="W173">
        <f>survey_responses[[#This Row],[Tôi tin rằng Nhà nước, cơ quan thuế sẽ thực thi chính sách mới một cách khách quan, công tâm và đối xử bình đẳng với mọi người nộp thuế.  - HUMAN-TRU1]]</f>
        <v>9</v>
      </c>
      <c r="X173">
        <f t="shared" si="69"/>
        <v>0.88888888888888884</v>
      </c>
      <c r="Y173">
        <f>step3_validation[[#This Row],[AI_TRU2]]</f>
        <v>7</v>
      </c>
      <c r="Z173">
        <f t="shared" si="70"/>
        <v>0.66666666666666663</v>
      </c>
      <c r="AA173">
        <f>survey_responses[[#This Row],[Tôi thấy mức thuế tôi phải đóng theo phương án mới là công bằng (người thu nhập như tôi đóng mức này là hợp lý). - HUMAN-TRU2]]</f>
        <v>5</v>
      </c>
      <c r="AB173">
        <f t="shared" si="71"/>
        <v>0.44444444444444442</v>
      </c>
      <c r="AC173">
        <f>step3_validation[[#This Row],[AI_TRU3]]</f>
        <v>8</v>
      </c>
      <c r="AD173">
        <f t="shared" si="72"/>
        <v>0.77777777777777779</v>
      </c>
      <c r="AE173">
        <f>survey_responses[[#This Row],[Tôi tin tưởng số tiền thuế tôi đóng sẽ được Nhà nước sử dụng hiệu quả để cải thiện dịch vụ công (y tế, đường xá...). - HUMAN-TRU3]]</f>
        <v>5</v>
      </c>
      <c r="AF173">
        <f t="shared" si="73"/>
        <v>0.44444444444444442</v>
      </c>
      <c r="AG173">
        <f>step3_validation[[#This Row],[AI_TRU4]]</f>
        <v>6</v>
      </c>
      <c r="AH173">
        <f t="shared" si="74"/>
        <v>0.55555555555555558</v>
      </c>
      <c r="AI173">
        <f>survey_responses[[#This Row],[Tôi thấy Nhà nước đã giải thích rõ ràng, minh bạch về lý do và mục tiêu của việc sửa đổi thuế lần này. - HUMAN-TRU4]]</f>
        <v>8</v>
      </c>
      <c r="AJ173">
        <f t="shared" si="75"/>
        <v>0.77777777777777779</v>
      </c>
      <c r="AK173" s="32">
        <f t="shared" si="76"/>
        <v>0.69444444444444442</v>
      </c>
      <c r="AL173" s="32">
        <f t="shared" si="77"/>
        <v>0.63888888888888884</v>
      </c>
      <c r="AM173" s="7">
        <f t="shared" si="78"/>
        <v>0.67592592592592593</v>
      </c>
      <c r="AN173" s="7">
        <f t="shared" si="79"/>
        <v>0.75</v>
      </c>
      <c r="AO173">
        <f>step3_validation[[#This Row],[AI_OUT1]]</f>
        <v>7</v>
      </c>
      <c r="AP173">
        <f t="shared" si="80"/>
        <v>0.66666666666666663</v>
      </c>
      <c r="AQ173">
        <f>survey_responses[[#This Row],[Sau khi xem xét các quyền lợi và nghĩa vụ, bạn có ủng hộ và tuân thủ chính sách mới hiện nay? - HUMAN-OUT1]]</f>
        <v>6</v>
      </c>
      <c r="AR173">
        <f t="shared" si="81"/>
        <v>0.55555555555555558</v>
      </c>
      <c r="AS173" s="32">
        <f t="shared" si="82"/>
        <v>1</v>
      </c>
      <c r="AT173">
        <f t="shared" si="83"/>
        <v>1</v>
      </c>
    </row>
    <row r="174" spans="1:46" x14ac:dyDescent="0.45">
      <c r="A174">
        <f>step3_validation[[#This Row],[AI_ENF1]]</f>
        <v>7</v>
      </c>
      <c r="B174">
        <f t="shared" si="56"/>
        <v>0.66666666666666663</v>
      </c>
      <c r="C174">
        <f>survey_responses[[#This Row],[Tôi tin rằng với các quy định quản lý thuế hiện nay, hành vi gian lận hoặc trốn thuế sẽ dễ dàng bị phát hiện và xử lý nghiêm. - HUMAN-ENF1]]</f>
        <v>5</v>
      </c>
      <c r="D174">
        <f t="shared" si="57"/>
        <v>0.44444444444444442</v>
      </c>
      <c r="E174">
        <f>step3_validation[[#This Row],[AI_ENF2]]</f>
        <v>8</v>
      </c>
      <c r="F174">
        <f t="shared" si="58"/>
        <v>0.77777777777777779</v>
      </c>
      <c r="G174">
        <f>survey_responses[[#This Row],[Tôi tin rằng Nhà nước, cơ quan thuế có đủ khả năng và công nghệ để phát hiện, xử lý nghiêm các hành vi trốn thuế. - HUMAN-ENF2]]</f>
        <v>5</v>
      </c>
      <c r="H174">
        <f t="shared" si="59"/>
        <v>0.44444444444444442</v>
      </c>
      <c r="I174" s="32">
        <f t="shared" si="60"/>
        <v>0.72222222222222221</v>
      </c>
      <c r="J174" s="32">
        <f t="shared" si="61"/>
        <v>0.44444444444444442</v>
      </c>
      <c r="K174">
        <f>step3_validation[[#This Row],[AI_FAC1]]</f>
        <v>9</v>
      </c>
      <c r="L174">
        <f t="shared" si="62"/>
        <v>0.88888888888888884</v>
      </c>
      <c r="M174">
        <f>survey_responses[[#This Row],[Các thủ tục khai báo thuế VÀ/HOẶC quy trình làm việc với cơ quan thuế đơn giản, tiện lợi, nhanh chóng hơn so với trước đây. - HUMAN-FAC1]]</f>
        <v>4</v>
      </c>
      <c r="N174">
        <f t="shared" si="63"/>
        <v>0.33333333333333331</v>
      </c>
      <c r="O174">
        <f>step3_validation[[#This Row],[AI_FAC2]]</f>
        <v>8</v>
      </c>
      <c r="P174">
        <f t="shared" si="64"/>
        <v>0.77777777777777779</v>
      </c>
      <c r="Q174">
        <f>survey_responses[[#This Row],[So với trước đây, tôi thấy cách tính thuế và các bậc thuế trong phương án mới đơn giản, dễ hiểu và dễ thực hiện hơn. - HUMAN-FAC2]]</f>
        <v>6</v>
      </c>
      <c r="R174">
        <f t="shared" si="65"/>
        <v>0.55555555555555558</v>
      </c>
      <c r="S174" s="32">
        <f t="shared" si="66"/>
        <v>0.83333333333333326</v>
      </c>
      <c r="T174" s="32">
        <f t="shared" si="67"/>
        <v>0.44444444444444442</v>
      </c>
      <c r="U174">
        <f>step3_validation[[#This Row],[AI_TRU1]]</f>
        <v>6</v>
      </c>
      <c r="V174">
        <f t="shared" si="68"/>
        <v>0.55555555555555558</v>
      </c>
      <c r="W174">
        <f>survey_responses[[#This Row],[Tôi tin rằng Nhà nước, cơ quan thuế sẽ thực thi chính sách mới một cách khách quan, công tâm và đối xử bình đẳng với mọi người nộp thuế.  - HUMAN-TRU1]]</f>
        <v>5</v>
      </c>
      <c r="X174">
        <f t="shared" si="69"/>
        <v>0.44444444444444442</v>
      </c>
      <c r="Y174">
        <f>step3_validation[[#This Row],[AI_TRU2]]</f>
        <v>9</v>
      </c>
      <c r="Z174">
        <f t="shared" si="70"/>
        <v>0.88888888888888884</v>
      </c>
      <c r="AA174">
        <f>survey_responses[[#This Row],[Tôi thấy mức thuế tôi phải đóng theo phương án mới là công bằng (người thu nhập như tôi đóng mức này là hợp lý). - HUMAN-TRU2]]</f>
        <v>4</v>
      </c>
      <c r="AB174">
        <f t="shared" si="71"/>
        <v>0.33333333333333331</v>
      </c>
      <c r="AC174">
        <f>step3_validation[[#This Row],[AI_TRU3]]</f>
        <v>8</v>
      </c>
      <c r="AD174">
        <f t="shared" si="72"/>
        <v>0.77777777777777779</v>
      </c>
      <c r="AE174">
        <f>survey_responses[[#This Row],[Tôi tin tưởng số tiền thuế tôi đóng sẽ được Nhà nước sử dụng hiệu quả để cải thiện dịch vụ công (y tế, đường xá...). - HUMAN-TRU3]]</f>
        <v>4</v>
      </c>
      <c r="AF174">
        <f t="shared" si="73"/>
        <v>0.33333333333333331</v>
      </c>
      <c r="AG174">
        <f>step3_validation[[#This Row],[AI_TRU4]]</f>
        <v>7</v>
      </c>
      <c r="AH174">
        <f t="shared" si="74"/>
        <v>0.66666666666666663</v>
      </c>
      <c r="AI174">
        <f>survey_responses[[#This Row],[Tôi thấy Nhà nước đã giải thích rõ ràng, minh bạch về lý do và mục tiêu của việc sửa đổi thuế lần này. - HUMAN-TRU4]]</f>
        <v>5</v>
      </c>
      <c r="AJ174">
        <f t="shared" si="75"/>
        <v>0.44444444444444442</v>
      </c>
      <c r="AK174" s="32">
        <f t="shared" si="76"/>
        <v>0.72222222222222221</v>
      </c>
      <c r="AL174" s="32">
        <f t="shared" si="77"/>
        <v>0.38888888888888884</v>
      </c>
      <c r="AM174" s="7">
        <f t="shared" si="78"/>
        <v>0.75925925925925919</v>
      </c>
      <c r="AN174" s="7">
        <f t="shared" si="79"/>
        <v>0.42592592592592587</v>
      </c>
      <c r="AO174">
        <f>step3_validation[[#This Row],[AI_OUT1]]</f>
        <v>8</v>
      </c>
      <c r="AP174">
        <f t="shared" si="80"/>
        <v>0.77777777777777779</v>
      </c>
      <c r="AQ174">
        <f>survey_responses[[#This Row],[Sau khi xem xét các quyền lợi và nghĩa vụ, bạn có ủng hộ và tuân thủ chính sách mới hiện nay? - HUMAN-OUT1]]</f>
        <v>5</v>
      </c>
      <c r="AR174">
        <f t="shared" si="81"/>
        <v>0.44444444444444442</v>
      </c>
      <c r="AS174" s="32">
        <f t="shared" si="82"/>
        <v>3</v>
      </c>
      <c r="AT174">
        <f t="shared" si="83"/>
        <v>0</v>
      </c>
    </row>
    <row r="175" spans="1:46" x14ac:dyDescent="0.45">
      <c r="A175">
        <f>step3_validation[[#This Row],[AI_ENF1]]</f>
        <v>7</v>
      </c>
      <c r="B175">
        <f t="shared" si="56"/>
        <v>0.66666666666666663</v>
      </c>
      <c r="C175">
        <f>survey_responses[[#This Row],[Tôi tin rằng với các quy định quản lý thuế hiện nay, hành vi gian lận hoặc trốn thuế sẽ dễ dàng bị phát hiện và xử lý nghiêm. - HUMAN-ENF1]]</f>
        <v>6</v>
      </c>
      <c r="D175">
        <f t="shared" si="57"/>
        <v>0.55555555555555558</v>
      </c>
      <c r="E175">
        <f>step3_validation[[#This Row],[AI_ENF2]]</f>
        <v>6</v>
      </c>
      <c r="F175">
        <f t="shared" si="58"/>
        <v>0.55555555555555558</v>
      </c>
      <c r="G175">
        <f>survey_responses[[#This Row],[Tôi tin rằng Nhà nước, cơ quan thuế có đủ khả năng và công nghệ để phát hiện, xử lý nghiêm các hành vi trốn thuế. - HUMAN-ENF2]]</f>
        <v>6</v>
      </c>
      <c r="H175">
        <f t="shared" si="59"/>
        <v>0.55555555555555558</v>
      </c>
      <c r="I175" s="32">
        <f t="shared" si="60"/>
        <v>0.61111111111111116</v>
      </c>
      <c r="J175" s="32">
        <f t="shared" si="61"/>
        <v>0.55555555555555558</v>
      </c>
      <c r="K175">
        <f>step3_validation[[#This Row],[AI_FAC1]]</f>
        <v>8</v>
      </c>
      <c r="L175">
        <f t="shared" si="62"/>
        <v>0.77777777777777779</v>
      </c>
      <c r="M175">
        <f>survey_responses[[#This Row],[Các thủ tục khai báo thuế VÀ/HOẶC quy trình làm việc với cơ quan thuế đơn giản, tiện lợi, nhanh chóng hơn so với trước đây. - HUMAN-FAC1]]</f>
        <v>6</v>
      </c>
      <c r="N175">
        <f t="shared" si="63"/>
        <v>0.55555555555555558</v>
      </c>
      <c r="O175">
        <f>step3_validation[[#This Row],[AI_FAC2]]</f>
        <v>7</v>
      </c>
      <c r="P175">
        <f t="shared" si="64"/>
        <v>0.66666666666666663</v>
      </c>
      <c r="Q175">
        <f>survey_responses[[#This Row],[So với trước đây, tôi thấy cách tính thuế và các bậc thuế trong phương án mới đơn giản, dễ hiểu và dễ thực hiện hơn. - HUMAN-FAC2]]</f>
        <v>6</v>
      </c>
      <c r="R175">
        <f t="shared" si="65"/>
        <v>0.55555555555555558</v>
      </c>
      <c r="S175" s="32">
        <f t="shared" si="66"/>
        <v>0.72222222222222221</v>
      </c>
      <c r="T175" s="32">
        <f t="shared" si="67"/>
        <v>0.55555555555555558</v>
      </c>
      <c r="U175">
        <f>step3_validation[[#This Row],[AI_TRU1]]</f>
        <v>8</v>
      </c>
      <c r="V175">
        <f t="shared" si="68"/>
        <v>0.77777777777777779</v>
      </c>
      <c r="W175">
        <f>survey_responses[[#This Row],[Tôi tin rằng Nhà nước, cơ quan thuế sẽ thực thi chính sách mới một cách khách quan, công tâm và đối xử bình đẳng với mọi người nộp thuế.  - HUMAN-TRU1]]</f>
        <v>7</v>
      </c>
      <c r="X175">
        <f t="shared" si="69"/>
        <v>0.66666666666666663</v>
      </c>
      <c r="Y175">
        <f>step3_validation[[#This Row],[AI_TRU2]]</f>
        <v>6</v>
      </c>
      <c r="Z175">
        <f t="shared" si="70"/>
        <v>0.55555555555555558</v>
      </c>
      <c r="AA175">
        <f>survey_responses[[#This Row],[Tôi thấy mức thuế tôi phải đóng theo phương án mới là công bằng (người thu nhập như tôi đóng mức này là hợp lý). - HUMAN-TRU2]]</f>
        <v>7</v>
      </c>
      <c r="AB175">
        <f t="shared" si="71"/>
        <v>0.66666666666666663</v>
      </c>
      <c r="AC175">
        <f>step3_validation[[#This Row],[AI_TRU3]]</f>
        <v>7</v>
      </c>
      <c r="AD175">
        <f t="shared" si="72"/>
        <v>0.66666666666666663</v>
      </c>
      <c r="AE175">
        <f>survey_responses[[#This Row],[Tôi tin tưởng số tiền thuế tôi đóng sẽ được Nhà nước sử dụng hiệu quả để cải thiện dịch vụ công (y tế, đường xá...). - HUMAN-TRU3]]</f>
        <v>5</v>
      </c>
      <c r="AF175">
        <f t="shared" si="73"/>
        <v>0.44444444444444442</v>
      </c>
      <c r="AG175">
        <f>step3_validation[[#This Row],[AI_TRU4]]</f>
        <v>5</v>
      </c>
      <c r="AH175">
        <f t="shared" si="74"/>
        <v>0.44444444444444442</v>
      </c>
      <c r="AI175">
        <f>survey_responses[[#This Row],[Tôi thấy Nhà nước đã giải thích rõ ràng, minh bạch về lý do và mục tiêu của việc sửa đổi thuế lần này. - HUMAN-TRU4]]</f>
        <v>7</v>
      </c>
      <c r="AJ175">
        <f t="shared" si="75"/>
        <v>0.66666666666666663</v>
      </c>
      <c r="AK175" s="32">
        <f t="shared" si="76"/>
        <v>0.61111111111111116</v>
      </c>
      <c r="AL175" s="32">
        <f t="shared" si="77"/>
        <v>0.61111111111111105</v>
      </c>
      <c r="AM175" s="7">
        <f t="shared" si="78"/>
        <v>0.64814814814814825</v>
      </c>
      <c r="AN175" s="7">
        <f t="shared" si="79"/>
        <v>0.57407407407407407</v>
      </c>
      <c r="AO175">
        <f>step3_validation[[#This Row],[AI_OUT1]]</f>
        <v>8</v>
      </c>
      <c r="AP175">
        <f t="shared" si="80"/>
        <v>0.77777777777777779</v>
      </c>
      <c r="AQ175">
        <f>survey_responses[[#This Row],[Sau khi xem xét các quyền lợi và nghĩa vụ, bạn có ủng hộ và tuân thủ chính sách mới hiện nay? - HUMAN-OUT1]]</f>
        <v>6</v>
      </c>
      <c r="AR175">
        <f t="shared" si="81"/>
        <v>0.55555555555555558</v>
      </c>
      <c r="AS175" s="32">
        <f t="shared" si="82"/>
        <v>2</v>
      </c>
      <c r="AT175">
        <f t="shared" si="83"/>
        <v>1</v>
      </c>
    </row>
    <row r="176" spans="1:46" x14ac:dyDescent="0.45">
      <c r="A176">
        <f>step3_validation[[#This Row],[AI_ENF1]]</f>
        <v>6</v>
      </c>
      <c r="B176">
        <f t="shared" si="56"/>
        <v>0.55555555555555558</v>
      </c>
      <c r="C176">
        <f>survey_responses[[#This Row],[Tôi tin rằng với các quy định quản lý thuế hiện nay, hành vi gian lận hoặc trốn thuế sẽ dễ dàng bị phát hiện và xử lý nghiêm. - HUMAN-ENF1]]</f>
        <v>4</v>
      </c>
      <c r="D176">
        <f t="shared" si="57"/>
        <v>0.33333333333333331</v>
      </c>
      <c r="E176">
        <f>step3_validation[[#This Row],[AI_ENF2]]</f>
        <v>5</v>
      </c>
      <c r="F176">
        <f t="shared" si="58"/>
        <v>0.44444444444444442</v>
      </c>
      <c r="G176">
        <f>survey_responses[[#This Row],[Tôi tin rằng Nhà nước, cơ quan thuế có đủ khả năng và công nghệ để phát hiện, xử lý nghiêm các hành vi trốn thuế. - HUMAN-ENF2]]</f>
        <v>5</v>
      </c>
      <c r="H176">
        <f t="shared" si="59"/>
        <v>0.44444444444444442</v>
      </c>
      <c r="I176" s="32">
        <f t="shared" si="60"/>
        <v>0.5</v>
      </c>
      <c r="J176" s="32">
        <f t="shared" si="61"/>
        <v>0.38888888888888884</v>
      </c>
      <c r="K176">
        <f>step3_validation[[#This Row],[AI_FAC1]]</f>
        <v>8</v>
      </c>
      <c r="L176">
        <f t="shared" si="62"/>
        <v>0.77777777777777779</v>
      </c>
      <c r="M176">
        <f>survey_responses[[#This Row],[Các thủ tục khai báo thuế VÀ/HOẶC quy trình làm việc với cơ quan thuế đơn giản, tiện lợi, nhanh chóng hơn so với trước đây. - HUMAN-FAC1]]</f>
        <v>4</v>
      </c>
      <c r="N176">
        <f t="shared" si="63"/>
        <v>0.33333333333333331</v>
      </c>
      <c r="O176">
        <f>step3_validation[[#This Row],[AI_FAC2]]</f>
        <v>7</v>
      </c>
      <c r="P176">
        <f t="shared" si="64"/>
        <v>0.66666666666666663</v>
      </c>
      <c r="Q176">
        <f>survey_responses[[#This Row],[So với trước đây, tôi thấy cách tính thuế và các bậc thuế trong phương án mới đơn giản, dễ hiểu và dễ thực hiện hơn. - HUMAN-FAC2]]</f>
        <v>6</v>
      </c>
      <c r="R176">
        <f t="shared" si="65"/>
        <v>0.55555555555555558</v>
      </c>
      <c r="S176" s="32">
        <f t="shared" si="66"/>
        <v>0.72222222222222221</v>
      </c>
      <c r="T176" s="32">
        <f t="shared" si="67"/>
        <v>0.44444444444444442</v>
      </c>
      <c r="U176">
        <f>step3_validation[[#This Row],[AI_TRU1]]</f>
        <v>6</v>
      </c>
      <c r="V176">
        <f t="shared" si="68"/>
        <v>0.55555555555555558</v>
      </c>
      <c r="W176">
        <f>survey_responses[[#This Row],[Tôi tin rằng Nhà nước, cơ quan thuế sẽ thực thi chính sách mới một cách khách quan, công tâm và đối xử bình đẳng với mọi người nộp thuế.  - HUMAN-TRU1]]</f>
        <v>4</v>
      </c>
      <c r="X176">
        <f t="shared" si="69"/>
        <v>0.33333333333333331</v>
      </c>
      <c r="Y176">
        <f>step3_validation[[#This Row],[AI_TRU2]]</f>
        <v>5</v>
      </c>
      <c r="Z176">
        <f t="shared" si="70"/>
        <v>0.44444444444444442</v>
      </c>
      <c r="AA176">
        <f>survey_responses[[#This Row],[Tôi thấy mức thuế tôi phải đóng theo phương án mới là công bằng (người thu nhập như tôi đóng mức này là hợp lý). - HUMAN-TRU2]]</f>
        <v>4</v>
      </c>
      <c r="AB176">
        <f t="shared" si="71"/>
        <v>0.33333333333333331</v>
      </c>
      <c r="AC176">
        <f>step3_validation[[#This Row],[AI_TRU3]]</f>
        <v>6</v>
      </c>
      <c r="AD176">
        <f t="shared" si="72"/>
        <v>0.55555555555555558</v>
      </c>
      <c r="AE176">
        <f>survey_responses[[#This Row],[Tôi tin tưởng số tiền thuế tôi đóng sẽ được Nhà nước sử dụng hiệu quả để cải thiện dịch vụ công (y tế, đường xá...). - HUMAN-TRU3]]</f>
        <v>4</v>
      </c>
      <c r="AF176">
        <f t="shared" si="73"/>
        <v>0.33333333333333331</v>
      </c>
      <c r="AG176">
        <f>step3_validation[[#This Row],[AI_TRU4]]</f>
        <v>4</v>
      </c>
      <c r="AH176">
        <f t="shared" si="74"/>
        <v>0.33333333333333331</v>
      </c>
      <c r="AI176">
        <f>survey_responses[[#This Row],[Tôi thấy Nhà nước đã giải thích rõ ràng, minh bạch về lý do và mục tiêu của việc sửa đổi thuế lần này. - HUMAN-TRU4]]</f>
        <v>5</v>
      </c>
      <c r="AJ176">
        <f t="shared" si="75"/>
        <v>0.44444444444444442</v>
      </c>
      <c r="AK176" s="32">
        <f t="shared" si="76"/>
        <v>0.47222222222222221</v>
      </c>
      <c r="AL176" s="32">
        <f t="shared" si="77"/>
        <v>0.3611111111111111</v>
      </c>
      <c r="AM176" s="7">
        <f t="shared" si="78"/>
        <v>0.56481481481481488</v>
      </c>
      <c r="AN176" s="7">
        <f t="shared" si="79"/>
        <v>0.39814814814814814</v>
      </c>
      <c r="AO176">
        <f>step3_validation[[#This Row],[AI_OUT1]]</f>
        <v>5</v>
      </c>
      <c r="AP176">
        <f t="shared" si="80"/>
        <v>0.44444444444444442</v>
      </c>
      <c r="AQ176">
        <f>survey_responses[[#This Row],[Sau khi xem xét các quyền lợi và nghĩa vụ, bạn có ủng hộ và tuân thủ chính sách mới hiện nay? - HUMAN-OUT1]]</f>
        <v>4</v>
      </c>
      <c r="AR176">
        <f t="shared" si="81"/>
        <v>0.33333333333333331</v>
      </c>
      <c r="AS176" s="32">
        <f t="shared" si="82"/>
        <v>1</v>
      </c>
      <c r="AT176">
        <f t="shared" si="83"/>
        <v>0</v>
      </c>
    </row>
    <row r="177" spans="1:46" x14ac:dyDescent="0.45">
      <c r="A177">
        <f>step3_validation[[#This Row],[AI_ENF1]]</f>
        <v>8</v>
      </c>
      <c r="B177">
        <f t="shared" si="56"/>
        <v>0.77777777777777779</v>
      </c>
      <c r="C177">
        <f>survey_responses[[#This Row],[Tôi tin rằng với các quy định quản lý thuế hiện nay, hành vi gian lận hoặc trốn thuế sẽ dễ dàng bị phát hiện và xử lý nghiêm. - HUMAN-ENF1]]</f>
        <v>2</v>
      </c>
      <c r="D177">
        <f t="shared" si="57"/>
        <v>0.1111111111111111</v>
      </c>
      <c r="E177">
        <f>step3_validation[[#This Row],[AI_ENF2]]</f>
        <v>7</v>
      </c>
      <c r="F177">
        <f t="shared" si="58"/>
        <v>0.66666666666666663</v>
      </c>
      <c r="G177">
        <f>survey_responses[[#This Row],[Tôi tin rằng Nhà nước, cơ quan thuế có đủ khả năng và công nghệ để phát hiện, xử lý nghiêm các hành vi trốn thuế. - HUMAN-ENF2]]</f>
        <v>4</v>
      </c>
      <c r="H177">
        <f t="shared" si="59"/>
        <v>0.33333333333333331</v>
      </c>
      <c r="I177" s="32">
        <f t="shared" si="60"/>
        <v>0.72222222222222221</v>
      </c>
      <c r="J177" s="32">
        <f t="shared" si="61"/>
        <v>0.22222222222222221</v>
      </c>
      <c r="K177">
        <f>step3_validation[[#This Row],[AI_FAC1]]</f>
        <v>6</v>
      </c>
      <c r="L177">
        <f t="shared" si="62"/>
        <v>0.55555555555555558</v>
      </c>
      <c r="M177">
        <f>survey_responses[[#This Row],[Các thủ tục khai báo thuế VÀ/HOẶC quy trình làm việc với cơ quan thuế đơn giản, tiện lợi, nhanh chóng hơn so với trước đây. - HUMAN-FAC1]]</f>
        <v>3</v>
      </c>
      <c r="N177">
        <f t="shared" si="63"/>
        <v>0.22222222222222221</v>
      </c>
      <c r="O177">
        <f>step3_validation[[#This Row],[AI_FAC2]]</f>
        <v>7</v>
      </c>
      <c r="P177">
        <f t="shared" si="64"/>
        <v>0.66666666666666663</v>
      </c>
      <c r="Q177">
        <f>survey_responses[[#This Row],[So với trước đây, tôi thấy cách tính thuế và các bậc thuế trong phương án mới đơn giản, dễ hiểu và dễ thực hiện hơn. - HUMAN-FAC2]]</f>
        <v>5</v>
      </c>
      <c r="R177">
        <f t="shared" si="65"/>
        <v>0.44444444444444442</v>
      </c>
      <c r="S177" s="32">
        <f t="shared" si="66"/>
        <v>0.61111111111111116</v>
      </c>
      <c r="T177" s="32">
        <f t="shared" si="67"/>
        <v>0.33333333333333331</v>
      </c>
      <c r="U177">
        <f>step3_validation[[#This Row],[AI_TRU1]]</f>
        <v>6</v>
      </c>
      <c r="V177">
        <f t="shared" si="68"/>
        <v>0.55555555555555558</v>
      </c>
      <c r="W177">
        <f>survey_responses[[#This Row],[Tôi tin rằng Nhà nước, cơ quan thuế sẽ thực thi chính sách mới một cách khách quan, công tâm và đối xử bình đẳng với mọi người nộp thuế.  - HUMAN-TRU1]]</f>
        <v>4</v>
      </c>
      <c r="X177">
        <f t="shared" si="69"/>
        <v>0.33333333333333331</v>
      </c>
      <c r="Y177">
        <f>step3_validation[[#This Row],[AI_TRU2]]</f>
        <v>7</v>
      </c>
      <c r="Z177">
        <f t="shared" si="70"/>
        <v>0.66666666666666663</v>
      </c>
      <c r="AA177">
        <f>survey_responses[[#This Row],[Tôi thấy mức thuế tôi phải đóng theo phương án mới là công bằng (người thu nhập như tôi đóng mức này là hợp lý). - HUMAN-TRU2]]</f>
        <v>1</v>
      </c>
      <c r="AB177">
        <f t="shared" si="71"/>
        <v>0</v>
      </c>
      <c r="AC177">
        <f>step3_validation[[#This Row],[AI_TRU3]]</f>
        <v>6</v>
      </c>
      <c r="AD177">
        <f t="shared" si="72"/>
        <v>0.55555555555555558</v>
      </c>
      <c r="AE177">
        <f>survey_responses[[#This Row],[Tôi tin tưởng số tiền thuế tôi đóng sẽ được Nhà nước sử dụng hiệu quả để cải thiện dịch vụ công (y tế, đường xá...). - HUMAN-TRU3]]</f>
        <v>1</v>
      </c>
      <c r="AF177">
        <f t="shared" si="73"/>
        <v>0</v>
      </c>
      <c r="AG177">
        <f>step3_validation[[#This Row],[AI_TRU4]]</f>
        <v>5</v>
      </c>
      <c r="AH177">
        <f t="shared" si="74"/>
        <v>0.44444444444444442</v>
      </c>
      <c r="AI177">
        <f>survey_responses[[#This Row],[Tôi thấy Nhà nước đã giải thích rõ ràng, minh bạch về lý do và mục tiêu của việc sửa đổi thuế lần này. - HUMAN-TRU4]]</f>
        <v>4</v>
      </c>
      <c r="AJ177">
        <f t="shared" si="75"/>
        <v>0.33333333333333331</v>
      </c>
      <c r="AK177" s="32">
        <f t="shared" si="76"/>
        <v>0.55555555555555558</v>
      </c>
      <c r="AL177" s="32">
        <f t="shared" si="77"/>
        <v>0.16666666666666666</v>
      </c>
      <c r="AM177" s="7">
        <f t="shared" si="78"/>
        <v>0.62962962962962965</v>
      </c>
      <c r="AN177" s="7">
        <f t="shared" si="79"/>
        <v>0.24074074074074073</v>
      </c>
      <c r="AO177">
        <f>step3_validation[[#This Row],[AI_OUT1]]</f>
        <v>7</v>
      </c>
      <c r="AP177">
        <f t="shared" si="80"/>
        <v>0.66666666666666663</v>
      </c>
      <c r="AQ177">
        <f>survey_responses[[#This Row],[Sau khi xem xét các quyền lợi và nghĩa vụ, bạn có ủng hộ và tuân thủ chính sách mới hiện nay? - HUMAN-OUT1]]</f>
        <v>4</v>
      </c>
      <c r="AR177">
        <f t="shared" si="81"/>
        <v>0.33333333333333331</v>
      </c>
      <c r="AS177" s="32">
        <f t="shared" si="82"/>
        <v>3</v>
      </c>
      <c r="AT177">
        <f t="shared" si="83"/>
        <v>0</v>
      </c>
    </row>
    <row r="178" spans="1:46" x14ac:dyDescent="0.45">
      <c r="A178">
        <f>step3_validation[[#This Row],[AI_ENF1]]</f>
        <v>8</v>
      </c>
      <c r="B178">
        <f t="shared" si="56"/>
        <v>0.77777777777777779</v>
      </c>
      <c r="C178">
        <f>survey_responses[[#This Row],[Tôi tin rằng với các quy định quản lý thuế hiện nay, hành vi gian lận hoặc trốn thuế sẽ dễ dàng bị phát hiện và xử lý nghiêm. - HUMAN-ENF1]]</f>
        <v>4</v>
      </c>
      <c r="D178">
        <f t="shared" si="57"/>
        <v>0.33333333333333331</v>
      </c>
      <c r="E178">
        <f>step3_validation[[#This Row],[AI_ENF2]]</f>
        <v>9</v>
      </c>
      <c r="F178">
        <f t="shared" si="58"/>
        <v>0.88888888888888884</v>
      </c>
      <c r="G178">
        <f>survey_responses[[#This Row],[Tôi tin rằng Nhà nước, cơ quan thuế có đủ khả năng và công nghệ để phát hiện, xử lý nghiêm các hành vi trốn thuế. - HUMAN-ENF2]]</f>
        <v>4</v>
      </c>
      <c r="H178">
        <f t="shared" si="59"/>
        <v>0.33333333333333331</v>
      </c>
      <c r="I178" s="32">
        <f t="shared" si="60"/>
        <v>0.83333333333333326</v>
      </c>
      <c r="J178" s="32">
        <f t="shared" si="61"/>
        <v>0.33333333333333331</v>
      </c>
      <c r="K178">
        <f>step3_validation[[#This Row],[AI_FAC1]]</f>
        <v>7</v>
      </c>
      <c r="L178">
        <f t="shared" si="62"/>
        <v>0.66666666666666663</v>
      </c>
      <c r="M178">
        <f>survey_responses[[#This Row],[Các thủ tục khai báo thuế VÀ/HOẶC quy trình làm việc với cơ quan thuế đơn giản, tiện lợi, nhanh chóng hơn so với trước đây. - HUMAN-FAC1]]</f>
        <v>3</v>
      </c>
      <c r="N178">
        <f t="shared" si="63"/>
        <v>0.22222222222222221</v>
      </c>
      <c r="O178">
        <f>step3_validation[[#This Row],[AI_FAC2]]</f>
        <v>8</v>
      </c>
      <c r="P178">
        <f t="shared" si="64"/>
        <v>0.77777777777777779</v>
      </c>
      <c r="Q178">
        <f>survey_responses[[#This Row],[So với trước đây, tôi thấy cách tính thuế và các bậc thuế trong phương án mới đơn giản, dễ hiểu và dễ thực hiện hơn. - HUMAN-FAC2]]</f>
        <v>5</v>
      </c>
      <c r="R178">
        <f t="shared" si="65"/>
        <v>0.44444444444444442</v>
      </c>
      <c r="S178" s="32">
        <f t="shared" si="66"/>
        <v>0.72222222222222221</v>
      </c>
      <c r="T178" s="32">
        <f t="shared" si="67"/>
        <v>0.33333333333333331</v>
      </c>
      <c r="U178">
        <f>step3_validation[[#This Row],[AI_TRU1]]</f>
        <v>7</v>
      </c>
      <c r="V178">
        <f t="shared" si="68"/>
        <v>0.66666666666666663</v>
      </c>
      <c r="W178">
        <f>survey_responses[[#This Row],[Tôi tin rằng Nhà nước, cơ quan thuế sẽ thực thi chính sách mới một cách khách quan, công tâm và đối xử bình đẳng với mọi người nộp thuế.  - HUMAN-TRU1]]</f>
        <v>3</v>
      </c>
      <c r="X178">
        <f t="shared" si="69"/>
        <v>0.22222222222222221</v>
      </c>
      <c r="Y178">
        <f>step3_validation[[#This Row],[AI_TRU2]]</f>
        <v>8</v>
      </c>
      <c r="Z178">
        <f t="shared" si="70"/>
        <v>0.77777777777777779</v>
      </c>
      <c r="AA178">
        <f>survey_responses[[#This Row],[Tôi thấy mức thuế tôi phải đóng theo phương án mới là công bằng (người thu nhập như tôi đóng mức này là hợp lý). - HUMAN-TRU2]]</f>
        <v>2</v>
      </c>
      <c r="AB178">
        <f t="shared" si="71"/>
        <v>0.1111111111111111</v>
      </c>
      <c r="AC178">
        <f>step3_validation[[#This Row],[AI_TRU3]]</f>
        <v>7</v>
      </c>
      <c r="AD178">
        <f t="shared" si="72"/>
        <v>0.66666666666666663</v>
      </c>
      <c r="AE178">
        <f>survey_responses[[#This Row],[Tôi tin tưởng số tiền thuế tôi đóng sẽ được Nhà nước sử dụng hiệu quả để cải thiện dịch vụ công (y tế, đường xá...). - HUMAN-TRU3]]</f>
        <v>1</v>
      </c>
      <c r="AF178">
        <f t="shared" si="73"/>
        <v>0</v>
      </c>
      <c r="AG178">
        <f>step3_validation[[#This Row],[AI_TRU4]]</f>
        <v>8</v>
      </c>
      <c r="AH178">
        <f t="shared" si="74"/>
        <v>0.77777777777777779</v>
      </c>
      <c r="AI178">
        <f>survey_responses[[#This Row],[Tôi thấy Nhà nước đã giải thích rõ ràng, minh bạch về lý do và mục tiêu của việc sửa đổi thuế lần này. - HUMAN-TRU4]]</f>
        <v>1</v>
      </c>
      <c r="AJ178">
        <f t="shared" si="75"/>
        <v>0</v>
      </c>
      <c r="AK178" s="32">
        <f t="shared" si="76"/>
        <v>0.72222222222222221</v>
      </c>
      <c r="AL178" s="32">
        <f t="shared" si="77"/>
        <v>8.3333333333333329E-2</v>
      </c>
      <c r="AM178" s="7">
        <f t="shared" si="78"/>
        <v>0.75925925925925919</v>
      </c>
      <c r="AN178" s="7">
        <f t="shared" si="79"/>
        <v>0.25</v>
      </c>
      <c r="AO178">
        <f>step3_validation[[#This Row],[AI_OUT1]]</f>
        <v>7</v>
      </c>
      <c r="AP178">
        <f t="shared" si="80"/>
        <v>0.66666666666666663</v>
      </c>
      <c r="AQ178">
        <f>survey_responses[[#This Row],[Sau khi xem xét các quyền lợi và nghĩa vụ, bạn có ủng hộ và tuân thủ chính sách mới hiện nay? - HUMAN-OUT1]]</f>
        <v>1</v>
      </c>
      <c r="AR178">
        <f t="shared" si="81"/>
        <v>0</v>
      </c>
      <c r="AS178" s="32">
        <f t="shared" si="82"/>
        <v>6</v>
      </c>
      <c r="AT178">
        <f t="shared" si="83"/>
        <v>0</v>
      </c>
    </row>
    <row r="179" spans="1:46" x14ac:dyDescent="0.45">
      <c r="A179">
        <f>step3_validation[[#This Row],[AI_ENF1]]</f>
        <v>8</v>
      </c>
      <c r="B179">
        <f t="shared" si="56"/>
        <v>0.77777777777777779</v>
      </c>
      <c r="C179">
        <f>survey_responses[[#This Row],[Tôi tin rằng với các quy định quản lý thuế hiện nay, hành vi gian lận hoặc trốn thuế sẽ dễ dàng bị phát hiện và xử lý nghiêm. - HUMAN-ENF1]]</f>
        <v>6</v>
      </c>
      <c r="D179">
        <f t="shared" si="57"/>
        <v>0.55555555555555558</v>
      </c>
      <c r="E179">
        <f>step3_validation[[#This Row],[AI_ENF2]]</f>
        <v>7</v>
      </c>
      <c r="F179">
        <f t="shared" si="58"/>
        <v>0.66666666666666663</v>
      </c>
      <c r="G179">
        <f>survey_responses[[#This Row],[Tôi tin rằng Nhà nước, cơ quan thuế có đủ khả năng và công nghệ để phát hiện, xử lý nghiêm các hành vi trốn thuế. - HUMAN-ENF2]]</f>
        <v>7</v>
      </c>
      <c r="H179">
        <f t="shared" si="59"/>
        <v>0.66666666666666663</v>
      </c>
      <c r="I179" s="32">
        <f t="shared" si="60"/>
        <v>0.72222222222222221</v>
      </c>
      <c r="J179" s="32">
        <f t="shared" si="61"/>
        <v>0.61111111111111116</v>
      </c>
      <c r="K179">
        <f>step3_validation[[#This Row],[AI_FAC1]]</f>
        <v>9</v>
      </c>
      <c r="L179">
        <f t="shared" si="62"/>
        <v>0.88888888888888884</v>
      </c>
      <c r="M179">
        <f>survey_responses[[#This Row],[Các thủ tục khai báo thuế VÀ/HOẶC quy trình làm việc với cơ quan thuế đơn giản, tiện lợi, nhanh chóng hơn so với trước đây. - HUMAN-FAC1]]</f>
        <v>6</v>
      </c>
      <c r="N179">
        <f t="shared" si="63"/>
        <v>0.55555555555555558</v>
      </c>
      <c r="O179">
        <f>step3_validation[[#This Row],[AI_FAC2]]</f>
        <v>8</v>
      </c>
      <c r="P179">
        <f t="shared" si="64"/>
        <v>0.77777777777777779</v>
      </c>
      <c r="Q179">
        <f>survey_responses[[#This Row],[So với trước đây, tôi thấy cách tính thuế và các bậc thuế trong phương án mới đơn giản, dễ hiểu và dễ thực hiện hơn. - HUMAN-FAC2]]</f>
        <v>6</v>
      </c>
      <c r="R179">
        <f t="shared" si="65"/>
        <v>0.55555555555555558</v>
      </c>
      <c r="S179" s="32">
        <f t="shared" si="66"/>
        <v>0.83333333333333326</v>
      </c>
      <c r="T179" s="32">
        <f t="shared" si="67"/>
        <v>0.55555555555555558</v>
      </c>
      <c r="U179">
        <f>step3_validation[[#This Row],[AI_TRU1]]</f>
        <v>8</v>
      </c>
      <c r="V179">
        <f t="shared" si="68"/>
        <v>0.77777777777777779</v>
      </c>
      <c r="W179">
        <f>survey_responses[[#This Row],[Tôi tin rằng Nhà nước, cơ quan thuế sẽ thực thi chính sách mới một cách khách quan, công tâm và đối xử bình đẳng với mọi người nộp thuế.  - HUMAN-TRU1]]</f>
        <v>6</v>
      </c>
      <c r="X179">
        <f t="shared" si="69"/>
        <v>0.55555555555555558</v>
      </c>
      <c r="Y179">
        <f>step3_validation[[#This Row],[AI_TRU2]]</f>
        <v>6</v>
      </c>
      <c r="Z179">
        <f t="shared" si="70"/>
        <v>0.55555555555555558</v>
      </c>
      <c r="AA179">
        <f>survey_responses[[#This Row],[Tôi thấy mức thuế tôi phải đóng theo phương án mới là công bằng (người thu nhập như tôi đóng mức này là hợp lý). - HUMAN-TRU2]]</f>
        <v>7</v>
      </c>
      <c r="AB179">
        <f t="shared" si="71"/>
        <v>0.66666666666666663</v>
      </c>
      <c r="AC179">
        <f>step3_validation[[#This Row],[AI_TRU3]]</f>
        <v>7</v>
      </c>
      <c r="AD179">
        <f t="shared" si="72"/>
        <v>0.66666666666666663</v>
      </c>
      <c r="AE179">
        <f>survey_responses[[#This Row],[Tôi tin tưởng số tiền thuế tôi đóng sẽ được Nhà nước sử dụng hiệu quả để cải thiện dịch vụ công (y tế, đường xá...). - HUMAN-TRU3]]</f>
        <v>5</v>
      </c>
      <c r="AF179">
        <f t="shared" si="73"/>
        <v>0.44444444444444442</v>
      </c>
      <c r="AG179">
        <f>step3_validation[[#This Row],[AI_TRU4]]</f>
        <v>5</v>
      </c>
      <c r="AH179">
        <f t="shared" si="74"/>
        <v>0.44444444444444442</v>
      </c>
      <c r="AI179">
        <f>survey_responses[[#This Row],[Tôi thấy Nhà nước đã giải thích rõ ràng, minh bạch về lý do và mục tiêu của việc sửa đổi thuế lần này. - HUMAN-TRU4]]</f>
        <v>6</v>
      </c>
      <c r="AJ179">
        <f t="shared" si="75"/>
        <v>0.55555555555555558</v>
      </c>
      <c r="AK179" s="32">
        <f t="shared" si="76"/>
        <v>0.61111111111111116</v>
      </c>
      <c r="AL179" s="32">
        <f t="shared" si="77"/>
        <v>0.55555555555555558</v>
      </c>
      <c r="AM179" s="7">
        <f t="shared" si="78"/>
        <v>0.72222222222222221</v>
      </c>
      <c r="AN179" s="7">
        <f t="shared" si="79"/>
        <v>0.57407407407407407</v>
      </c>
      <c r="AO179">
        <f>step3_validation[[#This Row],[AI_OUT1]]</f>
        <v>7</v>
      </c>
      <c r="AP179">
        <f t="shared" si="80"/>
        <v>0.66666666666666663</v>
      </c>
      <c r="AQ179">
        <f>survey_responses[[#This Row],[Sau khi xem xét các quyền lợi và nghĩa vụ, bạn có ủng hộ và tuân thủ chính sách mới hiện nay? - HUMAN-OUT1]]</f>
        <v>7</v>
      </c>
      <c r="AR179">
        <f t="shared" si="81"/>
        <v>0.66666666666666663</v>
      </c>
      <c r="AS179" s="32">
        <f t="shared" si="82"/>
        <v>0</v>
      </c>
      <c r="AT179">
        <f t="shared" si="83"/>
        <v>1</v>
      </c>
    </row>
    <row r="180" spans="1:46" x14ac:dyDescent="0.45">
      <c r="A180">
        <f>step3_validation[[#This Row],[AI_ENF1]]</f>
        <v>6</v>
      </c>
      <c r="B180">
        <f t="shared" si="56"/>
        <v>0.55555555555555558</v>
      </c>
      <c r="C180">
        <f>survey_responses[[#This Row],[Tôi tin rằng với các quy định quản lý thuế hiện nay, hành vi gian lận hoặc trốn thuế sẽ dễ dàng bị phát hiện và xử lý nghiêm. - HUMAN-ENF1]]</f>
        <v>7</v>
      </c>
      <c r="D180">
        <f t="shared" si="57"/>
        <v>0.66666666666666663</v>
      </c>
      <c r="E180">
        <f>step3_validation[[#This Row],[AI_ENF2]]</f>
        <v>5</v>
      </c>
      <c r="F180">
        <f t="shared" si="58"/>
        <v>0.44444444444444442</v>
      </c>
      <c r="G180">
        <f>survey_responses[[#This Row],[Tôi tin rằng Nhà nước, cơ quan thuế có đủ khả năng và công nghệ để phát hiện, xử lý nghiêm các hành vi trốn thuế. - HUMAN-ENF2]]</f>
        <v>7</v>
      </c>
      <c r="H180">
        <f t="shared" si="59"/>
        <v>0.66666666666666663</v>
      </c>
      <c r="I180" s="32">
        <f t="shared" si="60"/>
        <v>0.5</v>
      </c>
      <c r="J180" s="32">
        <f t="shared" si="61"/>
        <v>0.66666666666666663</v>
      </c>
      <c r="K180">
        <f>step3_validation[[#This Row],[AI_FAC1]]</f>
        <v>7</v>
      </c>
      <c r="L180">
        <f t="shared" si="62"/>
        <v>0.66666666666666663</v>
      </c>
      <c r="M180">
        <f>survey_responses[[#This Row],[Các thủ tục khai báo thuế VÀ/HOẶC quy trình làm việc với cơ quan thuế đơn giản, tiện lợi, nhanh chóng hơn so với trước đây. - HUMAN-FAC1]]</f>
        <v>7</v>
      </c>
      <c r="N180">
        <f t="shared" si="63"/>
        <v>0.66666666666666663</v>
      </c>
      <c r="O180">
        <f>step3_validation[[#This Row],[AI_FAC2]]</f>
        <v>8</v>
      </c>
      <c r="P180">
        <f t="shared" si="64"/>
        <v>0.77777777777777779</v>
      </c>
      <c r="Q180">
        <f>survey_responses[[#This Row],[So với trước đây, tôi thấy cách tính thuế và các bậc thuế trong phương án mới đơn giản, dễ hiểu và dễ thực hiện hơn. - HUMAN-FAC2]]</f>
        <v>8</v>
      </c>
      <c r="R180">
        <f t="shared" si="65"/>
        <v>0.77777777777777779</v>
      </c>
      <c r="S180" s="32">
        <f t="shared" si="66"/>
        <v>0.72222222222222221</v>
      </c>
      <c r="T180" s="32">
        <f t="shared" si="67"/>
        <v>0.72222222222222221</v>
      </c>
      <c r="U180">
        <f>step3_validation[[#This Row],[AI_TRU1]]</f>
        <v>7</v>
      </c>
      <c r="V180">
        <f t="shared" si="68"/>
        <v>0.66666666666666663</v>
      </c>
      <c r="W180">
        <f>survey_responses[[#This Row],[Tôi tin rằng Nhà nước, cơ quan thuế sẽ thực thi chính sách mới một cách khách quan, công tâm và đối xử bình đẳng với mọi người nộp thuế.  - HUMAN-TRU1]]</f>
        <v>7</v>
      </c>
      <c r="X180">
        <f t="shared" si="69"/>
        <v>0.66666666666666663</v>
      </c>
      <c r="Y180">
        <f>step3_validation[[#This Row],[AI_TRU2]]</f>
        <v>6</v>
      </c>
      <c r="Z180">
        <f t="shared" si="70"/>
        <v>0.55555555555555558</v>
      </c>
      <c r="AA180">
        <f>survey_responses[[#This Row],[Tôi thấy mức thuế tôi phải đóng theo phương án mới là công bằng (người thu nhập như tôi đóng mức này là hợp lý). - HUMAN-TRU2]]</f>
        <v>8</v>
      </c>
      <c r="AB180">
        <f t="shared" si="71"/>
        <v>0.77777777777777779</v>
      </c>
      <c r="AC180">
        <f>step3_validation[[#This Row],[AI_TRU3]]</f>
        <v>7</v>
      </c>
      <c r="AD180">
        <f t="shared" si="72"/>
        <v>0.66666666666666663</v>
      </c>
      <c r="AE180">
        <f>survey_responses[[#This Row],[Tôi tin tưởng số tiền thuế tôi đóng sẽ được Nhà nước sử dụng hiệu quả để cải thiện dịch vụ công (y tế, đường xá...). - HUMAN-TRU3]]</f>
        <v>7</v>
      </c>
      <c r="AF180">
        <f t="shared" si="73"/>
        <v>0.66666666666666663</v>
      </c>
      <c r="AG180">
        <f>step3_validation[[#This Row],[AI_TRU4]]</f>
        <v>5</v>
      </c>
      <c r="AH180">
        <f t="shared" si="74"/>
        <v>0.44444444444444442</v>
      </c>
      <c r="AI180">
        <f>survey_responses[[#This Row],[Tôi thấy Nhà nước đã giải thích rõ ràng, minh bạch về lý do và mục tiêu của việc sửa đổi thuế lần này. - HUMAN-TRU4]]</f>
        <v>7</v>
      </c>
      <c r="AJ180">
        <f t="shared" si="75"/>
        <v>0.66666666666666663</v>
      </c>
      <c r="AK180" s="32">
        <f t="shared" si="76"/>
        <v>0.58333333333333326</v>
      </c>
      <c r="AL180" s="32">
        <f t="shared" si="77"/>
        <v>0.69444444444444442</v>
      </c>
      <c r="AM180" s="7">
        <f t="shared" si="78"/>
        <v>0.60185185185185186</v>
      </c>
      <c r="AN180" s="7">
        <f t="shared" si="79"/>
        <v>0.69444444444444431</v>
      </c>
      <c r="AO180">
        <f>step3_validation[[#This Row],[AI_OUT1]]</f>
        <v>6</v>
      </c>
      <c r="AP180">
        <f t="shared" si="80"/>
        <v>0.55555555555555558</v>
      </c>
      <c r="AQ180">
        <f>survey_responses[[#This Row],[Sau khi xem xét các quyền lợi và nghĩa vụ, bạn có ủng hộ và tuân thủ chính sách mới hiện nay? - HUMAN-OUT1]]</f>
        <v>8</v>
      </c>
      <c r="AR180">
        <f t="shared" si="81"/>
        <v>0.77777777777777779</v>
      </c>
      <c r="AS180" s="32">
        <f t="shared" si="82"/>
        <v>2</v>
      </c>
      <c r="AT180">
        <f t="shared" si="83"/>
        <v>1</v>
      </c>
    </row>
    <row r="181" spans="1:46" x14ac:dyDescent="0.45">
      <c r="A181">
        <f>step3_validation[[#This Row],[AI_ENF1]]</f>
        <v>7</v>
      </c>
      <c r="B181">
        <f t="shared" si="56"/>
        <v>0.66666666666666663</v>
      </c>
      <c r="C181">
        <f>survey_responses[[#This Row],[Tôi tin rằng với các quy định quản lý thuế hiện nay, hành vi gian lận hoặc trốn thuế sẽ dễ dàng bị phát hiện và xử lý nghiêm. - HUMAN-ENF1]]</f>
        <v>5</v>
      </c>
      <c r="D181">
        <f t="shared" si="57"/>
        <v>0.44444444444444442</v>
      </c>
      <c r="E181">
        <f>step3_validation[[#This Row],[AI_ENF2]]</f>
        <v>8</v>
      </c>
      <c r="F181">
        <f t="shared" si="58"/>
        <v>0.77777777777777779</v>
      </c>
      <c r="G181">
        <f>survey_responses[[#This Row],[Tôi tin rằng Nhà nước, cơ quan thuế có đủ khả năng và công nghệ để phát hiện, xử lý nghiêm các hành vi trốn thuế. - HUMAN-ENF2]]</f>
        <v>5</v>
      </c>
      <c r="H181">
        <f t="shared" si="59"/>
        <v>0.44444444444444442</v>
      </c>
      <c r="I181" s="32">
        <f t="shared" si="60"/>
        <v>0.72222222222222221</v>
      </c>
      <c r="J181" s="32">
        <f t="shared" si="61"/>
        <v>0.44444444444444442</v>
      </c>
      <c r="K181">
        <f>step3_validation[[#This Row],[AI_FAC1]]</f>
        <v>9</v>
      </c>
      <c r="L181">
        <f t="shared" si="62"/>
        <v>0.88888888888888884</v>
      </c>
      <c r="M181">
        <f>survey_responses[[#This Row],[Các thủ tục khai báo thuế VÀ/HOẶC quy trình làm việc với cơ quan thuế đơn giản, tiện lợi, nhanh chóng hơn so với trước đây. - HUMAN-FAC1]]</f>
        <v>5</v>
      </c>
      <c r="N181">
        <f t="shared" si="63"/>
        <v>0.44444444444444442</v>
      </c>
      <c r="O181">
        <f>step3_validation[[#This Row],[AI_FAC2]]</f>
        <v>6</v>
      </c>
      <c r="P181">
        <f t="shared" si="64"/>
        <v>0.55555555555555558</v>
      </c>
      <c r="Q181">
        <f>survey_responses[[#This Row],[So với trước đây, tôi thấy cách tính thuế và các bậc thuế trong phương án mới đơn giản, dễ hiểu và dễ thực hiện hơn. - HUMAN-FAC2]]</f>
        <v>7</v>
      </c>
      <c r="R181">
        <f t="shared" si="65"/>
        <v>0.66666666666666663</v>
      </c>
      <c r="S181" s="32">
        <f t="shared" si="66"/>
        <v>0.72222222222222221</v>
      </c>
      <c r="T181" s="32">
        <f t="shared" si="67"/>
        <v>0.55555555555555558</v>
      </c>
      <c r="U181">
        <f>step3_validation[[#This Row],[AI_TRU1]]</f>
        <v>6</v>
      </c>
      <c r="V181">
        <f t="shared" si="68"/>
        <v>0.55555555555555558</v>
      </c>
      <c r="W181">
        <f>survey_responses[[#This Row],[Tôi tin rằng Nhà nước, cơ quan thuế sẽ thực thi chính sách mới một cách khách quan, công tâm và đối xử bình đẳng với mọi người nộp thuế.  - HUMAN-TRU1]]</f>
        <v>5</v>
      </c>
      <c r="X181">
        <f t="shared" si="69"/>
        <v>0.44444444444444442</v>
      </c>
      <c r="Y181">
        <f>step3_validation[[#This Row],[AI_TRU2]]</f>
        <v>6</v>
      </c>
      <c r="Z181">
        <f t="shared" si="70"/>
        <v>0.55555555555555558</v>
      </c>
      <c r="AA181">
        <f>survey_responses[[#This Row],[Tôi thấy mức thuế tôi phải đóng theo phương án mới là công bằng (người thu nhập như tôi đóng mức này là hợp lý). - HUMAN-TRU2]]</f>
        <v>6</v>
      </c>
      <c r="AB181">
        <f t="shared" si="71"/>
        <v>0.55555555555555558</v>
      </c>
      <c r="AC181">
        <f>step3_validation[[#This Row],[AI_TRU3]]</f>
        <v>6</v>
      </c>
      <c r="AD181">
        <f t="shared" si="72"/>
        <v>0.55555555555555558</v>
      </c>
      <c r="AE181">
        <f>survey_responses[[#This Row],[Tôi tin tưởng số tiền thuế tôi đóng sẽ được Nhà nước sử dụng hiệu quả để cải thiện dịch vụ công (y tế, đường xá...). - HUMAN-TRU3]]</f>
        <v>5</v>
      </c>
      <c r="AF181">
        <f t="shared" si="73"/>
        <v>0.44444444444444442</v>
      </c>
      <c r="AG181">
        <f>step3_validation[[#This Row],[AI_TRU4]]</f>
        <v>5</v>
      </c>
      <c r="AH181">
        <f t="shared" si="74"/>
        <v>0.44444444444444442</v>
      </c>
      <c r="AI181">
        <f>survey_responses[[#This Row],[Tôi thấy Nhà nước đã giải thích rõ ràng, minh bạch về lý do và mục tiêu của việc sửa đổi thuế lần này. - HUMAN-TRU4]]</f>
        <v>7</v>
      </c>
      <c r="AJ181">
        <f t="shared" si="75"/>
        <v>0.66666666666666663</v>
      </c>
      <c r="AK181" s="32">
        <f t="shared" si="76"/>
        <v>0.52777777777777779</v>
      </c>
      <c r="AL181" s="32">
        <f t="shared" si="77"/>
        <v>0.52777777777777779</v>
      </c>
      <c r="AM181" s="7">
        <f t="shared" si="78"/>
        <v>0.65740740740740744</v>
      </c>
      <c r="AN181" s="7">
        <f t="shared" si="79"/>
        <v>0.50925925925925919</v>
      </c>
      <c r="AO181">
        <f>step3_validation[[#This Row],[AI_OUT1]]</f>
        <v>7</v>
      </c>
      <c r="AP181">
        <f t="shared" si="80"/>
        <v>0.66666666666666663</v>
      </c>
      <c r="AQ181">
        <f>survey_responses[[#This Row],[Sau khi xem xét các quyền lợi và nghĩa vụ, bạn có ủng hộ và tuân thủ chính sách mới hiện nay? - HUMAN-OUT1]]</f>
        <v>7</v>
      </c>
      <c r="AR181">
        <f t="shared" si="81"/>
        <v>0.66666666666666663</v>
      </c>
      <c r="AS181" s="32">
        <f t="shared" si="82"/>
        <v>0</v>
      </c>
      <c r="AT181">
        <f t="shared" si="83"/>
        <v>1</v>
      </c>
    </row>
    <row r="182" spans="1:46" x14ac:dyDescent="0.45">
      <c r="A182">
        <f>step3_validation[[#This Row],[AI_ENF1]]</f>
        <v>7</v>
      </c>
      <c r="B182">
        <f t="shared" si="56"/>
        <v>0.66666666666666663</v>
      </c>
      <c r="C182">
        <f>survey_responses[[#This Row],[Tôi tin rằng với các quy định quản lý thuế hiện nay, hành vi gian lận hoặc trốn thuế sẽ dễ dàng bị phát hiện và xử lý nghiêm. - HUMAN-ENF1]]</f>
        <v>6</v>
      </c>
      <c r="D182">
        <f t="shared" si="57"/>
        <v>0.55555555555555558</v>
      </c>
      <c r="E182">
        <f>step3_validation[[#This Row],[AI_ENF2]]</f>
        <v>6</v>
      </c>
      <c r="F182">
        <f t="shared" si="58"/>
        <v>0.55555555555555558</v>
      </c>
      <c r="G182">
        <f>survey_responses[[#This Row],[Tôi tin rằng Nhà nước, cơ quan thuế có đủ khả năng và công nghệ để phát hiện, xử lý nghiêm các hành vi trốn thuế. - HUMAN-ENF2]]</f>
        <v>7</v>
      </c>
      <c r="H182">
        <f t="shared" si="59"/>
        <v>0.66666666666666663</v>
      </c>
      <c r="I182" s="32">
        <f t="shared" si="60"/>
        <v>0.61111111111111116</v>
      </c>
      <c r="J182" s="32">
        <f t="shared" si="61"/>
        <v>0.61111111111111116</v>
      </c>
      <c r="K182">
        <f>step3_validation[[#This Row],[AI_FAC1]]</f>
        <v>8</v>
      </c>
      <c r="L182">
        <f t="shared" si="62"/>
        <v>0.77777777777777779</v>
      </c>
      <c r="M182">
        <f>survey_responses[[#This Row],[Các thủ tục khai báo thuế VÀ/HOẶC quy trình làm việc với cơ quan thuế đơn giản, tiện lợi, nhanh chóng hơn so với trước đây. - HUMAN-FAC1]]</f>
        <v>7</v>
      </c>
      <c r="N182">
        <f t="shared" si="63"/>
        <v>0.66666666666666663</v>
      </c>
      <c r="O182">
        <f>step3_validation[[#This Row],[AI_FAC2]]</f>
        <v>9</v>
      </c>
      <c r="P182">
        <f t="shared" si="64"/>
        <v>0.88888888888888884</v>
      </c>
      <c r="Q182">
        <f>survey_responses[[#This Row],[So với trước đây, tôi thấy cách tính thuế và các bậc thuế trong phương án mới đơn giản, dễ hiểu và dễ thực hiện hơn. - HUMAN-FAC2]]</f>
        <v>8</v>
      </c>
      <c r="R182">
        <f t="shared" si="65"/>
        <v>0.77777777777777779</v>
      </c>
      <c r="S182" s="32">
        <f t="shared" si="66"/>
        <v>0.83333333333333326</v>
      </c>
      <c r="T182" s="32">
        <f t="shared" si="67"/>
        <v>0.72222222222222221</v>
      </c>
      <c r="U182">
        <f>step3_validation[[#This Row],[AI_TRU1]]</f>
        <v>7</v>
      </c>
      <c r="V182">
        <f t="shared" si="68"/>
        <v>0.66666666666666663</v>
      </c>
      <c r="W182">
        <f>survey_responses[[#This Row],[Tôi tin rằng Nhà nước, cơ quan thuế sẽ thực thi chính sách mới một cách khách quan, công tâm và đối xử bình đẳng với mọi người nộp thuế.  - HUMAN-TRU1]]</f>
        <v>8</v>
      </c>
      <c r="X182">
        <f t="shared" si="69"/>
        <v>0.77777777777777779</v>
      </c>
      <c r="Y182">
        <f>step3_validation[[#This Row],[AI_TRU2]]</f>
        <v>7</v>
      </c>
      <c r="Z182">
        <f t="shared" si="70"/>
        <v>0.66666666666666663</v>
      </c>
      <c r="AA182">
        <f>survey_responses[[#This Row],[Tôi thấy mức thuế tôi phải đóng theo phương án mới là công bằng (người thu nhập như tôi đóng mức này là hợp lý). - HUMAN-TRU2]]</f>
        <v>7</v>
      </c>
      <c r="AB182">
        <f t="shared" si="71"/>
        <v>0.66666666666666663</v>
      </c>
      <c r="AC182">
        <f>step3_validation[[#This Row],[AI_TRU3]]</f>
        <v>6</v>
      </c>
      <c r="AD182">
        <f t="shared" si="72"/>
        <v>0.55555555555555558</v>
      </c>
      <c r="AE182">
        <f>survey_responses[[#This Row],[Tôi tin tưởng số tiền thuế tôi đóng sẽ được Nhà nước sử dụng hiệu quả để cải thiện dịch vụ công (y tế, đường xá...). - HUMAN-TRU3]]</f>
        <v>5</v>
      </c>
      <c r="AF182">
        <f t="shared" si="73"/>
        <v>0.44444444444444442</v>
      </c>
      <c r="AG182">
        <f>step3_validation[[#This Row],[AI_TRU4]]</f>
        <v>5</v>
      </c>
      <c r="AH182">
        <f t="shared" si="74"/>
        <v>0.44444444444444442</v>
      </c>
      <c r="AI182">
        <f>survey_responses[[#This Row],[Tôi thấy Nhà nước đã giải thích rõ ràng, minh bạch về lý do và mục tiêu của việc sửa đổi thuế lần này. - HUMAN-TRU4]]</f>
        <v>7</v>
      </c>
      <c r="AJ182">
        <f t="shared" si="75"/>
        <v>0.66666666666666663</v>
      </c>
      <c r="AK182" s="32">
        <f t="shared" si="76"/>
        <v>0.58333333333333326</v>
      </c>
      <c r="AL182" s="32">
        <f t="shared" si="77"/>
        <v>0.63888888888888884</v>
      </c>
      <c r="AM182" s="7">
        <f t="shared" si="78"/>
        <v>0.67592592592592593</v>
      </c>
      <c r="AN182" s="7">
        <f t="shared" si="79"/>
        <v>0.65740740740740744</v>
      </c>
      <c r="AO182">
        <f>step3_validation[[#This Row],[AI_OUT1]]</f>
        <v>8</v>
      </c>
      <c r="AP182">
        <f t="shared" si="80"/>
        <v>0.77777777777777779</v>
      </c>
      <c r="AQ182">
        <f>survey_responses[[#This Row],[Sau khi xem xét các quyền lợi và nghĩa vụ, bạn có ủng hộ và tuân thủ chính sách mới hiện nay? - HUMAN-OUT1]]</f>
        <v>7</v>
      </c>
      <c r="AR182">
        <f t="shared" si="81"/>
        <v>0.66666666666666663</v>
      </c>
      <c r="AS182" s="32">
        <f t="shared" si="82"/>
        <v>1</v>
      </c>
      <c r="AT182">
        <f t="shared" si="83"/>
        <v>1</v>
      </c>
    </row>
    <row r="183" spans="1:46" x14ac:dyDescent="0.45">
      <c r="A183">
        <f>step3_validation[[#This Row],[AI_ENF1]]</f>
        <v>8</v>
      </c>
      <c r="B183">
        <f t="shared" si="56"/>
        <v>0.77777777777777779</v>
      </c>
      <c r="C183">
        <f>survey_responses[[#This Row],[Tôi tin rằng với các quy định quản lý thuế hiện nay, hành vi gian lận hoặc trốn thuế sẽ dễ dàng bị phát hiện và xử lý nghiêm. - HUMAN-ENF1]]</f>
        <v>8</v>
      </c>
      <c r="D183">
        <f t="shared" si="57"/>
        <v>0.77777777777777779</v>
      </c>
      <c r="E183">
        <f>step3_validation[[#This Row],[AI_ENF2]]</f>
        <v>7</v>
      </c>
      <c r="F183">
        <f t="shared" si="58"/>
        <v>0.66666666666666663</v>
      </c>
      <c r="G183">
        <f>survey_responses[[#This Row],[Tôi tin rằng Nhà nước, cơ quan thuế có đủ khả năng và công nghệ để phát hiện, xử lý nghiêm các hành vi trốn thuế. - HUMAN-ENF2]]</f>
        <v>8</v>
      </c>
      <c r="H183">
        <f t="shared" si="59"/>
        <v>0.77777777777777779</v>
      </c>
      <c r="I183" s="32">
        <f t="shared" si="60"/>
        <v>0.72222222222222221</v>
      </c>
      <c r="J183" s="32">
        <f t="shared" si="61"/>
        <v>0.77777777777777779</v>
      </c>
      <c r="K183">
        <f>step3_validation[[#This Row],[AI_FAC1]]</f>
        <v>9</v>
      </c>
      <c r="L183">
        <f t="shared" si="62"/>
        <v>0.88888888888888884</v>
      </c>
      <c r="M183">
        <f>survey_responses[[#This Row],[Các thủ tục khai báo thuế VÀ/HOẶC quy trình làm việc với cơ quan thuế đơn giản, tiện lợi, nhanh chóng hơn so với trước đây. - HUMAN-FAC1]]</f>
        <v>5</v>
      </c>
      <c r="N183">
        <f t="shared" si="63"/>
        <v>0.44444444444444442</v>
      </c>
      <c r="O183">
        <f>step3_validation[[#This Row],[AI_FAC2]]</f>
        <v>8</v>
      </c>
      <c r="P183">
        <f t="shared" si="64"/>
        <v>0.77777777777777779</v>
      </c>
      <c r="Q183">
        <f>survey_responses[[#This Row],[So với trước đây, tôi thấy cách tính thuế và các bậc thuế trong phương án mới đơn giản, dễ hiểu và dễ thực hiện hơn. - HUMAN-FAC2]]</f>
        <v>8</v>
      </c>
      <c r="R183">
        <f t="shared" si="65"/>
        <v>0.77777777777777779</v>
      </c>
      <c r="S183" s="32">
        <f t="shared" si="66"/>
        <v>0.83333333333333326</v>
      </c>
      <c r="T183" s="32">
        <f t="shared" si="67"/>
        <v>0.61111111111111116</v>
      </c>
      <c r="U183">
        <f>step3_validation[[#This Row],[AI_TRU1]]</f>
        <v>7</v>
      </c>
      <c r="V183">
        <f t="shared" si="68"/>
        <v>0.66666666666666663</v>
      </c>
      <c r="W183">
        <f>survey_responses[[#This Row],[Tôi tin rằng Nhà nước, cơ quan thuế sẽ thực thi chính sách mới một cách khách quan, công tâm và đối xử bình đẳng với mọi người nộp thuế.  - HUMAN-TRU1]]</f>
        <v>6</v>
      </c>
      <c r="X183">
        <f t="shared" si="69"/>
        <v>0.55555555555555558</v>
      </c>
      <c r="Y183">
        <f>step3_validation[[#This Row],[AI_TRU2]]</f>
        <v>8</v>
      </c>
      <c r="Z183">
        <f t="shared" si="70"/>
        <v>0.77777777777777779</v>
      </c>
      <c r="AA183">
        <f>survey_responses[[#This Row],[Tôi thấy mức thuế tôi phải đóng theo phương án mới là công bằng (người thu nhập như tôi đóng mức này là hợp lý). - HUMAN-TRU2]]</f>
        <v>8</v>
      </c>
      <c r="AB183">
        <f t="shared" si="71"/>
        <v>0.77777777777777779</v>
      </c>
      <c r="AC183">
        <f>step3_validation[[#This Row],[AI_TRU3]]</f>
        <v>6</v>
      </c>
      <c r="AD183">
        <f t="shared" si="72"/>
        <v>0.55555555555555558</v>
      </c>
      <c r="AE183">
        <f>survey_responses[[#This Row],[Tôi tin tưởng số tiền thuế tôi đóng sẽ được Nhà nước sử dụng hiệu quả để cải thiện dịch vụ công (y tế, đường xá...). - HUMAN-TRU3]]</f>
        <v>6</v>
      </c>
      <c r="AF183">
        <f t="shared" si="73"/>
        <v>0.55555555555555558</v>
      </c>
      <c r="AG183">
        <f>step3_validation[[#This Row],[AI_TRU4]]</f>
        <v>7</v>
      </c>
      <c r="AH183">
        <f t="shared" si="74"/>
        <v>0.66666666666666663</v>
      </c>
      <c r="AI183">
        <f>survey_responses[[#This Row],[Tôi thấy Nhà nước đã giải thích rõ ràng, minh bạch về lý do và mục tiêu của việc sửa đổi thuế lần này. - HUMAN-TRU4]]</f>
        <v>7</v>
      </c>
      <c r="AJ183">
        <f t="shared" si="75"/>
        <v>0.66666666666666663</v>
      </c>
      <c r="AK183" s="32">
        <f t="shared" si="76"/>
        <v>0.66666666666666663</v>
      </c>
      <c r="AL183" s="32">
        <f t="shared" si="77"/>
        <v>0.63888888888888895</v>
      </c>
      <c r="AM183" s="7">
        <f t="shared" si="78"/>
        <v>0.74074074074074059</v>
      </c>
      <c r="AN183" s="7">
        <f t="shared" si="79"/>
        <v>0.67592592592592593</v>
      </c>
      <c r="AO183">
        <f>step3_validation[[#This Row],[AI_OUT1]]</f>
        <v>8</v>
      </c>
      <c r="AP183">
        <f t="shared" si="80"/>
        <v>0.77777777777777779</v>
      </c>
      <c r="AQ183">
        <f>survey_responses[[#This Row],[Sau khi xem xét các quyền lợi và nghĩa vụ, bạn có ủng hộ và tuân thủ chính sách mới hiện nay? - HUMAN-OUT1]]</f>
        <v>7</v>
      </c>
      <c r="AR183">
        <f t="shared" si="81"/>
        <v>0.66666666666666663</v>
      </c>
      <c r="AS183" s="32">
        <f t="shared" si="82"/>
        <v>1</v>
      </c>
      <c r="AT183">
        <f t="shared" si="83"/>
        <v>1</v>
      </c>
    </row>
    <row r="184" spans="1:46" x14ac:dyDescent="0.45">
      <c r="A184">
        <f>step3_validation[[#This Row],[AI_ENF1]]</f>
        <v>7</v>
      </c>
      <c r="B184">
        <f t="shared" si="56"/>
        <v>0.66666666666666663</v>
      </c>
      <c r="C184">
        <f>survey_responses[[#This Row],[Tôi tin rằng với các quy định quản lý thuế hiện nay, hành vi gian lận hoặc trốn thuế sẽ dễ dàng bị phát hiện và xử lý nghiêm. - HUMAN-ENF1]]</f>
        <v>2</v>
      </c>
      <c r="D184">
        <f t="shared" si="57"/>
        <v>0.1111111111111111</v>
      </c>
      <c r="E184">
        <f>step3_validation[[#This Row],[AI_ENF2]]</f>
        <v>8</v>
      </c>
      <c r="F184">
        <f t="shared" si="58"/>
        <v>0.77777777777777779</v>
      </c>
      <c r="G184">
        <f>survey_responses[[#This Row],[Tôi tin rằng Nhà nước, cơ quan thuế có đủ khả năng và công nghệ để phát hiện, xử lý nghiêm các hành vi trốn thuế. - HUMAN-ENF2]]</f>
        <v>5</v>
      </c>
      <c r="H184">
        <f t="shared" si="59"/>
        <v>0.44444444444444442</v>
      </c>
      <c r="I184" s="32">
        <f t="shared" si="60"/>
        <v>0.72222222222222221</v>
      </c>
      <c r="J184" s="32">
        <f t="shared" si="61"/>
        <v>0.27777777777777779</v>
      </c>
      <c r="K184">
        <f>step3_validation[[#This Row],[AI_FAC1]]</f>
        <v>6</v>
      </c>
      <c r="L184">
        <f t="shared" si="62"/>
        <v>0.55555555555555558</v>
      </c>
      <c r="M184">
        <f>survey_responses[[#This Row],[Các thủ tục khai báo thuế VÀ/HOẶC quy trình làm việc với cơ quan thuế đơn giản, tiện lợi, nhanh chóng hơn so với trước đây. - HUMAN-FAC1]]</f>
        <v>3</v>
      </c>
      <c r="N184">
        <f t="shared" si="63"/>
        <v>0.22222222222222221</v>
      </c>
      <c r="O184">
        <f>step3_validation[[#This Row],[AI_FAC2]]</f>
        <v>7</v>
      </c>
      <c r="P184">
        <f t="shared" si="64"/>
        <v>0.66666666666666663</v>
      </c>
      <c r="Q184">
        <f>survey_responses[[#This Row],[So với trước đây, tôi thấy cách tính thuế và các bậc thuế trong phương án mới đơn giản, dễ hiểu và dễ thực hiện hơn. - HUMAN-FAC2]]</f>
        <v>5</v>
      </c>
      <c r="R184">
        <f t="shared" si="65"/>
        <v>0.44444444444444442</v>
      </c>
      <c r="S184" s="32">
        <f t="shared" si="66"/>
        <v>0.61111111111111116</v>
      </c>
      <c r="T184" s="32">
        <f t="shared" si="67"/>
        <v>0.33333333333333331</v>
      </c>
      <c r="U184">
        <f>step3_validation[[#This Row],[AI_TRU1]]</f>
        <v>8</v>
      </c>
      <c r="V184">
        <f t="shared" si="68"/>
        <v>0.77777777777777779</v>
      </c>
      <c r="W184">
        <f>survey_responses[[#This Row],[Tôi tin rằng Nhà nước, cơ quan thuế sẽ thực thi chính sách mới một cách khách quan, công tâm và đối xử bình đẳng với mọi người nộp thuế.  - HUMAN-TRU1]]</f>
        <v>3</v>
      </c>
      <c r="X184">
        <f t="shared" si="69"/>
        <v>0.22222222222222221</v>
      </c>
      <c r="Y184">
        <f>step3_validation[[#This Row],[AI_TRU2]]</f>
        <v>6</v>
      </c>
      <c r="Z184">
        <f t="shared" si="70"/>
        <v>0.55555555555555558</v>
      </c>
      <c r="AA184">
        <f>survey_responses[[#This Row],[Tôi thấy mức thuế tôi phải đóng theo phương án mới là công bằng (người thu nhập như tôi đóng mức này là hợp lý). - HUMAN-TRU2]]</f>
        <v>2</v>
      </c>
      <c r="AB184">
        <f t="shared" si="71"/>
        <v>0.1111111111111111</v>
      </c>
      <c r="AC184">
        <f>step3_validation[[#This Row],[AI_TRU3]]</f>
        <v>7</v>
      </c>
      <c r="AD184">
        <f t="shared" si="72"/>
        <v>0.66666666666666663</v>
      </c>
      <c r="AE184">
        <f>survey_responses[[#This Row],[Tôi tin tưởng số tiền thuế tôi đóng sẽ được Nhà nước sử dụng hiệu quả để cải thiện dịch vụ công (y tế, đường xá...). - HUMAN-TRU3]]</f>
        <v>1</v>
      </c>
      <c r="AF184">
        <f t="shared" si="73"/>
        <v>0</v>
      </c>
      <c r="AG184">
        <f>step3_validation[[#This Row],[AI_TRU4]]</f>
        <v>7</v>
      </c>
      <c r="AH184">
        <f t="shared" si="74"/>
        <v>0.66666666666666663</v>
      </c>
      <c r="AI184">
        <f>survey_responses[[#This Row],[Tôi thấy Nhà nước đã giải thích rõ ràng, minh bạch về lý do và mục tiêu của việc sửa đổi thuế lần này. - HUMAN-TRU4]]</f>
        <v>5</v>
      </c>
      <c r="AJ184">
        <f t="shared" si="75"/>
        <v>0.44444444444444442</v>
      </c>
      <c r="AK184" s="32">
        <f t="shared" si="76"/>
        <v>0.66666666666666663</v>
      </c>
      <c r="AL184" s="32">
        <f t="shared" si="77"/>
        <v>0.19444444444444442</v>
      </c>
      <c r="AM184" s="7">
        <f t="shared" si="78"/>
        <v>0.66666666666666663</v>
      </c>
      <c r="AN184" s="7">
        <f t="shared" si="79"/>
        <v>0.26851851851851855</v>
      </c>
      <c r="AO184">
        <f>step3_validation[[#This Row],[AI_OUT1]]</f>
        <v>8</v>
      </c>
      <c r="AP184">
        <f t="shared" si="80"/>
        <v>0.77777777777777779</v>
      </c>
      <c r="AQ184">
        <f>survey_responses[[#This Row],[Sau khi xem xét các quyền lợi và nghĩa vụ, bạn có ủng hộ và tuân thủ chính sách mới hiện nay? - HUMAN-OUT1]]</f>
        <v>5</v>
      </c>
      <c r="AR184">
        <f t="shared" si="81"/>
        <v>0.44444444444444442</v>
      </c>
      <c r="AS184" s="32">
        <f t="shared" si="82"/>
        <v>3</v>
      </c>
      <c r="AT184">
        <f t="shared" si="83"/>
        <v>0</v>
      </c>
    </row>
    <row r="185" spans="1:46" x14ac:dyDescent="0.45">
      <c r="A185">
        <f>step3_validation[[#This Row],[AI_ENF1]]</f>
        <v>6</v>
      </c>
      <c r="B185">
        <f t="shared" si="56"/>
        <v>0.55555555555555558</v>
      </c>
      <c r="C185">
        <f>survey_responses[[#This Row],[Tôi tin rằng với các quy định quản lý thuế hiện nay, hành vi gian lận hoặc trốn thuế sẽ dễ dàng bị phát hiện và xử lý nghiêm. - HUMAN-ENF1]]</f>
        <v>6</v>
      </c>
      <c r="D185">
        <f t="shared" si="57"/>
        <v>0.55555555555555558</v>
      </c>
      <c r="E185">
        <f>step3_validation[[#This Row],[AI_ENF2]]</f>
        <v>7</v>
      </c>
      <c r="F185">
        <f t="shared" si="58"/>
        <v>0.66666666666666663</v>
      </c>
      <c r="G185">
        <f>survey_responses[[#This Row],[Tôi tin rằng Nhà nước, cơ quan thuế có đủ khả năng và công nghệ để phát hiện, xử lý nghiêm các hành vi trốn thuế. - HUMAN-ENF2]]</f>
        <v>6</v>
      </c>
      <c r="H185">
        <f t="shared" si="59"/>
        <v>0.55555555555555558</v>
      </c>
      <c r="I185" s="32">
        <f t="shared" si="60"/>
        <v>0.61111111111111116</v>
      </c>
      <c r="J185" s="32">
        <f t="shared" si="61"/>
        <v>0.55555555555555558</v>
      </c>
      <c r="K185">
        <f>step3_validation[[#This Row],[AI_FAC1]]</f>
        <v>8</v>
      </c>
      <c r="L185">
        <f t="shared" si="62"/>
        <v>0.77777777777777779</v>
      </c>
      <c r="M185">
        <f>survey_responses[[#This Row],[Các thủ tục khai báo thuế VÀ/HOẶC quy trình làm việc với cơ quan thuế đơn giản, tiện lợi, nhanh chóng hơn so với trước đây. - HUMAN-FAC1]]</f>
        <v>5</v>
      </c>
      <c r="N185">
        <f t="shared" si="63"/>
        <v>0.44444444444444442</v>
      </c>
      <c r="O185">
        <f>step3_validation[[#This Row],[AI_FAC2]]</f>
        <v>9</v>
      </c>
      <c r="P185">
        <f t="shared" si="64"/>
        <v>0.88888888888888884</v>
      </c>
      <c r="Q185">
        <f>survey_responses[[#This Row],[So với trước đây, tôi thấy cách tính thuế và các bậc thuế trong phương án mới đơn giản, dễ hiểu và dễ thực hiện hơn. - HUMAN-FAC2]]</f>
        <v>9</v>
      </c>
      <c r="R185">
        <f t="shared" si="65"/>
        <v>0.88888888888888884</v>
      </c>
      <c r="S185" s="32">
        <f t="shared" si="66"/>
        <v>0.83333333333333326</v>
      </c>
      <c r="T185" s="32">
        <f t="shared" si="67"/>
        <v>0.66666666666666663</v>
      </c>
      <c r="U185">
        <f>step3_validation[[#This Row],[AI_TRU1]]</f>
        <v>7</v>
      </c>
      <c r="V185">
        <f t="shared" si="68"/>
        <v>0.66666666666666663</v>
      </c>
      <c r="W185">
        <f>survey_responses[[#This Row],[Tôi tin rằng Nhà nước, cơ quan thuế sẽ thực thi chính sách mới một cách khách quan, công tâm và đối xử bình đẳng với mọi người nộp thuế.  - HUMAN-TRU1]]</f>
        <v>7</v>
      </c>
      <c r="X185">
        <f t="shared" si="69"/>
        <v>0.66666666666666663</v>
      </c>
      <c r="Y185">
        <f>step3_validation[[#This Row],[AI_TRU2]]</f>
        <v>8</v>
      </c>
      <c r="Z185">
        <f t="shared" si="70"/>
        <v>0.77777777777777779</v>
      </c>
      <c r="AA185">
        <f>survey_responses[[#This Row],[Tôi thấy mức thuế tôi phải đóng theo phương án mới là công bằng (người thu nhập như tôi đóng mức này là hợp lý). - HUMAN-TRU2]]</f>
        <v>8</v>
      </c>
      <c r="AB185">
        <f t="shared" si="71"/>
        <v>0.77777777777777779</v>
      </c>
      <c r="AC185">
        <f>step3_validation[[#This Row],[AI_TRU3]]</f>
        <v>7</v>
      </c>
      <c r="AD185">
        <f t="shared" si="72"/>
        <v>0.66666666666666663</v>
      </c>
      <c r="AE185">
        <f>survey_responses[[#This Row],[Tôi tin tưởng số tiền thuế tôi đóng sẽ được Nhà nước sử dụng hiệu quả để cải thiện dịch vụ công (y tế, đường xá...). - HUMAN-TRU3]]</f>
        <v>5</v>
      </c>
      <c r="AF185">
        <f t="shared" si="73"/>
        <v>0.44444444444444442</v>
      </c>
      <c r="AG185">
        <f>step3_validation[[#This Row],[AI_TRU4]]</f>
        <v>9</v>
      </c>
      <c r="AH185">
        <f t="shared" si="74"/>
        <v>0.88888888888888884</v>
      </c>
      <c r="AI185">
        <f>survey_responses[[#This Row],[Tôi thấy Nhà nước đã giải thích rõ ràng, minh bạch về lý do và mục tiêu của việc sửa đổi thuế lần này. - HUMAN-TRU4]]</f>
        <v>7</v>
      </c>
      <c r="AJ185">
        <f t="shared" si="75"/>
        <v>0.66666666666666663</v>
      </c>
      <c r="AK185" s="32">
        <f t="shared" si="76"/>
        <v>0.75</v>
      </c>
      <c r="AL185" s="32">
        <f t="shared" si="77"/>
        <v>0.63888888888888884</v>
      </c>
      <c r="AM185" s="7">
        <f t="shared" si="78"/>
        <v>0.73148148148148151</v>
      </c>
      <c r="AN185" s="7">
        <f t="shared" si="79"/>
        <v>0.62037037037037035</v>
      </c>
      <c r="AO185">
        <f>step3_validation[[#This Row],[AI_OUT1]]</f>
        <v>8</v>
      </c>
      <c r="AP185">
        <f t="shared" si="80"/>
        <v>0.77777777777777779</v>
      </c>
      <c r="AQ185">
        <f>survey_responses[[#This Row],[Sau khi xem xét các quyền lợi và nghĩa vụ, bạn có ủng hộ và tuân thủ chính sách mới hiện nay? - HUMAN-OUT1]]</f>
        <v>7</v>
      </c>
      <c r="AR185">
        <f t="shared" si="81"/>
        <v>0.66666666666666663</v>
      </c>
      <c r="AS185" s="32">
        <f t="shared" si="82"/>
        <v>1</v>
      </c>
      <c r="AT185">
        <f t="shared" si="83"/>
        <v>1</v>
      </c>
    </row>
    <row r="186" spans="1:46" x14ac:dyDescent="0.45">
      <c r="A186">
        <f>step3_validation[[#This Row],[AI_ENF1]]</f>
        <v>7</v>
      </c>
      <c r="B186">
        <f t="shared" si="56"/>
        <v>0.66666666666666663</v>
      </c>
      <c r="C186">
        <f>survey_responses[[#This Row],[Tôi tin rằng với các quy định quản lý thuế hiện nay, hành vi gian lận hoặc trốn thuế sẽ dễ dàng bị phát hiện và xử lý nghiêm. - HUMAN-ENF1]]</f>
        <v>7</v>
      </c>
      <c r="D186">
        <f t="shared" si="57"/>
        <v>0.66666666666666663</v>
      </c>
      <c r="E186">
        <f>step3_validation[[#This Row],[AI_ENF2]]</f>
        <v>8</v>
      </c>
      <c r="F186">
        <f t="shared" si="58"/>
        <v>0.77777777777777779</v>
      </c>
      <c r="G186">
        <f>survey_responses[[#This Row],[Tôi tin rằng Nhà nước, cơ quan thuế có đủ khả năng và công nghệ để phát hiện, xử lý nghiêm các hành vi trốn thuế. - HUMAN-ENF2]]</f>
        <v>7</v>
      </c>
      <c r="H186">
        <f t="shared" si="59"/>
        <v>0.66666666666666663</v>
      </c>
      <c r="I186" s="32">
        <f t="shared" si="60"/>
        <v>0.72222222222222221</v>
      </c>
      <c r="J186" s="32">
        <f t="shared" si="61"/>
        <v>0.66666666666666663</v>
      </c>
      <c r="K186">
        <f>step3_validation[[#This Row],[AI_FAC1]]</f>
        <v>9</v>
      </c>
      <c r="L186">
        <f t="shared" si="62"/>
        <v>0.88888888888888884</v>
      </c>
      <c r="M186">
        <f>survey_responses[[#This Row],[Các thủ tục khai báo thuế VÀ/HOẶC quy trình làm việc với cơ quan thuế đơn giản, tiện lợi, nhanh chóng hơn so với trước đây. - HUMAN-FAC1]]</f>
        <v>6</v>
      </c>
      <c r="N186">
        <f t="shared" si="63"/>
        <v>0.55555555555555558</v>
      </c>
      <c r="O186">
        <f>step3_validation[[#This Row],[AI_FAC2]]</f>
        <v>8</v>
      </c>
      <c r="P186">
        <f t="shared" si="64"/>
        <v>0.77777777777777779</v>
      </c>
      <c r="Q186">
        <f>survey_responses[[#This Row],[So với trước đây, tôi thấy cách tính thuế và các bậc thuế trong phương án mới đơn giản, dễ hiểu và dễ thực hiện hơn. - HUMAN-FAC2]]</f>
        <v>8</v>
      </c>
      <c r="R186">
        <f t="shared" si="65"/>
        <v>0.77777777777777779</v>
      </c>
      <c r="S186" s="32">
        <f t="shared" si="66"/>
        <v>0.83333333333333326</v>
      </c>
      <c r="T186" s="32">
        <f t="shared" si="67"/>
        <v>0.66666666666666674</v>
      </c>
      <c r="U186">
        <f>step3_validation[[#This Row],[AI_TRU1]]</f>
        <v>7</v>
      </c>
      <c r="V186">
        <f t="shared" si="68"/>
        <v>0.66666666666666663</v>
      </c>
      <c r="W186">
        <f>survey_responses[[#This Row],[Tôi tin rằng Nhà nước, cơ quan thuế sẽ thực thi chính sách mới một cách khách quan, công tâm và đối xử bình đẳng với mọi người nộp thuế.  - HUMAN-TRU1]]</f>
        <v>5</v>
      </c>
      <c r="X186">
        <f t="shared" si="69"/>
        <v>0.44444444444444442</v>
      </c>
      <c r="Y186">
        <f>step3_validation[[#This Row],[AI_TRU2]]</f>
        <v>8</v>
      </c>
      <c r="Z186">
        <f t="shared" si="70"/>
        <v>0.77777777777777779</v>
      </c>
      <c r="AA186">
        <f>survey_responses[[#This Row],[Tôi thấy mức thuế tôi phải đóng theo phương án mới là công bằng (người thu nhập như tôi đóng mức này là hợp lý). - HUMAN-TRU2]]</f>
        <v>5</v>
      </c>
      <c r="AB186">
        <f t="shared" si="71"/>
        <v>0.44444444444444442</v>
      </c>
      <c r="AC186">
        <f>step3_validation[[#This Row],[AI_TRU3]]</f>
        <v>7</v>
      </c>
      <c r="AD186">
        <f t="shared" si="72"/>
        <v>0.66666666666666663</v>
      </c>
      <c r="AE186">
        <f>survey_responses[[#This Row],[Tôi tin tưởng số tiền thuế tôi đóng sẽ được Nhà nước sử dụng hiệu quả để cải thiện dịch vụ công (y tế, đường xá...). - HUMAN-TRU3]]</f>
        <v>5</v>
      </c>
      <c r="AF186">
        <f t="shared" si="73"/>
        <v>0.44444444444444442</v>
      </c>
      <c r="AG186">
        <f>step3_validation[[#This Row],[AI_TRU4]]</f>
        <v>6</v>
      </c>
      <c r="AH186">
        <f t="shared" si="74"/>
        <v>0.55555555555555558</v>
      </c>
      <c r="AI186">
        <f>survey_responses[[#This Row],[Tôi thấy Nhà nước đã giải thích rõ ràng, minh bạch về lý do và mục tiêu của việc sửa đổi thuế lần này. - HUMAN-TRU4]]</f>
        <v>6</v>
      </c>
      <c r="AJ186">
        <f t="shared" si="75"/>
        <v>0.55555555555555558</v>
      </c>
      <c r="AK186" s="32">
        <f t="shared" si="76"/>
        <v>0.66666666666666674</v>
      </c>
      <c r="AL186" s="32">
        <f t="shared" si="77"/>
        <v>0.47222222222222221</v>
      </c>
      <c r="AM186" s="7">
        <f t="shared" si="78"/>
        <v>0.74074074074074081</v>
      </c>
      <c r="AN186" s="7">
        <f t="shared" si="79"/>
        <v>0.60185185185185197</v>
      </c>
      <c r="AO186">
        <f>step3_validation[[#This Row],[AI_OUT1]]</f>
        <v>8</v>
      </c>
      <c r="AP186">
        <f t="shared" si="80"/>
        <v>0.77777777777777779</v>
      </c>
      <c r="AQ186">
        <f>survey_responses[[#This Row],[Sau khi xem xét các quyền lợi và nghĩa vụ, bạn có ủng hộ và tuân thủ chính sách mới hiện nay? - HUMAN-OUT1]]</f>
        <v>5</v>
      </c>
      <c r="AR186">
        <f t="shared" si="81"/>
        <v>0.44444444444444442</v>
      </c>
      <c r="AS186" s="32">
        <f t="shared" si="82"/>
        <v>3</v>
      </c>
      <c r="AT186">
        <f t="shared" si="83"/>
        <v>0</v>
      </c>
    </row>
    <row r="187" spans="1:46" x14ac:dyDescent="0.45">
      <c r="A187">
        <f>step3_validation[[#This Row],[AI_ENF1]]</f>
        <v>6</v>
      </c>
      <c r="B187">
        <f t="shared" si="56"/>
        <v>0.55555555555555558</v>
      </c>
      <c r="C187">
        <f>survey_responses[[#This Row],[Tôi tin rằng với các quy định quản lý thuế hiện nay, hành vi gian lận hoặc trốn thuế sẽ dễ dàng bị phát hiện và xử lý nghiêm. - HUMAN-ENF1]]</f>
        <v>7</v>
      </c>
      <c r="D187">
        <f t="shared" si="57"/>
        <v>0.66666666666666663</v>
      </c>
      <c r="E187">
        <f>step3_validation[[#This Row],[AI_ENF2]]</f>
        <v>7</v>
      </c>
      <c r="F187">
        <f t="shared" si="58"/>
        <v>0.66666666666666663</v>
      </c>
      <c r="G187">
        <f>survey_responses[[#This Row],[Tôi tin rằng Nhà nước, cơ quan thuế có đủ khả năng và công nghệ để phát hiện, xử lý nghiêm các hành vi trốn thuế. - HUMAN-ENF2]]</f>
        <v>7</v>
      </c>
      <c r="H187">
        <f t="shared" si="59"/>
        <v>0.66666666666666663</v>
      </c>
      <c r="I187" s="32">
        <f t="shared" si="60"/>
        <v>0.61111111111111116</v>
      </c>
      <c r="J187" s="32">
        <f t="shared" si="61"/>
        <v>0.66666666666666663</v>
      </c>
      <c r="K187">
        <f>step3_validation[[#This Row],[AI_FAC1]]</f>
        <v>8</v>
      </c>
      <c r="L187">
        <f t="shared" si="62"/>
        <v>0.77777777777777779</v>
      </c>
      <c r="M187">
        <f>survey_responses[[#This Row],[Các thủ tục khai báo thuế VÀ/HOẶC quy trình làm việc với cơ quan thuế đơn giản, tiện lợi, nhanh chóng hơn so với trước đây. - HUMAN-FAC1]]</f>
        <v>5</v>
      </c>
      <c r="N187">
        <f t="shared" si="63"/>
        <v>0.44444444444444442</v>
      </c>
      <c r="O187">
        <f>step3_validation[[#This Row],[AI_FAC2]]</f>
        <v>9</v>
      </c>
      <c r="P187">
        <f t="shared" si="64"/>
        <v>0.88888888888888884</v>
      </c>
      <c r="Q187">
        <f>survey_responses[[#This Row],[So với trước đây, tôi thấy cách tính thuế và các bậc thuế trong phương án mới đơn giản, dễ hiểu và dễ thực hiện hơn. - HUMAN-FAC2]]</f>
        <v>7</v>
      </c>
      <c r="R187">
        <f t="shared" si="65"/>
        <v>0.66666666666666663</v>
      </c>
      <c r="S187" s="32">
        <f t="shared" si="66"/>
        <v>0.83333333333333326</v>
      </c>
      <c r="T187" s="32">
        <f t="shared" si="67"/>
        <v>0.55555555555555558</v>
      </c>
      <c r="U187">
        <f>step3_validation[[#This Row],[AI_TRU1]]</f>
        <v>7</v>
      </c>
      <c r="V187">
        <f t="shared" si="68"/>
        <v>0.66666666666666663</v>
      </c>
      <c r="W187">
        <f>survey_responses[[#This Row],[Tôi tin rằng Nhà nước, cơ quan thuế sẽ thực thi chính sách mới một cách khách quan, công tâm và đối xử bình đẳng với mọi người nộp thuế.  - HUMAN-TRU1]]</f>
        <v>5</v>
      </c>
      <c r="X187">
        <f t="shared" si="69"/>
        <v>0.44444444444444442</v>
      </c>
      <c r="Y187">
        <f>step3_validation[[#This Row],[AI_TRU2]]</f>
        <v>8</v>
      </c>
      <c r="Z187">
        <f t="shared" si="70"/>
        <v>0.77777777777777779</v>
      </c>
      <c r="AA187">
        <f>survey_responses[[#This Row],[Tôi thấy mức thuế tôi phải đóng theo phương án mới là công bằng (người thu nhập như tôi đóng mức này là hợp lý). - HUMAN-TRU2]]</f>
        <v>5</v>
      </c>
      <c r="AB187">
        <f t="shared" si="71"/>
        <v>0.44444444444444442</v>
      </c>
      <c r="AC187">
        <f>step3_validation[[#This Row],[AI_TRU3]]</f>
        <v>6</v>
      </c>
      <c r="AD187">
        <f t="shared" si="72"/>
        <v>0.55555555555555558</v>
      </c>
      <c r="AE187">
        <f>survey_responses[[#This Row],[Tôi tin tưởng số tiền thuế tôi đóng sẽ được Nhà nước sử dụng hiệu quả để cải thiện dịch vụ công (y tế, đường xá...). - HUMAN-TRU3]]</f>
        <v>5</v>
      </c>
      <c r="AF187">
        <f t="shared" si="73"/>
        <v>0.44444444444444442</v>
      </c>
      <c r="AG187">
        <f>step3_validation[[#This Row],[AI_TRU4]]</f>
        <v>7</v>
      </c>
      <c r="AH187">
        <f t="shared" si="74"/>
        <v>0.66666666666666663</v>
      </c>
      <c r="AI187">
        <f>survey_responses[[#This Row],[Tôi thấy Nhà nước đã giải thích rõ ràng, minh bạch về lý do và mục tiêu của việc sửa đổi thuế lần này. - HUMAN-TRU4]]</f>
        <v>5</v>
      </c>
      <c r="AJ187">
        <f t="shared" si="75"/>
        <v>0.44444444444444442</v>
      </c>
      <c r="AK187" s="32">
        <f t="shared" si="76"/>
        <v>0.66666666666666663</v>
      </c>
      <c r="AL187" s="32">
        <f t="shared" si="77"/>
        <v>0.44444444444444442</v>
      </c>
      <c r="AM187" s="7">
        <f t="shared" si="78"/>
        <v>0.70370370370370372</v>
      </c>
      <c r="AN187" s="7">
        <f t="shared" si="79"/>
        <v>0.55555555555555558</v>
      </c>
      <c r="AO187">
        <f>step3_validation[[#This Row],[AI_OUT1]]</f>
        <v>8</v>
      </c>
      <c r="AP187">
        <f t="shared" si="80"/>
        <v>0.77777777777777779</v>
      </c>
      <c r="AQ187">
        <f>survey_responses[[#This Row],[Sau khi xem xét các quyền lợi và nghĩa vụ, bạn có ủng hộ và tuân thủ chính sách mới hiện nay? - HUMAN-OUT1]]</f>
        <v>6</v>
      </c>
      <c r="AR187">
        <f t="shared" si="81"/>
        <v>0.55555555555555558</v>
      </c>
      <c r="AS187" s="32">
        <f t="shared" si="82"/>
        <v>2</v>
      </c>
      <c r="AT187">
        <f t="shared" si="83"/>
        <v>1</v>
      </c>
    </row>
    <row r="188" spans="1:46" x14ac:dyDescent="0.45">
      <c r="A188">
        <f>step3_validation[[#This Row],[AI_ENF1]]</f>
        <v>7</v>
      </c>
      <c r="B188">
        <f t="shared" si="56"/>
        <v>0.66666666666666663</v>
      </c>
      <c r="C188">
        <f>survey_responses[[#This Row],[Tôi tin rằng với các quy định quản lý thuế hiện nay, hành vi gian lận hoặc trốn thuế sẽ dễ dàng bị phát hiện và xử lý nghiêm. - HUMAN-ENF1]]</f>
        <v>6</v>
      </c>
      <c r="D188">
        <f t="shared" si="57"/>
        <v>0.55555555555555558</v>
      </c>
      <c r="E188">
        <f>step3_validation[[#This Row],[AI_ENF2]]</f>
        <v>6</v>
      </c>
      <c r="F188">
        <f t="shared" si="58"/>
        <v>0.55555555555555558</v>
      </c>
      <c r="G188">
        <f>survey_responses[[#This Row],[Tôi tin rằng Nhà nước, cơ quan thuế có đủ khả năng và công nghệ để phát hiện, xử lý nghiêm các hành vi trốn thuế. - HUMAN-ENF2]]</f>
        <v>7</v>
      </c>
      <c r="H188">
        <f t="shared" si="59"/>
        <v>0.66666666666666663</v>
      </c>
      <c r="I188" s="32">
        <f t="shared" si="60"/>
        <v>0.61111111111111116</v>
      </c>
      <c r="J188" s="32">
        <f t="shared" si="61"/>
        <v>0.61111111111111116</v>
      </c>
      <c r="K188">
        <f>step3_validation[[#This Row],[AI_FAC1]]</f>
        <v>8</v>
      </c>
      <c r="L188">
        <f t="shared" si="62"/>
        <v>0.77777777777777779</v>
      </c>
      <c r="M188">
        <f>survey_responses[[#This Row],[Các thủ tục khai báo thuế VÀ/HOẶC quy trình làm việc với cơ quan thuế đơn giản, tiện lợi, nhanh chóng hơn so với trước đây. - HUMAN-FAC1]]</f>
        <v>6</v>
      </c>
      <c r="N188">
        <f t="shared" si="63"/>
        <v>0.55555555555555558</v>
      </c>
      <c r="O188">
        <f>step3_validation[[#This Row],[AI_FAC2]]</f>
        <v>9</v>
      </c>
      <c r="P188">
        <f t="shared" si="64"/>
        <v>0.88888888888888884</v>
      </c>
      <c r="Q188">
        <f>survey_responses[[#This Row],[So với trước đây, tôi thấy cách tính thuế và các bậc thuế trong phương án mới đơn giản, dễ hiểu và dễ thực hiện hơn. - HUMAN-FAC2]]</f>
        <v>7</v>
      </c>
      <c r="R188">
        <f t="shared" si="65"/>
        <v>0.66666666666666663</v>
      </c>
      <c r="S188" s="32">
        <f t="shared" si="66"/>
        <v>0.83333333333333326</v>
      </c>
      <c r="T188" s="32">
        <f t="shared" si="67"/>
        <v>0.61111111111111116</v>
      </c>
      <c r="U188">
        <f>step3_validation[[#This Row],[AI_TRU1]]</f>
        <v>8</v>
      </c>
      <c r="V188">
        <f t="shared" si="68"/>
        <v>0.77777777777777779</v>
      </c>
      <c r="W188">
        <f>survey_responses[[#This Row],[Tôi tin rằng Nhà nước, cơ quan thuế sẽ thực thi chính sách mới một cách khách quan, công tâm và đối xử bình đẳng với mọi người nộp thuế.  - HUMAN-TRU1]]</f>
        <v>6</v>
      </c>
      <c r="X188">
        <f t="shared" si="69"/>
        <v>0.55555555555555558</v>
      </c>
      <c r="Y188">
        <f>step3_validation[[#This Row],[AI_TRU2]]</f>
        <v>7</v>
      </c>
      <c r="Z188">
        <f t="shared" si="70"/>
        <v>0.66666666666666663</v>
      </c>
      <c r="AA188">
        <f>survey_responses[[#This Row],[Tôi thấy mức thuế tôi phải đóng theo phương án mới là công bằng (người thu nhập như tôi đóng mức này là hợp lý). - HUMAN-TRU2]]</f>
        <v>6</v>
      </c>
      <c r="AB188">
        <f t="shared" si="71"/>
        <v>0.55555555555555558</v>
      </c>
      <c r="AC188">
        <f>step3_validation[[#This Row],[AI_TRU3]]</f>
        <v>8</v>
      </c>
      <c r="AD188">
        <f t="shared" si="72"/>
        <v>0.77777777777777779</v>
      </c>
      <c r="AE188">
        <f>survey_responses[[#This Row],[Tôi tin tưởng số tiền thuế tôi đóng sẽ được Nhà nước sử dụng hiệu quả để cải thiện dịch vụ công (y tế, đường xá...). - HUMAN-TRU3]]</f>
        <v>5</v>
      </c>
      <c r="AF188">
        <f t="shared" si="73"/>
        <v>0.44444444444444442</v>
      </c>
      <c r="AG188">
        <f>step3_validation[[#This Row],[AI_TRU4]]</f>
        <v>7</v>
      </c>
      <c r="AH188">
        <f t="shared" si="74"/>
        <v>0.66666666666666663</v>
      </c>
      <c r="AI188">
        <f>survey_responses[[#This Row],[Tôi thấy Nhà nước đã giải thích rõ ràng, minh bạch về lý do và mục tiêu của việc sửa đổi thuế lần này. - HUMAN-TRU4]]</f>
        <v>5</v>
      </c>
      <c r="AJ188">
        <f t="shared" si="75"/>
        <v>0.44444444444444442</v>
      </c>
      <c r="AK188" s="32">
        <f t="shared" si="76"/>
        <v>0.72222222222222221</v>
      </c>
      <c r="AL188" s="32">
        <f t="shared" si="77"/>
        <v>0.5</v>
      </c>
      <c r="AM188" s="7">
        <f t="shared" si="78"/>
        <v>0.72222222222222221</v>
      </c>
      <c r="AN188" s="7">
        <f t="shared" si="79"/>
        <v>0.57407407407407407</v>
      </c>
      <c r="AO188">
        <f>step3_validation[[#This Row],[AI_OUT1]]</f>
        <v>8</v>
      </c>
      <c r="AP188">
        <f t="shared" si="80"/>
        <v>0.77777777777777779</v>
      </c>
      <c r="AQ188">
        <f>survey_responses[[#This Row],[Sau khi xem xét các quyền lợi và nghĩa vụ, bạn có ủng hộ và tuân thủ chính sách mới hiện nay? - HUMAN-OUT1]]</f>
        <v>6</v>
      </c>
      <c r="AR188">
        <f t="shared" si="81"/>
        <v>0.55555555555555558</v>
      </c>
      <c r="AS188" s="32">
        <f t="shared" si="82"/>
        <v>2</v>
      </c>
      <c r="AT188">
        <f t="shared" si="83"/>
        <v>1</v>
      </c>
    </row>
    <row r="189" spans="1:46" x14ac:dyDescent="0.45">
      <c r="A189">
        <f>step3_validation[[#This Row],[AI_ENF1]]</f>
        <v>8</v>
      </c>
      <c r="B189">
        <f t="shared" si="56"/>
        <v>0.77777777777777779</v>
      </c>
      <c r="C189">
        <f>survey_responses[[#This Row],[Tôi tin rằng với các quy định quản lý thuế hiện nay, hành vi gian lận hoặc trốn thuế sẽ dễ dàng bị phát hiện và xử lý nghiêm. - HUMAN-ENF1]]</f>
        <v>5</v>
      </c>
      <c r="D189">
        <f t="shared" si="57"/>
        <v>0.44444444444444442</v>
      </c>
      <c r="E189">
        <f>step3_validation[[#This Row],[AI_ENF2]]</f>
        <v>9</v>
      </c>
      <c r="F189">
        <f t="shared" si="58"/>
        <v>0.88888888888888884</v>
      </c>
      <c r="G189">
        <f>survey_responses[[#This Row],[Tôi tin rằng Nhà nước, cơ quan thuế có đủ khả năng và công nghệ để phát hiện, xử lý nghiêm các hành vi trốn thuế. - HUMAN-ENF2]]</f>
        <v>5</v>
      </c>
      <c r="H189">
        <f t="shared" si="59"/>
        <v>0.44444444444444442</v>
      </c>
      <c r="I189" s="32">
        <f t="shared" si="60"/>
        <v>0.83333333333333326</v>
      </c>
      <c r="J189" s="32">
        <f t="shared" si="61"/>
        <v>0.44444444444444442</v>
      </c>
      <c r="K189">
        <f>step3_validation[[#This Row],[AI_FAC1]]</f>
        <v>8</v>
      </c>
      <c r="L189">
        <f t="shared" si="62"/>
        <v>0.77777777777777779</v>
      </c>
      <c r="M189">
        <f>survey_responses[[#This Row],[Các thủ tục khai báo thuế VÀ/HOẶC quy trình làm việc với cơ quan thuế đơn giản, tiện lợi, nhanh chóng hơn so với trước đây. - HUMAN-FAC1]]</f>
        <v>4</v>
      </c>
      <c r="N189">
        <f t="shared" si="63"/>
        <v>0.33333333333333331</v>
      </c>
      <c r="O189">
        <f>step3_validation[[#This Row],[AI_FAC2]]</f>
        <v>9</v>
      </c>
      <c r="P189">
        <f t="shared" si="64"/>
        <v>0.88888888888888884</v>
      </c>
      <c r="Q189">
        <f>survey_responses[[#This Row],[So với trước đây, tôi thấy cách tính thuế và các bậc thuế trong phương án mới đơn giản, dễ hiểu và dễ thực hiện hơn. - HUMAN-FAC2]]</f>
        <v>6</v>
      </c>
      <c r="R189">
        <f t="shared" si="65"/>
        <v>0.55555555555555558</v>
      </c>
      <c r="S189" s="32">
        <f t="shared" si="66"/>
        <v>0.83333333333333326</v>
      </c>
      <c r="T189" s="32">
        <f t="shared" si="67"/>
        <v>0.44444444444444442</v>
      </c>
      <c r="U189">
        <f>step3_validation[[#This Row],[AI_TRU1]]</f>
        <v>8</v>
      </c>
      <c r="V189">
        <f t="shared" si="68"/>
        <v>0.77777777777777779</v>
      </c>
      <c r="W189">
        <f>survey_responses[[#This Row],[Tôi tin rằng Nhà nước, cơ quan thuế sẽ thực thi chính sách mới một cách khách quan, công tâm và đối xử bình đẳng với mọi người nộp thuế.  - HUMAN-TRU1]]</f>
        <v>5</v>
      </c>
      <c r="X189">
        <f t="shared" si="69"/>
        <v>0.44444444444444442</v>
      </c>
      <c r="Y189">
        <f>step3_validation[[#This Row],[AI_TRU2]]</f>
        <v>9</v>
      </c>
      <c r="Z189">
        <f t="shared" si="70"/>
        <v>0.88888888888888884</v>
      </c>
      <c r="AA189">
        <f>survey_responses[[#This Row],[Tôi thấy mức thuế tôi phải đóng theo phương án mới là công bằng (người thu nhập như tôi đóng mức này là hợp lý). - HUMAN-TRU2]]</f>
        <v>5</v>
      </c>
      <c r="AB189">
        <f t="shared" si="71"/>
        <v>0.44444444444444442</v>
      </c>
      <c r="AC189">
        <f>step3_validation[[#This Row],[AI_TRU3]]</f>
        <v>8</v>
      </c>
      <c r="AD189">
        <f t="shared" si="72"/>
        <v>0.77777777777777779</v>
      </c>
      <c r="AE189">
        <f>survey_responses[[#This Row],[Tôi tin tưởng số tiền thuế tôi đóng sẽ được Nhà nước sử dụng hiệu quả để cải thiện dịch vụ công (y tế, đường xá...). - HUMAN-TRU3]]</f>
        <v>5</v>
      </c>
      <c r="AF189">
        <f t="shared" si="73"/>
        <v>0.44444444444444442</v>
      </c>
      <c r="AG189">
        <f>step3_validation[[#This Row],[AI_TRU4]]</f>
        <v>7</v>
      </c>
      <c r="AH189">
        <f t="shared" si="74"/>
        <v>0.66666666666666663</v>
      </c>
      <c r="AI189">
        <f>survey_responses[[#This Row],[Tôi thấy Nhà nước đã giải thích rõ ràng, minh bạch về lý do và mục tiêu của việc sửa đổi thuế lần này. - HUMAN-TRU4]]</f>
        <v>5</v>
      </c>
      <c r="AJ189">
        <f t="shared" si="75"/>
        <v>0.44444444444444442</v>
      </c>
      <c r="AK189" s="32">
        <f t="shared" si="76"/>
        <v>0.77777777777777768</v>
      </c>
      <c r="AL189" s="32">
        <f t="shared" si="77"/>
        <v>0.44444444444444442</v>
      </c>
      <c r="AM189" s="7">
        <f t="shared" si="78"/>
        <v>0.81481481481481477</v>
      </c>
      <c r="AN189" s="7">
        <f t="shared" si="79"/>
        <v>0.44444444444444442</v>
      </c>
      <c r="AO189">
        <f>step3_validation[[#This Row],[AI_OUT1]]</f>
        <v>8</v>
      </c>
      <c r="AP189">
        <f t="shared" si="80"/>
        <v>0.77777777777777779</v>
      </c>
      <c r="AQ189">
        <f>survey_responses[[#This Row],[Sau khi xem xét các quyền lợi và nghĩa vụ, bạn có ủng hộ và tuân thủ chính sách mới hiện nay? - HUMAN-OUT1]]</f>
        <v>5</v>
      </c>
      <c r="AR189">
        <f t="shared" si="81"/>
        <v>0.44444444444444442</v>
      </c>
      <c r="AS189" s="32">
        <f t="shared" si="82"/>
        <v>3</v>
      </c>
      <c r="AT189">
        <f t="shared" si="83"/>
        <v>0</v>
      </c>
    </row>
    <row r="190" spans="1:46" x14ac:dyDescent="0.45">
      <c r="A190">
        <f>step3_validation[[#This Row],[AI_ENF1]]</f>
        <v>7</v>
      </c>
      <c r="B190">
        <f t="shared" si="56"/>
        <v>0.66666666666666663</v>
      </c>
      <c r="C190">
        <f>survey_responses[[#This Row],[Tôi tin rằng với các quy định quản lý thuế hiện nay, hành vi gian lận hoặc trốn thuế sẽ dễ dàng bị phát hiện và xử lý nghiêm. - HUMAN-ENF1]]</f>
        <v>8</v>
      </c>
      <c r="D190">
        <f t="shared" si="57"/>
        <v>0.77777777777777779</v>
      </c>
      <c r="E190">
        <f>step3_validation[[#This Row],[AI_ENF2]]</f>
        <v>8</v>
      </c>
      <c r="F190">
        <f t="shared" si="58"/>
        <v>0.77777777777777779</v>
      </c>
      <c r="G190">
        <f>survey_responses[[#This Row],[Tôi tin rằng Nhà nước, cơ quan thuế có đủ khả năng và công nghệ để phát hiện, xử lý nghiêm các hành vi trốn thuế. - HUMAN-ENF2]]</f>
        <v>8</v>
      </c>
      <c r="H190">
        <f t="shared" si="59"/>
        <v>0.77777777777777779</v>
      </c>
      <c r="I190" s="32">
        <f t="shared" si="60"/>
        <v>0.72222222222222221</v>
      </c>
      <c r="J190" s="32">
        <f t="shared" si="61"/>
        <v>0.77777777777777779</v>
      </c>
      <c r="K190">
        <f>step3_validation[[#This Row],[AI_FAC1]]</f>
        <v>6</v>
      </c>
      <c r="L190">
        <f t="shared" si="62"/>
        <v>0.55555555555555558</v>
      </c>
      <c r="M190">
        <f>survey_responses[[#This Row],[Các thủ tục khai báo thuế VÀ/HOẶC quy trình làm việc với cơ quan thuế đơn giản, tiện lợi, nhanh chóng hơn so với trước đây. - HUMAN-FAC1]]</f>
        <v>5</v>
      </c>
      <c r="N190">
        <f t="shared" si="63"/>
        <v>0.44444444444444442</v>
      </c>
      <c r="O190">
        <f>step3_validation[[#This Row],[AI_FAC2]]</f>
        <v>8</v>
      </c>
      <c r="P190">
        <f t="shared" si="64"/>
        <v>0.77777777777777779</v>
      </c>
      <c r="Q190">
        <f>survey_responses[[#This Row],[So với trước đây, tôi thấy cách tính thuế và các bậc thuế trong phương án mới đơn giản, dễ hiểu và dễ thực hiện hơn. - HUMAN-FAC2]]</f>
        <v>7</v>
      </c>
      <c r="R190">
        <f t="shared" si="65"/>
        <v>0.66666666666666663</v>
      </c>
      <c r="S190" s="32">
        <f t="shared" si="66"/>
        <v>0.66666666666666674</v>
      </c>
      <c r="T190" s="32">
        <f t="shared" si="67"/>
        <v>0.55555555555555558</v>
      </c>
      <c r="U190">
        <f>step3_validation[[#This Row],[AI_TRU1]]</f>
        <v>7</v>
      </c>
      <c r="V190">
        <f t="shared" si="68"/>
        <v>0.66666666666666663</v>
      </c>
      <c r="W190">
        <f>survey_responses[[#This Row],[Tôi tin rằng Nhà nước, cơ quan thuế sẽ thực thi chính sách mới một cách khách quan, công tâm và đối xử bình đẳng với mọi người nộp thuế.  - HUMAN-TRU1]]</f>
        <v>6</v>
      </c>
      <c r="X190">
        <f t="shared" si="69"/>
        <v>0.55555555555555558</v>
      </c>
      <c r="Y190">
        <f>step3_validation[[#This Row],[AI_TRU2]]</f>
        <v>8</v>
      </c>
      <c r="Z190">
        <f t="shared" si="70"/>
        <v>0.77777777777777779</v>
      </c>
      <c r="AA190">
        <f>survey_responses[[#This Row],[Tôi thấy mức thuế tôi phải đóng theo phương án mới là công bằng (người thu nhập như tôi đóng mức này là hợp lý). - HUMAN-TRU2]]</f>
        <v>8</v>
      </c>
      <c r="AB190">
        <f t="shared" si="71"/>
        <v>0.77777777777777779</v>
      </c>
      <c r="AC190">
        <f>step3_validation[[#This Row],[AI_TRU3]]</f>
        <v>7</v>
      </c>
      <c r="AD190">
        <f t="shared" si="72"/>
        <v>0.66666666666666663</v>
      </c>
      <c r="AE190">
        <f>survey_responses[[#This Row],[Tôi tin tưởng số tiền thuế tôi đóng sẽ được Nhà nước sử dụng hiệu quả để cải thiện dịch vụ công (y tế, đường xá...). - HUMAN-TRU3]]</f>
        <v>5</v>
      </c>
      <c r="AF190">
        <f t="shared" si="73"/>
        <v>0.44444444444444442</v>
      </c>
      <c r="AG190">
        <f>step3_validation[[#This Row],[AI_TRU4]]</f>
        <v>8</v>
      </c>
      <c r="AH190">
        <f t="shared" si="74"/>
        <v>0.77777777777777779</v>
      </c>
      <c r="AI190">
        <f>survey_responses[[#This Row],[Tôi thấy Nhà nước đã giải thích rõ ràng, minh bạch về lý do và mục tiêu của việc sửa đổi thuế lần này. - HUMAN-TRU4]]</f>
        <v>7</v>
      </c>
      <c r="AJ190">
        <f t="shared" si="75"/>
        <v>0.66666666666666663</v>
      </c>
      <c r="AK190" s="32">
        <f t="shared" si="76"/>
        <v>0.72222222222222221</v>
      </c>
      <c r="AL190" s="32">
        <f t="shared" si="77"/>
        <v>0.61111111111111116</v>
      </c>
      <c r="AM190" s="7">
        <f t="shared" si="78"/>
        <v>0.70370370370370372</v>
      </c>
      <c r="AN190" s="7">
        <f t="shared" si="79"/>
        <v>0.64814814814814825</v>
      </c>
      <c r="AO190">
        <f>step3_validation[[#This Row],[AI_OUT1]]</f>
        <v>9</v>
      </c>
      <c r="AP190">
        <f t="shared" si="80"/>
        <v>0.88888888888888884</v>
      </c>
      <c r="AQ190">
        <f>survey_responses[[#This Row],[Sau khi xem xét các quyền lợi và nghĩa vụ, bạn có ủng hộ và tuân thủ chính sách mới hiện nay? - HUMAN-OUT1]]</f>
        <v>8</v>
      </c>
      <c r="AR190">
        <f t="shared" si="81"/>
        <v>0.77777777777777779</v>
      </c>
      <c r="AS190" s="32">
        <f t="shared" si="82"/>
        <v>1</v>
      </c>
      <c r="AT190">
        <f t="shared" si="83"/>
        <v>1</v>
      </c>
    </row>
    <row r="191" spans="1:46" x14ac:dyDescent="0.45">
      <c r="A191">
        <f>step3_validation[[#This Row],[AI_ENF1]]</f>
        <v>7</v>
      </c>
      <c r="B191">
        <f t="shared" si="56"/>
        <v>0.66666666666666663</v>
      </c>
      <c r="C191">
        <f>survey_responses[[#This Row],[Tôi tin rằng với các quy định quản lý thuế hiện nay, hành vi gian lận hoặc trốn thuế sẽ dễ dàng bị phát hiện và xử lý nghiêm. - HUMAN-ENF1]]</f>
        <v>7</v>
      </c>
      <c r="D191">
        <f t="shared" si="57"/>
        <v>0.66666666666666663</v>
      </c>
      <c r="E191">
        <f>step3_validation[[#This Row],[AI_ENF2]]</f>
        <v>6</v>
      </c>
      <c r="F191">
        <f t="shared" si="58"/>
        <v>0.55555555555555558</v>
      </c>
      <c r="G191">
        <f>survey_responses[[#This Row],[Tôi tin rằng Nhà nước, cơ quan thuế có đủ khả năng và công nghệ để phát hiện, xử lý nghiêm các hành vi trốn thuế. - HUMAN-ENF2]]</f>
        <v>7</v>
      </c>
      <c r="H191">
        <f t="shared" si="59"/>
        <v>0.66666666666666663</v>
      </c>
      <c r="I191" s="32">
        <f t="shared" si="60"/>
        <v>0.61111111111111116</v>
      </c>
      <c r="J191" s="32">
        <f t="shared" si="61"/>
        <v>0.66666666666666663</v>
      </c>
      <c r="K191">
        <f>step3_validation[[#This Row],[AI_FAC1]]</f>
        <v>8</v>
      </c>
      <c r="L191">
        <f t="shared" si="62"/>
        <v>0.77777777777777779</v>
      </c>
      <c r="M191">
        <f>survey_responses[[#This Row],[Các thủ tục khai báo thuế VÀ/HOẶC quy trình làm việc với cơ quan thuế đơn giản, tiện lợi, nhanh chóng hơn so với trước đây. - HUMAN-FAC1]]</f>
        <v>7</v>
      </c>
      <c r="N191">
        <f t="shared" si="63"/>
        <v>0.66666666666666663</v>
      </c>
      <c r="O191">
        <f>step3_validation[[#This Row],[AI_FAC2]]</f>
        <v>9</v>
      </c>
      <c r="P191">
        <f t="shared" si="64"/>
        <v>0.88888888888888884</v>
      </c>
      <c r="Q191">
        <f>survey_responses[[#This Row],[So với trước đây, tôi thấy cách tính thuế và các bậc thuế trong phương án mới đơn giản, dễ hiểu và dễ thực hiện hơn. - HUMAN-FAC2]]</f>
        <v>8</v>
      </c>
      <c r="R191">
        <f t="shared" si="65"/>
        <v>0.77777777777777779</v>
      </c>
      <c r="S191" s="32">
        <f t="shared" si="66"/>
        <v>0.83333333333333326</v>
      </c>
      <c r="T191" s="32">
        <f t="shared" si="67"/>
        <v>0.72222222222222221</v>
      </c>
      <c r="U191">
        <f>step3_validation[[#This Row],[AI_TRU1]]</f>
        <v>7</v>
      </c>
      <c r="V191">
        <f t="shared" si="68"/>
        <v>0.66666666666666663</v>
      </c>
      <c r="W191">
        <f>survey_responses[[#This Row],[Tôi tin rằng Nhà nước, cơ quan thuế sẽ thực thi chính sách mới một cách khách quan, công tâm và đối xử bình đẳng với mọi người nộp thuế.  - HUMAN-TRU1]]</f>
        <v>3</v>
      </c>
      <c r="X191">
        <f t="shared" si="69"/>
        <v>0.22222222222222221</v>
      </c>
      <c r="Y191">
        <f>step3_validation[[#This Row],[AI_TRU2]]</f>
        <v>8</v>
      </c>
      <c r="Z191">
        <f t="shared" si="70"/>
        <v>0.77777777777777779</v>
      </c>
      <c r="AA191">
        <f>survey_responses[[#This Row],[Tôi thấy mức thuế tôi phải đóng theo phương án mới là công bằng (người thu nhập như tôi đóng mức này là hợp lý). - HUMAN-TRU2]]</f>
        <v>3</v>
      </c>
      <c r="AB191">
        <f t="shared" si="71"/>
        <v>0.22222222222222221</v>
      </c>
      <c r="AC191">
        <f>step3_validation[[#This Row],[AI_TRU3]]</f>
        <v>7</v>
      </c>
      <c r="AD191">
        <f t="shared" si="72"/>
        <v>0.66666666666666663</v>
      </c>
      <c r="AE191">
        <f>survey_responses[[#This Row],[Tôi tin tưởng số tiền thuế tôi đóng sẽ được Nhà nước sử dụng hiệu quả để cải thiện dịch vụ công (y tế, đường xá...). - HUMAN-TRU3]]</f>
        <v>2</v>
      </c>
      <c r="AF191">
        <f t="shared" si="73"/>
        <v>0.1111111111111111</v>
      </c>
      <c r="AG191">
        <f>step3_validation[[#This Row],[AI_TRU4]]</f>
        <v>6</v>
      </c>
      <c r="AH191">
        <f t="shared" si="74"/>
        <v>0.55555555555555558</v>
      </c>
      <c r="AI191">
        <f>survey_responses[[#This Row],[Tôi thấy Nhà nước đã giải thích rõ ràng, minh bạch về lý do và mục tiêu của việc sửa đổi thuế lần này. - HUMAN-TRU4]]</f>
        <v>3</v>
      </c>
      <c r="AJ191">
        <f t="shared" si="75"/>
        <v>0.22222222222222221</v>
      </c>
      <c r="AK191" s="32">
        <f t="shared" si="76"/>
        <v>0.66666666666666674</v>
      </c>
      <c r="AL191" s="32">
        <f t="shared" si="77"/>
        <v>0.19444444444444445</v>
      </c>
      <c r="AM191" s="7">
        <f t="shared" si="78"/>
        <v>0.70370370370370372</v>
      </c>
      <c r="AN191" s="7">
        <f t="shared" si="79"/>
        <v>0.52777777777777779</v>
      </c>
      <c r="AO191">
        <f>step3_validation[[#This Row],[AI_OUT1]]</f>
        <v>7</v>
      </c>
      <c r="AP191">
        <f t="shared" si="80"/>
        <v>0.66666666666666663</v>
      </c>
      <c r="AQ191">
        <f>survey_responses[[#This Row],[Sau khi xem xét các quyền lợi và nghĩa vụ, bạn có ủng hộ và tuân thủ chính sách mới hiện nay? - HUMAN-OUT1]]</f>
        <v>8</v>
      </c>
      <c r="AR191">
        <f t="shared" si="81"/>
        <v>0.77777777777777779</v>
      </c>
      <c r="AS191" s="32">
        <f t="shared" si="82"/>
        <v>1</v>
      </c>
      <c r="AT191">
        <f t="shared" si="83"/>
        <v>1</v>
      </c>
    </row>
    <row r="192" spans="1:46" x14ac:dyDescent="0.45">
      <c r="A192">
        <f>step3_validation[[#This Row],[AI_ENF1]]</f>
        <v>7</v>
      </c>
      <c r="B192">
        <f t="shared" si="56"/>
        <v>0.66666666666666663</v>
      </c>
      <c r="C192">
        <f>survey_responses[[#This Row],[Tôi tin rằng với các quy định quản lý thuế hiện nay, hành vi gian lận hoặc trốn thuế sẽ dễ dàng bị phát hiện và xử lý nghiêm. - HUMAN-ENF1]]</f>
        <v>7</v>
      </c>
      <c r="D192">
        <f t="shared" si="57"/>
        <v>0.66666666666666663</v>
      </c>
      <c r="E192">
        <f>step3_validation[[#This Row],[AI_ENF2]]</f>
        <v>8</v>
      </c>
      <c r="F192">
        <f t="shared" si="58"/>
        <v>0.77777777777777779</v>
      </c>
      <c r="G192">
        <f>survey_responses[[#This Row],[Tôi tin rằng Nhà nước, cơ quan thuế có đủ khả năng và công nghệ để phát hiện, xử lý nghiêm các hành vi trốn thuế. - HUMAN-ENF2]]</f>
        <v>7</v>
      </c>
      <c r="H192">
        <f t="shared" si="59"/>
        <v>0.66666666666666663</v>
      </c>
      <c r="I192" s="32">
        <f t="shared" si="60"/>
        <v>0.72222222222222221</v>
      </c>
      <c r="J192" s="32">
        <f t="shared" si="61"/>
        <v>0.66666666666666663</v>
      </c>
      <c r="K192">
        <f>step3_validation[[#This Row],[AI_FAC1]]</f>
        <v>7</v>
      </c>
      <c r="L192">
        <f t="shared" si="62"/>
        <v>0.66666666666666663</v>
      </c>
      <c r="M192">
        <f>survey_responses[[#This Row],[Các thủ tục khai báo thuế VÀ/HOẶC quy trình làm việc với cơ quan thuế đơn giản, tiện lợi, nhanh chóng hơn so với trước đây. - HUMAN-FAC1]]</f>
        <v>6</v>
      </c>
      <c r="N192">
        <f t="shared" si="63"/>
        <v>0.55555555555555558</v>
      </c>
      <c r="O192">
        <f>step3_validation[[#This Row],[AI_FAC2]]</f>
        <v>9</v>
      </c>
      <c r="P192">
        <f t="shared" si="64"/>
        <v>0.88888888888888884</v>
      </c>
      <c r="Q192">
        <f>survey_responses[[#This Row],[So với trước đây, tôi thấy cách tính thuế và các bậc thuế trong phương án mới đơn giản, dễ hiểu và dễ thực hiện hơn. - HUMAN-FAC2]]</f>
        <v>8</v>
      </c>
      <c r="R192">
        <f t="shared" si="65"/>
        <v>0.77777777777777779</v>
      </c>
      <c r="S192" s="32">
        <f t="shared" si="66"/>
        <v>0.77777777777777768</v>
      </c>
      <c r="T192" s="32">
        <f t="shared" si="67"/>
        <v>0.66666666666666674</v>
      </c>
      <c r="U192">
        <f>step3_validation[[#This Row],[AI_TRU1]]</f>
        <v>6</v>
      </c>
      <c r="V192">
        <f t="shared" si="68"/>
        <v>0.55555555555555558</v>
      </c>
      <c r="W192">
        <f>survey_responses[[#This Row],[Tôi tin rằng Nhà nước, cơ quan thuế sẽ thực thi chính sách mới một cách khách quan, công tâm và đối xử bình đẳng với mọi người nộp thuế.  - HUMAN-TRU1]]</f>
        <v>7</v>
      </c>
      <c r="X192">
        <f t="shared" si="69"/>
        <v>0.66666666666666663</v>
      </c>
      <c r="Y192">
        <f>step3_validation[[#This Row],[AI_TRU2]]</f>
        <v>8</v>
      </c>
      <c r="Z192">
        <f t="shared" si="70"/>
        <v>0.77777777777777779</v>
      </c>
      <c r="AA192">
        <f>survey_responses[[#This Row],[Tôi thấy mức thuế tôi phải đóng theo phương án mới là công bằng (người thu nhập như tôi đóng mức này là hợp lý). - HUMAN-TRU2]]</f>
        <v>8</v>
      </c>
      <c r="AB192">
        <f t="shared" si="71"/>
        <v>0.77777777777777779</v>
      </c>
      <c r="AC192">
        <f>step3_validation[[#This Row],[AI_TRU3]]</f>
        <v>6</v>
      </c>
      <c r="AD192">
        <f t="shared" si="72"/>
        <v>0.55555555555555558</v>
      </c>
      <c r="AE192">
        <f>survey_responses[[#This Row],[Tôi tin tưởng số tiền thuế tôi đóng sẽ được Nhà nước sử dụng hiệu quả để cải thiện dịch vụ công (y tế, đường xá...). - HUMAN-TRU3]]</f>
        <v>7</v>
      </c>
      <c r="AF192">
        <f t="shared" si="73"/>
        <v>0.66666666666666663</v>
      </c>
      <c r="AG192">
        <f>step3_validation[[#This Row],[AI_TRU4]]</f>
        <v>7</v>
      </c>
      <c r="AH192">
        <f t="shared" si="74"/>
        <v>0.66666666666666663</v>
      </c>
      <c r="AI192">
        <f>survey_responses[[#This Row],[Tôi thấy Nhà nước đã giải thích rõ ràng, minh bạch về lý do và mục tiêu của việc sửa đổi thuế lần này. - HUMAN-TRU4]]</f>
        <v>7</v>
      </c>
      <c r="AJ192">
        <f t="shared" si="75"/>
        <v>0.66666666666666663</v>
      </c>
      <c r="AK192" s="32">
        <f t="shared" si="76"/>
        <v>0.63888888888888895</v>
      </c>
      <c r="AL192" s="32">
        <f t="shared" si="77"/>
        <v>0.69444444444444442</v>
      </c>
      <c r="AM192" s="7">
        <f t="shared" si="78"/>
        <v>0.71296296296296291</v>
      </c>
      <c r="AN192" s="7">
        <f t="shared" si="79"/>
        <v>0.67592592592592593</v>
      </c>
      <c r="AO192">
        <f>step3_validation[[#This Row],[AI_OUT1]]</f>
        <v>6</v>
      </c>
      <c r="AP192">
        <f t="shared" si="80"/>
        <v>0.55555555555555558</v>
      </c>
      <c r="AQ192">
        <f>survey_responses[[#This Row],[Sau khi xem xét các quyền lợi và nghĩa vụ, bạn có ủng hộ và tuân thủ chính sách mới hiện nay? - HUMAN-OUT1]]</f>
        <v>7</v>
      </c>
      <c r="AR192">
        <f t="shared" si="81"/>
        <v>0.66666666666666663</v>
      </c>
      <c r="AS192" s="32">
        <f t="shared" si="82"/>
        <v>1</v>
      </c>
      <c r="AT192">
        <f t="shared" si="83"/>
        <v>1</v>
      </c>
    </row>
    <row r="193" spans="1:46" x14ac:dyDescent="0.45">
      <c r="A193">
        <f>step3_validation[[#This Row],[AI_ENF1]]</f>
        <v>7</v>
      </c>
      <c r="B193">
        <f t="shared" si="56"/>
        <v>0.66666666666666663</v>
      </c>
      <c r="C193">
        <f>survey_responses[[#This Row],[Tôi tin rằng với các quy định quản lý thuế hiện nay, hành vi gian lận hoặc trốn thuế sẽ dễ dàng bị phát hiện và xử lý nghiêm. - HUMAN-ENF1]]</f>
        <v>8</v>
      </c>
      <c r="D193">
        <f t="shared" si="57"/>
        <v>0.77777777777777779</v>
      </c>
      <c r="E193">
        <f>step3_validation[[#This Row],[AI_ENF2]]</f>
        <v>8</v>
      </c>
      <c r="F193">
        <f t="shared" si="58"/>
        <v>0.77777777777777779</v>
      </c>
      <c r="G193">
        <f>survey_responses[[#This Row],[Tôi tin rằng Nhà nước, cơ quan thuế có đủ khả năng và công nghệ để phát hiện, xử lý nghiêm các hành vi trốn thuế. - HUMAN-ENF2]]</f>
        <v>8</v>
      </c>
      <c r="H193">
        <f t="shared" si="59"/>
        <v>0.77777777777777779</v>
      </c>
      <c r="I193" s="32">
        <f t="shared" si="60"/>
        <v>0.72222222222222221</v>
      </c>
      <c r="J193" s="32">
        <f t="shared" si="61"/>
        <v>0.77777777777777779</v>
      </c>
      <c r="K193">
        <f>step3_validation[[#This Row],[AI_FAC1]]</f>
        <v>5</v>
      </c>
      <c r="L193">
        <f t="shared" si="62"/>
        <v>0.44444444444444442</v>
      </c>
      <c r="M193">
        <f>survey_responses[[#This Row],[Các thủ tục khai báo thuế VÀ/HOẶC quy trình làm việc với cơ quan thuế đơn giản, tiện lợi, nhanh chóng hơn so với trước đây. - HUMAN-FAC1]]</f>
        <v>9</v>
      </c>
      <c r="N193">
        <f t="shared" si="63"/>
        <v>0.88888888888888884</v>
      </c>
      <c r="O193">
        <f>step3_validation[[#This Row],[AI_FAC2]]</f>
        <v>8</v>
      </c>
      <c r="P193">
        <f t="shared" si="64"/>
        <v>0.77777777777777779</v>
      </c>
      <c r="Q193">
        <f>survey_responses[[#This Row],[So với trước đây, tôi thấy cách tính thuế và các bậc thuế trong phương án mới đơn giản, dễ hiểu và dễ thực hiện hơn. - HUMAN-FAC2]]</f>
        <v>9</v>
      </c>
      <c r="R193">
        <f t="shared" si="65"/>
        <v>0.88888888888888884</v>
      </c>
      <c r="S193" s="32">
        <f t="shared" si="66"/>
        <v>0.61111111111111116</v>
      </c>
      <c r="T193" s="32">
        <f t="shared" si="67"/>
        <v>0.88888888888888884</v>
      </c>
      <c r="U193">
        <f>step3_validation[[#This Row],[AI_TRU1]]</f>
        <v>7</v>
      </c>
      <c r="V193">
        <f t="shared" si="68"/>
        <v>0.66666666666666663</v>
      </c>
      <c r="W193">
        <f>survey_responses[[#This Row],[Tôi tin rằng Nhà nước, cơ quan thuế sẽ thực thi chính sách mới một cách khách quan, công tâm và đối xử bình đẳng với mọi người nộp thuế.  - HUMAN-TRU1]]</f>
        <v>9</v>
      </c>
      <c r="X193">
        <f t="shared" si="69"/>
        <v>0.88888888888888884</v>
      </c>
      <c r="Y193">
        <f>step3_validation[[#This Row],[AI_TRU2]]</f>
        <v>6</v>
      </c>
      <c r="Z193">
        <f t="shared" si="70"/>
        <v>0.55555555555555558</v>
      </c>
      <c r="AA193">
        <f>survey_responses[[#This Row],[Tôi thấy mức thuế tôi phải đóng theo phương án mới là công bằng (người thu nhập như tôi đóng mức này là hợp lý). - HUMAN-TRU2]]</f>
        <v>9</v>
      </c>
      <c r="AB193">
        <f t="shared" si="71"/>
        <v>0.88888888888888884</v>
      </c>
      <c r="AC193">
        <f>step3_validation[[#This Row],[AI_TRU3]]</f>
        <v>7</v>
      </c>
      <c r="AD193">
        <f t="shared" si="72"/>
        <v>0.66666666666666663</v>
      </c>
      <c r="AE193">
        <f>survey_responses[[#This Row],[Tôi tin tưởng số tiền thuế tôi đóng sẽ được Nhà nước sử dụng hiệu quả để cải thiện dịch vụ công (y tế, đường xá...). - HUMAN-TRU3]]</f>
        <v>8</v>
      </c>
      <c r="AF193">
        <f t="shared" si="73"/>
        <v>0.77777777777777779</v>
      </c>
      <c r="AG193">
        <f>step3_validation[[#This Row],[AI_TRU4]]</f>
        <v>6</v>
      </c>
      <c r="AH193">
        <f t="shared" si="74"/>
        <v>0.55555555555555558</v>
      </c>
      <c r="AI193">
        <f>survey_responses[[#This Row],[Tôi thấy Nhà nước đã giải thích rõ ràng, minh bạch về lý do và mục tiêu của việc sửa đổi thuế lần này. - HUMAN-TRU4]]</f>
        <v>8</v>
      </c>
      <c r="AJ193">
        <f t="shared" si="75"/>
        <v>0.77777777777777779</v>
      </c>
      <c r="AK193" s="32">
        <f t="shared" si="76"/>
        <v>0.61111111111111116</v>
      </c>
      <c r="AL193" s="32">
        <f t="shared" si="77"/>
        <v>0.83333333333333326</v>
      </c>
      <c r="AM193" s="7">
        <f t="shared" si="78"/>
        <v>0.64814814814814825</v>
      </c>
      <c r="AN193" s="7">
        <f t="shared" si="79"/>
        <v>0.83333333333333337</v>
      </c>
      <c r="AO193">
        <f>step3_validation[[#This Row],[AI_OUT1]]</f>
        <v>5</v>
      </c>
      <c r="AP193">
        <f t="shared" si="80"/>
        <v>0.44444444444444442</v>
      </c>
      <c r="AQ193">
        <f>survey_responses[[#This Row],[Sau khi xem xét các quyền lợi và nghĩa vụ, bạn có ủng hộ và tuân thủ chính sách mới hiện nay? - HUMAN-OUT1]]</f>
        <v>9</v>
      </c>
      <c r="AR193">
        <f t="shared" si="81"/>
        <v>0.88888888888888884</v>
      </c>
      <c r="AS193" s="32">
        <f t="shared" si="82"/>
        <v>4</v>
      </c>
      <c r="AT193">
        <f t="shared" si="83"/>
        <v>1</v>
      </c>
    </row>
    <row r="194" spans="1:46" x14ac:dyDescent="0.45">
      <c r="A194">
        <f>step3_validation[[#This Row],[AI_ENF1]]</f>
        <v>8</v>
      </c>
      <c r="B194">
        <f t="shared" si="56"/>
        <v>0.77777777777777779</v>
      </c>
      <c r="C194">
        <f>survey_responses[[#This Row],[Tôi tin rằng với các quy định quản lý thuế hiện nay, hành vi gian lận hoặc trốn thuế sẽ dễ dàng bị phát hiện và xử lý nghiêm. - HUMAN-ENF1]]</f>
        <v>1</v>
      </c>
      <c r="D194">
        <f t="shared" si="57"/>
        <v>0</v>
      </c>
      <c r="E194">
        <f>step3_validation[[#This Row],[AI_ENF2]]</f>
        <v>9</v>
      </c>
      <c r="F194">
        <f t="shared" si="58"/>
        <v>0.88888888888888884</v>
      </c>
      <c r="G194">
        <f>survey_responses[[#This Row],[Tôi tin rằng Nhà nước, cơ quan thuế có đủ khả năng và công nghệ để phát hiện, xử lý nghiêm các hành vi trốn thuế. - HUMAN-ENF2]]</f>
        <v>1</v>
      </c>
      <c r="H194">
        <f t="shared" si="59"/>
        <v>0</v>
      </c>
      <c r="I194" s="32">
        <f t="shared" si="60"/>
        <v>0.83333333333333326</v>
      </c>
      <c r="J194" s="32">
        <f t="shared" si="61"/>
        <v>0</v>
      </c>
      <c r="K194">
        <f>step3_validation[[#This Row],[AI_FAC1]]</f>
        <v>8</v>
      </c>
      <c r="L194">
        <f t="shared" si="62"/>
        <v>0.77777777777777779</v>
      </c>
      <c r="M194">
        <f>survey_responses[[#This Row],[Các thủ tục khai báo thuế VÀ/HOẶC quy trình làm việc với cơ quan thuế đơn giản, tiện lợi, nhanh chóng hơn so với trước đây. - HUMAN-FAC1]]</f>
        <v>7</v>
      </c>
      <c r="N194">
        <f t="shared" si="63"/>
        <v>0.66666666666666663</v>
      </c>
      <c r="O194">
        <f>step3_validation[[#This Row],[AI_FAC2]]</f>
        <v>7</v>
      </c>
      <c r="P194">
        <f t="shared" si="64"/>
        <v>0.66666666666666663</v>
      </c>
      <c r="Q194">
        <f>survey_responses[[#This Row],[So với trước đây, tôi thấy cách tính thuế và các bậc thuế trong phương án mới đơn giản, dễ hiểu và dễ thực hiện hơn. - HUMAN-FAC2]]</f>
        <v>5</v>
      </c>
      <c r="R194">
        <f t="shared" si="65"/>
        <v>0.44444444444444442</v>
      </c>
      <c r="S194" s="32">
        <f t="shared" si="66"/>
        <v>0.72222222222222221</v>
      </c>
      <c r="T194" s="32">
        <f t="shared" si="67"/>
        <v>0.55555555555555558</v>
      </c>
      <c r="U194">
        <f>step3_validation[[#This Row],[AI_TRU1]]</f>
        <v>8</v>
      </c>
      <c r="V194">
        <f t="shared" si="68"/>
        <v>0.77777777777777779</v>
      </c>
      <c r="W194">
        <f>survey_responses[[#This Row],[Tôi tin rằng Nhà nước, cơ quan thuế sẽ thực thi chính sách mới một cách khách quan, công tâm và đối xử bình đẳng với mọi người nộp thuế.  - HUMAN-TRU1]]</f>
        <v>5</v>
      </c>
      <c r="X194">
        <f t="shared" si="69"/>
        <v>0.44444444444444442</v>
      </c>
      <c r="Y194">
        <f>step3_validation[[#This Row],[AI_TRU2]]</f>
        <v>7</v>
      </c>
      <c r="Z194">
        <f t="shared" si="70"/>
        <v>0.66666666666666663</v>
      </c>
      <c r="AA194">
        <f>survey_responses[[#This Row],[Tôi thấy mức thuế tôi phải đóng theo phương án mới là công bằng (người thu nhập như tôi đóng mức này là hợp lý). - HUMAN-TRU2]]</f>
        <v>7</v>
      </c>
      <c r="AB194">
        <f t="shared" si="71"/>
        <v>0.66666666666666663</v>
      </c>
      <c r="AC194">
        <f>step3_validation[[#This Row],[AI_TRU3]]</f>
        <v>8</v>
      </c>
      <c r="AD194">
        <f t="shared" si="72"/>
        <v>0.77777777777777779</v>
      </c>
      <c r="AE194">
        <f>survey_responses[[#This Row],[Tôi tin tưởng số tiền thuế tôi đóng sẽ được Nhà nước sử dụng hiệu quả để cải thiện dịch vụ công (y tế, đường xá...). - HUMAN-TRU3]]</f>
        <v>2</v>
      </c>
      <c r="AF194">
        <f t="shared" si="73"/>
        <v>0.1111111111111111</v>
      </c>
      <c r="AG194">
        <f>step3_validation[[#This Row],[AI_TRU4]]</f>
        <v>6</v>
      </c>
      <c r="AH194">
        <f t="shared" si="74"/>
        <v>0.55555555555555558</v>
      </c>
      <c r="AI194">
        <f>survey_responses[[#This Row],[Tôi thấy Nhà nước đã giải thích rõ ràng, minh bạch về lý do và mục tiêu của việc sửa đổi thuế lần này. - HUMAN-TRU4]]</f>
        <v>5</v>
      </c>
      <c r="AJ194">
        <f t="shared" si="75"/>
        <v>0.44444444444444442</v>
      </c>
      <c r="AK194" s="32">
        <f t="shared" si="76"/>
        <v>0.69444444444444442</v>
      </c>
      <c r="AL194" s="32">
        <f t="shared" si="77"/>
        <v>0.41666666666666669</v>
      </c>
      <c r="AM194" s="7">
        <f t="shared" si="78"/>
        <v>0.75</v>
      </c>
      <c r="AN194" s="7">
        <f t="shared" si="79"/>
        <v>0.32407407407407413</v>
      </c>
      <c r="AO194">
        <f>step3_validation[[#This Row],[AI_OUT1]]</f>
        <v>8</v>
      </c>
      <c r="AP194">
        <f t="shared" si="80"/>
        <v>0.77777777777777779</v>
      </c>
      <c r="AQ194">
        <f>survey_responses[[#This Row],[Sau khi xem xét các quyền lợi và nghĩa vụ, bạn có ủng hộ và tuân thủ chính sách mới hiện nay? - HUMAN-OUT1]]</f>
        <v>5</v>
      </c>
      <c r="AR194">
        <f t="shared" si="81"/>
        <v>0.44444444444444442</v>
      </c>
      <c r="AS194" s="32">
        <f t="shared" si="82"/>
        <v>3</v>
      </c>
      <c r="AT194">
        <f t="shared" si="83"/>
        <v>0</v>
      </c>
    </row>
    <row r="195" spans="1:46" x14ac:dyDescent="0.45">
      <c r="A195">
        <f>step3_validation[[#This Row],[AI_ENF1]]</f>
        <v>7</v>
      </c>
      <c r="B195">
        <f t="shared" ref="B195:B258" si="84">(A195-1)/9</f>
        <v>0.66666666666666663</v>
      </c>
      <c r="C195">
        <f>survey_responses[[#This Row],[Tôi tin rằng với các quy định quản lý thuế hiện nay, hành vi gian lận hoặc trốn thuế sẽ dễ dàng bị phát hiện và xử lý nghiêm. - HUMAN-ENF1]]</f>
        <v>10</v>
      </c>
      <c r="D195">
        <f t="shared" ref="D195:D258" si="85">(C195-1)/9</f>
        <v>1</v>
      </c>
      <c r="E195">
        <f>step3_validation[[#This Row],[AI_ENF2]]</f>
        <v>6</v>
      </c>
      <c r="F195">
        <f t="shared" ref="F195:F258" si="86">(E195-1)/9</f>
        <v>0.55555555555555558</v>
      </c>
      <c r="G195">
        <f>survey_responses[[#This Row],[Tôi tin rằng Nhà nước, cơ quan thuế có đủ khả năng và công nghệ để phát hiện, xử lý nghiêm các hành vi trốn thuế. - HUMAN-ENF2]]</f>
        <v>10</v>
      </c>
      <c r="H195">
        <f t="shared" ref="H195:H258" si="87">(G195-1)/9</f>
        <v>1</v>
      </c>
      <c r="I195" s="32">
        <f t="shared" ref="I195:I258" si="88">AVERAGE(B195,F195)</f>
        <v>0.61111111111111116</v>
      </c>
      <c r="J195" s="32">
        <f t="shared" ref="J195:J258" si="89">AVERAGE(D195,H195)</f>
        <v>1</v>
      </c>
      <c r="K195">
        <f>step3_validation[[#This Row],[AI_FAC1]]</f>
        <v>8</v>
      </c>
      <c r="L195">
        <f t="shared" ref="L195:L258" si="90">(K195-1)/9</f>
        <v>0.77777777777777779</v>
      </c>
      <c r="M195">
        <f>survey_responses[[#This Row],[Các thủ tục khai báo thuế VÀ/HOẶC quy trình làm việc với cơ quan thuế đơn giản, tiện lợi, nhanh chóng hơn so với trước đây. - HUMAN-FAC1]]</f>
        <v>6</v>
      </c>
      <c r="N195">
        <f t="shared" ref="N195:N258" si="91">(M195-1)/9</f>
        <v>0.55555555555555558</v>
      </c>
      <c r="O195">
        <f>step3_validation[[#This Row],[AI_FAC2]]</f>
        <v>9</v>
      </c>
      <c r="P195">
        <f t="shared" ref="P195:P258" si="92">(O195-1)/9</f>
        <v>0.88888888888888884</v>
      </c>
      <c r="Q195">
        <f>survey_responses[[#This Row],[So với trước đây, tôi thấy cách tính thuế và các bậc thuế trong phương án mới đơn giản, dễ hiểu và dễ thực hiện hơn. - HUMAN-FAC2]]</f>
        <v>4</v>
      </c>
      <c r="R195">
        <f t="shared" ref="R195:R258" si="93">(Q195-1)/9</f>
        <v>0.33333333333333331</v>
      </c>
      <c r="S195" s="32">
        <f t="shared" ref="S195:S258" si="94">AVERAGE(L195,P195)</f>
        <v>0.83333333333333326</v>
      </c>
      <c r="T195" s="32">
        <f t="shared" ref="T195:T258" si="95">AVERAGE(N195,R195)</f>
        <v>0.44444444444444442</v>
      </c>
      <c r="U195">
        <f>step3_validation[[#This Row],[AI_TRU1]]</f>
        <v>8</v>
      </c>
      <c r="V195">
        <f t="shared" ref="V195:V258" si="96">(U195-1)/9</f>
        <v>0.77777777777777779</v>
      </c>
      <c r="W195">
        <f>survey_responses[[#This Row],[Tôi tin rằng Nhà nước, cơ quan thuế sẽ thực thi chính sách mới một cách khách quan, công tâm và đối xử bình đẳng với mọi người nộp thuế.  - HUMAN-TRU1]]</f>
        <v>8</v>
      </c>
      <c r="X195">
        <f t="shared" ref="X195:X258" si="97">(W195-1)/9</f>
        <v>0.77777777777777779</v>
      </c>
      <c r="Y195">
        <f>step3_validation[[#This Row],[AI_TRU2]]</f>
        <v>7</v>
      </c>
      <c r="Z195">
        <f t="shared" ref="Z195:Z258" si="98">(Y195-1)/9</f>
        <v>0.66666666666666663</v>
      </c>
      <c r="AA195">
        <f>survey_responses[[#This Row],[Tôi thấy mức thuế tôi phải đóng theo phương án mới là công bằng (người thu nhập như tôi đóng mức này là hợp lý). - HUMAN-TRU2]]</f>
        <v>3</v>
      </c>
      <c r="AB195">
        <f t="shared" ref="AB195:AB258" si="99">(AA195-1)/9</f>
        <v>0.22222222222222221</v>
      </c>
      <c r="AC195">
        <f>step3_validation[[#This Row],[AI_TRU3]]</f>
        <v>8</v>
      </c>
      <c r="AD195">
        <f t="shared" ref="AD195:AD258" si="100">(AC195-1)/9</f>
        <v>0.77777777777777779</v>
      </c>
      <c r="AE195">
        <f>survey_responses[[#This Row],[Tôi tin tưởng số tiền thuế tôi đóng sẽ được Nhà nước sử dụng hiệu quả để cải thiện dịch vụ công (y tế, đường xá...). - HUMAN-TRU3]]</f>
        <v>10</v>
      </c>
      <c r="AF195">
        <f t="shared" ref="AF195:AF258" si="101">(AE195-1)/9</f>
        <v>1</v>
      </c>
      <c r="AG195">
        <f>step3_validation[[#This Row],[AI_TRU4]]</f>
        <v>5</v>
      </c>
      <c r="AH195">
        <f t="shared" ref="AH195:AH258" si="102">(AG195-1)/9</f>
        <v>0.44444444444444442</v>
      </c>
      <c r="AI195">
        <f>survey_responses[[#This Row],[Tôi thấy Nhà nước đã giải thích rõ ràng, minh bạch về lý do và mục tiêu của việc sửa đổi thuế lần này. - HUMAN-TRU4]]</f>
        <v>10</v>
      </c>
      <c r="AJ195">
        <f t="shared" ref="AJ195:AJ258" si="103">(AI195-1)/9</f>
        <v>1</v>
      </c>
      <c r="AK195" s="32">
        <f t="shared" ref="AK195:AK258" si="104">AVERAGE(V195,Z195,AD195,AH195)</f>
        <v>0.66666666666666674</v>
      </c>
      <c r="AL195" s="32">
        <f t="shared" ref="AL195:AL258" si="105">AVERAGE(X195,AB195,AF195,AJ195)</f>
        <v>0.75</v>
      </c>
      <c r="AM195" s="7">
        <f t="shared" ref="AM195:AM258" si="106">(I195+S195+AK195)/3</f>
        <v>0.70370370370370372</v>
      </c>
      <c r="AN195" s="7">
        <f t="shared" ref="AN195:AN258" si="107">(J195+T195+AL195)/3</f>
        <v>0.73148148148148151</v>
      </c>
      <c r="AO195">
        <f>step3_validation[[#This Row],[AI_OUT1]]</f>
        <v>7</v>
      </c>
      <c r="AP195">
        <f t="shared" ref="AP195:AP258" si="108">(AO195-1)/9</f>
        <v>0.66666666666666663</v>
      </c>
      <c r="AQ195">
        <f>survey_responses[[#This Row],[Sau khi xem xét các quyền lợi và nghĩa vụ, bạn có ủng hộ và tuân thủ chính sách mới hiện nay? - HUMAN-OUT1]]</f>
        <v>10</v>
      </c>
      <c r="AR195">
        <f t="shared" ref="AR195:AR258" si="109">(AQ195-1)/9</f>
        <v>1</v>
      </c>
      <c r="AS195" s="32">
        <f t="shared" ref="AS195:AS258" si="110">ABS(AQ195-AO195)</f>
        <v>3</v>
      </c>
      <c r="AT195">
        <f t="shared" ref="AT195:AT258" si="111">IF(AQ195&gt;=6,1,0)</f>
        <v>1</v>
      </c>
    </row>
    <row r="196" spans="1:46" x14ac:dyDescent="0.45">
      <c r="A196">
        <f>step3_validation[[#This Row],[AI_ENF1]]</f>
        <v>8</v>
      </c>
      <c r="B196">
        <f t="shared" si="84"/>
        <v>0.77777777777777779</v>
      </c>
      <c r="C196">
        <f>survey_responses[[#This Row],[Tôi tin rằng với các quy định quản lý thuế hiện nay, hành vi gian lận hoặc trốn thuế sẽ dễ dàng bị phát hiện và xử lý nghiêm. - HUMAN-ENF1]]</f>
        <v>9</v>
      </c>
      <c r="D196">
        <f t="shared" si="85"/>
        <v>0.88888888888888884</v>
      </c>
      <c r="E196">
        <f>step3_validation[[#This Row],[AI_ENF2]]</f>
        <v>7</v>
      </c>
      <c r="F196">
        <f t="shared" si="86"/>
        <v>0.66666666666666663</v>
      </c>
      <c r="G196">
        <f>survey_responses[[#This Row],[Tôi tin rằng Nhà nước, cơ quan thuế có đủ khả năng và công nghệ để phát hiện, xử lý nghiêm các hành vi trốn thuế. - HUMAN-ENF2]]</f>
        <v>9</v>
      </c>
      <c r="H196">
        <f t="shared" si="87"/>
        <v>0.88888888888888884</v>
      </c>
      <c r="I196" s="32">
        <f t="shared" si="88"/>
        <v>0.72222222222222221</v>
      </c>
      <c r="J196" s="32">
        <f t="shared" si="89"/>
        <v>0.88888888888888884</v>
      </c>
      <c r="K196">
        <f>step3_validation[[#This Row],[AI_FAC1]]</f>
        <v>8</v>
      </c>
      <c r="L196">
        <f t="shared" si="90"/>
        <v>0.77777777777777779</v>
      </c>
      <c r="M196">
        <f>survey_responses[[#This Row],[Các thủ tục khai báo thuế VÀ/HOẶC quy trình làm việc với cơ quan thuế đơn giản, tiện lợi, nhanh chóng hơn so với trước đây. - HUMAN-FAC1]]</f>
        <v>5</v>
      </c>
      <c r="N196">
        <f t="shared" si="91"/>
        <v>0.44444444444444442</v>
      </c>
      <c r="O196">
        <f>step3_validation[[#This Row],[AI_FAC2]]</f>
        <v>7</v>
      </c>
      <c r="P196">
        <f t="shared" si="92"/>
        <v>0.66666666666666663</v>
      </c>
      <c r="Q196">
        <f>survey_responses[[#This Row],[So với trước đây, tôi thấy cách tính thuế và các bậc thuế trong phương án mới đơn giản, dễ hiểu và dễ thực hiện hơn. - HUMAN-FAC2]]</f>
        <v>5</v>
      </c>
      <c r="R196">
        <f t="shared" si="93"/>
        <v>0.44444444444444442</v>
      </c>
      <c r="S196" s="32">
        <f t="shared" si="94"/>
        <v>0.72222222222222221</v>
      </c>
      <c r="T196" s="32">
        <f t="shared" si="95"/>
        <v>0.44444444444444442</v>
      </c>
      <c r="U196">
        <f>step3_validation[[#This Row],[AI_TRU1]]</f>
        <v>8</v>
      </c>
      <c r="V196">
        <f t="shared" si="96"/>
        <v>0.77777777777777779</v>
      </c>
      <c r="W196">
        <f>survey_responses[[#This Row],[Tôi tin rằng Nhà nước, cơ quan thuế sẽ thực thi chính sách mới một cách khách quan, công tâm và đối xử bình đẳng với mọi người nộp thuế.  - HUMAN-TRU1]]</f>
        <v>7</v>
      </c>
      <c r="X196">
        <f t="shared" si="97"/>
        <v>0.66666666666666663</v>
      </c>
      <c r="Y196">
        <f>step3_validation[[#This Row],[AI_TRU2]]</f>
        <v>6</v>
      </c>
      <c r="Z196">
        <f t="shared" si="98"/>
        <v>0.55555555555555558</v>
      </c>
      <c r="AA196">
        <f>survey_responses[[#This Row],[Tôi thấy mức thuế tôi phải đóng theo phương án mới là công bằng (người thu nhập như tôi đóng mức này là hợp lý). - HUMAN-TRU2]]</f>
        <v>7</v>
      </c>
      <c r="AB196">
        <f t="shared" si="99"/>
        <v>0.66666666666666663</v>
      </c>
      <c r="AC196">
        <f>step3_validation[[#This Row],[AI_TRU3]]</f>
        <v>8</v>
      </c>
      <c r="AD196">
        <f t="shared" si="100"/>
        <v>0.77777777777777779</v>
      </c>
      <c r="AE196">
        <f>survey_responses[[#This Row],[Tôi tin tưởng số tiền thuế tôi đóng sẽ được Nhà nước sử dụng hiệu quả để cải thiện dịch vụ công (y tế, đường xá...). - HUMAN-TRU3]]</f>
        <v>8</v>
      </c>
      <c r="AF196">
        <f t="shared" si="101"/>
        <v>0.77777777777777779</v>
      </c>
      <c r="AG196">
        <f>step3_validation[[#This Row],[AI_TRU4]]</f>
        <v>7</v>
      </c>
      <c r="AH196">
        <f t="shared" si="102"/>
        <v>0.66666666666666663</v>
      </c>
      <c r="AI196">
        <f>survey_responses[[#This Row],[Tôi thấy Nhà nước đã giải thích rõ ràng, minh bạch về lý do và mục tiêu của việc sửa đổi thuế lần này. - HUMAN-TRU4]]</f>
        <v>8</v>
      </c>
      <c r="AJ196">
        <f t="shared" si="103"/>
        <v>0.77777777777777779</v>
      </c>
      <c r="AK196" s="32">
        <f t="shared" si="104"/>
        <v>0.69444444444444442</v>
      </c>
      <c r="AL196" s="32">
        <f t="shared" si="105"/>
        <v>0.72222222222222221</v>
      </c>
      <c r="AM196" s="7">
        <f t="shared" si="106"/>
        <v>0.71296296296296291</v>
      </c>
      <c r="AN196" s="7">
        <f t="shared" si="107"/>
        <v>0.68518518518518512</v>
      </c>
      <c r="AO196">
        <f>step3_validation[[#This Row],[AI_OUT1]]</f>
        <v>8</v>
      </c>
      <c r="AP196">
        <f t="shared" si="108"/>
        <v>0.77777777777777779</v>
      </c>
      <c r="AQ196">
        <f>survey_responses[[#This Row],[Sau khi xem xét các quyền lợi và nghĩa vụ, bạn có ủng hộ và tuân thủ chính sách mới hiện nay? - HUMAN-OUT1]]</f>
        <v>8</v>
      </c>
      <c r="AR196">
        <f t="shared" si="109"/>
        <v>0.77777777777777779</v>
      </c>
      <c r="AS196" s="32">
        <f t="shared" si="110"/>
        <v>0</v>
      </c>
      <c r="AT196">
        <f t="shared" si="111"/>
        <v>1</v>
      </c>
    </row>
    <row r="197" spans="1:46" x14ac:dyDescent="0.45">
      <c r="A197">
        <f>step3_validation[[#This Row],[AI_ENF1]]</f>
        <v>8</v>
      </c>
      <c r="B197">
        <f t="shared" si="84"/>
        <v>0.77777777777777779</v>
      </c>
      <c r="C197">
        <f>survey_responses[[#This Row],[Tôi tin rằng với các quy định quản lý thuế hiện nay, hành vi gian lận hoặc trốn thuế sẽ dễ dàng bị phát hiện và xử lý nghiêm. - HUMAN-ENF1]]</f>
        <v>9</v>
      </c>
      <c r="D197">
        <f t="shared" si="85"/>
        <v>0.88888888888888884</v>
      </c>
      <c r="E197">
        <f>step3_validation[[#This Row],[AI_ENF2]]</f>
        <v>7</v>
      </c>
      <c r="F197">
        <f t="shared" si="86"/>
        <v>0.66666666666666663</v>
      </c>
      <c r="G197">
        <f>survey_responses[[#This Row],[Tôi tin rằng Nhà nước, cơ quan thuế có đủ khả năng và công nghệ để phát hiện, xử lý nghiêm các hành vi trốn thuế. - HUMAN-ENF2]]</f>
        <v>9</v>
      </c>
      <c r="H197">
        <f t="shared" si="87"/>
        <v>0.88888888888888884</v>
      </c>
      <c r="I197" s="32">
        <f t="shared" si="88"/>
        <v>0.72222222222222221</v>
      </c>
      <c r="J197" s="32">
        <f t="shared" si="89"/>
        <v>0.88888888888888884</v>
      </c>
      <c r="K197">
        <f>step3_validation[[#This Row],[AI_FAC1]]</f>
        <v>9</v>
      </c>
      <c r="L197">
        <f t="shared" si="90"/>
        <v>0.88888888888888884</v>
      </c>
      <c r="M197">
        <f>survey_responses[[#This Row],[Các thủ tục khai báo thuế VÀ/HOẶC quy trình làm việc với cơ quan thuế đơn giản, tiện lợi, nhanh chóng hơn so với trước đây. - HUMAN-FAC1]]</f>
        <v>9</v>
      </c>
      <c r="N197">
        <f t="shared" si="91"/>
        <v>0.88888888888888884</v>
      </c>
      <c r="O197">
        <f>step3_validation[[#This Row],[AI_FAC2]]</f>
        <v>8</v>
      </c>
      <c r="P197">
        <f t="shared" si="92"/>
        <v>0.77777777777777779</v>
      </c>
      <c r="Q197">
        <f>survey_responses[[#This Row],[So với trước đây, tôi thấy cách tính thuế và các bậc thuế trong phương án mới đơn giản, dễ hiểu và dễ thực hiện hơn. - HUMAN-FAC2]]</f>
        <v>9</v>
      </c>
      <c r="R197">
        <f t="shared" si="93"/>
        <v>0.88888888888888884</v>
      </c>
      <c r="S197" s="32">
        <f t="shared" si="94"/>
        <v>0.83333333333333326</v>
      </c>
      <c r="T197" s="32">
        <f t="shared" si="95"/>
        <v>0.88888888888888884</v>
      </c>
      <c r="U197">
        <f>step3_validation[[#This Row],[AI_TRU1]]</f>
        <v>7</v>
      </c>
      <c r="V197">
        <f t="shared" si="96"/>
        <v>0.66666666666666663</v>
      </c>
      <c r="W197">
        <f>survey_responses[[#This Row],[Tôi tin rằng Nhà nước, cơ quan thuế sẽ thực thi chính sách mới một cách khách quan, công tâm và đối xử bình đẳng với mọi người nộp thuế.  - HUMAN-TRU1]]</f>
        <v>9</v>
      </c>
      <c r="X197">
        <f t="shared" si="97"/>
        <v>0.88888888888888884</v>
      </c>
      <c r="Y197">
        <f>step3_validation[[#This Row],[AI_TRU2]]</f>
        <v>6</v>
      </c>
      <c r="Z197">
        <f t="shared" si="98"/>
        <v>0.55555555555555558</v>
      </c>
      <c r="AA197">
        <f>survey_responses[[#This Row],[Tôi thấy mức thuế tôi phải đóng theo phương án mới là công bằng (người thu nhập như tôi đóng mức này là hợp lý). - HUMAN-TRU2]]</f>
        <v>9</v>
      </c>
      <c r="AB197">
        <f t="shared" si="99"/>
        <v>0.88888888888888884</v>
      </c>
      <c r="AC197">
        <f>step3_validation[[#This Row],[AI_TRU3]]</f>
        <v>7</v>
      </c>
      <c r="AD197">
        <f t="shared" si="100"/>
        <v>0.66666666666666663</v>
      </c>
      <c r="AE197">
        <f>survey_responses[[#This Row],[Tôi tin tưởng số tiền thuế tôi đóng sẽ được Nhà nước sử dụng hiệu quả để cải thiện dịch vụ công (y tế, đường xá...). - HUMAN-TRU3]]</f>
        <v>9</v>
      </c>
      <c r="AF197">
        <f t="shared" si="101"/>
        <v>0.88888888888888884</v>
      </c>
      <c r="AG197">
        <f>step3_validation[[#This Row],[AI_TRU4]]</f>
        <v>5</v>
      </c>
      <c r="AH197">
        <f t="shared" si="102"/>
        <v>0.44444444444444442</v>
      </c>
      <c r="AI197">
        <f>survey_responses[[#This Row],[Tôi thấy Nhà nước đã giải thích rõ ràng, minh bạch về lý do và mục tiêu của việc sửa đổi thuế lần này. - HUMAN-TRU4]]</f>
        <v>9</v>
      </c>
      <c r="AJ197">
        <f t="shared" si="103"/>
        <v>0.88888888888888884</v>
      </c>
      <c r="AK197" s="32">
        <f t="shared" si="104"/>
        <v>0.58333333333333326</v>
      </c>
      <c r="AL197" s="32">
        <f t="shared" si="105"/>
        <v>0.88888888888888884</v>
      </c>
      <c r="AM197" s="7">
        <f t="shared" si="106"/>
        <v>0.7129629629629628</v>
      </c>
      <c r="AN197" s="7">
        <f t="shared" si="107"/>
        <v>0.88888888888888884</v>
      </c>
      <c r="AO197">
        <f>step3_validation[[#This Row],[AI_OUT1]]</f>
        <v>7</v>
      </c>
      <c r="AP197">
        <f t="shared" si="108"/>
        <v>0.66666666666666663</v>
      </c>
      <c r="AQ197">
        <f>survey_responses[[#This Row],[Sau khi xem xét các quyền lợi và nghĩa vụ, bạn có ủng hộ và tuân thủ chính sách mới hiện nay? - HUMAN-OUT1]]</f>
        <v>9</v>
      </c>
      <c r="AR197">
        <f t="shared" si="109"/>
        <v>0.88888888888888884</v>
      </c>
      <c r="AS197" s="32">
        <f t="shared" si="110"/>
        <v>2</v>
      </c>
      <c r="AT197">
        <f t="shared" si="111"/>
        <v>1</v>
      </c>
    </row>
    <row r="198" spans="1:46" x14ac:dyDescent="0.45">
      <c r="A198">
        <f>step3_validation[[#This Row],[AI_ENF1]]</f>
        <v>7</v>
      </c>
      <c r="B198">
        <f t="shared" si="84"/>
        <v>0.66666666666666663</v>
      </c>
      <c r="C198">
        <f>survey_responses[[#This Row],[Tôi tin rằng với các quy định quản lý thuế hiện nay, hành vi gian lận hoặc trốn thuế sẽ dễ dàng bị phát hiện và xử lý nghiêm. - HUMAN-ENF1]]</f>
        <v>9</v>
      </c>
      <c r="D198">
        <f t="shared" si="85"/>
        <v>0.88888888888888884</v>
      </c>
      <c r="E198">
        <f>step3_validation[[#This Row],[AI_ENF2]]</f>
        <v>8</v>
      </c>
      <c r="F198">
        <f t="shared" si="86"/>
        <v>0.77777777777777779</v>
      </c>
      <c r="G198">
        <f>survey_responses[[#This Row],[Tôi tin rằng Nhà nước, cơ quan thuế có đủ khả năng và công nghệ để phát hiện, xử lý nghiêm các hành vi trốn thuế. - HUMAN-ENF2]]</f>
        <v>10</v>
      </c>
      <c r="H198">
        <f t="shared" si="87"/>
        <v>1</v>
      </c>
      <c r="I198" s="32">
        <f t="shared" si="88"/>
        <v>0.72222222222222221</v>
      </c>
      <c r="J198" s="32">
        <f t="shared" si="89"/>
        <v>0.94444444444444442</v>
      </c>
      <c r="K198">
        <f>step3_validation[[#This Row],[AI_FAC1]]</f>
        <v>9</v>
      </c>
      <c r="L198">
        <f t="shared" si="90"/>
        <v>0.88888888888888884</v>
      </c>
      <c r="M198">
        <f>survey_responses[[#This Row],[Các thủ tục khai báo thuế VÀ/HOẶC quy trình làm việc với cơ quan thuế đơn giản, tiện lợi, nhanh chóng hơn so với trước đây. - HUMAN-FAC1]]</f>
        <v>10</v>
      </c>
      <c r="N198">
        <f t="shared" si="91"/>
        <v>1</v>
      </c>
      <c r="O198">
        <f>step3_validation[[#This Row],[AI_FAC2]]</f>
        <v>8</v>
      </c>
      <c r="P198">
        <f t="shared" si="92"/>
        <v>0.77777777777777779</v>
      </c>
      <c r="Q198">
        <f>survey_responses[[#This Row],[So với trước đây, tôi thấy cách tính thuế và các bậc thuế trong phương án mới đơn giản, dễ hiểu và dễ thực hiện hơn. - HUMAN-FAC2]]</f>
        <v>9</v>
      </c>
      <c r="R198">
        <f t="shared" si="93"/>
        <v>0.88888888888888884</v>
      </c>
      <c r="S198" s="32">
        <f t="shared" si="94"/>
        <v>0.83333333333333326</v>
      </c>
      <c r="T198" s="32">
        <f t="shared" si="95"/>
        <v>0.94444444444444442</v>
      </c>
      <c r="U198">
        <f>step3_validation[[#This Row],[AI_TRU1]]</f>
        <v>7</v>
      </c>
      <c r="V198">
        <f t="shared" si="96"/>
        <v>0.66666666666666663</v>
      </c>
      <c r="W198">
        <f>survey_responses[[#This Row],[Tôi tin rằng Nhà nước, cơ quan thuế sẽ thực thi chính sách mới một cách khách quan, công tâm và đối xử bình đẳng với mọi người nộp thuế.  - HUMAN-TRU1]]</f>
        <v>10</v>
      </c>
      <c r="X198">
        <f t="shared" si="97"/>
        <v>1</v>
      </c>
      <c r="Y198">
        <f>step3_validation[[#This Row],[AI_TRU2]]</f>
        <v>8</v>
      </c>
      <c r="Z198">
        <f t="shared" si="98"/>
        <v>0.77777777777777779</v>
      </c>
      <c r="AA198">
        <f>survey_responses[[#This Row],[Tôi thấy mức thuế tôi phải đóng theo phương án mới là công bằng (người thu nhập như tôi đóng mức này là hợp lý). - HUMAN-TRU2]]</f>
        <v>10</v>
      </c>
      <c r="AB198">
        <f t="shared" si="99"/>
        <v>1</v>
      </c>
      <c r="AC198">
        <f>step3_validation[[#This Row],[AI_TRU3]]</f>
        <v>7</v>
      </c>
      <c r="AD198">
        <f t="shared" si="100"/>
        <v>0.66666666666666663</v>
      </c>
      <c r="AE198">
        <f>survey_responses[[#This Row],[Tôi tin tưởng số tiền thuế tôi đóng sẽ được Nhà nước sử dụng hiệu quả để cải thiện dịch vụ công (y tế, đường xá...). - HUMAN-TRU3]]</f>
        <v>10</v>
      </c>
      <c r="AF198">
        <f t="shared" si="101"/>
        <v>1</v>
      </c>
      <c r="AG198">
        <f>step3_validation[[#This Row],[AI_TRU4]]</f>
        <v>6</v>
      </c>
      <c r="AH198">
        <f t="shared" si="102"/>
        <v>0.55555555555555558</v>
      </c>
      <c r="AI198">
        <f>survey_responses[[#This Row],[Tôi thấy Nhà nước đã giải thích rõ ràng, minh bạch về lý do và mục tiêu của việc sửa đổi thuế lần này. - HUMAN-TRU4]]</f>
        <v>9</v>
      </c>
      <c r="AJ198">
        <f t="shared" si="103"/>
        <v>0.88888888888888884</v>
      </c>
      <c r="AK198" s="32">
        <f t="shared" si="104"/>
        <v>0.66666666666666674</v>
      </c>
      <c r="AL198" s="32">
        <f t="shared" si="105"/>
        <v>0.97222222222222221</v>
      </c>
      <c r="AM198" s="7">
        <f t="shared" si="106"/>
        <v>0.74074074074074081</v>
      </c>
      <c r="AN198" s="7">
        <f t="shared" si="107"/>
        <v>0.95370370370370372</v>
      </c>
      <c r="AO198">
        <f>step3_validation[[#This Row],[AI_OUT1]]</f>
        <v>8</v>
      </c>
      <c r="AP198">
        <f t="shared" si="108"/>
        <v>0.77777777777777779</v>
      </c>
      <c r="AQ198">
        <f>survey_responses[[#This Row],[Sau khi xem xét các quyền lợi và nghĩa vụ, bạn có ủng hộ và tuân thủ chính sách mới hiện nay? - HUMAN-OUT1]]</f>
        <v>10</v>
      </c>
      <c r="AR198">
        <f t="shared" si="109"/>
        <v>1</v>
      </c>
      <c r="AS198" s="32">
        <f t="shared" si="110"/>
        <v>2</v>
      </c>
      <c r="AT198">
        <f t="shared" si="111"/>
        <v>1</v>
      </c>
    </row>
    <row r="199" spans="1:46" x14ac:dyDescent="0.45">
      <c r="A199">
        <f>step3_validation[[#This Row],[AI_ENF1]]</f>
        <v>7</v>
      </c>
      <c r="B199">
        <f t="shared" si="84"/>
        <v>0.66666666666666663</v>
      </c>
      <c r="C199">
        <f>survey_responses[[#This Row],[Tôi tin rằng với các quy định quản lý thuế hiện nay, hành vi gian lận hoặc trốn thuế sẽ dễ dàng bị phát hiện và xử lý nghiêm. - HUMAN-ENF1]]</f>
        <v>5</v>
      </c>
      <c r="D199">
        <f t="shared" si="85"/>
        <v>0.44444444444444442</v>
      </c>
      <c r="E199">
        <f>step3_validation[[#This Row],[AI_ENF2]]</f>
        <v>8</v>
      </c>
      <c r="F199">
        <f t="shared" si="86"/>
        <v>0.77777777777777779</v>
      </c>
      <c r="G199">
        <f>survey_responses[[#This Row],[Tôi tin rằng Nhà nước, cơ quan thuế có đủ khả năng và công nghệ để phát hiện, xử lý nghiêm các hành vi trốn thuế. - HUMAN-ENF2]]</f>
        <v>5</v>
      </c>
      <c r="H199">
        <f t="shared" si="87"/>
        <v>0.44444444444444442</v>
      </c>
      <c r="I199" s="32">
        <f t="shared" si="88"/>
        <v>0.72222222222222221</v>
      </c>
      <c r="J199" s="32">
        <f t="shared" si="89"/>
        <v>0.44444444444444442</v>
      </c>
      <c r="K199">
        <f>step3_validation[[#This Row],[AI_FAC1]]</f>
        <v>9</v>
      </c>
      <c r="L199">
        <f t="shared" si="90"/>
        <v>0.88888888888888884</v>
      </c>
      <c r="M199">
        <f>survey_responses[[#This Row],[Các thủ tục khai báo thuế VÀ/HOẶC quy trình làm việc với cơ quan thuế đơn giản, tiện lợi, nhanh chóng hơn so với trước đây. - HUMAN-FAC1]]</f>
        <v>5</v>
      </c>
      <c r="N199">
        <f t="shared" si="91"/>
        <v>0.44444444444444442</v>
      </c>
      <c r="O199">
        <f>step3_validation[[#This Row],[AI_FAC2]]</f>
        <v>9</v>
      </c>
      <c r="P199">
        <f t="shared" si="92"/>
        <v>0.88888888888888884</v>
      </c>
      <c r="Q199">
        <f>survey_responses[[#This Row],[So với trước đây, tôi thấy cách tính thuế và các bậc thuế trong phương án mới đơn giản, dễ hiểu và dễ thực hiện hơn. - HUMAN-FAC2]]</f>
        <v>5</v>
      </c>
      <c r="R199">
        <f t="shared" si="93"/>
        <v>0.44444444444444442</v>
      </c>
      <c r="S199" s="32">
        <f t="shared" si="94"/>
        <v>0.88888888888888884</v>
      </c>
      <c r="T199" s="32">
        <f t="shared" si="95"/>
        <v>0.44444444444444442</v>
      </c>
      <c r="U199">
        <f>step3_validation[[#This Row],[AI_TRU1]]</f>
        <v>8</v>
      </c>
      <c r="V199">
        <f t="shared" si="96"/>
        <v>0.77777777777777779</v>
      </c>
      <c r="W199">
        <f>survey_responses[[#This Row],[Tôi tin rằng Nhà nước, cơ quan thuế sẽ thực thi chính sách mới một cách khách quan, công tâm và đối xử bình đẳng với mọi người nộp thuế.  - HUMAN-TRU1]]</f>
        <v>5</v>
      </c>
      <c r="X199">
        <f t="shared" si="97"/>
        <v>0.44444444444444442</v>
      </c>
      <c r="Y199">
        <f>step3_validation[[#This Row],[AI_TRU2]]</f>
        <v>7</v>
      </c>
      <c r="Z199">
        <f t="shared" si="98"/>
        <v>0.66666666666666663</v>
      </c>
      <c r="AA199">
        <f>survey_responses[[#This Row],[Tôi thấy mức thuế tôi phải đóng theo phương án mới là công bằng (người thu nhập như tôi đóng mức này là hợp lý). - HUMAN-TRU2]]</f>
        <v>5</v>
      </c>
      <c r="AB199">
        <f t="shared" si="99"/>
        <v>0.44444444444444442</v>
      </c>
      <c r="AC199">
        <f>step3_validation[[#This Row],[AI_TRU3]]</f>
        <v>8</v>
      </c>
      <c r="AD199">
        <f t="shared" si="100"/>
        <v>0.77777777777777779</v>
      </c>
      <c r="AE199">
        <f>survey_responses[[#This Row],[Tôi tin tưởng số tiền thuế tôi đóng sẽ được Nhà nước sử dụng hiệu quả để cải thiện dịch vụ công (y tế, đường xá...). - HUMAN-TRU3]]</f>
        <v>5</v>
      </c>
      <c r="AF199">
        <f t="shared" si="101"/>
        <v>0.44444444444444442</v>
      </c>
      <c r="AG199">
        <f>step3_validation[[#This Row],[AI_TRU4]]</f>
        <v>6</v>
      </c>
      <c r="AH199">
        <f t="shared" si="102"/>
        <v>0.55555555555555558</v>
      </c>
      <c r="AI199">
        <f>survey_responses[[#This Row],[Tôi thấy Nhà nước đã giải thích rõ ràng, minh bạch về lý do và mục tiêu của việc sửa đổi thuế lần này. - HUMAN-TRU4]]</f>
        <v>4</v>
      </c>
      <c r="AJ199">
        <f t="shared" si="103"/>
        <v>0.33333333333333331</v>
      </c>
      <c r="AK199" s="32">
        <f t="shared" si="104"/>
        <v>0.69444444444444442</v>
      </c>
      <c r="AL199" s="32">
        <f t="shared" si="105"/>
        <v>0.41666666666666663</v>
      </c>
      <c r="AM199" s="7">
        <f t="shared" si="106"/>
        <v>0.76851851851851849</v>
      </c>
      <c r="AN199" s="7">
        <f t="shared" si="107"/>
        <v>0.43518518518518512</v>
      </c>
      <c r="AO199">
        <f>step3_validation[[#This Row],[AI_OUT1]]</f>
        <v>7</v>
      </c>
      <c r="AP199">
        <f t="shared" si="108"/>
        <v>0.66666666666666663</v>
      </c>
      <c r="AQ199">
        <f>survey_responses[[#This Row],[Sau khi xem xét các quyền lợi và nghĩa vụ, bạn có ủng hộ và tuân thủ chính sách mới hiện nay? - HUMAN-OUT1]]</f>
        <v>5</v>
      </c>
      <c r="AR199">
        <f t="shared" si="109"/>
        <v>0.44444444444444442</v>
      </c>
      <c r="AS199" s="32">
        <f t="shared" si="110"/>
        <v>2</v>
      </c>
      <c r="AT199">
        <f t="shared" si="111"/>
        <v>0</v>
      </c>
    </row>
    <row r="200" spans="1:46" x14ac:dyDescent="0.45">
      <c r="A200">
        <f>step3_validation[[#This Row],[AI_ENF1]]</f>
        <v>8</v>
      </c>
      <c r="B200">
        <f t="shared" si="84"/>
        <v>0.77777777777777779</v>
      </c>
      <c r="C200">
        <f>survey_responses[[#This Row],[Tôi tin rằng với các quy định quản lý thuế hiện nay, hành vi gian lận hoặc trốn thuế sẽ dễ dàng bị phát hiện và xử lý nghiêm. - HUMAN-ENF1]]</f>
        <v>9</v>
      </c>
      <c r="D200">
        <f t="shared" si="85"/>
        <v>0.88888888888888884</v>
      </c>
      <c r="E200">
        <f>step3_validation[[#This Row],[AI_ENF2]]</f>
        <v>9</v>
      </c>
      <c r="F200">
        <f t="shared" si="86"/>
        <v>0.88888888888888884</v>
      </c>
      <c r="G200">
        <f>survey_responses[[#This Row],[Tôi tin rằng Nhà nước, cơ quan thuế có đủ khả năng và công nghệ để phát hiện, xử lý nghiêm các hành vi trốn thuế. - HUMAN-ENF2]]</f>
        <v>8</v>
      </c>
      <c r="H200">
        <f t="shared" si="87"/>
        <v>0.77777777777777779</v>
      </c>
      <c r="I200" s="32">
        <f t="shared" si="88"/>
        <v>0.83333333333333326</v>
      </c>
      <c r="J200" s="32">
        <f t="shared" si="89"/>
        <v>0.83333333333333326</v>
      </c>
      <c r="K200">
        <f>step3_validation[[#This Row],[AI_FAC1]]</f>
        <v>8</v>
      </c>
      <c r="L200">
        <f t="shared" si="90"/>
        <v>0.77777777777777779</v>
      </c>
      <c r="M200">
        <f>survey_responses[[#This Row],[Các thủ tục khai báo thuế VÀ/HOẶC quy trình làm việc với cơ quan thuế đơn giản, tiện lợi, nhanh chóng hơn so với trước đây. - HUMAN-FAC1]]</f>
        <v>9</v>
      </c>
      <c r="N200">
        <f t="shared" si="91"/>
        <v>0.88888888888888884</v>
      </c>
      <c r="O200">
        <f>step3_validation[[#This Row],[AI_FAC2]]</f>
        <v>7</v>
      </c>
      <c r="P200">
        <f t="shared" si="92"/>
        <v>0.66666666666666663</v>
      </c>
      <c r="Q200">
        <f>survey_responses[[#This Row],[So với trước đây, tôi thấy cách tính thuế và các bậc thuế trong phương án mới đơn giản, dễ hiểu và dễ thực hiện hơn. - HUMAN-FAC2]]</f>
        <v>9</v>
      </c>
      <c r="R200">
        <f t="shared" si="93"/>
        <v>0.88888888888888884</v>
      </c>
      <c r="S200" s="32">
        <f t="shared" si="94"/>
        <v>0.72222222222222221</v>
      </c>
      <c r="T200" s="32">
        <f t="shared" si="95"/>
        <v>0.88888888888888884</v>
      </c>
      <c r="U200">
        <f>step3_validation[[#This Row],[AI_TRU1]]</f>
        <v>7</v>
      </c>
      <c r="V200">
        <f t="shared" si="96"/>
        <v>0.66666666666666663</v>
      </c>
      <c r="W200">
        <f>survey_responses[[#This Row],[Tôi tin rằng Nhà nước, cơ quan thuế sẽ thực thi chính sách mới một cách khách quan, công tâm và đối xử bình đẳng với mọi người nộp thuế.  - HUMAN-TRU1]]</f>
        <v>8</v>
      </c>
      <c r="X200">
        <f t="shared" si="97"/>
        <v>0.77777777777777779</v>
      </c>
      <c r="Y200">
        <f>step3_validation[[#This Row],[AI_TRU2]]</f>
        <v>6</v>
      </c>
      <c r="Z200">
        <f t="shared" si="98"/>
        <v>0.55555555555555558</v>
      </c>
      <c r="AA200">
        <f>survey_responses[[#This Row],[Tôi thấy mức thuế tôi phải đóng theo phương án mới là công bằng (người thu nhập như tôi đóng mức này là hợp lý). - HUMAN-TRU2]]</f>
        <v>9</v>
      </c>
      <c r="AB200">
        <f t="shared" si="99"/>
        <v>0.88888888888888884</v>
      </c>
      <c r="AC200">
        <f>step3_validation[[#This Row],[AI_TRU3]]</f>
        <v>7</v>
      </c>
      <c r="AD200">
        <f t="shared" si="100"/>
        <v>0.66666666666666663</v>
      </c>
      <c r="AE200">
        <f>survey_responses[[#This Row],[Tôi tin tưởng số tiền thuế tôi đóng sẽ được Nhà nước sử dụng hiệu quả để cải thiện dịch vụ công (y tế, đường xá...). - HUMAN-TRU3]]</f>
        <v>10</v>
      </c>
      <c r="AF200">
        <f t="shared" si="101"/>
        <v>1</v>
      </c>
      <c r="AG200">
        <f>step3_validation[[#This Row],[AI_TRU4]]</f>
        <v>6</v>
      </c>
      <c r="AH200">
        <f t="shared" si="102"/>
        <v>0.55555555555555558</v>
      </c>
      <c r="AI200">
        <f>survey_responses[[#This Row],[Tôi thấy Nhà nước đã giải thích rõ ràng, minh bạch về lý do và mục tiêu của việc sửa đổi thuế lần này. - HUMAN-TRU4]]</f>
        <v>9</v>
      </c>
      <c r="AJ200">
        <f t="shared" si="103"/>
        <v>0.88888888888888884</v>
      </c>
      <c r="AK200" s="32">
        <f t="shared" si="104"/>
        <v>0.61111111111111116</v>
      </c>
      <c r="AL200" s="32">
        <f t="shared" si="105"/>
        <v>0.88888888888888884</v>
      </c>
      <c r="AM200" s="7">
        <f t="shared" si="106"/>
        <v>0.72222222222222221</v>
      </c>
      <c r="AN200" s="7">
        <f t="shared" si="107"/>
        <v>0.87037037037037024</v>
      </c>
      <c r="AO200">
        <f>step3_validation[[#This Row],[AI_OUT1]]</f>
        <v>7</v>
      </c>
      <c r="AP200">
        <f t="shared" si="108"/>
        <v>0.66666666666666663</v>
      </c>
      <c r="AQ200">
        <f>survey_responses[[#This Row],[Sau khi xem xét các quyền lợi và nghĩa vụ, bạn có ủng hộ và tuân thủ chính sách mới hiện nay? - HUMAN-OUT1]]</f>
        <v>10</v>
      </c>
      <c r="AR200">
        <f t="shared" si="109"/>
        <v>1</v>
      </c>
      <c r="AS200" s="32">
        <f t="shared" si="110"/>
        <v>3</v>
      </c>
      <c r="AT200">
        <f t="shared" si="111"/>
        <v>1</v>
      </c>
    </row>
    <row r="201" spans="1:46" x14ac:dyDescent="0.45">
      <c r="A201">
        <f>step3_validation[[#This Row],[AI_ENF1]]</f>
        <v>8</v>
      </c>
      <c r="B201">
        <f t="shared" si="84"/>
        <v>0.77777777777777779</v>
      </c>
      <c r="C201">
        <f>survey_responses[[#This Row],[Tôi tin rằng với các quy định quản lý thuế hiện nay, hành vi gian lận hoặc trốn thuế sẽ dễ dàng bị phát hiện và xử lý nghiêm. - HUMAN-ENF1]]</f>
        <v>4</v>
      </c>
      <c r="D201">
        <f t="shared" si="85"/>
        <v>0.33333333333333331</v>
      </c>
      <c r="E201">
        <f>step3_validation[[#This Row],[AI_ENF2]]</f>
        <v>7</v>
      </c>
      <c r="F201">
        <f t="shared" si="86"/>
        <v>0.66666666666666663</v>
      </c>
      <c r="G201">
        <f>survey_responses[[#This Row],[Tôi tin rằng Nhà nước, cơ quan thuế có đủ khả năng và công nghệ để phát hiện, xử lý nghiêm các hành vi trốn thuế. - HUMAN-ENF2]]</f>
        <v>4</v>
      </c>
      <c r="H201">
        <f t="shared" si="87"/>
        <v>0.33333333333333331</v>
      </c>
      <c r="I201" s="32">
        <f t="shared" si="88"/>
        <v>0.72222222222222221</v>
      </c>
      <c r="J201" s="32">
        <f t="shared" si="89"/>
        <v>0.33333333333333331</v>
      </c>
      <c r="K201">
        <f>step3_validation[[#This Row],[AI_FAC1]]</f>
        <v>9</v>
      </c>
      <c r="L201">
        <f t="shared" si="90"/>
        <v>0.88888888888888884</v>
      </c>
      <c r="M201">
        <f>survey_responses[[#This Row],[Các thủ tục khai báo thuế VÀ/HOẶC quy trình làm việc với cơ quan thuế đơn giản, tiện lợi, nhanh chóng hơn so với trước đây. - HUMAN-FAC1]]</f>
        <v>3</v>
      </c>
      <c r="N201">
        <f t="shared" si="91"/>
        <v>0.22222222222222221</v>
      </c>
      <c r="O201">
        <f>step3_validation[[#This Row],[AI_FAC2]]</f>
        <v>8</v>
      </c>
      <c r="P201">
        <f t="shared" si="92"/>
        <v>0.77777777777777779</v>
      </c>
      <c r="Q201">
        <f>survey_responses[[#This Row],[So với trước đây, tôi thấy cách tính thuế và các bậc thuế trong phương án mới đơn giản, dễ hiểu và dễ thực hiện hơn. - HUMAN-FAC2]]</f>
        <v>5</v>
      </c>
      <c r="R201">
        <f t="shared" si="93"/>
        <v>0.44444444444444442</v>
      </c>
      <c r="S201" s="32">
        <f t="shared" si="94"/>
        <v>0.83333333333333326</v>
      </c>
      <c r="T201" s="32">
        <f t="shared" si="95"/>
        <v>0.33333333333333331</v>
      </c>
      <c r="U201">
        <f>step3_validation[[#This Row],[AI_TRU1]]</f>
        <v>7</v>
      </c>
      <c r="V201">
        <f t="shared" si="96"/>
        <v>0.66666666666666663</v>
      </c>
      <c r="W201">
        <f>survey_responses[[#This Row],[Tôi tin rằng Nhà nước, cơ quan thuế sẽ thực thi chính sách mới một cách khách quan, công tâm và đối xử bình đẳng với mọi người nộp thuế.  - HUMAN-TRU1]]</f>
        <v>4</v>
      </c>
      <c r="X201">
        <f t="shared" si="97"/>
        <v>0.33333333333333331</v>
      </c>
      <c r="Y201">
        <f>step3_validation[[#This Row],[AI_TRU2]]</f>
        <v>8</v>
      </c>
      <c r="Z201">
        <f t="shared" si="98"/>
        <v>0.77777777777777779</v>
      </c>
      <c r="AA201">
        <f>survey_responses[[#This Row],[Tôi thấy mức thuế tôi phải đóng theo phương án mới là công bằng (người thu nhập như tôi đóng mức này là hợp lý). - HUMAN-TRU2]]</f>
        <v>5</v>
      </c>
      <c r="AB201">
        <f t="shared" si="99"/>
        <v>0.44444444444444442</v>
      </c>
      <c r="AC201">
        <f>step3_validation[[#This Row],[AI_TRU3]]</f>
        <v>6</v>
      </c>
      <c r="AD201">
        <f t="shared" si="100"/>
        <v>0.55555555555555558</v>
      </c>
      <c r="AE201">
        <f>survey_responses[[#This Row],[Tôi tin tưởng số tiền thuế tôi đóng sẽ được Nhà nước sử dụng hiệu quả để cải thiện dịch vụ công (y tế, đường xá...). - HUMAN-TRU3]]</f>
        <v>1</v>
      </c>
      <c r="AF201">
        <f t="shared" si="101"/>
        <v>0</v>
      </c>
      <c r="AG201">
        <f>step3_validation[[#This Row],[AI_TRU4]]</f>
        <v>7</v>
      </c>
      <c r="AH201">
        <f t="shared" si="102"/>
        <v>0.66666666666666663</v>
      </c>
      <c r="AI201">
        <f>survey_responses[[#This Row],[Tôi thấy Nhà nước đã giải thích rõ ràng, minh bạch về lý do và mục tiêu của việc sửa đổi thuế lần này. - HUMAN-TRU4]]</f>
        <v>5</v>
      </c>
      <c r="AJ201">
        <f t="shared" si="103"/>
        <v>0.44444444444444442</v>
      </c>
      <c r="AK201" s="32">
        <f t="shared" si="104"/>
        <v>0.66666666666666663</v>
      </c>
      <c r="AL201" s="32">
        <f t="shared" si="105"/>
        <v>0.30555555555555552</v>
      </c>
      <c r="AM201" s="7">
        <f t="shared" si="106"/>
        <v>0.74074074074074059</v>
      </c>
      <c r="AN201" s="7">
        <f t="shared" si="107"/>
        <v>0.32407407407407401</v>
      </c>
      <c r="AO201">
        <f>step3_validation[[#This Row],[AI_OUT1]]</f>
        <v>6</v>
      </c>
      <c r="AP201">
        <f t="shared" si="108"/>
        <v>0.55555555555555558</v>
      </c>
      <c r="AQ201">
        <f>survey_responses[[#This Row],[Sau khi xem xét các quyền lợi và nghĩa vụ, bạn có ủng hộ và tuân thủ chính sách mới hiện nay? - HUMAN-OUT1]]</f>
        <v>5</v>
      </c>
      <c r="AR201">
        <f t="shared" si="109"/>
        <v>0.44444444444444442</v>
      </c>
      <c r="AS201" s="32">
        <f t="shared" si="110"/>
        <v>1</v>
      </c>
      <c r="AT201">
        <f t="shared" si="111"/>
        <v>0</v>
      </c>
    </row>
    <row r="202" spans="1:46" x14ac:dyDescent="0.45">
      <c r="A202">
        <f>step3_validation[[#This Row],[AI_ENF1]]</f>
        <v>7</v>
      </c>
      <c r="B202">
        <f t="shared" si="84"/>
        <v>0.66666666666666663</v>
      </c>
      <c r="C202">
        <f>survey_responses[[#This Row],[Tôi tin rằng với các quy định quản lý thuế hiện nay, hành vi gian lận hoặc trốn thuế sẽ dễ dàng bị phát hiện và xử lý nghiêm. - HUMAN-ENF1]]</f>
        <v>5</v>
      </c>
      <c r="D202">
        <f t="shared" si="85"/>
        <v>0.44444444444444442</v>
      </c>
      <c r="E202">
        <f>step3_validation[[#This Row],[AI_ENF2]]</f>
        <v>8</v>
      </c>
      <c r="F202">
        <f t="shared" si="86"/>
        <v>0.77777777777777779</v>
      </c>
      <c r="G202">
        <f>survey_responses[[#This Row],[Tôi tin rằng Nhà nước, cơ quan thuế có đủ khả năng và công nghệ để phát hiện, xử lý nghiêm các hành vi trốn thuế. - HUMAN-ENF2]]</f>
        <v>5</v>
      </c>
      <c r="H202">
        <f t="shared" si="87"/>
        <v>0.44444444444444442</v>
      </c>
      <c r="I202" s="32">
        <f t="shared" si="88"/>
        <v>0.72222222222222221</v>
      </c>
      <c r="J202" s="32">
        <f t="shared" si="89"/>
        <v>0.44444444444444442</v>
      </c>
      <c r="K202">
        <f>step3_validation[[#This Row],[AI_FAC1]]</f>
        <v>9</v>
      </c>
      <c r="L202">
        <f t="shared" si="90"/>
        <v>0.88888888888888884</v>
      </c>
      <c r="M202">
        <f>survey_responses[[#This Row],[Các thủ tục khai báo thuế VÀ/HOẶC quy trình làm việc với cơ quan thuế đơn giản, tiện lợi, nhanh chóng hơn so với trước đây. - HUMAN-FAC1]]</f>
        <v>1</v>
      </c>
      <c r="N202">
        <f t="shared" si="91"/>
        <v>0</v>
      </c>
      <c r="O202">
        <f>step3_validation[[#This Row],[AI_FAC2]]</f>
        <v>10</v>
      </c>
      <c r="P202">
        <f t="shared" si="92"/>
        <v>1</v>
      </c>
      <c r="Q202">
        <f>survey_responses[[#This Row],[So với trước đây, tôi thấy cách tính thuế và các bậc thuế trong phương án mới đơn giản, dễ hiểu và dễ thực hiện hơn. - HUMAN-FAC2]]</f>
        <v>5</v>
      </c>
      <c r="R202">
        <f t="shared" si="93"/>
        <v>0.44444444444444442</v>
      </c>
      <c r="S202" s="32">
        <f t="shared" si="94"/>
        <v>0.94444444444444442</v>
      </c>
      <c r="T202" s="32">
        <f t="shared" si="95"/>
        <v>0.22222222222222221</v>
      </c>
      <c r="U202">
        <f>step3_validation[[#This Row],[AI_TRU1]]</f>
        <v>8</v>
      </c>
      <c r="V202">
        <f t="shared" si="96"/>
        <v>0.77777777777777779</v>
      </c>
      <c r="W202">
        <f>survey_responses[[#This Row],[Tôi tin rằng Nhà nước, cơ quan thuế sẽ thực thi chính sách mới một cách khách quan, công tâm và đối xử bình đẳng với mọi người nộp thuế.  - HUMAN-TRU1]]</f>
        <v>4</v>
      </c>
      <c r="X202">
        <f t="shared" si="97"/>
        <v>0.33333333333333331</v>
      </c>
      <c r="Y202">
        <f>step3_validation[[#This Row],[AI_TRU2]]</f>
        <v>7</v>
      </c>
      <c r="Z202">
        <f t="shared" si="98"/>
        <v>0.66666666666666663</v>
      </c>
      <c r="AA202">
        <f>survey_responses[[#This Row],[Tôi thấy mức thuế tôi phải đóng theo phương án mới là công bằng (người thu nhập như tôi đóng mức này là hợp lý). - HUMAN-TRU2]]</f>
        <v>2</v>
      </c>
      <c r="AB202">
        <f t="shared" si="99"/>
        <v>0.1111111111111111</v>
      </c>
      <c r="AC202">
        <f>step3_validation[[#This Row],[AI_TRU3]]</f>
        <v>8</v>
      </c>
      <c r="AD202">
        <f t="shared" si="100"/>
        <v>0.77777777777777779</v>
      </c>
      <c r="AE202">
        <f>survey_responses[[#This Row],[Tôi tin tưởng số tiền thuế tôi đóng sẽ được Nhà nước sử dụng hiệu quả để cải thiện dịch vụ công (y tế, đường xá...). - HUMAN-TRU3]]</f>
        <v>2</v>
      </c>
      <c r="AF202">
        <f t="shared" si="101"/>
        <v>0.1111111111111111</v>
      </c>
      <c r="AG202">
        <f>step3_validation[[#This Row],[AI_TRU4]]</f>
        <v>6</v>
      </c>
      <c r="AH202">
        <f t="shared" si="102"/>
        <v>0.55555555555555558</v>
      </c>
      <c r="AI202">
        <f>survey_responses[[#This Row],[Tôi thấy Nhà nước đã giải thích rõ ràng, minh bạch về lý do và mục tiêu của việc sửa đổi thuế lần này. - HUMAN-TRU4]]</f>
        <v>5</v>
      </c>
      <c r="AJ202">
        <f t="shared" si="103"/>
        <v>0.44444444444444442</v>
      </c>
      <c r="AK202" s="32">
        <f t="shared" si="104"/>
        <v>0.69444444444444442</v>
      </c>
      <c r="AL202" s="32">
        <f t="shared" si="105"/>
        <v>0.25</v>
      </c>
      <c r="AM202" s="7">
        <f t="shared" si="106"/>
        <v>0.78703703703703687</v>
      </c>
      <c r="AN202" s="7">
        <f t="shared" si="107"/>
        <v>0.30555555555555552</v>
      </c>
      <c r="AO202">
        <f>step3_validation[[#This Row],[AI_OUT1]]</f>
        <v>8</v>
      </c>
      <c r="AP202">
        <f t="shared" si="108"/>
        <v>0.77777777777777779</v>
      </c>
      <c r="AQ202">
        <f>survey_responses[[#This Row],[Sau khi xem xét các quyền lợi và nghĩa vụ, bạn có ủng hộ và tuân thủ chính sách mới hiện nay? - HUMAN-OUT1]]</f>
        <v>4</v>
      </c>
      <c r="AR202">
        <f t="shared" si="109"/>
        <v>0.33333333333333331</v>
      </c>
      <c r="AS202" s="32">
        <f t="shared" si="110"/>
        <v>4</v>
      </c>
      <c r="AT202">
        <f t="shared" si="111"/>
        <v>0</v>
      </c>
    </row>
    <row r="203" spans="1:46" x14ac:dyDescent="0.45">
      <c r="A203">
        <f>step3_validation[[#This Row],[AI_ENF1]]</f>
        <v>7</v>
      </c>
      <c r="B203">
        <f t="shared" si="84"/>
        <v>0.66666666666666663</v>
      </c>
      <c r="C203">
        <f>survey_responses[[#This Row],[Tôi tin rằng với các quy định quản lý thuế hiện nay, hành vi gian lận hoặc trốn thuế sẽ dễ dàng bị phát hiện và xử lý nghiêm. - HUMAN-ENF1]]</f>
        <v>6</v>
      </c>
      <c r="D203">
        <f t="shared" si="85"/>
        <v>0.55555555555555558</v>
      </c>
      <c r="E203">
        <f>step3_validation[[#This Row],[AI_ENF2]]</f>
        <v>8</v>
      </c>
      <c r="F203">
        <f t="shared" si="86"/>
        <v>0.77777777777777779</v>
      </c>
      <c r="G203">
        <f>survey_responses[[#This Row],[Tôi tin rằng Nhà nước, cơ quan thuế có đủ khả năng và công nghệ để phát hiện, xử lý nghiêm các hành vi trốn thuế. - HUMAN-ENF2]]</f>
        <v>8</v>
      </c>
      <c r="H203">
        <f t="shared" si="87"/>
        <v>0.77777777777777779</v>
      </c>
      <c r="I203" s="32">
        <f t="shared" si="88"/>
        <v>0.72222222222222221</v>
      </c>
      <c r="J203" s="32">
        <f t="shared" si="89"/>
        <v>0.66666666666666674</v>
      </c>
      <c r="K203">
        <f>step3_validation[[#This Row],[AI_FAC1]]</f>
        <v>9</v>
      </c>
      <c r="L203">
        <f t="shared" si="90"/>
        <v>0.88888888888888884</v>
      </c>
      <c r="M203">
        <f>survey_responses[[#This Row],[Các thủ tục khai báo thuế VÀ/HOẶC quy trình làm việc với cơ quan thuế đơn giản, tiện lợi, nhanh chóng hơn so với trước đây. - HUMAN-FAC1]]</f>
        <v>8</v>
      </c>
      <c r="N203">
        <f t="shared" si="91"/>
        <v>0.77777777777777779</v>
      </c>
      <c r="O203">
        <f>step3_validation[[#This Row],[AI_FAC2]]</f>
        <v>8</v>
      </c>
      <c r="P203">
        <f t="shared" si="92"/>
        <v>0.77777777777777779</v>
      </c>
      <c r="Q203">
        <f>survey_responses[[#This Row],[So với trước đây, tôi thấy cách tính thuế và các bậc thuế trong phương án mới đơn giản, dễ hiểu và dễ thực hiện hơn. - HUMAN-FAC2]]</f>
        <v>9</v>
      </c>
      <c r="R203">
        <f t="shared" si="93"/>
        <v>0.88888888888888884</v>
      </c>
      <c r="S203" s="32">
        <f t="shared" si="94"/>
        <v>0.83333333333333326</v>
      </c>
      <c r="T203" s="32">
        <f t="shared" si="95"/>
        <v>0.83333333333333326</v>
      </c>
      <c r="U203">
        <f>step3_validation[[#This Row],[AI_TRU1]]</f>
        <v>7</v>
      </c>
      <c r="V203">
        <f t="shared" si="96"/>
        <v>0.66666666666666663</v>
      </c>
      <c r="W203">
        <f>survey_responses[[#This Row],[Tôi tin rằng Nhà nước, cơ quan thuế sẽ thực thi chính sách mới một cách khách quan, công tâm và đối xử bình đẳng với mọi người nộp thuế.  - HUMAN-TRU1]]</f>
        <v>7</v>
      </c>
      <c r="X203">
        <f t="shared" si="97"/>
        <v>0.66666666666666663</v>
      </c>
      <c r="Y203">
        <f>step3_validation[[#This Row],[AI_TRU2]]</f>
        <v>6</v>
      </c>
      <c r="Z203">
        <f t="shared" si="98"/>
        <v>0.55555555555555558</v>
      </c>
      <c r="AA203">
        <f>survey_responses[[#This Row],[Tôi thấy mức thuế tôi phải đóng theo phương án mới là công bằng (người thu nhập như tôi đóng mức này là hợp lý). - HUMAN-TRU2]]</f>
        <v>7</v>
      </c>
      <c r="AB203">
        <f t="shared" si="99"/>
        <v>0.66666666666666663</v>
      </c>
      <c r="AC203">
        <f>step3_validation[[#This Row],[AI_TRU3]]</f>
        <v>5</v>
      </c>
      <c r="AD203">
        <f t="shared" si="100"/>
        <v>0.44444444444444442</v>
      </c>
      <c r="AE203">
        <f>survey_responses[[#This Row],[Tôi tin tưởng số tiền thuế tôi đóng sẽ được Nhà nước sử dụng hiệu quả để cải thiện dịch vụ công (y tế, đường xá...). - HUMAN-TRU3]]</f>
        <v>7</v>
      </c>
      <c r="AF203">
        <f t="shared" si="101"/>
        <v>0.66666666666666663</v>
      </c>
      <c r="AG203">
        <f>step3_validation[[#This Row],[AI_TRU4]]</f>
        <v>6</v>
      </c>
      <c r="AH203">
        <f t="shared" si="102"/>
        <v>0.55555555555555558</v>
      </c>
      <c r="AI203">
        <f>survey_responses[[#This Row],[Tôi thấy Nhà nước đã giải thích rõ ràng, minh bạch về lý do và mục tiêu của việc sửa đổi thuế lần này. - HUMAN-TRU4]]</f>
        <v>8</v>
      </c>
      <c r="AJ203">
        <f t="shared" si="103"/>
        <v>0.77777777777777779</v>
      </c>
      <c r="AK203" s="32">
        <f t="shared" si="104"/>
        <v>0.55555555555555558</v>
      </c>
      <c r="AL203" s="32">
        <f t="shared" si="105"/>
        <v>0.69444444444444442</v>
      </c>
      <c r="AM203" s="7">
        <f t="shared" si="106"/>
        <v>0.70370370370370361</v>
      </c>
      <c r="AN203" s="7">
        <f t="shared" si="107"/>
        <v>0.73148148148148151</v>
      </c>
      <c r="AO203">
        <f>step3_validation[[#This Row],[AI_OUT1]]</f>
        <v>7</v>
      </c>
      <c r="AP203">
        <f t="shared" si="108"/>
        <v>0.66666666666666663</v>
      </c>
      <c r="AQ203">
        <f>survey_responses[[#This Row],[Sau khi xem xét các quyền lợi và nghĩa vụ, bạn có ủng hộ và tuân thủ chính sách mới hiện nay? - HUMAN-OUT1]]</f>
        <v>8</v>
      </c>
      <c r="AR203">
        <f t="shared" si="109"/>
        <v>0.77777777777777779</v>
      </c>
      <c r="AS203" s="32">
        <f t="shared" si="110"/>
        <v>1</v>
      </c>
      <c r="AT203">
        <f t="shared" si="111"/>
        <v>1</v>
      </c>
    </row>
    <row r="204" spans="1:46" x14ac:dyDescent="0.45">
      <c r="A204">
        <f>step3_validation[[#This Row],[AI_ENF1]]</f>
        <v>5</v>
      </c>
      <c r="B204">
        <f t="shared" si="84"/>
        <v>0.44444444444444442</v>
      </c>
      <c r="C204">
        <f>survey_responses[[#This Row],[Tôi tin rằng với các quy định quản lý thuế hiện nay, hành vi gian lận hoặc trốn thuế sẽ dễ dàng bị phát hiện và xử lý nghiêm. - HUMAN-ENF1]]</f>
        <v>5</v>
      </c>
      <c r="D204">
        <f t="shared" si="85"/>
        <v>0.44444444444444442</v>
      </c>
      <c r="E204">
        <f>step3_validation[[#This Row],[AI_ENF2]]</f>
        <v>5</v>
      </c>
      <c r="F204">
        <f t="shared" si="86"/>
        <v>0.44444444444444442</v>
      </c>
      <c r="G204">
        <f>survey_responses[[#This Row],[Tôi tin rằng Nhà nước, cơ quan thuế có đủ khả năng và công nghệ để phát hiện, xử lý nghiêm các hành vi trốn thuế. - HUMAN-ENF2]]</f>
        <v>5</v>
      </c>
      <c r="H204">
        <f t="shared" si="87"/>
        <v>0.44444444444444442</v>
      </c>
      <c r="I204" s="32">
        <f t="shared" si="88"/>
        <v>0.44444444444444442</v>
      </c>
      <c r="J204" s="32">
        <f t="shared" si="89"/>
        <v>0.44444444444444442</v>
      </c>
      <c r="K204">
        <f>step3_validation[[#This Row],[AI_FAC1]]</f>
        <v>6</v>
      </c>
      <c r="L204">
        <f t="shared" si="90"/>
        <v>0.55555555555555558</v>
      </c>
      <c r="M204">
        <f>survey_responses[[#This Row],[Các thủ tục khai báo thuế VÀ/HOẶC quy trình làm việc với cơ quan thuế đơn giản, tiện lợi, nhanh chóng hơn so với trước đây. - HUMAN-FAC1]]</f>
        <v>5</v>
      </c>
      <c r="N204">
        <f t="shared" si="91"/>
        <v>0.44444444444444442</v>
      </c>
      <c r="O204">
        <f>step3_validation[[#This Row],[AI_FAC2]]</f>
        <v>4</v>
      </c>
      <c r="P204">
        <f t="shared" si="92"/>
        <v>0.33333333333333331</v>
      </c>
      <c r="Q204">
        <f>survey_responses[[#This Row],[So với trước đây, tôi thấy cách tính thuế và các bậc thuế trong phương án mới đơn giản, dễ hiểu và dễ thực hiện hơn. - HUMAN-FAC2]]</f>
        <v>5</v>
      </c>
      <c r="R204">
        <f t="shared" si="93"/>
        <v>0.44444444444444442</v>
      </c>
      <c r="S204" s="32">
        <f t="shared" si="94"/>
        <v>0.44444444444444442</v>
      </c>
      <c r="T204" s="32">
        <f t="shared" si="95"/>
        <v>0.44444444444444442</v>
      </c>
      <c r="U204">
        <f>step3_validation[[#This Row],[AI_TRU1]]</f>
        <v>7</v>
      </c>
      <c r="V204">
        <f t="shared" si="96"/>
        <v>0.66666666666666663</v>
      </c>
      <c r="W204">
        <f>survey_responses[[#This Row],[Tôi tin rằng Nhà nước, cơ quan thuế sẽ thực thi chính sách mới một cách khách quan, công tâm và đối xử bình đẳng với mọi người nộp thuế.  - HUMAN-TRU1]]</f>
        <v>5</v>
      </c>
      <c r="X204">
        <f t="shared" si="97"/>
        <v>0.44444444444444442</v>
      </c>
      <c r="Y204">
        <f>step3_validation[[#This Row],[AI_TRU2]]</f>
        <v>6</v>
      </c>
      <c r="Z204">
        <f t="shared" si="98"/>
        <v>0.55555555555555558</v>
      </c>
      <c r="AA204">
        <f>survey_responses[[#This Row],[Tôi thấy mức thuế tôi phải đóng theo phương án mới là công bằng (người thu nhập như tôi đóng mức này là hợp lý). - HUMAN-TRU2]]</f>
        <v>5</v>
      </c>
      <c r="AB204">
        <f t="shared" si="99"/>
        <v>0.44444444444444442</v>
      </c>
      <c r="AC204">
        <f>step3_validation[[#This Row],[AI_TRU3]]</f>
        <v>6</v>
      </c>
      <c r="AD204">
        <f t="shared" si="100"/>
        <v>0.55555555555555558</v>
      </c>
      <c r="AE204">
        <f>survey_responses[[#This Row],[Tôi tin tưởng số tiền thuế tôi đóng sẽ được Nhà nước sử dụng hiệu quả để cải thiện dịch vụ công (y tế, đường xá...). - HUMAN-TRU3]]</f>
        <v>5</v>
      </c>
      <c r="AF204">
        <f t="shared" si="101"/>
        <v>0.44444444444444442</v>
      </c>
      <c r="AG204">
        <f>step3_validation[[#This Row],[AI_TRU4]]</f>
        <v>5</v>
      </c>
      <c r="AH204">
        <f t="shared" si="102"/>
        <v>0.44444444444444442</v>
      </c>
      <c r="AI204">
        <f>survey_responses[[#This Row],[Tôi thấy Nhà nước đã giải thích rõ ràng, minh bạch về lý do và mục tiêu của việc sửa đổi thuế lần này. - HUMAN-TRU4]]</f>
        <v>5</v>
      </c>
      <c r="AJ204">
        <f t="shared" si="103"/>
        <v>0.44444444444444442</v>
      </c>
      <c r="AK204" s="32">
        <f t="shared" si="104"/>
        <v>0.55555555555555558</v>
      </c>
      <c r="AL204" s="32">
        <f t="shared" si="105"/>
        <v>0.44444444444444442</v>
      </c>
      <c r="AM204" s="7">
        <f t="shared" si="106"/>
        <v>0.48148148148148145</v>
      </c>
      <c r="AN204" s="7">
        <f t="shared" si="107"/>
        <v>0.44444444444444442</v>
      </c>
      <c r="AO204">
        <f>step3_validation[[#This Row],[AI_OUT1]]</f>
        <v>6</v>
      </c>
      <c r="AP204">
        <f t="shared" si="108"/>
        <v>0.55555555555555558</v>
      </c>
      <c r="AQ204">
        <f>survey_responses[[#This Row],[Sau khi xem xét các quyền lợi và nghĩa vụ, bạn có ủng hộ và tuân thủ chính sách mới hiện nay? - HUMAN-OUT1]]</f>
        <v>5</v>
      </c>
      <c r="AR204">
        <f t="shared" si="109"/>
        <v>0.44444444444444442</v>
      </c>
      <c r="AS204" s="32">
        <f t="shared" si="110"/>
        <v>1</v>
      </c>
      <c r="AT204">
        <f t="shared" si="111"/>
        <v>0</v>
      </c>
    </row>
    <row r="205" spans="1:46" x14ac:dyDescent="0.45">
      <c r="A205">
        <f>step3_validation[[#This Row],[AI_ENF1]]</f>
        <v>8</v>
      </c>
      <c r="B205">
        <f t="shared" si="84"/>
        <v>0.77777777777777779</v>
      </c>
      <c r="C205">
        <f>survey_responses[[#This Row],[Tôi tin rằng với các quy định quản lý thuế hiện nay, hành vi gian lận hoặc trốn thuế sẽ dễ dàng bị phát hiện và xử lý nghiêm. - HUMAN-ENF1]]</f>
        <v>7</v>
      </c>
      <c r="D205">
        <f t="shared" si="85"/>
        <v>0.66666666666666663</v>
      </c>
      <c r="E205">
        <f>step3_validation[[#This Row],[AI_ENF2]]</f>
        <v>9</v>
      </c>
      <c r="F205">
        <f t="shared" si="86"/>
        <v>0.88888888888888884</v>
      </c>
      <c r="G205">
        <f>survey_responses[[#This Row],[Tôi tin rằng Nhà nước, cơ quan thuế có đủ khả năng và công nghệ để phát hiện, xử lý nghiêm các hành vi trốn thuế. - HUMAN-ENF2]]</f>
        <v>7</v>
      </c>
      <c r="H205">
        <f t="shared" si="87"/>
        <v>0.66666666666666663</v>
      </c>
      <c r="I205" s="32">
        <f t="shared" si="88"/>
        <v>0.83333333333333326</v>
      </c>
      <c r="J205" s="32">
        <f t="shared" si="89"/>
        <v>0.66666666666666663</v>
      </c>
      <c r="K205">
        <f>step3_validation[[#This Row],[AI_FAC1]]</f>
        <v>7</v>
      </c>
      <c r="L205">
        <f t="shared" si="90"/>
        <v>0.66666666666666663</v>
      </c>
      <c r="M205">
        <f>survey_responses[[#This Row],[Các thủ tục khai báo thuế VÀ/HOẶC quy trình làm việc với cơ quan thuế đơn giản, tiện lợi, nhanh chóng hơn so với trước đây. - HUMAN-FAC1]]</f>
        <v>7</v>
      </c>
      <c r="N205">
        <f t="shared" si="91"/>
        <v>0.66666666666666663</v>
      </c>
      <c r="O205">
        <f>step3_validation[[#This Row],[AI_FAC2]]</f>
        <v>8</v>
      </c>
      <c r="P205">
        <f t="shared" si="92"/>
        <v>0.77777777777777779</v>
      </c>
      <c r="Q205">
        <f>survey_responses[[#This Row],[So với trước đây, tôi thấy cách tính thuế và các bậc thuế trong phương án mới đơn giản, dễ hiểu và dễ thực hiện hơn. - HUMAN-FAC2]]</f>
        <v>8</v>
      </c>
      <c r="R205">
        <f t="shared" si="93"/>
        <v>0.77777777777777779</v>
      </c>
      <c r="S205" s="32">
        <f t="shared" si="94"/>
        <v>0.72222222222222221</v>
      </c>
      <c r="T205" s="32">
        <f t="shared" si="95"/>
        <v>0.72222222222222221</v>
      </c>
      <c r="U205">
        <f>step3_validation[[#This Row],[AI_TRU1]]</f>
        <v>9</v>
      </c>
      <c r="V205">
        <f t="shared" si="96"/>
        <v>0.88888888888888884</v>
      </c>
      <c r="W205">
        <f>survey_responses[[#This Row],[Tôi tin rằng Nhà nước, cơ quan thuế sẽ thực thi chính sách mới một cách khách quan, công tâm và đối xử bình đẳng với mọi người nộp thuế.  - HUMAN-TRU1]]</f>
        <v>7</v>
      </c>
      <c r="X205">
        <f t="shared" si="97"/>
        <v>0.66666666666666663</v>
      </c>
      <c r="Y205">
        <f>step3_validation[[#This Row],[AI_TRU2]]</f>
        <v>7</v>
      </c>
      <c r="Z205">
        <f t="shared" si="98"/>
        <v>0.66666666666666663</v>
      </c>
      <c r="AA205">
        <f>survey_responses[[#This Row],[Tôi thấy mức thuế tôi phải đóng theo phương án mới là công bằng (người thu nhập như tôi đóng mức này là hợp lý). - HUMAN-TRU2]]</f>
        <v>7</v>
      </c>
      <c r="AB205">
        <f t="shared" si="99"/>
        <v>0.66666666666666663</v>
      </c>
      <c r="AC205">
        <f>step3_validation[[#This Row],[AI_TRU3]]</f>
        <v>6</v>
      </c>
      <c r="AD205">
        <f t="shared" si="100"/>
        <v>0.55555555555555558</v>
      </c>
      <c r="AE205">
        <f>survey_responses[[#This Row],[Tôi tin tưởng số tiền thuế tôi đóng sẽ được Nhà nước sử dụng hiệu quả để cải thiện dịch vụ công (y tế, đường xá...). - HUMAN-TRU3]]</f>
        <v>7</v>
      </c>
      <c r="AF205">
        <f t="shared" si="101"/>
        <v>0.66666666666666663</v>
      </c>
      <c r="AG205">
        <f>step3_validation[[#This Row],[AI_TRU4]]</f>
        <v>7</v>
      </c>
      <c r="AH205">
        <f t="shared" si="102"/>
        <v>0.66666666666666663</v>
      </c>
      <c r="AI205">
        <f>survey_responses[[#This Row],[Tôi thấy Nhà nước đã giải thích rõ ràng, minh bạch về lý do và mục tiêu của việc sửa đổi thuế lần này. - HUMAN-TRU4]]</f>
        <v>7</v>
      </c>
      <c r="AJ205">
        <f t="shared" si="103"/>
        <v>0.66666666666666663</v>
      </c>
      <c r="AK205" s="32">
        <f t="shared" si="104"/>
        <v>0.69444444444444431</v>
      </c>
      <c r="AL205" s="32">
        <f t="shared" si="105"/>
        <v>0.66666666666666663</v>
      </c>
      <c r="AM205" s="7">
        <f t="shared" si="106"/>
        <v>0.74999999999999989</v>
      </c>
      <c r="AN205" s="7">
        <f t="shared" si="107"/>
        <v>0.68518518518518512</v>
      </c>
      <c r="AO205">
        <f>step3_validation[[#This Row],[AI_OUT1]]</f>
        <v>8</v>
      </c>
      <c r="AP205">
        <f t="shared" si="108"/>
        <v>0.77777777777777779</v>
      </c>
      <c r="AQ205">
        <f>survey_responses[[#This Row],[Sau khi xem xét các quyền lợi và nghĩa vụ, bạn có ủng hộ và tuân thủ chính sách mới hiện nay? - HUMAN-OUT1]]</f>
        <v>7</v>
      </c>
      <c r="AR205">
        <f t="shared" si="109"/>
        <v>0.66666666666666663</v>
      </c>
      <c r="AS205" s="32">
        <f t="shared" si="110"/>
        <v>1</v>
      </c>
      <c r="AT205">
        <f t="shared" si="111"/>
        <v>1</v>
      </c>
    </row>
    <row r="206" spans="1:46" x14ac:dyDescent="0.45">
      <c r="A206">
        <f>step3_validation[[#This Row],[AI_ENF1]]</f>
        <v>9</v>
      </c>
      <c r="B206">
        <f t="shared" si="84"/>
        <v>0.88888888888888884</v>
      </c>
      <c r="C206">
        <f>survey_responses[[#This Row],[Tôi tin rằng với các quy định quản lý thuế hiện nay, hành vi gian lận hoặc trốn thuế sẽ dễ dàng bị phát hiện và xử lý nghiêm. - HUMAN-ENF1]]</f>
        <v>3</v>
      </c>
      <c r="D206">
        <f t="shared" si="85"/>
        <v>0.22222222222222221</v>
      </c>
      <c r="E206">
        <f>step3_validation[[#This Row],[AI_ENF2]]</f>
        <v>8</v>
      </c>
      <c r="F206">
        <f t="shared" si="86"/>
        <v>0.77777777777777779</v>
      </c>
      <c r="G206">
        <f>survey_responses[[#This Row],[Tôi tin rằng Nhà nước, cơ quan thuế có đủ khả năng và công nghệ để phát hiện, xử lý nghiêm các hành vi trốn thuế. - HUMAN-ENF2]]</f>
        <v>1</v>
      </c>
      <c r="H206">
        <f t="shared" si="87"/>
        <v>0</v>
      </c>
      <c r="I206" s="32">
        <f t="shared" si="88"/>
        <v>0.83333333333333326</v>
      </c>
      <c r="J206" s="32">
        <f t="shared" si="89"/>
        <v>0.1111111111111111</v>
      </c>
      <c r="K206">
        <f>step3_validation[[#This Row],[AI_FAC1]]</f>
        <v>8</v>
      </c>
      <c r="L206">
        <f t="shared" si="90"/>
        <v>0.77777777777777779</v>
      </c>
      <c r="M206">
        <f>survey_responses[[#This Row],[Các thủ tục khai báo thuế VÀ/HOẶC quy trình làm việc với cơ quan thuế đơn giản, tiện lợi, nhanh chóng hơn so với trước đây. - HUMAN-FAC1]]</f>
        <v>1</v>
      </c>
      <c r="N206">
        <f t="shared" si="91"/>
        <v>0</v>
      </c>
      <c r="O206">
        <f>step3_validation[[#This Row],[AI_FAC2]]</f>
        <v>7</v>
      </c>
      <c r="P206">
        <f t="shared" si="92"/>
        <v>0.66666666666666663</v>
      </c>
      <c r="Q206">
        <f>survey_responses[[#This Row],[So với trước đây, tôi thấy cách tính thuế và các bậc thuế trong phương án mới đơn giản, dễ hiểu và dễ thực hiện hơn. - HUMAN-FAC2]]</f>
        <v>5</v>
      </c>
      <c r="R206">
        <f t="shared" si="93"/>
        <v>0.44444444444444442</v>
      </c>
      <c r="S206" s="32">
        <f t="shared" si="94"/>
        <v>0.72222222222222221</v>
      </c>
      <c r="T206" s="32">
        <f t="shared" si="95"/>
        <v>0.22222222222222221</v>
      </c>
      <c r="U206">
        <f>step3_validation[[#This Row],[AI_TRU1]]</f>
        <v>8</v>
      </c>
      <c r="V206">
        <f t="shared" si="96"/>
        <v>0.77777777777777779</v>
      </c>
      <c r="W206">
        <f>survey_responses[[#This Row],[Tôi tin rằng Nhà nước, cơ quan thuế sẽ thực thi chính sách mới một cách khách quan, công tâm và đối xử bình đẳng với mọi người nộp thuế.  - HUMAN-TRU1]]</f>
        <v>1</v>
      </c>
      <c r="X206">
        <f t="shared" si="97"/>
        <v>0</v>
      </c>
      <c r="Y206">
        <f>step3_validation[[#This Row],[AI_TRU2]]</f>
        <v>8</v>
      </c>
      <c r="Z206">
        <f t="shared" si="98"/>
        <v>0.77777777777777779</v>
      </c>
      <c r="AA206">
        <f>survey_responses[[#This Row],[Tôi thấy mức thuế tôi phải đóng theo phương án mới là công bằng (người thu nhập như tôi đóng mức này là hợp lý). - HUMAN-TRU2]]</f>
        <v>1</v>
      </c>
      <c r="AB206">
        <f t="shared" si="99"/>
        <v>0</v>
      </c>
      <c r="AC206">
        <f>step3_validation[[#This Row],[AI_TRU3]]</f>
        <v>9</v>
      </c>
      <c r="AD206">
        <f t="shared" si="100"/>
        <v>0.88888888888888884</v>
      </c>
      <c r="AE206">
        <f>survey_responses[[#This Row],[Tôi tin tưởng số tiền thuế tôi đóng sẽ được Nhà nước sử dụng hiệu quả để cải thiện dịch vụ công (y tế, đường xá...). - HUMAN-TRU3]]</f>
        <v>1</v>
      </c>
      <c r="AF206">
        <f t="shared" si="101"/>
        <v>0</v>
      </c>
      <c r="AG206">
        <f>step3_validation[[#This Row],[AI_TRU4]]</f>
        <v>8</v>
      </c>
      <c r="AH206">
        <f t="shared" si="102"/>
        <v>0.77777777777777779</v>
      </c>
      <c r="AI206">
        <f>survey_responses[[#This Row],[Tôi thấy Nhà nước đã giải thích rõ ràng, minh bạch về lý do và mục tiêu của việc sửa đổi thuế lần này. - HUMAN-TRU4]]</f>
        <v>4</v>
      </c>
      <c r="AJ206">
        <f t="shared" si="103"/>
        <v>0.33333333333333331</v>
      </c>
      <c r="AK206" s="32">
        <f t="shared" si="104"/>
        <v>0.80555555555555558</v>
      </c>
      <c r="AL206" s="32">
        <f t="shared" si="105"/>
        <v>8.3333333333333329E-2</v>
      </c>
      <c r="AM206" s="7">
        <f t="shared" si="106"/>
        <v>0.78703703703703687</v>
      </c>
      <c r="AN206" s="7">
        <f t="shared" si="107"/>
        <v>0.13888888888888887</v>
      </c>
      <c r="AO206">
        <f>step3_validation[[#This Row],[AI_OUT1]]</f>
        <v>9</v>
      </c>
      <c r="AP206">
        <f t="shared" si="108"/>
        <v>0.88888888888888884</v>
      </c>
      <c r="AQ206">
        <f>survey_responses[[#This Row],[Sau khi xem xét các quyền lợi và nghĩa vụ, bạn có ủng hộ và tuân thủ chính sách mới hiện nay? - HUMAN-OUT1]]</f>
        <v>5</v>
      </c>
      <c r="AR206">
        <f t="shared" si="109"/>
        <v>0.44444444444444442</v>
      </c>
      <c r="AS206" s="32">
        <f t="shared" si="110"/>
        <v>4</v>
      </c>
      <c r="AT206">
        <f t="shared" si="111"/>
        <v>0</v>
      </c>
    </row>
    <row r="207" spans="1:46" x14ac:dyDescent="0.45">
      <c r="A207">
        <f>step3_validation[[#This Row],[AI_ENF1]]</f>
        <v>8</v>
      </c>
      <c r="B207">
        <f t="shared" si="84"/>
        <v>0.77777777777777779</v>
      </c>
      <c r="C207">
        <f>survey_responses[[#This Row],[Tôi tin rằng với các quy định quản lý thuế hiện nay, hành vi gian lận hoặc trốn thuế sẽ dễ dàng bị phát hiện và xử lý nghiêm. - HUMAN-ENF1]]</f>
        <v>8</v>
      </c>
      <c r="D207">
        <f t="shared" si="85"/>
        <v>0.77777777777777779</v>
      </c>
      <c r="E207">
        <f>step3_validation[[#This Row],[AI_ENF2]]</f>
        <v>9</v>
      </c>
      <c r="F207">
        <f t="shared" si="86"/>
        <v>0.88888888888888884</v>
      </c>
      <c r="G207">
        <f>survey_responses[[#This Row],[Tôi tin rằng Nhà nước, cơ quan thuế có đủ khả năng và công nghệ để phát hiện, xử lý nghiêm các hành vi trốn thuế. - HUMAN-ENF2]]</f>
        <v>8</v>
      </c>
      <c r="H207">
        <f t="shared" si="87"/>
        <v>0.77777777777777779</v>
      </c>
      <c r="I207" s="32">
        <f t="shared" si="88"/>
        <v>0.83333333333333326</v>
      </c>
      <c r="J207" s="32">
        <f t="shared" si="89"/>
        <v>0.77777777777777779</v>
      </c>
      <c r="K207">
        <f>step3_validation[[#This Row],[AI_FAC1]]</f>
        <v>7</v>
      </c>
      <c r="L207">
        <f t="shared" si="90"/>
        <v>0.66666666666666663</v>
      </c>
      <c r="M207">
        <f>survey_responses[[#This Row],[Các thủ tục khai báo thuế VÀ/HOẶC quy trình làm việc với cơ quan thuế đơn giản, tiện lợi, nhanh chóng hơn so với trước đây. - HUMAN-FAC1]]</f>
        <v>5</v>
      </c>
      <c r="N207">
        <f t="shared" si="91"/>
        <v>0.44444444444444442</v>
      </c>
      <c r="O207">
        <f>step3_validation[[#This Row],[AI_FAC2]]</f>
        <v>8</v>
      </c>
      <c r="P207">
        <f t="shared" si="92"/>
        <v>0.77777777777777779</v>
      </c>
      <c r="Q207">
        <f>survey_responses[[#This Row],[So với trước đây, tôi thấy cách tính thuế và các bậc thuế trong phương án mới đơn giản, dễ hiểu và dễ thực hiện hơn. - HUMAN-FAC2]]</f>
        <v>7</v>
      </c>
      <c r="R207">
        <f t="shared" si="93"/>
        <v>0.66666666666666663</v>
      </c>
      <c r="S207" s="32">
        <f t="shared" si="94"/>
        <v>0.72222222222222221</v>
      </c>
      <c r="T207" s="32">
        <f t="shared" si="95"/>
        <v>0.55555555555555558</v>
      </c>
      <c r="U207">
        <f>step3_validation[[#This Row],[AI_TRU1]]</f>
        <v>7</v>
      </c>
      <c r="V207">
        <f t="shared" si="96"/>
        <v>0.66666666666666663</v>
      </c>
      <c r="W207">
        <f>survey_responses[[#This Row],[Tôi tin rằng Nhà nước, cơ quan thuế sẽ thực thi chính sách mới một cách khách quan, công tâm và đối xử bình đẳng với mọi người nộp thuế.  - HUMAN-TRU1]]</f>
        <v>7</v>
      </c>
      <c r="X207">
        <f t="shared" si="97"/>
        <v>0.66666666666666663</v>
      </c>
      <c r="Y207">
        <f>step3_validation[[#This Row],[AI_TRU2]]</f>
        <v>8</v>
      </c>
      <c r="Z207">
        <f t="shared" si="98"/>
        <v>0.77777777777777779</v>
      </c>
      <c r="AA207">
        <f>survey_responses[[#This Row],[Tôi thấy mức thuế tôi phải đóng theo phương án mới là công bằng (người thu nhập như tôi đóng mức này là hợp lý). - HUMAN-TRU2]]</f>
        <v>6</v>
      </c>
      <c r="AB207">
        <f t="shared" si="99"/>
        <v>0.55555555555555558</v>
      </c>
      <c r="AC207">
        <f>step3_validation[[#This Row],[AI_TRU3]]</f>
        <v>7</v>
      </c>
      <c r="AD207">
        <f t="shared" si="100"/>
        <v>0.66666666666666663</v>
      </c>
      <c r="AE207">
        <f>survey_responses[[#This Row],[Tôi tin tưởng số tiền thuế tôi đóng sẽ được Nhà nước sử dụng hiệu quả để cải thiện dịch vụ công (y tế, đường xá...). - HUMAN-TRU3]]</f>
        <v>6</v>
      </c>
      <c r="AF207">
        <f t="shared" si="101"/>
        <v>0.55555555555555558</v>
      </c>
      <c r="AG207">
        <f>step3_validation[[#This Row],[AI_TRU4]]</f>
        <v>8</v>
      </c>
      <c r="AH207">
        <f t="shared" si="102"/>
        <v>0.77777777777777779</v>
      </c>
      <c r="AI207">
        <f>survey_responses[[#This Row],[Tôi thấy Nhà nước đã giải thích rõ ràng, minh bạch về lý do và mục tiêu của việc sửa đổi thuế lần này. - HUMAN-TRU4]]</f>
        <v>7</v>
      </c>
      <c r="AJ207">
        <f t="shared" si="103"/>
        <v>0.66666666666666663</v>
      </c>
      <c r="AK207" s="32">
        <f t="shared" si="104"/>
        <v>0.72222222222222221</v>
      </c>
      <c r="AL207" s="32">
        <f t="shared" si="105"/>
        <v>0.61111111111111116</v>
      </c>
      <c r="AM207" s="7">
        <f t="shared" si="106"/>
        <v>0.75925925925925919</v>
      </c>
      <c r="AN207" s="7">
        <f t="shared" si="107"/>
        <v>0.64814814814814825</v>
      </c>
      <c r="AO207">
        <f>step3_validation[[#This Row],[AI_OUT1]]</f>
        <v>9</v>
      </c>
      <c r="AP207">
        <f t="shared" si="108"/>
        <v>0.88888888888888884</v>
      </c>
      <c r="AQ207">
        <f>survey_responses[[#This Row],[Sau khi xem xét các quyền lợi và nghĩa vụ, bạn có ủng hộ và tuân thủ chính sách mới hiện nay? - HUMAN-OUT1]]</f>
        <v>7</v>
      </c>
      <c r="AR207">
        <f t="shared" si="109"/>
        <v>0.66666666666666663</v>
      </c>
      <c r="AS207" s="32">
        <f t="shared" si="110"/>
        <v>2</v>
      </c>
      <c r="AT207">
        <f t="shared" si="111"/>
        <v>1</v>
      </c>
    </row>
    <row r="208" spans="1:46" x14ac:dyDescent="0.45">
      <c r="A208">
        <f>step3_validation[[#This Row],[AI_ENF1]]</f>
        <v>7</v>
      </c>
      <c r="B208">
        <f t="shared" si="84"/>
        <v>0.66666666666666663</v>
      </c>
      <c r="C208">
        <f>survey_responses[[#This Row],[Tôi tin rằng với các quy định quản lý thuế hiện nay, hành vi gian lận hoặc trốn thuế sẽ dễ dàng bị phát hiện và xử lý nghiêm. - HUMAN-ENF1]]</f>
        <v>4</v>
      </c>
      <c r="D208">
        <f t="shared" si="85"/>
        <v>0.33333333333333331</v>
      </c>
      <c r="E208">
        <f>step3_validation[[#This Row],[AI_ENF2]]</f>
        <v>7</v>
      </c>
      <c r="F208">
        <f t="shared" si="86"/>
        <v>0.66666666666666663</v>
      </c>
      <c r="G208">
        <f>survey_responses[[#This Row],[Tôi tin rằng Nhà nước, cơ quan thuế có đủ khả năng và công nghệ để phát hiện, xử lý nghiêm các hành vi trốn thuế. - HUMAN-ENF2]]</f>
        <v>3</v>
      </c>
      <c r="H208">
        <f t="shared" si="87"/>
        <v>0.22222222222222221</v>
      </c>
      <c r="I208" s="32">
        <f t="shared" si="88"/>
        <v>0.66666666666666663</v>
      </c>
      <c r="J208" s="32">
        <f t="shared" si="89"/>
        <v>0.27777777777777779</v>
      </c>
      <c r="K208">
        <f>step3_validation[[#This Row],[AI_FAC1]]</f>
        <v>6</v>
      </c>
      <c r="L208">
        <f t="shared" si="90"/>
        <v>0.55555555555555558</v>
      </c>
      <c r="M208">
        <f>survey_responses[[#This Row],[Các thủ tục khai báo thuế VÀ/HOẶC quy trình làm việc với cơ quan thuế đơn giản, tiện lợi, nhanh chóng hơn so với trước đây. - HUMAN-FAC1]]</f>
        <v>1</v>
      </c>
      <c r="N208">
        <f t="shared" si="91"/>
        <v>0</v>
      </c>
      <c r="O208">
        <f>step3_validation[[#This Row],[AI_FAC2]]</f>
        <v>7</v>
      </c>
      <c r="P208">
        <f t="shared" si="92"/>
        <v>0.66666666666666663</v>
      </c>
      <c r="Q208">
        <f>survey_responses[[#This Row],[So với trước đây, tôi thấy cách tính thuế và các bậc thuế trong phương án mới đơn giản, dễ hiểu và dễ thực hiện hơn. - HUMAN-FAC2]]</f>
        <v>2</v>
      </c>
      <c r="R208">
        <f t="shared" si="93"/>
        <v>0.1111111111111111</v>
      </c>
      <c r="S208" s="32">
        <f t="shared" si="94"/>
        <v>0.61111111111111116</v>
      </c>
      <c r="T208" s="32">
        <f t="shared" si="95"/>
        <v>5.5555555555555552E-2</v>
      </c>
      <c r="U208">
        <f>step3_validation[[#This Row],[AI_TRU1]]</f>
        <v>8</v>
      </c>
      <c r="V208">
        <f t="shared" si="96"/>
        <v>0.77777777777777779</v>
      </c>
      <c r="W208">
        <f>survey_responses[[#This Row],[Tôi tin rằng Nhà nước, cơ quan thuế sẽ thực thi chính sách mới một cách khách quan, công tâm và đối xử bình đẳng với mọi người nộp thuế.  - HUMAN-TRU1]]</f>
        <v>1</v>
      </c>
      <c r="X208">
        <f t="shared" si="97"/>
        <v>0</v>
      </c>
      <c r="Y208">
        <f>step3_validation[[#This Row],[AI_TRU2]]</f>
        <v>7</v>
      </c>
      <c r="Z208">
        <f t="shared" si="98"/>
        <v>0.66666666666666663</v>
      </c>
      <c r="AA208">
        <f>survey_responses[[#This Row],[Tôi thấy mức thuế tôi phải đóng theo phương án mới là công bằng (người thu nhập như tôi đóng mức này là hợp lý). - HUMAN-TRU2]]</f>
        <v>1</v>
      </c>
      <c r="AB208">
        <f t="shared" si="99"/>
        <v>0</v>
      </c>
      <c r="AC208">
        <f>step3_validation[[#This Row],[AI_TRU3]]</f>
        <v>6</v>
      </c>
      <c r="AD208">
        <f t="shared" si="100"/>
        <v>0.55555555555555558</v>
      </c>
      <c r="AE208">
        <f>survey_responses[[#This Row],[Tôi tin tưởng số tiền thuế tôi đóng sẽ được Nhà nước sử dụng hiệu quả để cải thiện dịch vụ công (y tế, đường xá...). - HUMAN-TRU3]]</f>
        <v>1</v>
      </c>
      <c r="AF208">
        <f t="shared" si="101"/>
        <v>0</v>
      </c>
      <c r="AG208">
        <f>step3_validation[[#This Row],[AI_TRU4]]</f>
        <v>5</v>
      </c>
      <c r="AH208">
        <f t="shared" si="102"/>
        <v>0.44444444444444442</v>
      </c>
      <c r="AI208">
        <f>survey_responses[[#This Row],[Tôi thấy Nhà nước đã giải thích rõ ràng, minh bạch về lý do và mục tiêu của việc sửa đổi thuế lần này. - HUMAN-TRU4]]</f>
        <v>4</v>
      </c>
      <c r="AJ208">
        <f t="shared" si="103"/>
        <v>0.33333333333333331</v>
      </c>
      <c r="AK208" s="32">
        <f t="shared" si="104"/>
        <v>0.61111111111111116</v>
      </c>
      <c r="AL208" s="32">
        <f t="shared" si="105"/>
        <v>8.3333333333333329E-2</v>
      </c>
      <c r="AM208" s="7">
        <f t="shared" si="106"/>
        <v>0.62962962962962965</v>
      </c>
      <c r="AN208" s="7">
        <f t="shared" si="107"/>
        <v>0.1388888888888889</v>
      </c>
      <c r="AO208">
        <f>step3_validation[[#This Row],[AI_OUT1]]</f>
        <v>6</v>
      </c>
      <c r="AP208">
        <f t="shared" si="108"/>
        <v>0.55555555555555558</v>
      </c>
      <c r="AQ208">
        <f>survey_responses[[#This Row],[Sau khi xem xét các quyền lợi và nghĩa vụ, bạn có ủng hộ và tuân thủ chính sách mới hiện nay? - HUMAN-OUT1]]</f>
        <v>2</v>
      </c>
      <c r="AR208">
        <f t="shared" si="109"/>
        <v>0.1111111111111111</v>
      </c>
      <c r="AS208" s="32">
        <f t="shared" si="110"/>
        <v>4</v>
      </c>
      <c r="AT208">
        <f t="shared" si="111"/>
        <v>0</v>
      </c>
    </row>
    <row r="209" spans="1:46" x14ac:dyDescent="0.45">
      <c r="A209">
        <f>step3_validation[[#This Row],[AI_ENF1]]</f>
        <v>8</v>
      </c>
      <c r="B209">
        <f t="shared" si="84"/>
        <v>0.77777777777777779</v>
      </c>
      <c r="C209">
        <f>survey_responses[[#This Row],[Tôi tin rằng với các quy định quản lý thuế hiện nay, hành vi gian lận hoặc trốn thuế sẽ dễ dàng bị phát hiện và xử lý nghiêm. - HUMAN-ENF1]]</f>
        <v>7</v>
      </c>
      <c r="D209">
        <f t="shared" si="85"/>
        <v>0.66666666666666663</v>
      </c>
      <c r="E209">
        <f>step3_validation[[#This Row],[AI_ENF2]]</f>
        <v>8</v>
      </c>
      <c r="F209">
        <f t="shared" si="86"/>
        <v>0.77777777777777779</v>
      </c>
      <c r="G209">
        <f>survey_responses[[#This Row],[Tôi tin rằng Nhà nước, cơ quan thuế có đủ khả năng và công nghệ để phát hiện, xử lý nghiêm các hành vi trốn thuế. - HUMAN-ENF2]]</f>
        <v>8</v>
      </c>
      <c r="H209">
        <f t="shared" si="87"/>
        <v>0.77777777777777779</v>
      </c>
      <c r="I209" s="32">
        <f t="shared" si="88"/>
        <v>0.77777777777777779</v>
      </c>
      <c r="J209" s="32">
        <f t="shared" si="89"/>
        <v>0.72222222222222221</v>
      </c>
      <c r="K209">
        <f>step3_validation[[#This Row],[AI_FAC1]]</f>
        <v>7</v>
      </c>
      <c r="L209">
        <f t="shared" si="90"/>
        <v>0.66666666666666663</v>
      </c>
      <c r="M209">
        <f>survey_responses[[#This Row],[Các thủ tục khai báo thuế VÀ/HOẶC quy trình làm việc với cơ quan thuế đơn giản, tiện lợi, nhanh chóng hơn so với trước đây. - HUMAN-FAC1]]</f>
        <v>6</v>
      </c>
      <c r="N209">
        <f t="shared" si="91"/>
        <v>0.55555555555555558</v>
      </c>
      <c r="O209">
        <f>step3_validation[[#This Row],[AI_FAC2]]</f>
        <v>7</v>
      </c>
      <c r="P209">
        <f t="shared" si="92"/>
        <v>0.66666666666666663</v>
      </c>
      <c r="Q209">
        <f>survey_responses[[#This Row],[So với trước đây, tôi thấy cách tính thuế và các bậc thuế trong phương án mới đơn giản, dễ hiểu và dễ thực hiện hơn. - HUMAN-FAC2]]</f>
        <v>7</v>
      </c>
      <c r="R209">
        <f t="shared" si="93"/>
        <v>0.66666666666666663</v>
      </c>
      <c r="S209" s="32">
        <f t="shared" si="94"/>
        <v>0.66666666666666663</v>
      </c>
      <c r="T209" s="32">
        <f t="shared" si="95"/>
        <v>0.61111111111111116</v>
      </c>
      <c r="U209">
        <f>step3_validation[[#This Row],[AI_TRU1]]</f>
        <v>8</v>
      </c>
      <c r="V209">
        <f t="shared" si="96"/>
        <v>0.77777777777777779</v>
      </c>
      <c r="W209">
        <f>survey_responses[[#This Row],[Tôi tin rằng Nhà nước, cơ quan thuế sẽ thực thi chính sách mới một cách khách quan, công tâm và đối xử bình đẳng với mọi người nộp thuế.  - HUMAN-TRU1]]</f>
        <v>6</v>
      </c>
      <c r="X209">
        <f t="shared" si="97"/>
        <v>0.55555555555555558</v>
      </c>
      <c r="Y209">
        <f>step3_validation[[#This Row],[AI_TRU2]]</f>
        <v>7</v>
      </c>
      <c r="Z209">
        <f t="shared" si="98"/>
        <v>0.66666666666666663</v>
      </c>
      <c r="AA209">
        <f>survey_responses[[#This Row],[Tôi thấy mức thuế tôi phải đóng theo phương án mới là công bằng (người thu nhập như tôi đóng mức này là hợp lý). - HUMAN-TRU2]]</f>
        <v>7</v>
      </c>
      <c r="AB209">
        <f t="shared" si="99"/>
        <v>0.66666666666666663</v>
      </c>
      <c r="AC209">
        <f>step3_validation[[#This Row],[AI_TRU3]]</f>
        <v>8</v>
      </c>
      <c r="AD209">
        <f t="shared" si="100"/>
        <v>0.77777777777777779</v>
      </c>
      <c r="AE209">
        <f>survey_responses[[#This Row],[Tôi tin tưởng số tiền thuế tôi đóng sẽ được Nhà nước sử dụng hiệu quả để cải thiện dịch vụ công (y tế, đường xá...). - HUMAN-TRU3]]</f>
        <v>6</v>
      </c>
      <c r="AF209">
        <f t="shared" si="101"/>
        <v>0.55555555555555558</v>
      </c>
      <c r="AG209">
        <f>step3_validation[[#This Row],[AI_TRU4]]</f>
        <v>6</v>
      </c>
      <c r="AH209">
        <f t="shared" si="102"/>
        <v>0.55555555555555558</v>
      </c>
      <c r="AI209">
        <f>survey_responses[[#This Row],[Tôi thấy Nhà nước đã giải thích rõ ràng, minh bạch về lý do và mục tiêu của việc sửa đổi thuế lần này. - HUMAN-TRU4]]</f>
        <v>6</v>
      </c>
      <c r="AJ209">
        <f t="shared" si="103"/>
        <v>0.55555555555555558</v>
      </c>
      <c r="AK209" s="32">
        <f t="shared" si="104"/>
        <v>0.69444444444444442</v>
      </c>
      <c r="AL209" s="32">
        <f t="shared" si="105"/>
        <v>0.58333333333333337</v>
      </c>
      <c r="AM209" s="7">
        <f t="shared" si="106"/>
        <v>0.71296296296296291</v>
      </c>
      <c r="AN209" s="7">
        <f t="shared" si="107"/>
        <v>0.63888888888888895</v>
      </c>
      <c r="AO209">
        <f>step3_validation[[#This Row],[AI_OUT1]]</f>
        <v>7</v>
      </c>
      <c r="AP209">
        <f t="shared" si="108"/>
        <v>0.66666666666666663</v>
      </c>
      <c r="AQ209">
        <f>survey_responses[[#This Row],[Sau khi xem xét các quyền lợi và nghĩa vụ, bạn có ủng hộ và tuân thủ chính sách mới hiện nay? - HUMAN-OUT1]]</f>
        <v>6</v>
      </c>
      <c r="AR209">
        <f t="shared" si="109"/>
        <v>0.55555555555555558</v>
      </c>
      <c r="AS209" s="32">
        <f t="shared" si="110"/>
        <v>1</v>
      </c>
      <c r="AT209">
        <f t="shared" si="111"/>
        <v>1</v>
      </c>
    </row>
    <row r="210" spans="1:46" x14ac:dyDescent="0.45">
      <c r="A210">
        <f>step3_validation[[#This Row],[AI_ENF1]]</f>
        <v>7</v>
      </c>
      <c r="B210">
        <f t="shared" si="84"/>
        <v>0.66666666666666663</v>
      </c>
      <c r="C210">
        <f>survey_responses[[#This Row],[Tôi tin rằng với các quy định quản lý thuế hiện nay, hành vi gian lận hoặc trốn thuế sẽ dễ dàng bị phát hiện và xử lý nghiêm. - HUMAN-ENF1]]</f>
        <v>6</v>
      </c>
      <c r="D210">
        <f t="shared" si="85"/>
        <v>0.55555555555555558</v>
      </c>
      <c r="E210">
        <f>step3_validation[[#This Row],[AI_ENF2]]</f>
        <v>6</v>
      </c>
      <c r="F210">
        <f t="shared" si="86"/>
        <v>0.55555555555555558</v>
      </c>
      <c r="G210">
        <f>survey_responses[[#This Row],[Tôi tin rằng Nhà nước, cơ quan thuế có đủ khả năng và công nghệ để phát hiện, xử lý nghiêm các hành vi trốn thuế. - HUMAN-ENF2]]</f>
        <v>6</v>
      </c>
      <c r="H210">
        <f t="shared" si="87"/>
        <v>0.55555555555555558</v>
      </c>
      <c r="I210" s="32">
        <f t="shared" si="88"/>
        <v>0.61111111111111116</v>
      </c>
      <c r="J210" s="32">
        <f t="shared" si="89"/>
        <v>0.55555555555555558</v>
      </c>
      <c r="K210">
        <f>step3_validation[[#This Row],[AI_FAC1]]</f>
        <v>8</v>
      </c>
      <c r="L210">
        <f t="shared" si="90"/>
        <v>0.77777777777777779</v>
      </c>
      <c r="M210">
        <f>survey_responses[[#This Row],[Các thủ tục khai báo thuế VÀ/HOẶC quy trình làm việc với cơ quan thuế đơn giản, tiện lợi, nhanh chóng hơn so với trước đây. - HUMAN-FAC1]]</f>
        <v>6</v>
      </c>
      <c r="N210">
        <f t="shared" si="91"/>
        <v>0.55555555555555558</v>
      </c>
      <c r="O210">
        <f>step3_validation[[#This Row],[AI_FAC2]]</f>
        <v>7</v>
      </c>
      <c r="P210">
        <f t="shared" si="92"/>
        <v>0.66666666666666663</v>
      </c>
      <c r="Q210">
        <f>survey_responses[[#This Row],[So với trước đây, tôi thấy cách tính thuế và các bậc thuế trong phương án mới đơn giản, dễ hiểu và dễ thực hiện hơn. - HUMAN-FAC2]]</f>
        <v>6</v>
      </c>
      <c r="R210">
        <f t="shared" si="93"/>
        <v>0.55555555555555558</v>
      </c>
      <c r="S210" s="32">
        <f t="shared" si="94"/>
        <v>0.72222222222222221</v>
      </c>
      <c r="T210" s="32">
        <f t="shared" si="95"/>
        <v>0.55555555555555558</v>
      </c>
      <c r="U210">
        <f>step3_validation[[#This Row],[AI_TRU1]]</f>
        <v>6</v>
      </c>
      <c r="V210">
        <f t="shared" si="96"/>
        <v>0.55555555555555558</v>
      </c>
      <c r="W210">
        <f>survey_responses[[#This Row],[Tôi tin rằng Nhà nước, cơ quan thuế sẽ thực thi chính sách mới một cách khách quan, công tâm và đối xử bình đẳng với mọi người nộp thuế.  - HUMAN-TRU1]]</f>
        <v>6</v>
      </c>
      <c r="X210">
        <f t="shared" si="97"/>
        <v>0.55555555555555558</v>
      </c>
      <c r="Y210">
        <f>step3_validation[[#This Row],[AI_TRU2]]</f>
        <v>7</v>
      </c>
      <c r="Z210">
        <f t="shared" si="98"/>
        <v>0.66666666666666663</v>
      </c>
      <c r="AA210">
        <f>survey_responses[[#This Row],[Tôi thấy mức thuế tôi phải đóng theo phương án mới là công bằng (người thu nhập như tôi đóng mức này là hợp lý). - HUMAN-TRU2]]</f>
        <v>5</v>
      </c>
      <c r="AB210">
        <f t="shared" si="99"/>
        <v>0.44444444444444442</v>
      </c>
      <c r="AC210">
        <f>step3_validation[[#This Row],[AI_TRU3]]</f>
        <v>6</v>
      </c>
      <c r="AD210">
        <f t="shared" si="100"/>
        <v>0.55555555555555558</v>
      </c>
      <c r="AE210">
        <f>survey_responses[[#This Row],[Tôi tin tưởng số tiền thuế tôi đóng sẽ được Nhà nước sử dụng hiệu quả để cải thiện dịch vụ công (y tế, đường xá...). - HUMAN-TRU3]]</f>
        <v>6</v>
      </c>
      <c r="AF210">
        <f t="shared" si="101"/>
        <v>0.55555555555555558</v>
      </c>
      <c r="AG210">
        <f>step3_validation[[#This Row],[AI_TRU4]]</f>
        <v>7</v>
      </c>
      <c r="AH210">
        <f t="shared" si="102"/>
        <v>0.66666666666666663</v>
      </c>
      <c r="AI210">
        <f>survey_responses[[#This Row],[Tôi thấy Nhà nước đã giải thích rõ ràng, minh bạch về lý do và mục tiêu của việc sửa đổi thuế lần này. - HUMAN-TRU4]]</f>
        <v>6</v>
      </c>
      <c r="AJ210">
        <f t="shared" si="103"/>
        <v>0.55555555555555558</v>
      </c>
      <c r="AK210" s="32">
        <f t="shared" si="104"/>
        <v>0.61111111111111116</v>
      </c>
      <c r="AL210" s="32">
        <f t="shared" si="105"/>
        <v>0.52777777777777779</v>
      </c>
      <c r="AM210" s="7">
        <f t="shared" si="106"/>
        <v>0.64814814814814825</v>
      </c>
      <c r="AN210" s="7">
        <f t="shared" si="107"/>
        <v>0.54629629629629628</v>
      </c>
      <c r="AO210">
        <f>step3_validation[[#This Row],[AI_OUT1]]</f>
        <v>8</v>
      </c>
      <c r="AP210">
        <f t="shared" si="108"/>
        <v>0.77777777777777779</v>
      </c>
      <c r="AQ210">
        <f>survey_responses[[#This Row],[Sau khi xem xét các quyền lợi và nghĩa vụ, bạn có ủng hộ và tuân thủ chính sách mới hiện nay? - HUMAN-OUT1]]</f>
        <v>6</v>
      </c>
      <c r="AR210">
        <f t="shared" si="109"/>
        <v>0.55555555555555558</v>
      </c>
      <c r="AS210" s="32">
        <f t="shared" si="110"/>
        <v>2</v>
      </c>
      <c r="AT210">
        <f t="shared" si="111"/>
        <v>1</v>
      </c>
    </row>
    <row r="211" spans="1:46" x14ac:dyDescent="0.45">
      <c r="A211">
        <f>step3_validation[[#This Row],[AI_ENF1]]</f>
        <v>8</v>
      </c>
      <c r="B211">
        <f t="shared" si="84"/>
        <v>0.77777777777777779</v>
      </c>
      <c r="C211">
        <f>survey_responses[[#This Row],[Tôi tin rằng với các quy định quản lý thuế hiện nay, hành vi gian lận hoặc trốn thuế sẽ dễ dàng bị phát hiện và xử lý nghiêm. - HUMAN-ENF1]]</f>
        <v>7</v>
      </c>
      <c r="D211">
        <f t="shared" si="85"/>
        <v>0.66666666666666663</v>
      </c>
      <c r="E211">
        <f>step3_validation[[#This Row],[AI_ENF2]]</f>
        <v>7</v>
      </c>
      <c r="F211">
        <f t="shared" si="86"/>
        <v>0.66666666666666663</v>
      </c>
      <c r="G211">
        <f>survey_responses[[#This Row],[Tôi tin rằng Nhà nước, cơ quan thuế có đủ khả năng và công nghệ để phát hiện, xử lý nghiêm các hành vi trốn thuế. - HUMAN-ENF2]]</f>
        <v>7</v>
      </c>
      <c r="H211">
        <f t="shared" si="87"/>
        <v>0.66666666666666663</v>
      </c>
      <c r="I211" s="32">
        <f t="shared" si="88"/>
        <v>0.72222222222222221</v>
      </c>
      <c r="J211" s="32">
        <f t="shared" si="89"/>
        <v>0.66666666666666663</v>
      </c>
      <c r="K211">
        <f>step3_validation[[#This Row],[AI_FAC1]]</f>
        <v>9</v>
      </c>
      <c r="L211">
        <f t="shared" si="90"/>
        <v>0.88888888888888884</v>
      </c>
      <c r="M211">
        <f>survey_responses[[#This Row],[Các thủ tục khai báo thuế VÀ/HOẶC quy trình làm việc với cơ quan thuế đơn giản, tiện lợi, nhanh chóng hơn so với trước đây. - HUMAN-FAC1]]</f>
        <v>8</v>
      </c>
      <c r="N211">
        <f t="shared" si="91"/>
        <v>0.77777777777777779</v>
      </c>
      <c r="O211">
        <f>step3_validation[[#This Row],[AI_FAC2]]</f>
        <v>8</v>
      </c>
      <c r="P211">
        <f t="shared" si="92"/>
        <v>0.77777777777777779</v>
      </c>
      <c r="Q211">
        <f>survey_responses[[#This Row],[So với trước đây, tôi thấy cách tính thuế và các bậc thuế trong phương án mới đơn giản, dễ hiểu và dễ thực hiện hơn. - HUMAN-FAC2]]</f>
        <v>8</v>
      </c>
      <c r="R211">
        <f t="shared" si="93"/>
        <v>0.77777777777777779</v>
      </c>
      <c r="S211" s="32">
        <f t="shared" si="94"/>
        <v>0.83333333333333326</v>
      </c>
      <c r="T211" s="32">
        <f t="shared" si="95"/>
        <v>0.77777777777777779</v>
      </c>
      <c r="U211">
        <f>step3_validation[[#This Row],[AI_TRU1]]</f>
        <v>7</v>
      </c>
      <c r="V211">
        <f t="shared" si="96"/>
        <v>0.66666666666666663</v>
      </c>
      <c r="W211">
        <f>survey_responses[[#This Row],[Tôi tin rằng Nhà nước, cơ quan thuế sẽ thực thi chính sách mới một cách khách quan, công tâm và đối xử bình đẳng với mọi người nộp thuế.  - HUMAN-TRU1]]</f>
        <v>8</v>
      </c>
      <c r="X211">
        <f t="shared" si="97"/>
        <v>0.77777777777777779</v>
      </c>
      <c r="Y211">
        <f>step3_validation[[#This Row],[AI_TRU2]]</f>
        <v>6</v>
      </c>
      <c r="Z211">
        <f t="shared" si="98"/>
        <v>0.55555555555555558</v>
      </c>
      <c r="AA211">
        <f>survey_responses[[#This Row],[Tôi thấy mức thuế tôi phải đóng theo phương án mới là công bằng (người thu nhập như tôi đóng mức này là hợp lý). - HUMAN-TRU2]]</f>
        <v>9</v>
      </c>
      <c r="AB211">
        <f t="shared" si="99"/>
        <v>0.88888888888888884</v>
      </c>
      <c r="AC211">
        <f>step3_validation[[#This Row],[AI_TRU3]]</f>
        <v>7</v>
      </c>
      <c r="AD211">
        <f t="shared" si="100"/>
        <v>0.66666666666666663</v>
      </c>
      <c r="AE211">
        <f>survey_responses[[#This Row],[Tôi tin tưởng số tiền thuế tôi đóng sẽ được Nhà nước sử dụng hiệu quả để cải thiện dịch vụ công (y tế, đường xá...). - HUMAN-TRU3]]</f>
        <v>8</v>
      </c>
      <c r="AF211">
        <f t="shared" si="101"/>
        <v>0.77777777777777779</v>
      </c>
      <c r="AG211">
        <f>step3_validation[[#This Row],[AI_TRU4]]</f>
        <v>5</v>
      </c>
      <c r="AH211">
        <f t="shared" si="102"/>
        <v>0.44444444444444442</v>
      </c>
      <c r="AI211">
        <f>survey_responses[[#This Row],[Tôi thấy Nhà nước đã giải thích rõ ràng, minh bạch về lý do và mục tiêu của việc sửa đổi thuế lần này. - HUMAN-TRU4]]</f>
        <v>8</v>
      </c>
      <c r="AJ211">
        <f t="shared" si="103"/>
        <v>0.77777777777777779</v>
      </c>
      <c r="AK211" s="32">
        <f t="shared" si="104"/>
        <v>0.58333333333333326</v>
      </c>
      <c r="AL211" s="32">
        <f t="shared" si="105"/>
        <v>0.80555555555555547</v>
      </c>
      <c r="AM211" s="7">
        <f t="shared" si="106"/>
        <v>0.7129629629629628</v>
      </c>
      <c r="AN211" s="7">
        <f t="shared" si="107"/>
        <v>0.75</v>
      </c>
      <c r="AO211">
        <f>step3_validation[[#This Row],[AI_OUT1]]</f>
        <v>7</v>
      </c>
      <c r="AP211">
        <f t="shared" si="108"/>
        <v>0.66666666666666663</v>
      </c>
      <c r="AQ211">
        <f>survey_responses[[#This Row],[Sau khi xem xét các quyền lợi và nghĩa vụ, bạn có ủng hộ và tuân thủ chính sách mới hiện nay? - HUMAN-OUT1]]</f>
        <v>8</v>
      </c>
      <c r="AR211">
        <f t="shared" si="109"/>
        <v>0.77777777777777779</v>
      </c>
      <c r="AS211" s="32">
        <f t="shared" si="110"/>
        <v>1</v>
      </c>
      <c r="AT211">
        <f t="shared" si="111"/>
        <v>1</v>
      </c>
    </row>
    <row r="212" spans="1:46" x14ac:dyDescent="0.45">
      <c r="A212">
        <f>step3_validation[[#This Row],[AI_ENF1]]</f>
        <v>7</v>
      </c>
      <c r="B212">
        <f t="shared" si="84"/>
        <v>0.66666666666666663</v>
      </c>
      <c r="C212">
        <f>survey_responses[[#This Row],[Tôi tin rằng với các quy định quản lý thuế hiện nay, hành vi gian lận hoặc trốn thuế sẽ dễ dàng bị phát hiện và xử lý nghiêm. - HUMAN-ENF1]]</f>
        <v>7</v>
      </c>
      <c r="D212">
        <f t="shared" si="85"/>
        <v>0.66666666666666663</v>
      </c>
      <c r="E212">
        <f>step3_validation[[#This Row],[AI_ENF2]]</f>
        <v>6</v>
      </c>
      <c r="F212">
        <f t="shared" si="86"/>
        <v>0.55555555555555558</v>
      </c>
      <c r="G212">
        <f>survey_responses[[#This Row],[Tôi tin rằng Nhà nước, cơ quan thuế có đủ khả năng và công nghệ để phát hiện, xử lý nghiêm các hành vi trốn thuế. - HUMAN-ENF2]]</f>
        <v>7</v>
      </c>
      <c r="H212">
        <f t="shared" si="87"/>
        <v>0.66666666666666663</v>
      </c>
      <c r="I212" s="32">
        <f t="shared" si="88"/>
        <v>0.61111111111111116</v>
      </c>
      <c r="J212" s="32">
        <f t="shared" si="89"/>
        <v>0.66666666666666663</v>
      </c>
      <c r="K212">
        <f>step3_validation[[#This Row],[AI_FAC1]]</f>
        <v>8</v>
      </c>
      <c r="L212">
        <f t="shared" si="90"/>
        <v>0.77777777777777779</v>
      </c>
      <c r="M212">
        <f>survey_responses[[#This Row],[Các thủ tục khai báo thuế VÀ/HOẶC quy trình làm việc với cơ quan thuế đơn giản, tiện lợi, nhanh chóng hơn so với trước đây. - HUMAN-FAC1]]</f>
        <v>7</v>
      </c>
      <c r="N212">
        <f t="shared" si="91"/>
        <v>0.66666666666666663</v>
      </c>
      <c r="O212">
        <f>step3_validation[[#This Row],[AI_FAC2]]</f>
        <v>9</v>
      </c>
      <c r="P212">
        <f t="shared" si="92"/>
        <v>0.88888888888888884</v>
      </c>
      <c r="Q212">
        <f>survey_responses[[#This Row],[So với trước đây, tôi thấy cách tính thuế và các bậc thuế trong phương án mới đơn giản, dễ hiểu và dễ thực hiện hơn. - HUMAN-FAC2]]</f>
        <v>7</v>
      </c>
      <c r="R212">
        <f t="shared" si="93"/>
        <v>0.66666666666666663</v>
      </c>
      <c r="S212" s="32">
        <f t="shared" si="94"/>
        <v>0.83333333333333326</v>
      </c>
      <c r="T212" s="32">
        <f t="shared" si="95"/>
        <v>0.66666666666666663</v>
      </c>
      <c r="U212">
        <f>step3_validation[[#This Row],[AI_TRU1]]</f>
        <v>6</v>
      </c>
      <c r="V212">
        <f t="shared" si="96"/>
        <v>0.55555555555555558</v>
      </c>
      <c r="W212">
        <f>survey_responses[[#This Row],[Tôi tin rằng Nhà nước, cơ quan thuế sẽ thực thi chính sách mới một cách khách quan, công tâm và đối xử bình đẳng với mọi người nộp thuế.  - HUMAN-TRU1]]</f>
        <v>7</v>
      </c>
      <c r="X212">
        <f t="shared" si="97"/>
        <v>0.66666666666666663</v>
      </c>
      <c r="Y212">
        <f>step3_validation[[#This Row],[AI_TRU2]]</f>
        <v>7</v>
      </c>
      <c r="Z212">
        <f t="shared" si="98"/>
        <v>0.66666666666666663</v>
      </c>
      <c r="AA212">
        <f>survey_responses[[#This Row],[Tôi thấy mức thuế tôi phải đóng theo phương án mới là công bằng (người thu nhập như tôi đóng mức này là hợp lý). - HUMAN-TRU2]]</f>
        <v>7</v>
      </c>
      <c r="AB212">
        <f t="shared" si="99"/>
        <v>0.66666666666666663</v>
      </c>
      <c r="AC212">
        <f>step3_validation[[#This Row],[AI_TRU3]]</f>
        <v>5</v>
      </c>
      <c r="AD212">
        <f t="shared" si="100"/>
        <v>0.44444444444444442</v>
      </c>
      <c r="AE212">
        <f>survey_responses[[#This Row],[Tôi tin tưởng số tiền thuế tôi đóng sẽ được Nhà nước sử dụng hiệu quả để cải thiện dịch vụ công (y tế, đường xá...). - HUMAN-TRU3]]</f>
        <v>7</v>
      </c>
      <c r="AF212">
        <f t="shared" si="101"/>
        <v>0.66666666666666663</v>
      </c>
      <c r="AG212">
        <f>step3_validation[[#This Row],[AI_TRU4]]</f>
        <v>6</v>
      </c>
      <c r="AH212">
        <f t="shared" si="102"/>
        <v>0.55555555555555558</v>
      </c>
      <c r="AI212">
        <f>survey_responses[[#This Row],[Tôi thấy Nhà nước đã giải thích rõ ràng, minh bạch về lý do và mục tiêu của việc sửa đổi thuế lần này. - HUMAN-TRU4]]</f>
        <v>7</v>
      </c>
      <c r="AJ212">
        <f t="shared" si="103"/>
        <v>0.66666666666666663</v>
      </c>
      <c r="AK212" s="32">
        <f t="shared" si="104"/>
        <v>0.55555555555555558</v>
      </c>
      <c r="AL212" s="32">
        <f t="shared" si="105"/>
        <v>0.66666666666666663</v>
      </c>
      <c r="AM212" s="7">
        <f t="shared" si="106"/>
        <v>0.66666666666666663</v>
      </c>
      <c r="AN212" s="7">
        <f t="shared" si="107"/>
        <v>0.66666666666666663</v>
      </c>
      <c r="AO212">
        <f>step3_validation[[#This Row],[AI_OUT1]]</f>
        <v>7</v>
      </c>
      <c r="AP212">
        <f t="shared" si="108"/>
        <v>0.66666666666666663</v>
      </c>
      <c r="AQ212">
        <f>survey_responses[[#This Row],[Sau khi xem xét các quyền lợi và nghĩa vụ, bạn có ủng hộ và tuân thủ chính sách mới hiện nay? - HUMAN-OUT1]]</f>
        <v>7</v>
      </c>
      <c r="AR212">
        <f t="shared" si="109"/>
        <v>0.66666666666666663</v>
      </c>
      <c r="AS212" s="32">
        <f t="shared" si="110"/>
        <v>0</v>
      </c>
      <c r="AT212">
        <f t="shared" si="111"/>
        <v>1</v>
      </c>
    </row>
    <row r="213" spans="1:46" x14ac:dyDescent="0.45">
      <c r="A213">
        <f>step3_validation[[#This Row],[AI_ENF1]]</f>
        <v>7</v>
      </c>
      <c r="B213">
        <f t="shared" si="84"/>
        <v>0.66666666666666663</v>
      </c>
      <c r="C213">
        <f>survey_responses[[#This Row],[Tôi tin rằng với các quy định quản lý thuế hiện nay, hành vi gian lận hoặc trốn thuế sẽ dễ dàng bị phát hiện và xử lý nghiêm. - HUMAN-ENF1]]</f>
        <v>5</v>
      </c>
      <c r="D213">
        <f t="shared" si="85"/>
        <v>0.44444444444444442</v>
      </c>
      <c r="E213">
        <f>step3_validation[[#This Row],[AI_ENF2]]</f>
        <v>6</v>
      </c>
      <c r="F213">
        <f t="shared" si="86"/>
        <v>0.55555555555555558</v>
      </c>
      <c r="G213">
        <f>survey_responses[[#This Row],[Tôi tin rằng Nhà nước, cơ quan thuế có đủ khả năng và công nghệ để phát hiện, xử lý nghiêm các hành vi trốn thuế. - HUMAN-ENF2]]</f>
        <v>5</v>
      </c>
      <c r="H213">
        <f t="shared" si="87"/>
        <v>0.44444444444444442</v>
      </c>
      <c r="I213" s="32">
        <f t="shared" si="88"/>
        <v>0.61111111111111116</v>
      </c>
      <c r="J213" s="32">
        <f t="shared" si="89"/>
        <v>0.44444444444444442</v>
      </c>
      <c r="K213">
        <f>step3_validation[[#This Row],[AI_FAC1]]</f>
        <v>8</v>
      </c>
      <c r="L213">
        <f t="shared" si="90"/>
        <v>0.77777777777777779</v>
      </c>
      <c r="M213">
        <f>survey_responses[[#This Row],[Các thủ tục khai báo thuế VÀ/HOẶC quy trình làm việc với cơ quan thuế đơn giản, tiện lợi, nhanh chóng hơn so với trước đây. - HUMAN-FAC1]]</f>
        <v>1</v>
      </c>
      <c r="N213">
        <f t="shared" si="91"/>
        <v>0</v>
      </c>
      <c r="O213">
        <f>step3_validation[[#This Row],[AI_FAC2]]</f>
        <v>9</v>
      </c>
      <c r="P213">
        <f t="shared" si="92"/>
        <v>0.88888888888888884</v>
      </c>
      <c r="Q213">
        <f>survey_responses[[#This Row],[So với trước đây, tôi thấy cách tính thuế và các bậc thuế trong phương án mới đơn giản, dễ hiểu và dễ thực hiện hơn. - HUMAN-FAC2]]</f>
        <v>5</v>
      </c>
      <c r="R213">
        <f t="shared" si="93"/>
        <v>0.44444444444444442</v>
      </c>
      <c r="S213" s="32">
        <f t="shared" si="94"/>
        <v>0.83333333333333326</v>
      </c>
      <c r="T213" s="32">
        <f t="shared" si="95"/>
        <v>0.22222222222222221</v>
      </c>
      <c r="U213">
        <f>step3_validation[[#This Row],[AI_TRU1]]</f>
        <v>7</v>
      </c>
      <c r="V213">
        <f t="shared" si="96"/>
        <v>0.66666666666666663</v>
      </c>
      <c r="W213">
        <f>survey_responses[[#This Row],[Tôi tin rằng Nhà nước, cơ quan thuế sẽ thực thi chính sách mới một cách khách quan, công tâm và đối xử bình đẳng với mọi người nộp thuế.  - HUMAN-TRU1]]</f>
        <v>5</v>
      </c>
      <c r="X213">
        <f t="shared" si="97"/>
        <v>0.44444444444444442</v>
      </c>
      <c r="Y213">
        <f>step3_validation[[#This Row],[AI_TRU2]]</f>
        <v>6</v>
      </c>
      <c r="Z213">
        <f t="shared" si="98"/>
        <v>0.55555555555555558</v>
      </c>
      <c r="AA213">
        <f>survey_responses[[#This Row],[Tôi thấy mức thuế tôi phải đóng theo phương án mới là công bằng (người thu nhập như tôi đóng mức này là hợp lý). - HUMAN-TRU2]]</f>
        <v>5</v>
      </c>
      <c r="AB213">
        <f t="shared" si="99"/>
        <v>0.44444444444444442</v>
      </c>
      <c r="AC213">
        <f>step3_validation[[#This Row],[AI_TRU3]]</f>
        <v>4</v>
      </c>
      <c r="AD213">
        <f t="shared" si="100"/>
        <v>0.33333333333333331</v>
      </c>
      <c r="AE213">
        <f>survey_responses[[#This Row],[Tôi tin tưởng số tiền thuế tôi đóng sẽ được Nhà nước sử dụng hiệu quả để cải thiện dịch vụ công (y tế, đường xá...). - HUMAN-TRU3]]</f>
        <v>4</v>
      </c>
      <c r="AF213">
        <f t="shared" si="101"/>
        <v>0.33333333333333331</v>
      </c>
      <c r="AG213">
        <f>step3_validation[[#This Row],[AI_TRU4]]</f>
        <v>5</v>
      </c>
      <c r="AH213">
        <f t="shared" si="102"/>
        <v>0.44444444444444442</v>
      </c>
      <c r="AI213">
        <f>survey_responses[[#This Row],[Tôi thấy Nhà nước đã giải thích rõ ràng, minh bạch về lý do và mục tiêu của việc sửa đổi thuế lần này. - HUMAN-TRU4]]</f>
        <v>5</v>
      </c>
      <c r="AJ213">
        <f t="shared" si="103"/>
        <v>0.44444444444444442</v>
      </c>
      <c r="AK213" s="32">
        <f t="shared" si="104"/>
        <v>0.5</v>
      </c>
      <c r="AL213" s="32">
        <f t="shared" si="105"/>
        <v>0.41666666666666663</v>
      </c>
      <c r="AM213" s="7">
        <f t="shared" si="106"/>
        <v>0.64814814814814814</v>
      </c>
      <c r="AN213" s="7">
        <f t="shared" si="107"/>
        <v>0.3611111111111111</v>
      </c>
      <c r="AO213">
        <f>step3_validation[[#This Row],[AI_OUT1]]</f>
        <v>6</v>
      </c>
      <c r="AP213">
        <f t="shared" si="108"/>
        <v>0.55555555555555558</v>
      </c>
      <c r="AQ213">
        <f>survey_responses[[#This Row],[Sau khi xem xét các quyền lợi và nghĩa vụ, bạn có ủng hộ và tuân thủ chính sách mới hiện nay? - HUMAN-OUT1]]</f>
        <v>5</v>
      </c>
      <c r="AR213">
        <f t="shared" si="109"/>
        <v>0.44444444444444442</v>
      </c>
      <c r="AS213" s="32">
        <f t="shared" si="110"/>
        <v>1</v>
      </c>
      <c r="AT213">
        <f t="shared" si="111"/>
        <v>0</v>
      </c>
    </row>
    <row r="214" spans="1:46" x14ac:dyDescent="0.45">
      <c r="A214">
        <f>step3_validation[[#This Row],[AI_ENF1]]</f>
        <v>7</v>
      </c>
      <c r="B214">
        <f t="shared" si="84"/>
        <v>0.66666666666666663</v>
      </c>
      <c r="C214">
        <f>survey_responses[[#This Row],[Tôi tin rằng với các quy định quản lý thuế hiện nay, hành vi gian lận hoặc trốn thuế sẽ dễ dàng bị phát hiện và xử lý nghiêm. - HUMAN-ENF1]]</f>
        <v>7</v>
      </c>
      <c r="D214">
        <f t="shared" si="85"/>
        <v>0.66666666666666663</v>
      </c>
      <c r="E214">
        <f>step3_validation[[#This Row],[AI_ENF2]]</f>
        <v>8</v>
      </c>
      <c r="F214">
        <f t="shared" si="86"/>
        <v>0.77777777777777779</v>
      </c>
      <c r="G214">
        <f>survey_responses[[#This Row],[Tôi tin rằng Nhà nước, cơ quan thuế có đủ khả năng và công nghệ để phát hiện, xử lý nghiêm các hành vi trốn thuế. - HUMAN-ENF2]]</f>
        <v>8</v>
      </c>
      <c r="H214">
        <f t="shared" si="87"/>
        <v>0.77777777777777779</v>
      </c>
      <c r="I214" s="32">
        <f t="shared" si="88"/>
        <v>0.72222222222222221</v>
      </c>
      <c r="J214" s="32">
        <f t="shared" si="89"/>
        <v>0.72222222222222221</v>
      </c>
      <c r="K214">
        <f>step3_validation[[#This Row],[AI_FAC1]]</f>
        <v>9</v>
      </c>
      <c r="L214">
        <f t="shared" si="90"/>
        <v>0.88888888888888884</v>
      </c>
      <c r="M214">
        <f>survey_responses[[#This Row],[Các thủ tục khai báo thuế VÀ/HOẶC quy trình làm việc với cơ quan thuế đơn giản, tiện lợi, nhanh chóng hơn so với trước đây. - HUMAN-FAC1]]</f>
        <v>8</v>
      </c>
      <c r="N214">
        <f t="shared" si="91"/>
        <v>0.77777777777777779</v>
      </c>
      <c r="O214">
        <f>step3_validation[[#This Row],[AI_FAC2]]</f>
        <v>7</v>
      </c>
      <c r="P214">
        <f t="shared" si="92"/>
        <v>0.66666666666666663</v>
      </c>
      <c r="Q214">
        <f>survey_responses[[#This Row],[So với trước đây, tôi thấy cách tính thuế và các bậc thuế trong phương án mới đơn giản, dễ hiểu và dễ thực hiện hơn. - HUMAN-FAC2]]</f>
        <v>8</v>
      </c>
      <c r="R214">
        <f t="shared" si="93"/>
        <v>0.77777777777777779</v>
      </c>
      <c r="S214" s="32">
        <f t="shared" si="94"/>
        <v>0.77777777777777768</v>
      </c>
      <c r="T214" s="32">
        <f t="shared" si="95"/>
        <v>0.77777777777777779</v>
      </c>
      <c r="U214">
        <f>step3_validation[[#This Row],[AI_TRU1]]</f>
        <v>6</v>
      </c>
      <c r="V214">
        <f t="shared" si="96"/>
        <v>0.55555555555555558</v>
      </c>
      <c r="W214">
        <f>survey_responses[[#This Row],[Tôi tin rằng Nhà nước, cơ quan thuế sẽ thực thi chính sách mới một cách khách quan, công tâm và đối xử bình đẳng với mọi người nộp thuế.  - HUMAN-TRU1]]</f>
        <v>8</v>
      </c>
      <c r="X214">
        <f t="shared" si="97"/>
        <v>0.77777777777777779</v>
      </c>
      <c r="Y214">
        <f>step3_validation[[#This Row],[AI_TRU2]]</f>
        <v>8</v>
      </c>
      <c r="Z214">
        <f t="shared" si="98"/>
        <v>0.77777777777777779</v>
      </c>
      <c r="AA214">
        <f>survey_responses[[#This Row],[Tôi thấy mức thuế tôi phải đóng theo phương án mới là công bằng (người thu nhập như tôi đóng mức này là hợp lý). - HUMAN-TRU2]]</f>
        <v>8</v>
      </c>
      <c r="AB214">
        <f t="shared" si="99"/>
        <v>0.77777777777777779</v>
      </c>
      <c r="AC214">
        <f>step3_validation[[#This Row],[AI_TRU3]]</f>
        <v>7</v>
      </c>
      <c r="AD214">
        <f t="shared" si="100"/>
        <v>0.66666666666666663</v>
      </c>
      <c r="AE214">
        <f>survey_responses[[#This Row],[Tôi tin tưởng số tiền thuế tôi đóng sẽ được Nhà nước sử dụng hiệu quả để cải thiện dịch vụ công (y tế, đường xá...). - HUMAN-TRU3]]</f>
        <v>8</v>
      </c>
      <c r="AF214">
        <f t="shared" si="101"/>
        <v>0.77777777777777779</v>
      </c>
      <c r="AG214">
        <f>step3_validation[[#This Row],[AI_TRU4]]</f>
        <v>5</v>
      </c>
      <c r="AH214">
        <f t="shared" si="102"/>
        <v>0.44444444444444442</v>
      </c>
      <c r="AI214">
        <f>survey_responses[[#This Row],[Tôi thấy Nhà nước đã giải thích rõ ràng, minh bạch về lý do và mục tiêu của việc sửa đổi thuế lần này. - HUMAN-TRU4]]</f>
        <v>8</v>
      </c>
      <c r="AJ214">
        <f t="shared" si="103"/>
        <v>0.77777777777777779</v>
      </c>
      <c r="AK214" s="32">
        <f t="shared" si="104"/>
        <v>0.61111111111111116</v>
      </c>
      <c r="AL214" s="32">
        <f t="shared" si="105"/>
        <v>0.77777777777777779</v>
      </c>
      <c r="AM214" s="7">
        <f t="shared" si="106"/>
        <v>0.70370370370370372</v>
      </c>
      <c r="AN214" s="7">
        <f t="shared" si="107"/>
        <v>0.75925925925925919</v>
      </c>
      <c r="AO214">
        <f>step3_validation[[#This Row],[AI_OUT1]]</f>
        <v>8</v>
      </c>
      <c r="AP214">
        <f t="shared" si="108"/>
        <v>0.77777777777777779</v>
      </c>
      <c r="AQ214">
        <f>survey_responses[[#This Row],[Sau khi xem xét các quyền lợi và nghĩa vụ, bạn có ủng hộ và tuân thủ chính sách mới hiện nay? - HUMAN-OUT1]]</f>
        <v>8</v>
      </c>
      <c r="AR214">
        <f t="shared" si="109"/>
        <v>0.77777777777777779</v>
      </c>
      <c r="AS214" s="32">
        <f t="shared" si="110"/>
        <v>0</v>
      </c>
      <c r="AT214">
        <f t="shared" si="111"/>
        <v>1</v>
      </c>
    </row>
    <row r="215" spans="1:46" x14ac:dyDescent="0.45">
      <c r="A215">
        <f>step3_validation[[#This Row],[AI_ENF1]]</f>
        <v>7</v>
      </c>
      <c r="B215">
        <f t="shared" si="84"/>
        <v>0.66666666666666663</v>
      </c>
      <c r="C215">
        <f>survey_responses[[#This Row],[Tôi tin rằng với các quy định quản lý thuế hiện nay, hành vi gian lận hoặc trốn thuế sẽ dễ dàng bị phát hiện và xử lý nghiêm. - HUMAN-ENF1]]</f>
        <v>9</v>
      </c>
      <c r="D215">
        <f t="shared" si="85"/>
        <v>0.88888888888888884</v>
      </c>
      <c r="E215">
        <f>step3_validation[[#This Row],[AI_ENF2]]</f>
        <v>8</v>
      </c>
      <c r="F215">
        <f t="shared" si="86"/>
        <v>0.77777777777777779</v>
      </c>
      <c r="G215">
        <f>survey_responses[[#This Row],[Tôi tin rằng Nhà nước, cơ quan thuế có đủ khả năng và công nghệ để phát hiện, xử lý nghiêm các hành vi trốn thuế. - HUMAN-ENF2]]</f>
        <v>9</v>
      </c>
      <c r="H215">
        <f t="shared" si="87"/>
        <v>0.88888888888888884</v>
      </c>
      <c r="I215" s="32">
        <f t="shared" si="88"/>
        <v>0.72222222222222221</v>
      </c>
      <c r="J215" s="32">
        <f t="shared" si="89"/>
        <v>0.88888888888888884</v>
      </c>
      <c r="K215">
        <f>step3_validation[[#This Row],[AI_FAC1]]</f>
        <v>9</v>
      </c>
      <c r="L215">
        <f t="shared" si="90"/>
        <v>0.88888888888888884</v>
      </c>
      <c r="M215">
        <f>survey_responses[[#This Row],[Các thủ tục khai báo thuế VÀ/HOẶC quy trình làm việc với cơ quan thuế đơn giản, tiện lợi, nhanh chóng hơn so với trước đây. - HUMAN-FAC1]]</f>
        <v>9</v>
      </c>
      <c r="N215">
        <f t="shared" si="91"/>
        <v>0.88888888888888884</v>
      </c>
      <c r="O215">
        <f>step3_validation[[#This Row],[AI_FAC2]]</f>
        <v>7</v>
      </c>
      <c r="P215">
        <f t="shared" si="92"/>
        <v>0.66666666666666663</v>
      </c>
      <c r="Q215">
        <f>survey_responses[[#This Row],[So với trước đây, tôi thấy cách tính thuế và các bậc thuế trong phương án mới đơn giản, dễ hiểu và dễ thực hiện hơn. - HUMAN-FAC2]]</f>
        <v>9</v>
      </c>
      <c r="R215">
        <f t="shared" si="93"/>
        <v>0.88888888888888884</v>
      </c>
      <c r="S215" s="32">
        <f t="shared" si="94"/>
        <v>0.77777777777777768</v>
      </c>
      <c r="T215" s="32">
        <f t="shared" si="95"/>
        <v>0.88888888888888884</v>
      </c>
      <c r="U215">
        <f>step3_validation[[#This Row],[AI_TRU1]]</f>
        <v>8</v>
      </c>
      <c r="V215">
        <f t="shared" si="96"/>
        <v>0.77777777777777779</v>
      </c>
      <c r="W215">
        <f>survey_responses[[#This Row],[Tôi tin rằng Nhà nước, cơ quan thuế sẽ thực thi chính sách mới một cách khách quan, công tâm và đối xử bình đẳng với mọi người nộp thuế.  - HUMAN-TRU1]]</f>
        <v>9</v>
      </c>
      <c r="X215">
        <f t="shared" si="97"/>
        <v>0.88888888888888884</v>
      </c>
      <c r="Y215">
        <f>step3_validation[[#This Row],[AI_TRU2]]</f>
        <v>6</v>
      </c>
      <c r="Z215">
        <f t="shared" si="98"/>
        <v>0.55555555555555558</v>
      </c>
      <c r="AA215">
        <f>survey_responses[[#This Row],[Tôi thấy mức thuế tôi phải đóng theo phương án mới là công bằng (người thu nhập như tôi đóng mức này là hợp lý). - HUMAN-TRU2]]</f>
        <v>9</v>
      </c>
      <c r="AB215">
        <f t="shared" si="99"/>
        <v>0.88888888888888884</v>
      </c>
      <c r="AC215">
        <f>step3_validation[[#This Row],[AI_TRU3]]</f>
        <v>7</v>
      </c>
      <c r="AD215">
        <f t="shared" si="100"/>
        <v>0.66666666666666663</v>
      </c>
      <c r="AE215">
        <f>survey_responses[[#This Row],[Tôi tin tưởng số tiền thuế tôi đóng sẽ được Nhà nước sử dụng hiệu quả để cải thiện dịch vụ công (y tế, đường xá...). - HUMAN-TRU3]]</f>
        <v>9</v>
      </c>
      <c r="AF215">
        <f t="shared" si="101"/>
        <v>0.88888888888888884</v>
      </c>
      <c r="AG215">
        <f>step3_validation[[#This Row],[AI_TRU4]]</f>
        <v>5</v>
      </c>
      <c r="AH215">
        <f t="shared" si="102"/>
        <v>0.44444444444444442</v>
      </c>
      <c r="AI215">
        <f>survey_responses[[#This Row],[Tôi thấy Nhà nước đã giải thích rõ ràng, minh bạch về lý do và mục tiêu của việc sửa đổi thuế lần này. - HUMAN-TRU4]]</f>
        <v>9</v>
      </c>
      <c r="AJ215">
        <f t="shared" si="103"/>
        <v>0.88888888888888884</v>
      </c>
      <c r="AK215" s="32">
        <f t="shared" si="104"/>
        <v>0.61111111111111116</v>
      </c>
      <c r="AL215" s="32">
        <f t="shared" si="105"/>
        <v>0.88888888888888884</v>
      </c>
      <c r="AM215" s="7">
        <f t="shared" si="106"/>
        <v>0.70370370370370372</v>
      </c>
      <c r="AN215" s="7">
        <f t="shared" si="107"/>
        <v>0.88888888888888884</v>
      </c>
      <c r="AO215">
        <f>step3_validation[[#This Row],[AI_OUT1]]</f>
        <v>8</v>
      </c>
      <c r="AP215">
        <f t="shared" si="108"/>
        <v>0.77777777777777779</v>
      </c>
      <c r="AQ215">
        <f>survey_responses[[#This Row],[Sau khi xem xét các quyền lợi và nghĩa vụ, bạn có ủng hộ và tuân thủ chính sách mới hiện nay? - HUMAN-OUT1]]</f>
        <v>9</v>
      </c>
      <c r="AR215">
        <f t="shared" si="109"/>
        <v>0.88888888888888884</v>
      </c>
      <c r="AS215" s="32">
        <f t="shared" si="110"/>
        <v>1</v>
      </c>
      <c r="AT215">
        <f t="shared" si="111"/>
        <v>1</v>
      </c>
    </row>
    <row r="216" spans="1:46" x14ac:dyDescent="0.45">
      <c r="A216">
        <f>step3_validation[[#This Row],[AI_ENF1]]</f>
        <v>6</v>
      </c>
      <c r="B216">
        <f t="shared" si="84"/>
        <v>0.55555555555555558</v>
      </c>
      <c r="C216">
        <f>survey_responses[[#This Row],[Tôi tin rằng với các quy định quản lý thuế hiện nay, hành vi gian lận hoặc trốn thuế sẽ dễ dàng bị phát hiện và xử lý nghiêm. - HUMAN-ENF1]]</f>
        <v>5</v>
      </c>
      <c r="D216">
        <f t="shared" si="85"/>
        <v>0.44444444444444442</v>
      </c>
      <c r="E216">
        <f>step3_validation[[#This Row],[AI_ENF2]]</f>
        <v>7</v>
      </c>
      <c r="F216">
        <f t="shared" si="86"/>
        <v>0.66666666666666663</v>
      </c>
      <c r="G216">
        <f>survey_responses[[#This Row],[Tôi tin rằng Nhà nước, cơ quan thuế có đủ khả năng và công nghệ để phát hiện, xử lý nghiêm các hành vi trốn thuế. - HUMAN-ENF2]]</f>
        <v>5</v>
      </c>
      <c r="H216">
        <f t="shared" si="87"/>
        <v>0.44444444444444442</v>
      </c>
      <c r="I216" s="32">
        <f t="shared" si="88"/>
        <v>0.61111111111111116</v>
      </c>
      <c r="J216" s="32">
        <f t="shared" si="89"/>
        <v>0.44444444444444442</v>
      </c>
      <c r="K216">
        <f>step3_validation[[#This Row],[AI_FAC1]]</f>
        <v>8</v>
      </c>
      <c r="L216">
        <f t="shared" si="90"/>
        <v>0.77777777777777779</v>
      </c>
      <c r="M216">
        <f>survey_responses[[#This Row],[Các thủ tục khai báo thuế VÀ/HOẶC quy trình làm việc với cơ quan thuế đơn giản, tiện lợi, nhanh chóng hơn so với trước đây. - HUMAN-FAC1]]</f>
        <v>5</v>
      </c>
      <c r="N216">
        <f t="shared" si="91"/>
        <v>0.44444444444444442</v>
      </c>
      <c r="O216">
        <f>step3_validation[[#This Row],[AI_FAC2]]</f>
        <v>9</v>
      </c>
      <c r="P216">
        <f t="shared" si="92"/>
        <v>0.88888888888888884</v>
      </c>
      <c r="Q216">
        <f>survey_responses[[#This Row],[So với trước đây, tôi thấy cách tính thuế và các bậc thuế trong phương án mới đơn giản, dễ hiểu và dễ thực hiện hơn. - HUMAN-FAC2]]</f>
        <v>5</v>
      </c>
      <c r="R216">
        <f t="shared" si="93"/>
        <v>0.44444444444444442</v>
      </c>
      <c r="S216" s="32">
        <f t="shared" si="94"/>
        <v>0.83333333333333326</v>
      </c>
      <c r="T216" s="32">
        <f t="shared" si="95"/>
        <v>0.44444444444444442</v>
      </c>
      <c r="U216">
        <f>step3_validation[[#This Row],[AI_TRU1]]</f>
        <v>8</v>
      </c>
      <c r="V216">
        <f t="shared" si="96"/>
        <v>0.77777777777777779</v>
      </c>
      <c r="W216">
        <f>survey_responses[[#This Row],[Tôi tin rằng Nhà nước, cơ quan thuế sẽ thực thi chính sách mới một cách khách quan, công tâm và đối xử bình đẳng với mọi người nộp thuế.  - HUMAN-TRU1]]</f>
        <v>5</v>
      </c>
      <c r="X216">
        <f t="shared" si="97"/>
        <v>0.44444444444444442</v>
      </c>
      <c r="Y216">
        <f>step3_validation[[#This Row],[AI_TRU2]]</f>
        <v>6</v>
      </c>
      <c r="Z216">
        <f t="shared" si="98"/>
        <v>0.55555555555555558</v>
      </c>
      <c r="AA216">
        <f>survey_responses[[#This Row],[Tôi thấy mức thuế tôi phải đóng theo phương án mới là công bằng (người thu nhập như tôi đóng mức này là hợp lý). - HUMAN-TRU2]]</f>
        <v>5</v>
      </c>
      <c r="AB216">
        <f t="shared" si="99"/>
        <v>0.44444444444444442</v>
      </c>
      <c r="AC216">
        <f>step3_validation[[#This Row],[AI_TRU3]]</f>
        <v>7</v>
      </c>
      <c r="AD216">
        <f t="shared" si="100"/>
        <v>0.66666666666666663</v>
      </c>
      <c r="AE216">
        <f>survey_responses[[#This Row],[Tôi tin tưởng số tiền thuế tôi đóng sẽ được Nhà nước sử dụng hiệu quả để cải thiện dịch vụ công (y tế, đường xá...). - HUMAN-TRU3]]</f>
        <v>5</v>
      </c>
      <c r="AF216">
        <f t="shared" si="101"/>
        <v>0.44444444444444442</v>
      </c>
      <c r="AG216">
        <f>step3_validation[[#This Row],[AI_TRU4]]</f>
        <v>5</v>
      </c>
      <c r="AH216">
        <f t="shared" si="102"/>
        <v>0.44444444444444442</v>
      </c>
      <c r="AI216">
        <f>survey_responses[[#This Row],[Tôi thấy Nhà nước đã giải thích rõ ràng, minh bạch về lý do và mục tiêu của việc sửa đổi thuế lần này. - HUMAN-TRU4]]</f>
        <v>5</v>
      </c>
      <c r="AJ216">
        <f t="shared" si="103"/>
        <v>0.44444444444444442</v>
      </c>
      <c r="AK216" s="32">
        <f t="shared" si="104"/>
        <v>0.61111111111111116</v>
      </c>
      <c r="AL216" s="32">
        <f t="shared" si="105"/>
        <v>0.44444444444444442</v>
      </c>
      <c r="AM216" s="7">
        <f t="shared" si="106"/>
        <v>0.68518518518518512</v>
      </c>
      <c r="AN216" s="7">
        <f t="shared" si="107"/>
        <v>0.44444444444444442</v>
      </c>
      <c r="AO216">
        <f>step3_validation[[#This Row],[AI_OUT1]]</f>
        <v>6</v>
      </c>
      <c r="AP216">
        <f t="shared" si="108"/>
        <v>0.55555555555555558</v>
      </c>
      <c r="AQ216">
        <f>survey_responses[[#This Row],[Sau khi xem xét các quyền lợi và nghĩa vụ, bạn có ủng hộ và tuân thủ chính sách mới hiện nay? - HUMAN-OUT1]]</f>
        <v>5</v>
      </c>
      <c r="AR216">
        <f t="shared" si="109"/>
        <v>0.44444444444444442</v>
      </c>
      <c r="AS216" s="32">
        <f t="shared" si="110"/>
        <v>1</v>
      </c>
      <c r="AT216">
        <f t="shared" si="111"/>
        <v>0</v>
      </c>
    </row>
    <row r="217" spans="1:46" x14ac:dyDescent="0.45">
      <c r="A217">
        <f>step3_validation[[#This Row],[AI_ENF1]]</f>
        <v>6</v>
      </c>
      <c r="B217">
        <f t="shared" si="84"/>
        <v>0.55555555555555558</v>
      </c>
      <c r="C217">
        <f>survey_responses[[#This Row],[Tôi tin rằng với các quy định quản lý thuế hiện nay, hành vi gian lận hoặc trốn thuế sẽ dễ dàng bị phát hiện và xử lý nghiêm. - HUMAN-ENF1]]</f>
        <v>6</v>
      </c>
      <c r="D217">
        <f t="shared" si="85"/>
        <v>0.55555555555555558</v>
      </c>
      <c r="E217">
        <f>step3_validation[[#This Row],[AI_ENF2]]</f>
        <v>7</v>
      </c>
      <c r="F217">
        <f t="shared" si="86"/>
        <v>0.66666666666666663</v>
      </c>
      <c r="G217">
        <f>survey_responses[[#This Row],[Tôi tin rằng Nhà nước, cơ quan thuế có đủ khả năng và công nghệ để phát hiện, xử lý nghiêm các hành vi trốn thuế. - HUMAN-ENF2]]</f>
        <v>7</v>
      </c>
      <c r="H217">
        <f t="shared" si="87"/>
        <v>0.66666666666666663</v>
      </c>
      <c r="I217" s="32">
        <f t="shared" si="88"/>
        <v>0.61111111111111116</v>
      </c>
      <c r="J217" s="32">
        <f t="shared" si="89"/>
        <v>0.61111111111111116</v>
      </c>
      <c r="K217">
        <f>step3_validation[[#This Row],[AI_FAC1]]</f>
        <v>8</v>
      </c>
      <c r="L217">
        <f t="shared" si="90"/>
        <v>0.77777777777777779</v>
      </c>
      <c r="M217">
        <f>survey_responses[[#This Row],[Các thủ tục khai báo thuế VÀ/HOẶC quy trình làm việc với cơ quan thuế đơn giản, tiện lợi, nhanh chóng hơn so với trước đây. - HUMAN-FAC1]]</f>
        <v>7</v>
      </c>
      <c r="N217">
        <f t="shared" si="91"/>
        <v>0.66666666666666663</v>
      </c>
      <c r="O217">
        <f>step3_validation[[#This Row],[AI_FAC2]]</f>
        <v>9</v>
      </c>
      <c r="P217">
        <f t="shared" si="92"/>
        <v>0.88888888888888884</v>
      </c>
      <c r="Q217">
        <f>survey_responses[[#This Row],[So với trước đây, tôi thấy cách tính thuế và các bậc thuế trong phương án mới đơn giản, dễ hiểu và dễ thực hiện hơn. - HUMAN-FAC2]]</f>
        <v>7</v>
      </c>
      <c r="R217">
        <f t="shared" si="93"/>
        <v>0.66666666666666663</v>
      </c>
      <c r="S217" s="32">
        <f t="shared" si="94"/>
        <v>0.83333333333333326</v>
      </c>
      <c r="T217" s="32">
        <f t="shared" si="95"/>
        <v>0.66666666666666663</v>
      </c>
      <c r="U217">
        <f>step3_validation[[#This Row],[AI_TRU1]]</f>
        <v>7</v>
      </c>
      <c r="V217">
        <f t="shared" si="96"/>
        <v>0.66666666666666663</v>
      </c>
      <c r="W217">
        <f>survey_responses[[#This Row],[Tôi tin rằng Nhà nước, cơ quan thuế sẽ thực thi chính sách mới một cách khách quan, công tâm và đối xử bình đẳng với mọi người nộp thuế.  - HUMAN-TRU1]]</f>
        <v>6</v>
      </c>
      <c r="X217">
        <f t="shared" si="97"/>
        <v>0.55555555555555558</v>
      </c>
      <c r="Y217">
        <f>step3_validation[[#This Row],[AI_TRU2]]</f>
        <v>6</v>
      </c>
      <c r="Z217">
        <f t="shared" si="98"/>
        <v>0.55555555555555558</v>
      </c>
      <c r="AA217">
        <f>survey_responses[[#This Row],[Tôi thấy mức thuế tôi phải đóng theo phương án mới là công bằng (người thu nhập như tôi đóng mức này là hợp lý). - HUMAN-TRU2]]</f>
        <v>7</v>
      </c>
      <c r="AB217">
        <f t="shared" si="99"/>
        <v>0.66666666666666663</v>
      </c>
      <c r="AC217">
        <f>step3_validation[[#This Row],[AI_TRU3]]</f>
        <v>5</v>
      </c>
      <c r="AD217">
        <f t="shared" si="100"/>
        <v>0.44444444444444442</v>
      </c>
      <c r="AE217">
        <f>survey_responses[[#This Row],[Tôi tin tưởng số tiền thuế tôi đóng sẽ được Nhà nước sử dụng hiệu quả để cải thiện dịch vụ công (y tế, đường xá...). - HUMAN-TRU3]]</f>
        <v>7</v>
      </c>
      <c r="AF217">
        <f t="shared" si="101"/>
        <v>0.66666666666666663</v>
      </c>
      <c r="AG217">
        <f>step3_validation[[#This Row],[AI_TRU4]]</f>
        <v>7</v>
      </c>
      <c r="AH217">
        <f t="shared" si="102"/>
        <v>0.66666666666666663</v>
      </c>
      <c r="AI217">
        <f>survey_responses[[#This Row],[Tôi thấy Nhà nước đã giải thích rõ ràng, minh bạch về lý do và mục tiêu của việc sửa đổi thuế lần này. - HUMAN-TRU4]]</f>
        <v>7</v>
      </c>
      <c r="AJ217">
        <f t="shared" si="103"/>
        <v>0.66666666666666663</v>
      </c>
      <c r="AK217" s="32">
        <f t="shared" si="104"/>
        <v>0.58333333333333337</v>
      </c>
      <c r="AL217" s="32">
        <f t="shared" si="105"/>
        <v>0.63888888888888884</v>
      </c>
      <c r="AM217" s="7">
        <f t="shared" si="106"/>
        <v>0.67592592592592593</v>
      </c>
      <c r="AN217" s="7">
        <f t="shared" si="107"/>
        <v>0.63888888888888884</v>
      </c>
      <c r="AO217">
        <f>step3_validation[[#This Row],[AI_OUT1]]</f>
        <v>6</v>
      </c>
      <c r="AP217">
        <f t="shared" si="108"/>
        <v>0.55555555555555558</v>
      </c>
      <c r="AQ217">
        <f>survey_responses[[#This Row],[Sau khi xem xét các quyền lợi và nghĩa vụ, bạn có ủng hộ và tuân thủ chính sách mới hiện nay? - HUMAN-OUT1]]</f>
        <v>7</v>
      </c>
      <c r="AR217">
        <f t="shared" si="109"/>
        <v>0.66666666666666663</v>
      </c>
      <c r="AS217" s="32">
        <f t="shared" si="110"/>
        <v>1</v>
      </c>
      <c r="AT217">
        <f t="shared" si="111"/>
        <v>1</v>
      </c>
    </row>
    <row r="218" spans="1:46" x14ac:dyDescent="0.45">
      <c r="A218">
        <f>step3_validation[[#This Row],[AI_ENF1]]</f>
        <v>7</v>
      </c>
      <c r="B218">
        <f t="shared" si="84"/>
        <v>0.66666666666666663</v>
      </c>
      <c r="C218">
        <f>survey_responses[[#This Row],[Tôi tin rằng với các quy định quản lý thuế hiện nay, hành vi gian lận hoặc trốn thuế sẽ dễ dàng bị phát hiện và xử lý nghiêm. - HUMAN-ENF1]]</f>
        <v>5</v>
      </c>
      <c r="D218">
        <f t="shared" si="85"/>
        <v>0.44444444444444442</v>
      </c>
      <c r="E218">
        <f>step3_validation[[#This Row],[AI_ENF2]]</f>
        <v>8</v>
      </c>
      <c r="F218">
        <f t="shared" si="86"/>
        <v>0.77777777777777779</v>
      </c>
      <c r="G218">
        <f>survey_responses[[#This Row],[Tôi tin rằng Nhà nước, cơ quan thuế có đủ khả năng và công nghệ để phát hiện, xử lý nghiêm các hành vi trốn thuế. - HUMAN-ENF2]]</f>
        <v>5</v>
      </c>
      <c r="H218">
        <f t="shared" si="87"/>
        <v>0.44444444444444442</v>
      </c>
      <c r="I218" s="32">
        <f t="shared" si="88"/>
        <v>0.72222222222222221</v>
      </c>
      <c r="J218" s="32">
        <f t="shared" si="89"/>
        <v>0.44444444444444442</v>
      </c>
      <c r="K218">
        <f>step3_validation[[#This Row],[AI_FAC1]]</f>
        <v>9</v>
      </c>
      <c r="L218">
        <f t="shared" si="90"/>
        <v>0.88888888888888884</v>
      </c>
      <c r="M218">
        <f>survey_responses[[#This Row],[Các thủ tục khai báo thuế VÀ/HOẶC quy trình làm việc với cơ quan thuế đơn giản, tiện lợi, nhanh chóng hơn so với trước đây. - HUMAN-FAC1]]</f>
        <v>5</v>
      </c>
      <c r="N218">
        <f t="shared" si="91"/>
        <v>0.44444444444444442</v>
      </c>
      <c r="O218">
        <f>step3_validation[[#This Row],[AI_FAC2]]</f>
        <v>9</v>
      </c>
      <c r="P218">
        <f t="shared" si="92"/>
        <v>0.88888888888888884</v>
      </c>
      <c r="Q218">
        <f>survey_responses[[#This Row],[So với trước đây, tôi thấy cách tính thuế và các bậc thuế trong phương án mới đơn giản, dễ hiểu và dễ thực hiện hơn. - HUMAN-FAC2]]</f>
        <v>6</v>
      </c>
      <c r="R218">
        <f t="shared" si="93"/>
        <v>0.55555555555555558</v>
      </c>
      <c r="S218" s="32">
        <f t="shared" si="94"/>
        <v>0.88888888888888884</v>
      </c>
      <c r="T218" s="32">
        <f t="shared" si="95"/>
        <v>0.5</v>
      </c>
      <c r="U218">
        <f>step3_validation[[#This Row],[AI_TRU1]]</f>
        <v>8</v>
      </c>
      <c r="V218">
        <f t="shared" si="96"/>
        <v>0.77777777777777779</v>
      </c>
      <c r="W218">
        <f>survey_responses[[#This Row],[Tôi tin rằng Nhà nước, cơ quan thuế sẽ thực thi chính sách mới một cách khách quan, công tâm và đối xử bình đẳng với mọi người nộp thuế.  - HUMAN-TRU1]]</f>
        <v>5</v>
      </c>
      <c r="X218">
        <f t="shared" si="97"/>
        <v>0.44444444444444442</v>
      </c>
      <c r="Y218">
        <f>step3_validation[[#This Row],[AI_TRU2]]</f>
        <v>7</v>
      </c>
      <c r="Z218">
        <f t="shared" si="98"/>
        <v>0.66666666666666663</v>
      </c>
      <c r="AA218">
        <f>survey_responses[[#This Row],[Tôi thấy mức thuế tôi phải đóng theo phương án mới là công bằng (người thu nhập như tôi đóng mức này là hợp lý). - HUMAN-TRU2]]</f>
        <v>5</v>
      </c>
      <c r="AB218">
        <f t="shared" si="99"/>
        <v>0.44444444444444442</v>
      </c>
      <c r="AC218">
        <f>step3_validation[[#This Row],[AI_TRU3]]</f>
        <v>8</v>
      </c>
      <c r="AD218">
        <f t="shared" si="100"/>
        <v>0.77777777777777779</v>
      </c>
      <c r="AE218">
        <f>survey_responses[[#This Row],[Tôi tin tưởng số tiền thuế tôi đóng sẽ được Nhà nước sử dụng hiệu quả để cải thiện dịch vụ công (y tế, đường xá...). - HUMAN-TRU3]]</f>
        <v>5</v>
      </c>
      <c r="AF218">
        <f t="shared" si="101"/>
        <v>0.44444444444444442</v>
      </c>
      <c r="AG218">
        <f>step3_validation[[#This Row],[AI_TRU4]]</f>
        <v>7</v>
      </c>
      <c r="AH218">
        <f t="shared" si="102"/>
        <v>0.66666666666666663</v>
      </c>
      <c r="AI218">
        <f>survey_responses[[#This Row],[Tôi thấy Nhà nước đã giải thích rõ ràng, minh bạch về lý do và mục tiêu của việc sửa đổi thuế lần này. - HUMAN-TRU4]]</f>
        <v>5</v>
      </c>
      <c r="AJ218">
        <f t="shared" si="103"/>
        <v>0.44444444444444442</v>
      </c>
      <c r="AK218" s="32">
        <f t="shared" si="104"/>
        <v>0.72222222222222221</v>
      </c>
      <c r="AL218" s="32">
        <f t="shared" si="105"/>
        <v>0.44444444444444442</v>
      </c>
      <c r="AM218" s="7">
        <f t="shared" si="106"/>
        <v>0.77777777777777779</v>
      </c>
      <c r="AN218" s="7">
        <f t="shared" si="107"/>
        <v>0.46296296296296297</v>
      </c>
      <c r="AO218">
        <f>step3_validation[[#This Row],[AI_OUT1]]</f>
        <v>8</v>
      </c>
      <c r="AP218">
        <f t="shared" si="108"/>
        <v>0.77777777777777779</v>
      </c>
      <c r="AQ218">
        <f>survey_responses[[#This Row],[Sau khi xem xét các quyền lợi và nghĩa vụ, bạn có ủng hộ và tuân thủ chính sách mới hiện nay? - HUMAN-OUT1]]</f>
        <v>5</v>
      </c>
      <c r="AR218">
        <f t="shared" si="109"/>
        <v>0.44444444444444442</v>
      </c>
      <c r="AS218" s="32">
        <f t="shared" si="110"/>
        <v>3</v>
      </c>
      <c r="AT218">
        <f t="shared" si="111"/>
        <v>0</v>
      </c>
    </row>
    <row r="219" spans="1:46" x14ac:dyDescent="0.45">
      <c r="A219">
        <f>step3_validation[[#This Row],[AI_ENF1]]</f>
        <v>6</v>
      </c>
      <c r="B219">
        <f t="shared" si="84"/>
        <v>0.55555555555555558</v>
      </c>
      <c r="C219">
        <f>survey_responses[[#This Row],[Tôi tin rằng với các quy định quản lý thuế hiện nay, hành vi gian lận hoặc trốn thuế sẽ dễ dàng bị phát hiện và xử lý nghiêm. - HUMAN-ENF1]]</f>
        <v>6</v>
      </c>
      <c r="D219">
        <f t="shared" si="85"/>
        <v>0.55555555555555558</v>
      </c>
      <c r="E219">
        <f>step3_validation[[#This Row],[AI_ENF2]]</f>
        <v>7</v>
      </c>
      <c r="F219">
        <f t="shared" si="86"/>
        <v>0.66666666666666663</v>
      </c>
      <c r="G219">
        <f>survey_responses[[#This Row],[Tôi tin rằng Nhà nước, cơ quan thuế có đủ khả năng và công nghệ để phát hiện, xử lý nghiêm các hành vi trốn thuế. - HUMAN-ENF2]]</f>
        <v>7</v>
      </c>
      <c r="H219">
        <f t="shared" si="87"/>
        <v>0.66666666666666663</v>
      </c>
      <c r="I219" s="32">
        <f t="shared" si="88"/>
        <v>0.61111111111111116</v>
      </c>
      <c r="J219" s="32">
        <f t="shared" si="89"/>
        <v>0.61111111111111116</v>
      </c>
      <c r="K219">
        <f>step3_validation[[#This Row],[AI_FAC1]]</f>
        <v>8</v>
      </c>
      <c r="L219">
        <f t="shared" si="90"/>
        <v>0.77777777777777779</v>
      </c>
      <c r="M219">
        <f>survey_responses[[#This Row],[Các thủ tục khai báo thuế VÀ/HOẶC quy trình làm việc với cơ quan thuế đơn giản, tiện lợi, nhanh chóng hơn so với trước đây. - HUMAN-FAC1]]</f>
        <v>7</v>
      </c>
      <c r="N219">
        <f t="shared" si="91"/>
        <v>0.66666666666666663</v>
      </c>
      <c r="O219">
        <f>step3_validation[[#This Row],[AI_FAC2]]</f>
        <v>9</v>
      </c>
      <c r="P219">
        <f t="shared" si="92"/>
        <v>0.88888888888888884</v>
      </c>
      <c r="Q219">
        <f>survey_responses[[#This Row],[So với trước đây, tôi thấy cách tính thuế và các bậc thuế trong phương án mới đơn giản, dễ hiểu và dễ thực hiện hơn. - HUMAN-FAC2]]</f>
        <v>7</v>
      </c>
      <c r="R219">
        <f t="shared" si="93"/>
        <v>0.66666666666666663</v>
      </c>
      <c r="S219" s="32">
        <f t="shared" si="94"/>
        <v>0.83333333333333326</v>
      </c>
      <c r="T219" s="32">
        <f t="shared" si="95"/>
        <v>0.66666666666666663</v>
      </c>
      <c r="U219">
        <f>step3_validation[[#This Row],[AI_TRU1]]</f>
        <v>5</v>
      </c>
      <c r="V219">
        <f t="shared" si="96"/>
        <v>0.44444444444444442</v>
      </c>
      <c r="W219">
        <f>survey_responses[[#This Row],[Tôi tin rằng Nhà nước, cơ quan thuế sẽ thực thi chính sách mới một cách khách quan, công tâm và đối xử bình đẳng với mọi người nộp thuế.  - HUMAN-TRU1]]</f>
        <v>7</v>
      </c>
      <c r="X219">
        <f t="shared" si="97"/>
        <v>0.66666666666666663</v>
      </c>
      <c r="Y219">
        <f>step3_validation[[#This Row],[AI_TRU2]]</f>
        <v>7</v>
      </c>
      <c r="Z219">
        <f t="shared" si="98"/>
        <v>0.66666666666666663</v>
      </c>
      <c r="AA219">
        <f>survey_responses[[#This Row],[Tôi thấy mức thuế tôi phải đóng theo phương án mới là công bằng (người thu nhập như tôi đóng mức này là hợp lý). - HUMAN-TRU2]]</f>
        <v>7</v>
      </c>
      <c r="AB219">
        <f t="shared" si="99"/>
        <v>0.66666666666666663</v>
      </c>
      <c r="AC219">
        <f>step3_validation[[#This Row],[AI_TRU3]]</f>
        <v>6</v>
      </c>
      <c r="AD219">
        <f t="shared" si="100"/>
        <v>0.55555555555555558</v>
      </c>
      <c r="AE219">
        <f>survey_responses[[#This Row],[Tôi tin tưởng số tiền thuế tôi đóng sẽ được Nhà nước sử dụng hiệu quả để cải thiện dịch vụ công (y tế, đường xá...). - HUMAN-TRU3]]</f>
        <v>7</v>
      </c>
      <c r="AF219">
        <f t="shared" si="101"/>
        <v>0.66666666666666663</v>
      </c>
      <c r="AG219">
        <f>step3_validation[[#This Row],[AI_TRU4]]</f>
        <v>4</v>
      </c>
      <c r="AH219">
        <f t="shared" si="102"/>
        <v>0.33333333333333331</v>
      </c>
      <c r="AI219">
        <f>survey_responses[[#This Row],[Tôi thấy Nhà nước đã giải thích rõ ràng, minh bạch về lý do và mục tiêu của việc sửa đổi thuế lần này. - HUMAN-TRU4]]</f>
        <v>7</v>
      </c>
      <c r="AJ219">
        <f t="shared" si="103"/>
        <v>0.66666666666666663</v>
      </c>
      <c r="AK219" s="32">
        <f t="shared" si="104"/>
        <v>0.5</v>
      </c>
      <c r="AL219" s="32">
        <f t="shared" si="105"/>
        <v>0.66666666666666663</v>
      </c>
      <c r="AM219" s="7">
        <f t="shared" si="106"/>
        <v>0.64814814814814814</v>
      </c>
      <c r="AN219" s="7">
        <f t="shared" si="107"/>
        <v>0.64814814814814803</v>
      </c>
      <c r="AO219">
        <f>step3_validation[[#This Row],[AI_OUT1]]</f>
        <v>5</v>
      </c>
      <c r="AP219">
        <f t="shared" si="108"/>
        <v>0.44444444444444442</v>
      </c>
      <c r="AQ219">
        <f>survey_responses[[#This Row],[Sau khi xem xét các quyền lợi và nghĩa vụ, bạn có ủng hộ và tuân thủ chính sách mới hiện nay? - HUMAN-OUT1]]</f>
        <v>7</v>
      </c>
      <c r="AR219">
        <f t="shared" si="109"/>
        <v>0.66666666666666663</v>
      </c>
      <c r="AS219" s="32">
        <f t="shared" si="110"/>
        <v>2</v>
      </c>
      <c r="AT219">
        <f t="shared" si="111"/>
        <v>1</v>
      </c>
    </row>
    <row r="220" spans="1:46" x14ac:dyDescent="0.45">
      <c r="A220">
        <f>step3_validation[[#This Row],[AI_ENF1]]</f>
        <v>8</v>
      </c>
      <c r="B220">
        <f t="shared" si="84"/>
        <v>0.77777777777777779</v>
      </c>
      <c r="C220">
        <f>survey_responses[[#This Row],[Tôi tin rằng với các quy định quản lý thuế hiện nay, hành vi gian lận hoặc trốn thuế sẽ dễ dàng bị phát hiện và xử lý nghiêm. - HUMAN-ENF1]]</f>
        <v>7</v>
      </c>
      <c r="D220">
        <f t="shared" si="85"/>
        <v>0.66666666666666663</v>
      </c>
      <c r="E220">
        <f>step3_validation[[#This Row],[AI_ENF2]]</f>
        <v>7</v>
      </c>
      <c r="F220">
        <f t="shared" si="86"/>
        <v>0.66666666666666663</v>
      </c>
      <c r="G220">
        <f>survey_responses[[#This Row],[Tôi tin rằng Nhà nước, cơ quan thuế có đủ khả năng và công nghệ để phát hiện, xử lý nghiêm các hành vi trốn thuế. - HUMAN-ENF2]]</f>
        <v>8</v>
      </c>
      <c r="H220">
        <f t="shared" si="87"/>
        <v>0.77777777777777779</v>
      </c>
      <c r="I220" s="32">
        <f t="shared" si="88"/>
        <v>0.72222222222222221</v>
      </c>
      <c r="J220" s="32">
        <f t="shared" si="89"/>
        <v>0.72222222222222221</v>
      </c>
      <c r="K220">
        <f>step3_validation[[#This Row],[AI_FAC1]]</f>
        <v>9</v>
      </c>
      <c r="L220">
        <f t="shared" si="90"/>
        <v>0.88888888888888884</v>
      </c>
      <c r="M220">
        <f>survey_responses[[#This Row],[Các thủ tục khai báo thuế VÀ/HOẶC quy trình làm việc với cơ quan thuế đơn giản, tiện lợi, nhanh chóng hơn so với trước đây. - HUMAN-FAC1]]</f>
        <v>8</v>
      </c>
      <c r="N220">
        <f t="shared" si="91"/>
        <v>0.77777777777777779</v>
      </c>
      <c r="O220">
        <f>step3_validation[[#This Row],[AI_FAC2]]</f>
        <v>8</v>
      </c>
      <c r="P220">
        <f t="shared" si="92"/>
        <v>0.77777777777777779</v>
      </c>
      <c r="Q220">
        <f>survey_responses[[#This Row],[So với trước đây, tôi thấy cách tính thuế và các bậc thuế trong phương án mới đơn giản, dễ hiểu và dễ thực hiện hơn. - HUMAN-FAC2]]</f>
        <v>8</v>
      </c>
      <c r="R220">
        <f t="shared" si="93"/>
        <v>0.77777777777777779</v>
      </c>
      <c r="S220" s="32">
        <f t="shared" si="94"/>
        <v>0.83333333333333326</v>
      </c>
      <c r="T220" s="32">
        <f t="shared" si="95"/>
        <v>0.77777777777777779</v>
      </c>
      <c r="U220">
        <f>step3_validation[[#This Row],[AI_TRU1]]</f>
        <v>7</v>
      </c>
      <c r="V220">
        <f t="shared" si="96"/>
        <v>0.66666666666666663</v>
      </c>
      <c r="W220">
        <f>survey_responses[[#This Row],[Tôi tin rằng Nhà nước, cơ quan thuế sẽ thực thi chính sách mới một cách khách quan, công tâm và đối xử bình đẳng với mọi người nộp thuế.  - HUMAN-TRU1]]</f>
        <v>8</v>
      </c>
      <c r="X220">
        <f t="shared" si="97"/>
        <v>0.77777777777777779</v>
      </c>
      <c r="Y220">
        <f>step3_validation[[#This Row],[AI_TRU2]]</f>
        <v>8</v>
      </c>
      <c r="Z220">
        <f t="shared" si="98"/>
        <v>0.77777777777777779</v>
      </c>
      <c r="AA220">
        <f>survey_responses[[#This Row],[Tôi thấy mức thuế tôi phải đóng theo phương án mới là công bằng (người thu nhập như tôi đóng mức này là hợp lý). - HUMAN-TRU2]]</f>
        <v>5</v>
      </c>
      <c r="AB220">
        <f t="shared" si="99"/>
        <v>0.44444444444444442</v>
      </c>
      <c r="AC220">
        <f>step3_validation[[#This Row],[AI_TRU3]]</f>
        <v>7</v>
      </c>
      <c r="AD220">
        <f t="shared" si="100"/>
        <v>0.66666666666666663</v>
      </c>
      <c r="AE220">
        <f>survey_responses[[#This Row],[Tôi tin tưởng số tiền thuế tôi đóng sẽ được Nhà nước sử dụng hiệu quả để cải thiện dịch vụ công (y tế, đường xá...). - HUMAN-TRU3]]</f>
        <v>5</v>
      </c>
      <c r="AF220">
        <f t="shared" si="101"/>
        <v>0.44444444444444442</v>
      </c>
      <c r="AG220">
        <f>step3_validation[[#This Row],[AI_TRU4]]</f>
        <v>6</v>
      </c>
      <c r="AH220">
        <f t="shared" si="102"/>
        <v>0.55555555555555558</v>
      </c>
      <c r="AI220">
        <f>survey_responses[[#This Row],[Tôi thấy Nhà nước đã giải thích rõ ràng, minh bạch về lý do và mục tiêu của việc sửa đổi thuế lần này. - HUMAN-TRU4]]</f>
        <v>7</v>
      </c>
      <c r="AJ220">
        <f t="shared" si="103"/>
        <v>0.66666666666666663</v>
      </c>
      <c r="AK220" s="32">
        <f t="shared" si="104"/>
        <v>0.66666666666666674</v>
      </c>
      <c r="AL220" s="32">
        <f t="shared" si="105"/>
        <v>0.58333333333333337</v>
      </c>
      <c r="AM220" s="7">
        <f t="shared" si="106"/>
        <v>0.74074074074074081</v>
      </c>
      <c r="AN220" s="7">
        <f t="shared" si="107"/>
        <v>0.69444444444444453</v>
      </c>
      <c r="AO220">
        <f>step3_validation[[#This Row],[AI_OUT1]]</f>
        <v>9</v>
      </c>
      <c r="AP220">
        <f t="shared" si="108"/>
        <v>0.88888888888888884</v>
      </c>
      <c r="AQ220">
        <f>survey_responses[[#This Row],[Sau khi xem xét các quyền lợi và nghĩa vụ, bạn có ủng hộ và tuân thủ chính sách mới hiện nay? - HUMAN-OUT1]]</f>
        <v>6</v>
      </c>
      <c r="AR220">
        <f t="shared" si="109"/>
        <v>0.55555555555555558</v>
      </c>
      <c r="AS220" s="32">
        <f t="shared" si="110"/>
        <v>3</v>
      </c>
      <c r="AT220">
        <f t="shared" si="111"/>
        <v>1</v>
      </c>
    </row>
    <row r="221" spans="1:46" x14ac:dyDescent="0.45">
      <c r="A221">
        <f>step3_validation[[#This Row],[AI_ENF1]]</f>
        <v>8</v>
      </c>
      <c r="B221">
        <f t="shared" si="84"/>
        <v>0.77777777777777779</v>
      </c>
      <c r="C221">
        <f>survey_responses[[#This Row],[Tôi tin rằng với các quy định quản lý thuế hiện nay, hành vi gian lận hoặc trốn thuế sẽ dễ dàng bị phát hiện và xử lý nghiêm. - HUMAN-ENF1]]</f>
        <v>10</v>
      </c>
      <c r="D221">
        <f t="shared" si="85"/>
        <v>1</v>
      </c>
      <c r="E221">
        <f>step3_validation[[#This Row],[AI_ENF2]]</f>
        <v>9</v>
      </c>
      <c r="F221">
        <f t="shared" si="86"/>
        <v>0.88888888888888884</v>
      </c>
      <c r="G221">
        <f>survey_responses[[#This Row],[Tôi tin rằng Nhà nước, cơ quan thuế có đủ khả năng và công nghệ để phát hiện, xử lý nghiêm các hành vi trốn thuế. - HUMAN-ENF2]]</f>
        <v>10</v>
      </c>
      <c r="H221">
        <f t="shared" si="87"/>
        <v>1</v>
      </c>
      <c r="I221" s="32">
        <f t="shared" si="88"/>
        <v>0.83333333333333326</v>
      </c>
      <c r="J221" s="32">
        <f t="shared" si="89"/>
        <v>1</v>
      </c>
      <c r="K221">
        <f>step3_validation[[#This Row],[AI_FAC1]]</f>
        <v>7</v>
      </c>
      <c r="L221">
        <f t="shared" si="90"/>
        <v>0.66666666666666663</v>
      </c>
      <c r="M221">
        <f>survey_responses[[#This Row],[Các thủ tục khai báo thuế VÀ/HOẶC quy trình làm việc với cơ quan thuế đơn giản, tiện lợi, nhanh chóng hơn so với trước đây. - HUMAN-FAC1]]</f>
        <v>6</v>
      </c>
      <c r="N221">
        <f t="shared" si="91"/>
        <v>0.55555555555555558</v>
      </c>
      <c r="O221">
        <f>step3_validation[[#This Row],[AI_FAC2]]</f>
        <v>8</v>
      </c>
      <c r="P221">
        <f t="shared" si="92"/>
        <v>0.77777777777777779</v>
      </c>
      <c r="Q221">
        <f>survey_responses[[#This Row],[So với trước đây, tôi thấy cách tính thuế và các bậc thuế trong phương án mới đơn giản, dễ hiểu và dễ thực hiện hơn. - HUMAN-FAC2]]</f>
        <v>9</v>
      </c>
      <c r="R221">
        <f t="shared" si="93"/>
        <v>0.88888888888888884</v>
      </c>
      <c r="S221" s="32">
        <f t="shared" si="94"/>
        <v>0.72222222222222221</v>
      </c>
      <c r="T221" s="32">
        <f t="shared" si="95"/>
        <v>0.72222222222222221</v>
      </c>
      <c r="U221">
        <f>step3_validation[[#This Row],[AI_TRU1]]</f>
        <v>7</v>
      </c>
      <c r="V221">
        <f t="shared" si="96"/>
        <v>0.66666666666666663</v>
      </c>
      <c r="W221">
        <f>survey_responses[[#This Row],[Tôi tin rằng Nhà nước, cơ quan thuế sẽ thực thi chính sách mới một cách khách quan, công tâm và đối xử bình đẳng với mọi người nộp thuế.  - HUMAN-TRU1]]</f>
        <v>9</v>
      </c>
      <c r="X221">
        <f t="shared" si="97"/>
        <v>0.88888888888888884</v>
      </c>
      <c r="Y221">
        <f>step3_validation[[#This Row],[AI_TRU2]]</f>
        <v>6</v>
      </c>
      <c r="Z221">
        <f t="shared" si="98"/>
        <v>0.55555555555555558</v>
      </c>
      <c r="AA221">
        <f>survey_responses[[#This Row],[Tôi thấy mức thuế tôi phải đóng theo phương án mới là công bằng (người thu nhập như tôi đóng mức này là hợp lý). - HUMAN-TRU2]]</f>
        <v>9</v>
      </c>
      <c r="AB221">
        <f t="shared" si="99"/>
        <v>0.88888888888888884</v>
      </c>
      <c r="AC221">
        <f>step3_validation[[#This Row],[AI_TRU3]]</f>
        <v>7</v>
      </c>
      <c r="AD221">
        <f t="shared" si="100"/>
        <v>0.66666666666666663</v>
      </c>
      <c r="AE221">
        <f>survey_responses[[#This Row],[Tôi tin tưởng số tiền thuế tôi đóng sẽ được Nhà nước sử dụng hiệu quả để cải thiện dịch vụ công (y tế, đường xá...). - HUMAN-TRU3]]</f>
        <v>9</v>
      </c>
      <c r="AF221">
        <f t="shared" si="101"/>
        <v>0.88888888888888884</v>
      </c>
      <c r="AG221">
        <f>step3_validation[[#This Row],[AI_TRU4]]</f>
        <v>5</v>
      </c>
      <c r="AH221">
        <f t="shared" si="102"/>
        <v>0.44444444444444442</v>
      </c>
      <c r="AI221">
        <f>survey_responses[[#This Row],[Tôi thấy Nhà nước đã giải thích rõ ràng, minh bạch về lý do và mục tiêu của việc sửa đổi thuế lần này. - HUMAN-TRU4]]</f>
        <v>8</v>
      </c>
      <c r="AJ221">
        <f t="shared" si="103"/>
        <v>0.77777777777777779</v>
      </c>
      <c r="AK221" s="32">
        <f t="shared" si="104"/>
        <v>0.58333333333333326</v>
      </c>
      <c r="AL221" s="32">
        <f t="shared" si="105"/>
        <v>0.86111111111111105</v>
      </c>
      <c r="AM221" s="7">
        <f t="shared" si="106"/>
        <v>0.7129629629629628</v>
      </c>
      <c r="AN221" s="7">
        <f t="shared" si="107"/>
        <v>0.86111111111111116</v>
      </c>
      <c r="AO221">
        <f>step3_validation[[#This Row],[AI_OUT1]]</f>
        <v>6</v>
      </c>
      <c r="AP221">
        <f t="shared" si="108"/>
        <v>0.55555555555555558</v>
      </c>
      <c r="AQ221">
        <f>survey_responses[[#This Row],[Sau khi xem xét các quyền lợi và nghĩa vụ, bạn có ủng hộ và tuân thủ chính sách mới hiện nay? - HUMAN-OUT1]]</f>
        <v>8</v>
      </c>
      <c r="AR221">
        <f t="shared" si="109"/>
        <v>0.77777777777777779</v>
      </c>
      <c r="AS221" s="32">
        <f t="shared" si="110"/>
        <v>2</v>
      </c>
      <c r="AT221">
        <f t="shared" si="111"/>
        <v>1</v>
      </c>
    </row>
    <row r="222" spans="1:46" x14ac:dyDescent="0.45">
      <c r="A222">
        <f>step3_validation[[#This Row],[AI_ENF1]]</f>
        <v>8</v>
      </c>
      <c r="B222">
        <f t="shared" si="84"/>
        <v>0.77777777777777779</v>
      </c>
      <c r="C222">
        <f>survey_responses[[#This Row],[Tôi tin rằng với các quy định quản lý thuế hiện nay, hành vi gian lận hoặc trốn thuế sẽ dễ dàng bị phát hiện và xử lý nghiêm. - HUMAN-ENF1]]</f>
        <v>4</v>
      </c>
      <c r="D222">
        <f t="shared" si="85"/>
        <v>0.33333333333333331</v>
      </c>
      <c r="E222">
        <f>step3_validation[[#This Row],[AI_ENF2]]</f>
        <v>7</v>
      </c>
      <c r="F222">
        <f t="shared" si="86"/>
        <v>0.66666666666666663</v>
      </c>
      <c r="G222">
        <f>survey_responses[[#This Row],[Tôi tin rằng Nhà nước, cơ quan thuế có đủ khả năng và công nghệ để phát hiện, xử lý nghiêm các hành vi trốn thuế. - HUMAN-ENF2]]</f>
        <v>4</v>
      </c>
      <c r="H222">
        <f t="shared" si="87"/>
        <v>0.33333333333333331</v>
      </c>
      <c r="I222" s="32">
        <f t="shared" si="88"/>
        <v>0.72222222222222221</v>
      </c>
      <c r="J222" s="32">
        <f t="shared" si="89"/>
        <v>0.33333333333333331</v>
      </c>
      <c r="K222">
        <f>step3_validation[[#This Row],[AI_FAC1]]</f>
        <v>6</v>
      </c>
      <c r="L222">
        <f t="shared" si="90"/>
        <v>0.55555555555555558</v>
      </c>
      <c r="M222">
        <f>survey_responses[[#This Row],[Các thủ tục khai báo thuế VÀ/HOẶC quy trình làm việc với cơ quan thuế đơn giản, tiện lợi, nhanh chóng hơn so với trước đây. - HUMAN-FAC1]]</f>
        <v>4</v>
      </c>
      <c r="N222">
        <f t="shared" si="91"/>
        <v>0.33333333333333331</v>
      </c>
      <c r="O222">
        <f>step3_validation[[#This Row],[AI_FAC2]]</f>
        <v>8</v>
      </c>
      <c r="P222">
        <f t="shared" si="92"/>
        <v>0.77777777777777779</v>
      </c>
      <c r="Q222">
        <f>survey_responses[[#This Row],[So với trước đây, tôi thấy cách tính thuế và các bậc thuế trong phương án mới đơn giản, dễ hiểu và dễ thực hiện hơn. - HUMAN-FAC2]]</f>
        <v>6</v>
      </c>
      <c r="R222">
        <f t="shared" si="93"/>
        <v>0.55555555555555558</v>
      </c>
      <c r="S222" s="32">
        <f t="shared" si="94"/>
        <v>0.66666666666666674</v>
      </c>
      <c r="T222" s="32">
        <f t="shared" si="95"/>
        <v>0.44444444444444442</v>
      </c>
      <c r="U222">
        <f>step3_validation[[#This Row],[AI_TRU1]]</f>
        <v>7</v>
      </c>
      <c r="V222">
        <f t="shared" si="96"/>
        <v>0.66666666666666663</v>
      </c>
      <c r="W222">
        <f>survey_responses[[#This Row],[Tôi tin rằng Nhà nước, cơ quan thuế sẽ thực thi chính sách mới một cách khách quan, công tâm và đối xử bình đẳng với mọi người nộp thuế.  - HUMAN-TRU1]]</f>
        <v>5</v>
      </c>
      <c r="X222">
        <f t="shared" si="97"/>
        <v>0.44444444444444442</v>
      </c>
      <c r="Y222">
        <f>step3_validation[[#This Row],[AI_TRU2]]</f>
        <v>6</v>
      </c>
      <c r="Z222">
        <f t="shared" si="98"/>
        <v>0.55555555555555558</v>
      </c>
      <c r="AA222">
        <f>survey_responses[[#This Row],[Tôi thấy mức thuế tôi phải đóng theo phương án mới là công bằng (người thu nhập như tôi đóng mức này là hợp lý). - HUMAN-TRU2]]</f>
        <v>6</v>
      </c>
      <c r="AB222">
        <f t="shared" si="99"/>
        <v>0.55555555555555558</v>
      </c>
      <c r="AC222">
        <f>step3_validation[[#This Row],[AI_TRU3]]</f>
        <v>7</v>
      </c>
      <c r="AD222">
        <f t="shared" si="100"/>
        <v>0.66666666666666663</v>
      </c>
      <c r="AE222">
        <f>survey_responses[[#This Row],[Tôi tin tưởng số tiền thuế tôi đóng sẽ được Nhà nước sử dụng hiệu quả để cải thiện dịch vụ công (y tế, đường xá...). - HUMAN-TRU3]]</f>
        <v>5</v>
      </c>
      <c r="AF222">
        <f t="shared" si="101"/>
        <v>0.44444444444444442</v>
      </c>
      <c r="AG222">
        <f>step3_validation[[#This Row],[AI_TRU4]]</f>
        <v>5</v>
      </c>
      <c r="AH222">
        <f t="shared" si="102"/>
        <v>0.44444444444444442</v>
      </c>
      <c r="AI222">
        <f>survey_responses[[#This Row],[Tôi thấy Nhà nước đã giải thích rõ ràng, minh bạch về lý do và mục tiêu của việc sửa đổi thuế lần này. - HUMAN-TRU4]]</f>
        <v>6</v>
      </c>
      <c r="AJ222">
        <f t="shared" si="103"/>
        <v>0.55555555555555558</v>
      </c>
      <c r="AK222" s="32">
        <f t="shared" si="104"/>
        <v>0.58333333333333326</v>
      </c>
      <c r="AL222" s="32">
        <f t="shared" si="105"/>
        <v>0.5</v>
      </c>
      <c r="AM222" s="7">
        <f t="shared" si="106"/>
        <v>0.65740740740740733</v>
      </c>
      <c r="AN222" s="7">
        <f t="shared" si="107"/>
        <v>0.42592592592592587</v>
      </c>
      <c r="AO222">
        <f>step3_validation[[#This Row],[AI_OUT1]]</f>
        <v>7</v>
      </c>
      <c r="AP222">
        <f t="shared" si="108"/>
        <v>0.66666666666666663</v>
      </c>
      <c r="AQ222">
        <f>survey_responses[[#This Row],[Sau khi xem xét các quyền lợi và nghĩa vụ, bạn có ủng hộ và tuân thủ chính sách mới hiện nay? - HUMAN-OUT1]]</f>
        <v>5</v>
      </c>
      <c r="AR222">
        <f t="shared" si="109"/>
        <v>0.44444444444444442</v>
      </c>
      <c r="AS222" s="32">
        <f t="shared" si="110"/>
        <v>2</v>
      </c>
      <c r="AT222">
        <f t="shared" si="111"/>
        <v>0</v>
      </c>
    </row>
    <row r="223" spans="1:46" x14ac:dyDescent="0.45">
      <c r="A223">
        <f>step3_validation[[#This Row],[AI_ENF1]]</f>
        <v>8</v>
      </c>
      <c r="B223">
        <f t="shared" si="84"/>
        <v>0.77777777777777779</v>
      </c>
      <c r="C223">
        <f>survey_responses[[#This Row],[Tôi tin rằng với các quy định quản lý thuế hiện nay, hành vi gian lận hoặc trốn thuế sẽ dễ dàng bị phát hiện và xử lý nghiêm. - HUMAN-ENF1]]</f>
        <v>4</v>
      </c>
      <c r="D223">
        <f t="shared" si="85"/>
        <v>0.33333333333333331</v>
      </c>
      <c r="E223">
        <f>step3_validation[[#This Row],[AI_ENF2]]</f>
        <v>9</v>
      </c>
      <c r="F223">
        <f t="shared" si="86"/>
        <v>0.88888888888888884</v>
      </c>
      <c r="G223">
        <f>survey_responses[[#This Row],[Tôi tin rằng Nhà nước, cơ quan thuế có đủ khả năng và công nghệ để phát hiện, xử lý nghiêm các hành vi trốn thuế. - HUMAN-ENF2]]</f>
        <v>5</v>
      </c>
      <c r="H223">
        <f t="shared" si="87"/>
        <v>0.44444444444444442</v>
      </c>
      <c r="I223" s="32">
        <f t="shared" si="88"/>
        <v>0.83333333333333326</v>
      </c>
      <c r="J223" s="32">
        <f t="shared" si="89"/>
        <v>0.38888888888888884</v>
      </c>
      <c r="K223">
        <f>step3_validation[[#This Row],[AI_FAC1]]</f>
        <v>7</v>
      </c>
      <c r="L223">
        <f t="shared" si="90"/>
        <v>0.66666666666666663</v>
      </c>
      <c r="M223">
        <f>survey_responses[[#This Row],[Các thủ tục khai báo thuế VÀ/HOẶC quy trình làm việc với cơ quan thuế đơn giản, tiện lợi, nhanh chóng hơn so với trước đây. - HUMAN-FAC1]]</f>
        <v>4</v>
      </c>
      <c r="N223">
        <f t="shared" si="91"/>
        <v>0.33333333333333331</v>
      </c>
      <c r="O223">
        <f>step3_validation[[#This Row],[AI_FAC2]]</f>
        <v>8</v>
      </c>
      <c r="P223">
        <f t="shared" si="92"/>
        <v>0.77777777777777779</v>
      </c>
      <c r="Q223">
        <f>survey_responses[[#This Row],[So với trước đây, tôi thấy cách tính thuế và các bậc thuế trong phương án mới đơn giản, dễ hiểu và dễ thực hiện hơn. - HUMAN-FAC2]]</f>
        <v>5</v>
      </c>
      <c r="R223">
        <f t="shared" si="93"/>
        <v>0.44444444444444442</v>
      </c>
      <c r="S223" s="32">
        <f t="shared" si="94"/>
        <v>0.72222222222222221</v>
      </c>
      <c r="T223" s="32">
        <f t="shared" si="95"/>
        <v>0.38888888888888884</v>
      </c>
      <c r="U223">
        <f>step3_validation[[#This Row],[AI_TRU1]]</f>
        <v>9</v>
      </c>
      <c r="V223">
        <f t="shared" si="96"/>
        <v>0.88888888888888884</v>
      </c>
      <c r="W223">
        <f>survey_responses[[#This Row],[Tôi tin rằng Nhà nước, cơ quan thuế sẽ thực thi chính sách mới một cách khách quan, công tâm và đối xử bình đẳng với mọi người nộp thuế.  - HUMAN-TRU1]]</f>
        <v>5</v>
      </c>
      <c r="X223">
        <f t="shared" si="97"/>
        <v>0.44444444444444442</v>
      </c>
      <c r="Y223">
        <f>step3_validation[[#This Row],[AI_TRU2]]</f>
        <v>7</v>
      </c>
      <c r="Z223">
        <f t="shared" si="98"/>
        <v>0.66666666666666663</v>
      </c>
      <c r="AA223">
        <f>survey_responses[[#This Row],[Tôi thấy mức thuế tôi phải đóng theo phương án mới là công bằng (người thu nhập như tôi đóng mức này là hợp lý). - HUMAN-TRU2]]</f>
        <v>5</v>
      </c>
      <c r="AB223">
        <f t="shared" si="99"/>
        <v>0.44444444444444442</v>
      </c>
      <c r="AC223">
        <f>step3_validation[[#This Row],[AI_TRU3]]</f>
        <v>6</v>
      </c>
      <c r="AD223">
        <f t="shared" si="100"/>
        <v>0.55555555555555558</v>
      </c>
      <c r="AE223">
        <f>survey_responses[[#This Row],[Tôi tin tưởng số tiền thuế tôi đóng sẽ được Nhà nước sử dụng hiệu quả để cải thiện dịch vụ công (y tế, đường xá...). - HUMAN-TRU3]]</f>
        <v>5</v>
      </c>
      <c r="AF223">
        <f t="shared" si="101"/>
        <v>0.44444444444444442</v>
      </c>
      <c r="AG223">
        <f>step3_validation[[#This Row],[AI_TRU4]]</f>
        <v>8</v>
      </c>
      <c r="AH223">
        <f t="shared" si="102"/>
        <v>0.77777777777777779</v>
      </c>
      <c r="AI223">
        <f>survey_responses[[#This Row],[Tôi thấy Nhà nước đã giải thích rõ ràng, minh bạch về lý do và mục tiêu của việc sửa đổi thuế lần này. - HUMAN-TRU4]]</f>
        <v>5</v>
      </c>
      <c r="AJ223">
        <f t="shared" si="103"/>
        <v>0.44444444444444442</v>
      </c>
      <c r="AK223" s="32">
        <f t="shared" si="104"/>
        <v>0.7222222222222221</v>
      </c>
      <c r="AL223" s="32">
        <f t="shared" si="105"/>
        <v>0.44444444444444442</v>
      </c>
      <c r="AM223" s="7">
        <f t="shared" si="106"/>
        <v>0.75925925925925919</v>
      </c>
      <c r="AN223" s="7">
        <f t="shared" si="107"/>
        <v>0.40740740740740738</v>
      </c>
      <c r="AO223">
        <f>step3_validation[[#This Row],[AI_OUT1]]</f>
        <v>7</v>
      </c>
      <c r="AP223">
        <f t="shared" si="108"/>
        <v>0.66666666666666663</v>
      </c>
      <c r="AQ223">
        <f>survey_responses[[#This Row],[Sau khi xem xét các quyền lợi và nghĩa vụ, bạn có ủng hộ và tuân thủ chính sách mới hiện nay? - HUMAN-OUT1]]</f>
        <v>5</v>
      </c>
      <c r="AR223">
        <f t="shared" si="109"/>
        <v>0.44444444444444442</v>
      </c>
      <c r="AS223" s="32">
        <f t="shared" si="110"/>
        <v>2</v>
      </c>
      <c r="AT223">
        <f t="shared" si="111"/>
        <v>0</v>
      </c>
    </row>
    <row r="224" spans="1:46" x14ac:dyDescent="0.45">
      <c r="A224">
        <f>step3_validation[[#This Row],[AI_ENF1]]</f>
        <v>7</v>
      </c>
      <c r="B224">
        <f t="shared" si="84"/>
        <v>0.66666666666666663</v>
      </c>
      <c r="C224">
        <f>survey_responses[[#This Row],[Tôi tin rằng với các quy định quản lý thuế hiện nay, hành vi gian lận hoặc trốn thuế sẽ dễ dàng bị phát hiện và xử lý nghiêm. - HUMAN-ENF1]]</f>
        <v>6</v>
      </c>
      <c r="D224">
        <f t="shared" si="85"/>
        <v>0.55555555555555558</v>
      </c>
      <c r="E224">
        <f>step3_validation[[#This Row],[AI_ENF2]]</f>
        <v>6</v>
      </c>
      <c r="F224">
        <f t="shared" si="86"/>
        <v>0.55555555555555558</v>
      </c>
      <c r="G224">
        <f>survey_responses[[#This Row],[Tôi tin rằng Nhà nước, cơ quan thuế có đủ khả năng và công nghệ để phát hiện, xử lý nghiêm các hành vi trốn thuế. - HUMAN-ENF2]]</f>
        <v>6</v>
      </c>
      <c r="H224">
        <f t="shared" si="87"/>
        <v>0.55555555555555558</v>
      </c>
      <c r="I224" s="32">
        <f t="shared" si="88"/>
        <v>0.61111111111111116</v>
      </c>
      <c r="J224" s="32">
        <f t="shared" si="89"/>
        <v>0.55555555555555558</v>
      </c>
      <c r="K224">
        <f>step3_validation[[#This Row],[AI_FAC1]]</f>
        <v>9</v>
      </c>
      <c r="L224">
        <f t="shared" si="90"/>
        <v>0.88888888888888884</v>
      </c>
      <c r="M224">
        <f>survey_responses[[#This Row],[Các thủ tục khai báo thuế VÀ/HOẶC quy trình làm việc với cơ quan thuế đơn giản, tiện lợi, nhanh chóng hơn so với trước đây. - HUMAN-FAC1]]</f>
        <v>7</v>
      </c>
      <c r="N224">
        <f t="shared" si="91"/>
        <v>0.66666666666666663</v>
      </c>
      <c r="O224">
        <f>step3_validation[[#This Row],[AI_FAC2]]</f>
        <v>8</v>
      </c>
      <c r="P224">
        <f t="shared" si="92"/>
        <v>0.77777777777777779</v>
      </c>
      <c r="Q224">
        <f>survey_responses[[#This Row],[So với trước đây, tôi thấy cách tính thuế và các bậc thuế trong phương án mới đơn giản, dễ hiểu và dễ thực hiện hơn. - HUMAN-FAC2]]</f>
        <v>7</v>
      </c>
      <c r="R224">
        <f t="shared" si="93"/>
        <v>0.66666666666666663</v>
      </c>
      <c r="S224" s="32">
        <f t="shared" si="94"/>
        <v>0.83333333333333326</v>
      </c>
      <c r="T224" s="32">
        <f t="shared" si="95"/>
        <v>0.66666666666666663</v>
      </c>
      <c r="U224">
        <f>step3_validation[[#This Row],[AI_TRU1]]</f>
        <v>7</v>
      </c>
      <c r="V224">
        <f t="shared" si="96"/>
        <v>0.66666666666666663</v>
      </c>
      <c r="W224">
        <f>survey_responses[[#This Row],[Tôi tin rằng Nhà nước, cơ quan thuế sẽ thực thi chính sách mới một cách khách quan, công tâm và đối xử bình đẳng với mọi người nộp thuế.  - HUMAN-TRU1]]</f>
        <v>6</v>
      </c>
      <c r="X224">
        <f t="shared" si="97"/>
        <v>0.55555555555555558</v>
      </c>
      <c r="Y224">
        <f>step3_validation[[#This Row],[AI_TRU2]]</f>
        <v>6</v>
      </c>
      <c r="Z224">
        <f t="shared" si="98"/>
        <v>0.55555555555555558</v>
      </c>
      <c r="AA224">
        <f>survey_responses[[#This Row],[Tôi thấy mức thuế tôi phải đóng theo phương án mới là công bằng (người thu nhập như tôi đóng mức này là hợp lý). - HUMAN-TRU2]]</f>
        <v>6</v>
      </c>
      <c r="AB224">
        <f t="shared" si="99"/>
        <v>0.55555555555555558</v>
      </c>
      <c r="AC224">
        <f>step3_validation[[#This Row],[AI_TRU3]]</f>
        <v>5</v>
      </c>
      <c r="AD224">
        <f t="shared" si="100"/>
        <v>0.44444444444444442</v>
      </c>
      <c r="AE224">
        <f>survey_responses[[#This Row],[Tôi tin tưởng số tiền thuế tôi đóng sẽ được Nhà nước sử dụng hiệu quả để cải thiện dịch vụ công (y tế, đường xá...). - HUMAN-TRU3]]</f>
        <v>8</v>
      </c>
      <c r="AF224">
        <f t="shared" si="101"/>
        <v>0.77777777777777779</v>
      </c>
      <c r="AG224">
        <f>step3_validation[[#This Row],[AI_TRU4]]</f>
        <v>6</v>
      </c>
      <c r="AH224">
        <f t="shared" si="102"/>
        <v>0.55555555555555558</v>
      </c>
      <c r="AI224">
        <f>survey_responses[[#This Row],[Tôi thấy Nhà nước đã giải thích rõ ràng, minh bạch về lý do và mục tiêu của việc sửa đổi thuế lần này. - HUMAN-TRU4]]</f>
        <v>8</v>
      </c>
      <c r="AJ224">
        <f t="shared" si="103"/>
        <v>0.77777777777777779</v>
      </c>
      <c r="AK224" s="32">
        <f t="shared" si="104"/>
        <v>0.55555555555555558</v>
      </c>
      <c r="AL224" s="32">
        <f t="shared" si="105"/>
        <v>0.66666666666666663</v>
      </c>
      <c r="AM224" s="7">
        <f t="shared" si="106"/>
        <v>0.66666666666666663</v>
      </c>
      <c r="AN224" s="7">
        <f t="shared" si="107"/>
        <v>0.62962962962962965</v>
      </c>
      <c r="AO224">
        <f>step3_validation[[#This Row],[AI_OUT1]]</f>
        <v>7</v>
      </c>
      <c r="AP224">
        <f t="shared" si="108"/>
        <v>0.66666666666666663</v>
      </c>
      <c r="AQ224">
        <f>survey_responses[[#This Row],[Sau khi xem xét các quyền lợi và nghĩa vụ, bạn có ủng hộ và tuân thủ chính sách mới hiện nay? - HUMAN-OUT1]]</f>
        <v>7</v>
      </c>
      <c r="AR224">
        <f t="shared" si="109"/>
        <v>0.66666666666666663</v>
      </c>
      <c r="AS224" s="32">
        <f t="shared" si="110"/>
        <v>0</v>
      </c>
      <c r="AT224">
        <f t="shared" si="111"/>
        <v>1</v>
      </c>
    </row>
    <row r="225" spans="1:46" x14ac:dyDescent="0.45">
      <c r="A225">
        <f>step3_validation[[#This Row],[AI_ENF1]]</f>
        <v>8</v>
      </c>
      <c r="B225">
        <f t="shared" si="84"/>
        <v>0.77777777777777779</v>
      </c>
      <c r="C225">
        <f>survey_responses[[#This Row],[Tôi tin rằng với các quy định quản lý thuế hiện nay, hành vi gian lận hoặc trốn thuế sẽ dễ dàng bị phát hiện và xử lý nghiêm. - HUMAN-ENF1]]</f>
        <v>7</v>
      </c>
      <c r="D225">
        <f t="shared" si="85"/>
        <v>0.66666666666666663</v>
      </c>
      <c r="E225">
        <f>step3_validation[[#This Row],[AI_ENF2]]</f>
        <v>7</v>
      </c>
      <c r="F225">
        <f t="shared" si="86"/>
        <v>0.66666666666666663</v>
      </c>
      <c r="G225">
        <f>survey_responses[[#This Row],[Tôi tin rằng Nhà nước, cơ quan thuế có đủ khả năng và công nghệ để phát hiện, xử lý nghiêm các hành vi trốn thuế. - HUMAN-ENF2]]</f>
        <v>7</v>
      </c>
      <c r="H225">
        <f t="shared" si="87"/>
        <v>0.66666666666666663</v>
      </c>
      <c r="I225" s="32">
        <f t="shared" si="88"/>
        <v>0.72222222222222221</v>
      </c>
      <c r="J225" s="32">
        <f t="shared" si="89"/>
        <v>0.66666666666666663</v>
      </c>
      <c r="K225">
        <f>step3_validation[[#This Row],[AI_FAC1]]</f>
        <v>9</v>
      </c>
      <c r="L225">
        <f t="shared" si="90"/>
        <v>0.88888888888888884</v>
      </c>
      <c r="M225">
        <f>survey_responses[[#This Row],[Các thủ tục khai báo thuế VÀ/HOẶC quy trình làm việc với cơ quan thuế đơn giản, tiện lợi, nhanh chóng hơn so với trước đây. - HUMAN-FAC1]]</f>
        <v>7</v>
      </c>
      <c r="N225">
        <f t="shared" si="91"/>
        <v>0.66666666666666663</v>
      </c>
      <c r="O225">
        <f>step3_validation[[#This Row],[AI_FAC2]]</f>
        <v>8</v>
      </c>
      <c r="P225">
        <f t="shared" si="92"/>
        <v>0.77777777777777779</v>
      </c>
      <c r="Q225">
        <f>survey_responses[[#This Row],[So với trước đây, tôi thấy cách tính thuế và các bậc thuế trong phương án mới đơn giản, dễ hiểu và dễ thực hiện hơn. - HUMAN-FAC2]]</f>
        <v>7</v>
      </c>
      <c r="R225">
        <f t="shared" si="93"/>
        <v>0.66666666666666663</v>
      </c>
      <c r="S225" s="32">
        <f t="shared" si="94"/>
        <v>0.83333333333333326</v>
      </c>
      <c r="T225" s="32">
        <f t="shared" si="95"/>
        <v>0.66666666666666663</v>
      </c>
      <c r="U225">
        <f>step3_validation[[#This Row],[AI_TRU1]]</f>
        <v>9</v>
      </c>
      <c r="V225">
        <f t="shared" si="96"/>
        <v>0.88888888888888884</v>
      </c>
      <c r="W225">
        <f>survey_responses[[#This Row],[Tôi tin rằng Nhà nước, cơ quan thuế sẽ thực thi chính sách mới một cách khách quan, công tâm và đối xử bình đẳng với mọi người nộp thuế.  - HUMAN-TRU1]]</f>
        <v>7</v>
      </c>
      <c r="X225">
        <f t="shared" si="97"/>
        <v>0.66666666666666663</v>
      </c>
      <c r="Y225">
        <f>step3_validation[[#This Row],[AI_TRU2]]</f>
        <v>8</v>
      </c>
      <c r="Z225">
        <f t="shared" si="98"/>
        <v>0.77777777777777779</v>
      </c>
      <c r="AA225">
        <f>survey_responses[[#This Row],[Tôi thấy mức thuế tôi phải đóng theo phương án mới là công bằng (người thu nhập như tôi đóng mức này là hợp lý). - HUMAN-TRU2]]</f>
        <v>7</v>
      </c>
      <c r="AB225">
        <f t="shared" si="99"/>
        <v>0.66666666666666663</v>
      </c>
      <c r="AC225">
        <f>step3_validation[[#This Row],[AI_TRU3]]</f>
        <v>9</v>
      </c>
      <c r="AD225">
        <f t="shared" si="100"/>
        <v>0.88888888888888884</v>
      </c>
      <c r="AE225">
        <f>survey_responses[[#This Row],[Tôi tin tưởng số tiền thuế tôi đóng sẽ được Nhà nước sử dụng hiệu quả để cải thiện dịch vụ công (y tế, đường xá...). - HUMAN-TRU3]]</f>
        <v>7</v>
      </c>
      <c r="AF225">
        <f t="shared" si="101"/>
        <v>0.66666666666666663</v>
      </c>
      <c r="AG225">
        <f>step3_validation[[#This Row],[AI_TRU4]]</f>
        <v>8</v>
      </c>
      <c r="AH225">
        <f t="shared" si="102"/>
        <v>0.77777777777777779</v>
      </c>
      <c r="AI225">
        <f>survey_responses[[#This Row],[Tôi thấy Nhà nước đã giải thích rõ ràng, minh bạch về lý do và mục tiêu của việc sửa đổi thuế lần này. - HUMAN-TRU4]]</f>
        <v>7</v>
      </c>
      <c r="AJ225">
        <f t="shared" si="103"/>
        <v>0.66666666666666663</v>
      </c>
      <c r="AK225" s="32">
        <f t="shared" si="104"/>
        <v>0.83333333333333326</v>
      </c>
      <c r="AL225" s="32">
        <f t="shared" si="105"/>
        <v>0.66666666666666663</v>
      </c>
      <c r="AM225" s="7">
        <f t="shared" si="106"/>
        <v>0.79629629629629617</v>
      </c>
      <c r="AN225" s="7">
        <f t="shared" si="107"/>
        <v>0.66666666666666663</v>
      </c>
      <c r="AO225">
        <f>step3_validation[[#This Row],[AI_OUT1]]</f>
        <v>9</v>
      </c>
      <c r="AP225">
        <f t="shared" si="108"/>
        <v>0.88888888888888884</v>
      </c>
      <c r="AQ225">
        <f>survey_responses[[#This Row],[Sau khi xem xét các quyền lợi và nghĩa vụ, bạn có ủng hộ và tuân thủ chính sách mới hiện nay? - HUMAN-OUT1]]</f>
        <v>7</v>
      </c>
      <c r="AR225">
        <f t="shared" si="109"/>
        <v>0.66666666666666663</v>
      </c>
      <c r="AS225" s="32">
        <f t="shared" si="110"/>
        <v>2</v>
      </c>
      <c r="AT225">
        <f t="shared" si="111"/>
        <v>1</v>
      </c>
    </row>
    <row r="226" spans="1:46" x14ac:dyDescent="0.45">
      <c r="A226">
        <f>step3_validation[[#This Row],[AI_ENF1]]</f>
        <v>6</v>
      </c>
      <c r="B226">
        <f t="shared" si="84"/>
        <v>0.55555555555555558</v>
      </c>
      <c r="C226">
        <f>survey_responses[[#This Row],[Tôi tin rằng với các quy định quản lý thuế hiện nay, hành vi gian lận hoặc trốn thuế sẽ dễ dàng bị phát hiện và xử lý nghiêm. - HUMAN-ENF1]]</f>
        <v>6</v>
      </c>
      <c r="D226">
        <f t="shared" si="85"/>
        <v>0.55555555555555558</v>
      </c>
      <c r="E226">
        <f>step3_validation[[#This Row],[AI_ENF2]]</f>
        <v>7</v>
      </c>
      <c r="F226">
        <f t="shared" si="86"/>
        <v>0.66666666666666663</v>
      </c>
      <c r="G226">
        <f>survey_responses[[#This Row],[Tôi tin rằng Nhà nước, cơ quan thuế có đủ khả năng và công nghệ để phát hiện, xử lý nghiêm các hành vi trốn thuế. - HUMAN-ENF2]]</f>
        <v>6</v>
      </c>
      <c r="H226">
        <f t="shared" si="87"/>
        <v>0.55555555555555558</v>
      </c>
      <c r="I226" s="32">
        <f t="shared" si="88"/>
        <v>0.61111111111111116</v>
      </c>
      <c r="J226" s="32">
        <f t="shared" si="89"/>
        <v>0.55555555555555558</v>
      </c>
      <c r="K226">
        <f>step3_validation[[#This Row],[AI_FAC1]]</f>
        <v>8</v>
      </c>
      <c r="L226">
        <f t="shared" si="90"/>
        <v>0.77777777777777779</v>
      </c>
      <c r="M226">
        <f>survey_responses[[#This Row],[Các thủ tục khai báo thuế VÀ/HOẶC quy trình làm việc với cơ quan thuế đơn giản, tiện lợi, nhanh chóng hơn so với trước đây. - HUMAN-FAC1]]</f>
        <v>7</v>
      </c>
      <c r="N226">
        <f t="shared" si="91"/>
        <v>0.66666666666666663</v>
      </c>
      <c r="O226">
        <f>step3_validation[[#This Row],[AI_FAC2]]</f>
        <v>9</v>
      </c>
      <c r="P226">
        <f t="shared" si="92"/>
        <v>0.88888888888888884</v>
      </c>
      <c r="Q226">
        <f>survey_responses[[#This Row],[So với trước đây, tôi thấy cách tính thuế và các bậc thuế trong phương án mới đơn giản, dễ hiểu và dễ thực hiện hơn. - HUMAN-FAC2]]</f>
        <v>7</v>
      </c>
      <c r="R226">
        <f t="shared" si="93"/>
        <v>0.66666666666666663</v>
      </c>
      <c r="S226" s="32">
        <f t="shared" si="94"/>
        <v>0.83333333333333326</v>
      </c>
      <c r="T226" s="32">
        <f t="shared" si="95"/>
        <v>0.66666666666666663</v>
      </c>
      <c r="U226">
        <f>step3_validation[[#This Row],[AI_TRU1]]</f>
        <v>7</v>
      </c>
      <c r="V226">
        <f t="shared" si="96"/>
        <v>0.66666666666666663</v>
      </c>
      <c r="W226">
        <f>survey_responses[[#This Row],[Tôi tin rằng Nhà nước, cơ quan thuế sẽ thực thi chính sách mới một cách khách quan, công tâm và đối xử bình đẳng với mọi người nộp thuế.  - HUMAN-TRU1]]</f>
        <v>5</v>
      </c>
      <c r="X226">
        <f t="shared" si="97"/>
        <v>0.44444444444444442</v>
      </c>
      <c r="Y226">
        <f>step3_validation[[#This Row],[AI_TRU2]]</f>
        <v>6</v>
      </c>
      <c r="Z226">
        <f t="shared" si="98"/>
        <v>0.55555555555555558</v>
      </c>
      <c r="AA226">
        <f>survey_responses[[#This Row],[Tôi thấy mức thuế tôi phải đóng theo phương án mới là công bằng (người thu nhập như tôi đóng mức này là hợp lý). - HUMAN-TRU2]]</f>
        <v>6</v>
      </c>
      <c r="AB226">
        <f t="shared" si="99"/>
        <v>0.55555555555555558</v>
      </c>
      <c r="AC226">
        <f>step3_validation[[#This Row],[AI_TRU3]]</f>
        <v>5</v>
      </c>
      <c r="AD226">
        <f t="shared" si="100"/>
        <v>0.44444444444444442</v>
      </c>
      <c r="AE226">
        <f>survey_responses[[#This Row],[Tôi tin tưởng số tiền thuế tôi đóng sẽ được Nhà nước sử dụng hiệu quả để cải thiện dịch vụ công (y tế, đường xá...). - HUMAN-TRU3]]</f>
        <v>6</v>
      </c>
      <c r="AF226">
        <f t="shared" si="101"/>
        <v>0.55555555555555558</v>
      </c>
      <c r="AG226">
        <f>step3_validation[[#This Row],[AI_TRU4]]</f>
        <v>4</v>
      </c>
      <c r="AH226">
        <f t="shared" si="102"/>
        <v>0.33333333333333331</v>
      </c>
      <c r="AI226">
        <f>survey_responses[[#This Row],[Tôi thấy Nhà nước đã giải thích rõ ràng, minh bạch về lý do và mục tiêu của việc sửa đổi thuế lần này. - HUMAN-TRU4]]</f>
        <v>6</v>
      </c>
      <c r="AJ226">
        <f t="shared" si="103"/>
        <v>0.55555555555555558</v>
      </c>
      <c r="AK226" s="32">
        <f t="shared" si="104"/>
        <v>0.5</v>
      </c>
      <c r="AL226" s="32">
        <f t="shared" si="105"/>
        <v>0.52777777777777779</v>
      </c>
      <c r="AM226" s="7">
        <f t="shared" si="106"/>
        <v>0.64814814814814814</v>
      </c>
      <c r="AN226" s="7">
        <f t="shared" si="107"/>
        <v>0.58333333333333337</v>
      </c>
      <c r="AO226">
        <f>step3_validation[[#This Row],[AI_OUT1]]</f>
        <v>7</v>
      </c>
      <c r="AP226">
        <f t="shared" si="108"/>
        <v>0.66666666666666663</v>
      </c>
      <c r="AQ226">
        <f>survey_responses[[#This Row],[Sau khi xem xét các quyền lợi và nghĩa vụ, bạn có ủng hộ và tuân thủ chính sách mới hiện nay? - HUMAN-OUT1]]</f>
        <v>7</v>
      </c>
      <c r="AR226">
        <f t="shared" si="109"/>
        <v>0.66666666666666663</v>
      </c>
      <c r="AS226" s="32">
        <f t="shared" si="110"/>
        <v>0</v>
      </c>
      <c r="AT226">
        <f t="shared" si="111"/>
        <v>1</v>
      </c>
    </row>
    <row r="227" spans="1:46" x14ac:dyDescent="0.45">
      <c r="A227">
        <f>step3_validation[[#This Row],[AI_ENF1]]</f>
        <v>6</v>
      </c>
      <c r="B227">
        <f t="shared" si="84"/>
        <v>0.55555555555555558</v>
      </c>
      <c r="C227">
        <f>survey_responses[[#This Row],[Tôi tin rằng với các quy định quản lý thuế hiện nay, hành vi gian lận hoặc trốn thuế sẽ dễ dàng bị phát hiện và xử lý nghiêm. - HUMAN-ENF1]]</f>
        <v>7</v>
      </c>
      <c r="D227">
        <f t="shared" si="85"/>
        <v>0.66666666666666663</v>
      </c>
      <c r="E227">
        <f>step3_validation[[#This Row],[AI_ENF2]]</f>
        <v>7</v>
      </c>
      <c r="F227">
        <f t="shared" si="86"/>
        <v>0.66666666666666663</v>
      </c>
      <c r="G227">
        <f>survey_responses[[#This Row],[Tôi tin rằng Nhà nước, cơ quan thuế có đủ khả năng và công nghệ để phát hiện, xử lý nghiêm các hành vi trốn thuế. - HUMAN-ENF2]]</f>
        <v>7</v>
      </c>
      <c r="H227">
        <f t="shared" si="87"/>
        <v>0.66666666666666663</v>
      </c>
      <c r="I227" s="32">
        <f t="shared" si="88"/>
        <v>0.61111111111111116</v>
      </c>
      <c r="J227" s="32">
        <f t="shared" si="89"/>
        <v>0.66666666666666663</v>
      </c>
      <c r="K227">
        <f>step3_validation[[#This Row],[AI_FAC1]]</f>
        <v>8</v>
      </c>
      <c r="L227">
        <f t="shared" si="90"/>
        <v>0.77777777777777779</v>
      </c>
      <c r="M227">
        <f>survey_responses[[#This Row],[Các thủ tục khai báo thuế VÀ/HOẶC quy trình làm việc với cơ quan thuế đơn giản, tiện lợi, nhanh chóng hơn so với trước đây. - HUMAN-FAC1]]</f>
        <v>6</v>
      </c>
      <c r="N227">
        <f t="shared" si="91"/>
        <v>0.55555555555555558</v>
      </c>
      <c r="O227">
        <f>step3_validation[[#This Row],[AI_FAC2]]</f>
        <v>9</v>
      </c>
      <c r="P227">
        <f t="shared" si="92"/>
        <v>0.88888888888888884</v>
      </c>
      <c r="Q227">
        <f>survey_responses[[#This Row],[So với trước đây, tôi thấy cách tính thuế và các bậc thuế trong phương án mới đơn giản, dễ hiểu và dễ thực hiện hơn. - HUMAN-FAC2]]</f>
        <v>7</v>
      </c>
      <c r="R227">
        <f t="shared" si="93"/>
        <v>0.66666666666666663</v>
      </c>
      <c r="S227" s="32">
        <f t="shared" si="94"/>
        <v>0.83333333333333326</v>
      </c>
      <c r="T227" s="32">
        <f t="shared" si="95"/>
        <v>0.61111111111111116</v>
      </c>
      <c r="U227">
        <f>step3_validation[[#This Row],[AI_TRU1]]</f>
        <v>7</v>
      </c>
      <c r="V227">
        <f t="shared" si="96"/>
        <v>0.66666666666666663</v>
      </c>
      <c r="W227">
        <f>survey_responses[[#This Row],[Tôi tin rằng Nhà nước, cơ quan thuế sẽ thực thi chính sách mới một cách khách quan, công tâm và đối xử bình đẳng với mọi người nộp thuế.  - HUMAN-TRU1]]</f>
        <v>7</v>
      </c>
      <c r="X227">
        <f t="shared" si="97"/>
        <v>0.66666666666666663</v>
      </c>
      <c r="Y227">
        <f>step3_validation[[#This Row],[AI_TRU2]]</f>
        <v>8</v>
      </c>
      <c r="Z227">
        <f t="shared" si="98"/>
        <v>0.77777777777777779</v>
      </c>
      <c r="AA227">
        <f>survey_responses[[#This Row],[Tôi thấy mức thuế tôi phải đóng theo phương án mới là công bằng (người thu nhập như tôi đóng mức này là hợp lý). - HUMAN-TRU2]]</f>
        <v>7</v>
      </c>
      <c r="AB227">
        <f t="shared" si="99"/>
        <v>0.66666666666666663</v>
      </c>
      <c r="AC227">
        <f>step3_validation[[#This Row],[AI_TRU3]]</f>
        <v>7</v>
      </c>
      <c r="AD227">
        <f t="shared" si="100"/>
        <v>0.66666666666666663</v>
      </c>
      <c r="AE227">
        <f>survey_responses[[#This Row],[Tôi tin tưởng số tiền thuế tôi đóng sẽ được Nhà nước sử dụng hiệu quả để cải thiện dịch vụ công (y tế, đường xá...). - HUMAN-TRU3]]</f>
        <v>7</v>
      </c>
      <c r="AF227">
        <f t="shared" si="101"/>
        <v>0.66666666666666663</v>
      </c>
      <c r="AG227">
        <f>step3_validation[[#This Row],[AI_TRU4]]</f>
        <v>8</v>
      </c>
      <c r="AH227">
        <f t="shared" si="102"/>
        <v>0.77777777777777779</v>
      </c>
      <c r="AI227">
        <f>survey_responses[[#This Row],[Tôi thấy Nhà nước đã giải thích rõ ràng, minh bạch về lý do và mục tiêu của việc sửa đổi thuế lần này. - HUMAN-TRU4]]</f>
        <v>7</v>
      </c>
      <c r="AJ227">
        <f t="shared" si="103"/>
        <v>0.66666666666666663</v>
      </c>
      <c r="AK227" s="32">
        <f t="shared" si="104"/>
        <v>0.72222222222222221</v>
      </c>
      <c r="AL227" s="32">
        <f t="shared" si="105"/>
        <v>0.66666666666666663</v>
      </c>
      <c r="AM227" s="7">
        <f t="shared" si="106"/>
        <v>0.72222222222222221</v>
      </c>
      <c r="AN227" s="7">
        <f t="shared" si="107"/>
        <v>0.64814814814814803</v>
      </c>
      <c r="AO227">
        <f>step3_validation[[#This Row],[AI_OUT1]]</f>
        <v>8</v>
      </c>
      <c r="AP227">
        <f t="shared" si="108"/>
        <v>0.77777777777777779</v>
      </c>
      <c r="AQ227">
        <f>survey_responses[[#This Row],[Sau khi xem xét các quyền lợi và nghĩa vụ, bạn có ủng hộ và tuân thủ chính sách mới hiện nay? - HUMAN-OUT1]]</f>
        <v>7</v>
      </c>
      <c r="AR227">
        <f t="shared" si="109"/>
        <v>0.66666666666666663</v>
      </c>
      <c r="AS227" s="32">
        <f t="shared" si="110"/>
        <v>1</v>
      </c>
      <c r="AT227">
        <f t="shared" si="111"/>
        <v>1</v>
      </c>
    </row>
    <row r="228" spans="1:46" x14ac:dyDescent="0.45">
      <c r="A228">
        <f>step3_validation[[#This Row],[AI_ENF1]]</f>
        <v>7</v>
      </c>
      <c r="B228">
        <f t="shared" si="84"/>
        <v>0.66666666666666663</v>
      </c>
      <c r="C228">
        <f>survey_responses[[#This Row],[Tôi tin rằng với các quy định quản lý thuế hiện nay, hành vi gian lận hoặc trốn thuế sẽ dễ dàng bị phát hiện và xử lý nghiêm. - HUMAN-ENF1]]</f>
        <v>6</v>
      </c>
      <c r="D228">
        <f t="shared" si="85"/>
        <v>0.55555555555555558</v>
      </c>
      <c r="E228">
        <f>step3_validation[[#This Row],[AI_ENF2]]</f>
        <v>6</v>
      </c>
      <c r="F228">
        <f t="shared" si="86"/>
        <v>0.55555555555555558</v>
      </c>
      <c r="G228">
        <f>survey_responses[[#This Row],[Tôi tin rằng Nhà nước, cơ quan thuế có đủ khả năng và công nghệ để phát hiện, xử lý nghiêm các hành vi trốn thuế. - HUMAN-ENF2]]</f>
        <v>6</v>
      </c>
      <c r="H228">
        <f t="shared" si="87"/>
        <v>0.55555555555555558</v>
      </c>
      <c r="I228" s="32">
        <f t="shared" si="88"/>
        <v>0.61111111111111116</v>
      </c>
      <c r="J228" s="32">
        <f t="shared" si="89"/>
        <v>0.55555555555555558</v>
      </c>
      <c r="K228">
        <f>step3_validation[[#This Row],[AI_FAC1]]</f>
        <v>8</v>
      </c>
      <c r="L228">
        <f t="shared" si="90"/>
        <v>0.77777777777777779</v>
      </c>
      <c r="M228">
        <f>survey_responses[[#This Row],[Các thủ tục khai báo thuế VÀ/HOẶC quy trình làm việc với cơ quan thuế đơn giản, tiện lợi, nhanh chóng hơn so với trước đây. - HUMAN-FAC1]]</f>
        <v>6</v>
      </c>
      <c r="N228">
        <f t="shared" si="91"/>
        <v>0.55555555555555558</v>
      </c>
      <c r="O228">
        <f>step3_validation[[#This Row],[AI_FAC2]]</f>
        <v>7</v>
      </c>
      <c r="P228">
        <f t="shared" si="92"/>
        <v>0.66666666666666663</v>
      </c>
      <c r="Q228">
        <f>survey_responses[[#This Row],[So với trước đây, tôi thấy cách tính thuế và các bậc thuế trong phương án mới đơn giản, dễ hiểu và dễ thực hiện hơn. - HUMAN-FAC2]]</f>
        <v>6</v>
      </c>
      <c r="R228">
        <f t="shared" si="93"/>
        <v>0.55555555555555558</v>
      </c>
      <c r="S228" s="32">
        <f t="shared" si="94"/>
        <v>0.72222222222222221</v>
      </c>
      <c r="T228" s="32">
        <f t="shared" si="95"/>
        <v>0.55555555555555558</v>
      </c>
      <c r="U228">
        <f>step3_validation[[#This Row],[AI_TRU1]]</f>
        <v>6</v>
      </c>
      <c r="V228">
        <f t="shared" si="96"/>
        <v>0.55555555555555558</v>
      </c>
      <c r="W228">
        <f>survey_responses[[#This Row],[Tôi tin rằng Nhà nước, cơ quan thuế sẽ thực thi chính sách mới một cách khách quan, công tâm và đối xử bình đẳng với mọi người nộp thuế.  - HUMAN-TRU1]]</f>
        <v>6</v>
      </c>
      <c r="X228">
        <f t="shared" si="97"/>
        <v>0.55555555555555558</v>
      </c>
      <c r="Y228">
        <f>step3_validation[[#This Row],[AI_TRU2]]</f>
        <v>5</v>
      </c>
      <c r="Z228">
        <f t="shared" si="98"/>
        <v>0.44444444444444442</v>
      </c>
      <c r="AA228">
        <f>survey_responses[[#This Row],[Tôi thấy mức thuế tôi phải đóng theo phương án mới là công bằng (người thu nhập như tôi đóng mức này là hợp lý). - HUMAN-TRU2]]</f>
        <v>6</v>
      </c>
      <c r="AB228">
        <f t="shared" si="99"/>
        <v>0.55555555555555558</v>
      </c>
      <c r="AC228">
        <f>step3_validation[[#This Row],[AI_TRU3]]</f>
        <v>6</v>
      </c>
      <c r="AD228">
        <f t="shared" si="100"/>
        <v>0.55555555555555558</v>
      </c>
      <c r="AE228">
        <f>survey_responses[[#This Row],[Tôi tin tưởng số tiền thuế tôi đóng sẽ được Nhà nước sử dụng hiệu quả để cải thiện dịch vụ công (y tế, đường xá...). - HUMAN-TRU3]]</f>
        <v>6</v>
      </c>
      <c r="AF228">
        <f t="shared" si="101"/>
        <v>0.55555555555555558</v>
      </c>
      <c r="AG228">
        <f>step3_validation[[#This Row],[AI_TRU4]]</f>
        <v>5</v>
      </c>
      <c r="AH228">
        <f t="shared" si="102"/>
        <v>0.44444444444444442</v>
      </c>
      <c r="AI228">
        <f>survey_responses[[#This Row],[Tôi thấy Nhà nước đã giải thích rõ ràng, minh bạch về lý do và mục tiêu của việc sửa đổi thuế lần này. - HUMAN-TRU4]]</f>
        <v>6</v>
      </c>
      <c r="AJ228">
        <f t="shared" si="103"/>
        <v>0.55555555555555558</v>
      </c>
      <c r="AK228" s="32">
        <f t="shared" si="104"/>
        <v>0.5</v>
      </c>
      <c r="AL228" s="32">
        <f t="shared" si="105"/>
        <v>0.55555555555555558</v>
      </c>
      <c r="AM228" s="7">
        <f t="shared" si="106"/>
        <v>0.61111111111111116</v>
      </c>
      <c r="AN228" s="7">
        <f t="shared" si="107"/>
        <v>0.55555555555555558</v>
      </c>
      <c r="AO228">
        <f>step3_validation[[#This Row],[AI_OUT1]]</f>
        <v>7</v>
      </c>
      <c r="AP228">
        <f t="shared" si="108"/>
        <v>0.66666666666666663</v>
      </c>
      <c r="AQ228">
        <f>survey_responses[[#This Row],[Sau khi xem xét các quyền lợi và nghĩa vụ, bạn có ủng hộ và tuân thủ chính sách mới hiện nay? - HUMAN-OUT1]]</f>
        <v>6</v>
      </c>
      <c r="AR228">
        <f t="shared" si="109"/>
        <v>0.55555555555555558</v>
      </c>
      <c r="AS228" s="32">
        <f t="shared" si="110"/>
        <v>1</v>
      </c>
      <c r="AT228">
        <f t="shared" si="111"/>
        <v>1</v>
      </c>
    </row>
    <row r="229" spans="1:46" x14ac:dyDescent="0.45">
      <c r="A229">
        <f>step3_validation[[#This Row],[AI_ENF1]]</f>
        <v>8</v>
      </c>
      <c r="B229">
        <f t="shared" si="84"/>
        <v>0.77777777777777779</v>
      </c>
      <c r="C229">
        <f>survey_responses[[#This Row],[Tôi tin rằng với các quy định quản lý thuế hiện nay, hành vi gian lận hoặc trốn thuế sẽ dễ dàng bị phát hiện và xử lý nghiêm. - HUMAN-ENF1]]</f>
        <v>8</v>
      </c>
      <c r="D229">
        <f t="shared" si="85"/>
        <v>0.77777777777777779</v>
      </c>
      <c r="E229">
        <f>step3_validation[[#This Row],[AI_ENF2]]</f>
        <v>9</v>
      </c>
      <c r="F229">
        <f t="shared" si="86"/>
        <v>0.88888888888888884</v>
      </c>
      <c r="G229">
        <f>survey_responses[[#This Row],[Tôi tin rằng Nhà nước, cơ quan thuế có đủ khả năng và công nghệ để phát hiện, xử lý nghiêm các hành vi trốn thuế. - HUMAN-ENF2]]</f>
        <v>9</v>
      </c>
      <c r="H229">
        <f t="shared" si="87"/>
        <v>0.88888888888888884</v>
      </c>
      <c r="I229" s="32">
        <f t="shared" si="88"/>
        <v>0.83333333333333326</v>
      </c>
      <c r="J229" s="32">
        <f t="shared" si="89"/>
        <v>0.83333333333333326</v>
      </c>
      <c r="K229">
        <f>step3_validation[[#This Row],[AI_FAC1]]</f>
        <v>8</v>
      </c>
      <c r="L229">
        <f t="shared" si="90"/>
        <v>0.77777777777777779</v>
      </c>
      <c r="M229">
        <f>survey_responses[[#This Row],[Các thủ tục khai báo thuế VÀ/HOẶC quy trình làm việc với cơ quan thuế đơn giản, tiện lợi, nhanh chóng hơn so với trước đây. - HUMAN-FAC1]]</f>
        <v>7</v>
      </c>
      <c r="N229">
        <f t="shared" si="91"/>
        <v>0.66666666666666663</v>
      </c>
      <c r="O229">
        <f>step3_validation[[#This Row],[AI_FAC2]]</f>
        <v>7</v>
      </c>
      <c r="P229">
        <f t="shared" si="92"/>
        <v>0.66666666666666663</v>
      </c>
      <c r="Q229">
        <f>survey_responses[[#This Row],[So với trước đây, tôi thấy cách tính thuế và các bậc thuế trong phương án mới đơn giản, dễ hiểu và dễ thực hiện hơn. - HUMAN-FAC2]]</f>
        <v>8</v>
      </c>
      <c r="R229">
        <f t="shared" si="93"/>
        <v>0.77777777777777779</v>
      </c>
      <c r="S229" s="32">
        <f t="shared" si="94"/>
        <v>0.72222222222222221</v>
      </c>
      <c r="T229" s="32">
        <f t="shared" si="95"/>
        <v>0.72222222222222221</v>
      </c>
      <c r="U229">
        <f>step3_validation[[#This Row],[AI_TRU1]]</f>
        <v>8</v>
      </c>
      <c r="V229">
        <f t="shared" si="96"/>
        <v>0.77777777777777779</v>
      </c>
      <c r="W229">
        <f>survey_responses[[#This Row],[Tôi tin rằng Nhà nước, cơ quan thuế sẽ thực thi chính sách mới một cách khách quan, công tâm và đối xử bình đẳng với mọi người nộp thuế.  - HUMAN-TRU1]]</f>
        <v>9</v>
      </c>
      <c r="X229">
        <f t="shared" si="97"/>
        <v>0.88888888888888884</v>
      </c>
      <c r="Y229">
        <f>step3_validation[[#This Row],[AI_TRU2]]</f>
        <v>7</v>
      </c>
      <c r="Z229">
        <f t="shared" si="98"/>
        <v>0.66666666666666663</v>
      </c>
      <c r="AA229">
        <f>survey_responses[[#This Row],[Tôi thấy mức thuế tôi phải đóng theo phương án mới là công bằng (người thu nhập như tôi đóng mức này là hợp lý). - HUMAN-TRU2]]</f>
        <v>8</v>
      </c>
      <c r="AB229">
        <f t="shared" si="99"/>
        <v>0.77777777777777779</v>
      </c>
      <c r="AC229">
        <f>step3_validation[[#This Row],[AI_TRU3]]</f>
        <v>8</v>
      </c>
      <c r="AD229">
        <f t="shared" si="100"/>
        <v>0.77777777777777779</v>
      </c>
      <c r="AE229">
        <f>survey_responses[[#This Row],[Tôi tin tưởng số tiền thuế tôi đóng sẽ được Nhà nước sử dụng hiệu quả để cải thiện dịch vụ công (y tế, đường xá...). - HUMAN-TRU3]]</f>
        <v>8</v>
      </c>
      <c r="AF229">
        <f t="shared" si="101"/>
        <v>0.77777777777777779</v>
      </c>
      <c r="AG229">
        <f>step3_validation[[#This Row],[AI_TRU4]]</f>
        <v>6</v>
      </c>
      <c r="AH229">
        <f t="shared" si="102"/>
        <v>0.55555555555555558</v>
      </c>
      <c r="AI229">
        <f>survey_responses[[#This Row],[Tôi thấy Nhà nước đã giải thích rõ ràng, minh bạch về lý do và mục tiêu của việc sửa đổi thuế lần này. - HUMAN-TRU4]]</f>
        <v>8</v>
      </c>
      <c r="AJ229">
        <f t="shared" si="103"/>
        <v>0.77777777777777779</v>
      </c>
      <c r="AK229" s="32">
        <f t="shared" si="104"/>
        <v>0.69444444444444442</v>
      </c>
      <c r="AL229" s="32">
        <f t="shared" si="105"/>
        <v>0.80555555555555547</v>
      </c>
      <c r="AM229" s="7">
        <f t="shared" si="106"/>
        <v>0.75</v>
      </c>
      <c r="AN229" s="7">
        <f t="shared" si="107"/>
        <v>0.78703703703703687</v>
      </c>
      <c r="AO229">
        <f>step3_validation[[#This Row],[AI_OUT1]]</f>
        <v>7</v>
      </c>
      <c r="AP229">
        <f t="shared" si="108"/>
        <v>0.66666666666666663</v>
      </c>
      <c r="AQ229">
        <f>survey_responses[[#This Row],[Sau khi xem xét các quyền lợi và nghĩa vụ, bạn có ủng hộ và tuân thủ chính sách mới hiện nay? - HUMAN-OUT1]]</f>
        <v>8</v>
      </c>
      <c r="AR229">
        <f t="shared" si="109"/>
        <v>0.77777777777777779</v>
      </c>
      <c r="AS229" s="32">
        <f t="shared" si="110"/>
        <v>1</v>
      </c>
      <c r="AT229">
        <f t="shared" si="111"/>
        <v>1</v>
      </c>
    </row>
    <row r="230" spans="1:46" x14ac:dyDescent="0.45">
      <c r="A230">
        <f>step3_validation[[#This Row],[AI_ENF1]]</f>
        <v>7</v>
      </c>
      <c r="B230">
        <f t="shared" si="84"/>
        <v>0.66666666666666663</v>
      </c>
      <c r="C230">
        <f>survey_responses[[#This Row],[Tôi tin rằng với các quy định quản lý thuế hiện nay, hành vi gian lận hoặc trốn thuế sẽ dễ dàng bị phát hiện và xử lý nghiêm. - HUMAN-ENF1]]</f>
        <v>6</v>
      </c>
      <c r="D230">
        <f t="shared" si="85"/>
        <v>0.55555555555555558</v>
      </c>
      <c r="E230">
        <f>step3_validation[[#This Row],[AI_ENF2]]</f>
        <v>8</v>
      </c>
      <c r="F230">
        <f t="shared" si="86"/>
        <v>0.77777777777777779</v>
      </c>
      <c r="G230">
        <f>survey_responses[[#This Row],[Tôi tin rằng Nhà nước, cơ quan thuế có đủ khả năng và công nghệ để phát hiện, xử lý nghiêm các hành vi trốn thuế. - HUMAN-ENF2]]</f>
        <v>6</v>
      </c>
      <c r="H230">
        <f t="shared" si="87"/>
        <v>0.55555555555555558</v>
      </c>
      <c r="I230" s="32">
        <f t="shared" si="88"/>
        <v>0.72222222222222221</v>
      </c>
      <c r="J230" s="32">
        <f t="shared" si="89"/>
        <v>0.55555555555555558</v>
      </c>
      <c r="K230">
        <f>step3_validation[[#This Row],[AI_FAC1]]</f>
        <v>6</v>
      </c>
      <c r="L230">
        <f t="shared" si="90"/>
        <v>0.55555555555555558</v>
      </c>
      <c r="M230">
        <f>survey_responses[[#This Row],[Các thủ tục khai báo thuế VÀ/HOẶC quy trình làm việc với cơ quan thuế đơn giản, tiện lợi, nhanh chóng hơn so với trước đây. - HUMAN-FAC1]]</f>
        <v>6</v>
      </c>
      <c r="N230">
        <f t="shared" si="91"/>
        <v>0.55555555555555558</v>
      </c>
      <c r="O230">
        <f>step3_validation[[#This Row],[AI_FAC2]]</f>
        <v>7</v>
      </c>
      <c r="P230">
        <f t="shared" si="92"/>
        <v>0.66666666666666663</v>
      </c>
      <c r="Q230">
        <f>survey_responses[[#This Row],[So với trước đây, tôi thấy cách tính thuế và các bậc thuế trong phương án mới đơn giản, dễ hiểu và dễ thực hiện hơn. - HUMAN-FAC2]]</f>
        <v>6</v>
      </c>
      <c r="R230">
        <f t="shared" si="93"/>
        <v>0.55555555555555558</v>
      </c>
      <c r="S230" s="32">
        <f t="shared" si="94"/>
        <v>0.61111111111111116</v>
      </c>
      <c r="T230" s="32">
        <f t="shared" si="95"/>
        <v>0.55555555555555558</v>
      </c>
      <c r="U230">
        <f>step3_validation[[#This Row],[AI_TRU1]]</f>
        <v>8</v>
      </c>
      <c r="V230">
        <f t="shared" si="96"/>
        <v>0.77777777777777779</v>
      </c>
      <c r="W230">
        <f>survey_responses[[#This Row],[Tôi tin rằng Nhà nước, cơ quan thuế sẽ thực thi chính sách mới một cách khách quan, công tâm và đối xử bình đẳng với mọi người nộp thuế.  - HUMAN-TRU1]]</f>
        <v>6</v>
      </c>
      <c r="X230">
        <f t="shared" si="97"/>
        <v>0.55555555555555558</v>
      </c>
      <c r="Y230">
        <f>step3_validation[[#This Row],[AI_TRU2]]</f>
        <v>7</v>
      </c>
      <c r="Z230">
        <f t="shared" si="98"/>
        <v>0.66666666666666663</v>
      </c>
      <c r="AA230">
        <f>survey_responses[[#This Row],[Tôi thấy mức thuế tôi phải đóng theo phương án mới là công bằng (người thu nhập như tôi đóng mức này là hợp lý). - HUMAN-TRU2]]</f>
        <v>7</v>
      </c>
      <c r="AB230">
        <f t="shared" si="99"/>
        <v>0.66666666666666663</v>
      </c>
      <c r="AC230">
        <f>step3_validation[[#This Row],[AI_TRU3]]</f>
        <v>6</v>
      </c>
      <c r="AD230">
        <f t="shared" si="100"/>
        <v>0.55555555555555558</v>
      </c>
      <c r="AE230">
        <f>survey_responses[[#This Row],[Tôi tin tưởng số tiền thuế tôi đóng sẽ được Nhà nước sử dụng hiệu quả để cải thiện dịch vụ công (y tế, đường xá...). - HUMAN-TRU3]]</f>
        <v>6</v>
      </c>
      <c r="AF230">
        <f t="shared" si="101"/>
        <v>0.55555555555555558</v>
      </c>
      <c r="AG230">
        <f>step3_validation[[#This Row],[AI_TRU4]]</f>
        <v>5</v>
      </c>
      <c r="AH230">
        <f t="shared" si="102"/>
        <v>0.44444444444444442</v>
      </c>
      <c r="AI230">
        <f>survey_responses[[#This Row],[Tôi thấy Nhà nước đã giải thích rõ ràng, minh bạch về lý do và mục tiêu của việc sửa đổi thuế lần này. - HUMAN-TRU4]]</f>
        <v>6</v>
      </c>
      <c r="AJ230">
        <f t="shared" si="103"/>
        <v>0.55555555555555558</v>
      </c>
      <c r="AK230" s="32">
        <f t="shared" si="104"/>
        <v>0.61111111111111116</v>
      </c>
      <c r="AL230" s="32">
        <f t="shared" si="105"/>
        <v>0.58333333333333337</v>
      </c>
      <c r="AM230" s="7">
        <f t="shared" si="106"/>
        <v>0.64814814814814825</v>
      </c>
      <c r="AN230" s="7">
        <f t="shared" si="107"/>
        <v>0.56481481481481488</v>
      </c>
      <c r="AO230">
        <f>step3_validation[[#This Row],[AI_OUT1]]</f>
        <v>8</v>
      </c>
      <c r="AP230">
        <f t="shared" si="108"/>
        <v>0.77777777777777779</v>
      </c>
      <c r="AQ230">
        <f>survey_responses[[#This Row],[Sau khi xem xét các quyền lợi và nghĩa vụ, bạn có ủng hộ và tuân thủ chính sách mới hiện nay? - HUMAN-OUT1]]</f>
        <v>7</v>
      </c>
      <c r="AR230">
        <f t="shared" si="109"/>
        <v>0.66666666666666663</v>
      </c>
      <c r="AS230" s="32">
        <f t="shared" si="110"/>
        <v>1</v>
      </c>
      <c r="AT230">
        <f t="shared" si="111"/>
        <v>1</v>
      </c>
    </row>
    <row r="231" spans="1:46" x14ac:dyDescent="0.45">
      <c r="A231">
        <f>step3_validation[[#This Row],[AI_ENF1]]</f>
        <v>7</v>
      </c>
      <c r="B231">
        <f t="shared" si="84"/>
        <v>0.66666666666666663</v>
      </c>
      <c r="C231">
        <f>survey_responses[[#This Row],[Tôi tin rằng với các quy định quản lý thuế hiện nay, hành vi gian lận hoặc trốn thuế sẽ dễ dàng bị phát hiện và xử lý nghiêm. - HUMAN-ENF1]]</f>
        <v>4</v>
      </c>
      <c r="D231">
        <f t="shared" si="85"/>
        <v>0.33333333333333331</v>
      </c>
      <c r="E231">
        <f>step3_validation[[#This Row],[AI_ENF2]]</f>
        <v>6</v>
      </c>
      <c r="F231">
        <f t="shared" si="86"/>
        <v>0.55555555555555558</v>
      </c>
      <c r="G231">
        <f>survey_responses[[#This Row],[Tôi tin rằng Nhà nước, cơ quan thuế có đủ khả năng và công nghệ để phát hiện, xử lý nghiêm các hành vi trốn thuế. - HUMAN-ENF2]]</f>
        <v>5</v>
      </c>
      <c r="H231">
        <f t="shared" si="87"/>
        <v>0.44444444444444442</v>
      </c>
      <c r="I231" s="32">
        <f t="shared" si="88"/>
        <v>0.61111111111111116</v>
      </c>
      <c r="J231" s="32">
        <f t="shared" si="89"/>
        <v>0.38888888888888884</v>
      </c>
      <c r="K231">
        <f>step3_validation[[#This Row],[AI_FAC1]]</f>
        <v>9</v>
      </c>
      <c r="L231">
        <f t="shared" si="90"/>
        <v>0.88888888888888884</v>
      </c>
      <c r="M231">
        <f>survey_responses[[#This Row],[Các thủ tục khai báo thuế VÀ/HOẶC quy trình làm việc với cơ quan thuế đơn giản, tiện lợi, nhanh chóng hơn so với trước đây. - HUMAN-FAC1]]</f>
        <v>1</v>
      </c>
      <c r="N231">
        <f t="shared" si="91"/>
        <v>0</v>
      </c>
      <c r="O231">
        <f>step3_validation[[#This Row],[AI_FAC2]]</f>
        <v>8</v>
      </c>
      <c r="P231">
        <f t="shared" si="92"/>
        <v>0.77777777777777779</v>
      </c>
      <c r="Q231">
        <f>survey_responses[[#This Row],[So với trước đây, tôi thấy cách tính thuế và các bậc thuế trong phương án mới đơn giản, dễ hiểu và dễ thực hiện hơn. - HUMAN-FAC2]]</f>
        <v>6</v>
      </c>
      <c r="R231">
        <f t="shared" si="93"/>
        <v>0.55555555555555558</v>
      </c>
      <c r="S231" s="32">
        <f t="shared" si="94"/>
        <v>0.83333333333333326</v>
      </c>
      <c r="T231" s="32">
        <f t="shared" si="95"/>
        <v>0.27777777777777779</v>
      </c>
      <c r="U231">
        <f>step3_validation[[#This Row],[AI_TRU1]]</f>
        <v>6</v>
      </c>
      <c r="V231">
        <f t="shared" si="96"/>
        <v>0.55555555555555558</v>
      </c>
      <c r="W231">
        <f>survey_responses[[#This Row],[Tôi tin rằng Nhà nước, cơ quan thuế sẽ thực thi chính sách mới một cách khách quan, công tâm và đối xử bình đẳng với mọi người nộp thuế.  - HUMAN-TRU1]]</f>
        <v>4</v>
      </c>
      <c r="X231">
        <f t="shared" si="97"/>
        <v>0.33333333333333331</v>
      </c>
      <c r="Y231">
        <f>step3_validation[[#This Row],[AI_TRU2]]</f>
        <v>8</v>
      </c>
      <c r="Z231">
        <f t="shared" si="98"/>
        <v>0.77777777777777779</v>
      </c>
      <c r="AA231">
        <f>survey_responses[[#This Row],[Tôi thấy mức thuế tôi phải đóng theo phương án mới là công bằng (người thu nhập như tôi đóng mức này là hợp lý). - HUMAN-TRU2]]</f>
        <v>4</v>
      </c>
      <c r="AB231">
        <f t="shared" si="99"/>
        <v>0.33333333333333331</v>
      </c>
      <c r="AC231">
        <f>step3_validation[[#This Row],[AI_TRU3]]</f>
        <v>7</v>
      </c>
      <c r="AD231">
        <f t="shared" si="100"/>
        <v>0.66666666666666663</v>
      </c>
      <c r="AE231">
        <f>survey_responses[[#This Row],[Tôi tin tưởng số tiền thuế tôi đóng sẽ được Nhà nước sử dụng hiệu quả để cải thiện dịch vụ công (y tế, đường xá...). - HUMAN-TRU3]]</f>
        <v>5</v>
      </c>
      <c r="AF231">
        <f t="shared" si="101"/>
        <v>0.44444444444444442</v>
      </c>
      <c r="AG231">
        <f>step3_validation[[#This Row],[AI_TRU4]]</f>
        <v>5</v>
      </c>
      <c r="AH231">
        <f t="shared" si="102"/>
        <v>0.44444444444444442</v>
      </c>
      <c r="AI231">
        <f>survey_responses[[#This Row],[Tôi thấy Nhà nước đã giải thích rõ ràng, minh bạch về lý do và mục tiêu của việc sửa đổi thuế lần này. - HUMAN-TRU4]]</f>
        <v>5</v>
      </c>
      <c r="AJ231">
        <f t="shared" si="103"/>
        <v>0.44444444444444442</v>
      </c>
      <c r="AK231" s="32">
        <f t="shared" si="104"/>
        <v>0.61111111111111116</v>
      </c>
      <c r="AL231" s="32">
        <f t="shared" si="105"/>
        <v>0.3888888888888889</v>
      </c>
      <c r="AM231" s="7">
        <f t="shared" si="106"/>
        <v>0.68518518518518512</v>
      </c>
      <c r="AN231" s="7">
        <f t="shared" si="107"/>
        <v>0.35185185185185186</v>
      </c>
      <c r="AO231">
        <f>step3_validation[[#This Row],[AI_OUT1]]</f>
        <v>7</v>
      </c>
      <c r="AP231">
        <f t="shared" si="108"/>
        <v>0.66666666666666663</v>
      </c>
      <c r="AQ231">
        <f>survey_responses[[#This Row],[Sau khi xem xét các quyền lợi và nghĩa vụ, bạn có ủng hộ và tuân thủ chính sách mới hiện nay? - HUMAN-OUT1]]</f>
        <v>5</v>
      </c>
      <c r="AR231">
        <f t="shared" si="109"/>
        <v>0.44444444444444442</v>
      </c>
      <c r="AS231" s="32">
        <f t="shared" si="110"/>
        <v>2</v>
      </c>
      <c r="AT231">
        <f t="shared" si="111"/>
        <v>0</v>
      </c>
    </row>
    <row r="232" spans="1:46" x14ac:dyDescent="0.45">
      <c r="A232">
        <f>step3_validation[[#This Row],[AI_ENF1]]</f>
        <v>7</v>
      </c>
      <c r="B232">
        <f t="shared" si="84"/>
        <v>0.66666666666666663</v>
      </c>
      <c r="C232">
        <f>survey_responses[[#This Row],[Tôi tin rằng với các quy định quản lý thuế hiện nay, hành vi gian lận hoặc trốn thuế sẽ dễ dàng bị phát hiện và xử lý nghiêm. - HUMAN-ENF1]]</f>
        <v>8</v>
      </c>
      <c r="D232">
        <f t="shared" si="85"/>
        <v>0.77777777777777779</v>
      </c>
      <c r="E232">
        <f>step3_validation[[#This Row],[AI_ENF2]]</f>
        <v>6</v>
      </c>
      <c r="F232">
        <f t="shared" si="86"/>
        <v>0.55555555555555558</v>
      </c>
      <c r="G232">
        <f>survey_responses[[#This Row],[Tôi tin rằng Nhà nước, cơ quan thuế có đủ khả năng và công nghệ để phát hiện, xử lý nghiêm các hành vi trốn thuế. - HUMAN-ENF2]]</f>
        <v>8</v>
      </c>
      <c r="H232">
        <f t="shared" si="87"/>
        <v>0.77777777777777779</v>
      </c>
      <c r="I232" s="32">
        <f t="shared" si="88"/>
        <v>0.61111111111111116</v>
      </c>
      <c r="J232" s="32">
        <f t="shared" si="89"/>
        <v>0.77777777777777779</v>
      </c>
      <c r="K232">
        <f>step3_validation[[#This Row],[AI_FAC1]]</f>
        <v>8</v>
      </c>
      <c r="L232">
        <f t="shared" si="90"/>
        <v>0.77777777777777779</v>
      </c>
      <c r="M232">
        <f>survey_responses[[#This Row],[Các thủ tục khai báo thuế VÀ/HOẶC quy trình làm việc với cơ quan thuế đơn giản, tiện lợi, nhanh chóng hơn so với trước đây. - HUMAN-FAC1]]</f>
        <v>8</v>
      </c>
      <c r="N232">
        <f t="shared" si="91"/>
        <v>0.77777777777777779</v>
      </c>
      <c r="O232">
        <f>step3_validation[[#This Row],[AI_FAC2]]</f>
        <v>9</v>
      </c>
      <c r="P232">
        <f t="shared" si="92"/>
        <v>0.88888888888888884</v>
      </c>
      <c r="Q232">
        <f>survey_responses[[#This Row],[So với trước đây, tôi thấy cách tính thuế và các bậc thuế trong phương án mới đơn giản, dễ hiểu và dễ thực hiện hơn. - HUMAN-FAC2]]</f>
        <v>8</v>
      </c>
      <c r="R232">
        <f t="shared" si="93"/>
        <v>0.77777777777777779</v>
      </c>
      <c r="S232" s="32">
        <f t="shared" si="94"/>
        <v>0.83333333333333326</v>
      </c>
      <c r="T232" s="32">
        <f t="shared" si="95"/>
        <v>0.77777777777777779</v>
      </c>
      <c r="U232">
        <f>step3_validation[[#This Row],[AI_TRU1]]</f>
        <v>7</v>
      </c>
      <c r="V232">
        <f t="shared" si="96"/>
        <v>0.66666666666666663</v>
      </c>
      <c r="W232">
        <f>survey_responses[[#This Row],[Tôi tin rằng Nhà nước, cơ quan thuế sẽ thực thi chính sách mới một cách khách quan, công tâm và đối xử bình đẳng với mọi người nộp thuế.  - HUMAN-TRU1]]</f>
        <v>7</v>
      </c>
      <c r="X232">
        <f t="shared" si="97"/>
        <v>0.66666666666666663</v>
      </c>
      <c r="Y232">
        <f>step3_validation[[#This Row],[AI_TRU2]]</f>
        <v>8</v>
      </c>
      <c r="Z232">
        <f t="shared" si="98"/>
        <v>0.77777777777777779</v>
      </c>
      <c r="AA232">
        <f>survey_responses[[#This Row],[Tôi thấy mức thuế tôi phải đóng theo phương án mới là công bằng (người thu nhập như tôi đóng mức này là hợp lý). - HUMAN-TRU2]]</f>
        <v>7</v>
      </c>
      <c r="AB232">
        <f t="shared" si="99"/>
        <v>0.66666666666666663</v>
      </c>
      <c r="AC232">
        <f>step3_validation[[#This Row],[AI_TRU3]]</f>
        <v>6</v>
      </c>
      <c r="AD232">
        <f t="shared" si="100"/>
        <v>0.55555555555555558</v>
      </c>
      <c r="AE232">
        <f>survey_responses[[#This Row],[Tôi tin tưởng số tiền thuế tôi đóng sẽ được Nhà nước sử dụng hiệu quả để cải thiện dịch vụ công (y tế, đường xá...). - HUMAN-TRU3]]</f>
        <v>8</v>
      </c>
      <c r="AF232">
        <f t="shared" si="101"/>
        <v>0.77777777777777779</v>
      </c>
      <c r="AG232">
        <f>step3_validation[[#This Row],[AI_TRU4]]</f>
        <v>7</v>
      </c>
      <c r="AH232">
        <f t="shared" si="102"/>
        <v>0.66666666666666663</v>
      </c>
      <c r="AI232">
        <f>survey_responses[[#This Row],[Tôi thấy Nhà nước đã giải thích rõ ràng, minh bạch về lý do và mục tiêu của việc sửa đổi thuế lần này. - HUMAN-TRU4]]</f>
        <v>7</v>
      </c>
      <c r="AJ232">
        <f t="shared" si="103"/>
        <v>0.66666666666666663</v>
      </c>
      <c r="AK232" s="32">
        <f t="shared" si="104"/>
        <v>0.66666666666666663</v>
      </c>
      <c r="AL232" s="32">
        <f t="shared" si="105"/>
        <v>0.69444444444444442</v>
      </c>
      <c r="AM232" s="7">
        <f t="shared" si="106"/>
        <v>0.70370370370370372</v>
      </c>
      <c r="AN232" s="7">
        <f t="shared" si="107"/>
        <v>0.75</v>
      </c>
      <c r="AO232">
        <f>step3_validation[[#This Row],[AI_OUT1]]</f>
        <v>8</v>
      </c>
      <c r="AP232">
        <f t="shared" si="108"/>
        <v>0.77777777777777779</v>
      </c>
      <c r="AQ232">
        <f>survey_responses[[#This Row],[Sau khi xem xét các quyền lợi và nghĩa vụ, bạn có ủng hộ và tuân thủ chính sách mới hiện nay? - HUMAN-OUT1]]</f>
        <v>8</v>
      </c>
      <c r="AR232">
        <f t="shared" si="109"/>
        <v>0.77777777777777779</v>
      </c>
      <c r="AS232" s="32">
        <f t="shared" si="110"/>
        <v>0</v>
      </c>
      <c r="AT232">
        <f t="shared" si="111"/>
        <v>1</v>
      </c>
    </row>
    <row r="233" spans="1:46" x14ac:dyDescent="0.45">
      <c r="A233">
        <f>step3_validation[[#This Row],[AI_ENF1]]</f>
        <v>8</v>
      </c>
      <c r="B233">
        <f t="shared" si="84"/>
        <v>0.77777777777777779</v>
      </c>
      <c r="C233">
        <f>survey_responses[[#This Row],[Tôi tin rằng với các quy định quản lý thuế hiện nay, hành vi gian lận hoặc trốn thuế sẽ dễ dàng bị phát hiện và xử lý nghiêm. - HUMAN-ENF1]]</f>
        <v>6</v>
      </c>
      <c r="D233">
        <f t="shared" si="85"/>
        <v>0.55555555555555558</v>
      </c>
      <c r="E233">
        <f>step3_validation[[#This Row],[AI_ENF2]]</f>
        <v>9</v>
      </c>
      <c r="F233">
        <f t="shared" si="86"/>
        <v>0.88888888888888884</v>
      </c>
      <c r="G233">
        <f>survey_responses[[#This Row],[Tôi tin rằng Nhà nước, cơ quan thuế có đủ khả năng và công nghệ để phát hiện, xử lý nghiêm các hành vi trốn thuế. - HUMAN-ENF2]]</f>
        <v>6</v>
      </c>
      <c r="H233">
        <f t="shared" si="87"/>
        <v>0.55555555555555558</v>
      </c>
      <c r="I233" s="32">
        <f t="shared" si="88"/>
        <v>0.83333333333333326</v>
      </c>
      <c r="J233" s="32">
        <f t="shared" si="89"/>
        <v>0.55555555555555558</v>
      </c>
      <c r="K233">
        <f>step3_validation[[#This Row],[AI_FAC1]]</f>
        <v>7</v>
      </c>
      <c r="L233">
        <f t="shared" si="90"/>
        <v>0.66666666666666663</v>
      </c>
      <c r="M233">
        <f>survey_responses[[#This Row],[Các thủ tục khai báo thuế VÀ/HOẶC quy trình làm việc với cơ quan thuế đơn giản, tiện lợi, nhanh chóng hơn so với trước đây. - HUMAN-FAC1]]</f>
        <v>6</v>
      </c>
      <c r="N233">
        <f t="shared" si="91"/>
        <v>0.55555555555555558</v>
      </c>
      <c r="O233">
        <f>step3_validation[[#This Row],[AI_FAC2]]</f>
        <v>8</v>
      </c>
      <c r="P233">
        <f t="shared" si="92"/>
        <v>0.77777777777777779</v>
      </c>
      <c r="Q233">
        <f>survey_responses[[#This Row],[So với trước đây, tôi thấy cách tính thuế và các bậc thuế trong phương án mới đơn giản, dễ hiểu và dễ thực hiện hơn. - HUMAN-FAC2]]</f>
        <v>6</v>
      </c>
      <c r="R233">
        <f t="shared" si="93"/>
        <v>0.55555555555555558</v>
      </c>
      <c r="S233" s="32">
        <f t="shared" si="94"/>
        <v>0.72222222222222221</v>
      </c>
      <c r="T233" s="32">
        <f t="shared" si="95"/>
        <v>0.55555555555555558</v>
      </c>
      <c r="U233">
        <f>step3_validation[[#This Row],[AI_TRU1]]</f>
        <v>7</v>
      </c>
      <c r="V233">
        <f t="shared" si="96"/>
        <v>0.66666666666666663</v>
      </c>
      <c r="W233">
        <f>survey_responses[[#This Row],[Tôi tin rằng Nhà nước, cơ quan thuế sẽ thực thi chính sách mới một cách khách quan, công tâm và đối xử bình đẳng với mọi người nộp thuế.  - HUMAN-TRU1]]</f>
        <v>6</v>
      </c>
      <c r="X233">
        <f t="shared" si="97"/>
        <v>0.55555555555555558</v>
      </c>
      <c r="Y233">
        <f>step3_validation[[#This Row],[AI_TRU2]]</f>
        <v>6</v>
      </c>
      <c r="Z233">
        <f t="shared" si="98"/>
        <v>0.55555555555555558</v>
      </c>
      <c r="AA233">
        <f>survey_responses[[#This Row],[Tôi thấy mức thuế tôi phải đóng theo phương án mới là công bằng (người thu nhập như tôi đóng mức này là hợp lý). - HUMAN-TRU2]]</f>
        <v>6</v>
      </c>
      <c r="AB233">
        <f t="shared" si="99"/>
        <v>0.55555555555555558</v>
      </c>
      <c r="AC233">
        <f>step3_validation[[#This Row],[AI_TRU3]]</f>
        <v>7</v>
      </c>
      <c r="AD233">
        <f t="shared" si="100"/>
        <v>0.66666666666666663</v>
      </c>
      <c r="AE233">
        <f>survey_responses[[#This Row],[Tôi tin tưởng số tiền thuế tôi đóng sẽ được Nhà nước sử dụng hiệu quả để cải thiện dịch vụ công (y tế, đường xá...). - HUMAN-TRU3]]</f>
        <v>6</v>
      </c>
      <c r="AF233">
        <f t="shared" si="101"/>
        <v>0.55555555555555558</v>
      </c>
      <c r="AG233">
        <f>step3_validation[[#This Row],[AI_TRU4]]</f>
        <v>5</v>
      </c>
      <c r="AH233">
        <f t="shared" si="102"/>
        <v>0.44444444444444442</v>
      </c>
      <c r="AI233">
        <f>survey_responses[[#This Row],[Tôi thấy Nhà nước đã giải thích rõ ràng, minh bạch về lý do và mục tiêu của việc sửa đổi thuế lần này. - HUMAN-TRU4]]</f>
        <v>6</v>
      </c>
      <c r="AJ233">
        <f t="shared" si="103"/>
        <v>0.55555555555555558</v>
      </c>
      <c r="AK233" s="32">
        <f t="shared" si="104"/>
        <v>0.58333333333333326</v>
      </c>
      <c r="AL233" s="32">
        <f t="shared" si="105"/>
        <v>0.55555555555555558</v>
      </c>
      <c r="AM233" s="7">
        <f t="shared" si="106"/>
        <v>0.7129629629629628</v>
      </c>
      <c r="AN233" s="7">
        <f t="shared" si="107"/>
        <v>0.55555555555555558</v>
      </c>
      <c r="AO233">
        <f>step3_validation[[#This Row],[AI_OUT1]]</f>
        <v>6</v>
      </c>
      <c r="AP233">
        <f t="shared" si="108"/>
        <v>0.55555555555555558</v>
      </c>
      <c r="AQ233">
        <f>survey_responses[[#This Row],[Sau khi xem xét các quyền lợi và nghĩa vụ, bạn có ủng hộ và tuân thủ chính sách mới hiện nay? - HUMAN-OUT1]]</f>
        <v>6</v>
      </c>
      <c r="AR233">
        <f t="shared" si="109"/>
        <v>0.55555555555555558</v>
      </c>
      <c r="AS233" s="32">
        <f t="shared" si="110"/>
        <v>0</v>
      </c>
      <c r="AT233">
        <f t="shared" si="111"/>
        <v>1</v>
      </c>
    </row>
    <row r="234" spans="1:46" x14ac:dyDescent="0.45">
      <c r="A234">
        <f>step3_validation[[#This Row],[AI_ENF1]]</f>
        <v>7</v>
      </c>
      <c r="B234">
        <f t="shared" si="84"/>
        <v>0.66666666666666663</v>
      </c>
      <c r="C234">
        <f>survey_responses[[#This Row],[Tôi tin rằng với các quy định quản lý thuế hiện nay, hành vi gian lận hoặc trốn thuế sẽ dễ dàng bị phát hiện và xử lý nghiêm. - HUMAN-ENF1]]</f>
        <v>8</v>
      </c>
      <c r="D234">
        <f t="shared" si="85"/>
        <v>0.77777777777777779</v>
      </c>
      <c r="E234">
        <f>step3_validation[[#This Row],[AI_ENF2]]</f>
        <v>7</v>
      </c>
      <c r="F234">
        <f t="shared" si="86"/>
        <v>0.66666666666666663</v>
      </c>
      <c r="G234">
        <f>survey_responses[[#This Row],[Tôi tin rằng Nhà nước, cơ quan thuế có đủ khả năng và công nghệ để phát hiện, xử lý nghiêm các hành vi trốn thuế. - HUMAN-ENF2]]</f>
        <v>8</v>
      </c>
      <c r="H234">
        <f t="shared" si="87"/>
        <v>0.77777777777777779</v>
      </c>
      <c r="I234" s="32">
        <f t="shared" si="88"/>
        <v>0.66666666666666663</v>
      </c>
      <c r="J234" s="32">
        <f t="shared" si="89"/>
        <v>0.77777777777777779</v>
      </c>
      <c r="K234">
        <f>step3_validation[[#This Row],[AI_FAC1]]</f>
        <v>8</v>
      </c>
      <c r="L234">
        <f t="shared" si="90"/>
        <v>0.77777777777777779</v>
      </c>
      <c r="M234">
        <f>survey_responses[[#This Row],[Các thủ tục khai báo thuế VÀ/HOẶC quy trình làm việc với cơ quan thuế đơn giản, tiện lợi, nhanh chóng hơn so với trước đây. - HUMAN-FAC1]]</f>
        <v>8</v>
      </c>
      <c r="N234">
        <f t="shared" si="91"/>
        <v>0.77777777777777779</v>
      </c>
      <c r="O234">
        <f>step3_validation[[#This Row],[AI_FAC2]]</f>
        <v>9</v>
      </c>
      <c r="P234">
        <f t="shared" si="92"/>
        <v>0.88888888888888884</v>
      </c>
      <c r="Q234">
        <f>survey_responses[[#This Row],[So với trước đây, tôi thấy cách tính thuế và các bậc thuế trong phương án mới đơn giản, dễ hiểu và dễ thực hiện hơn. - HUMAN-FAC2]]</f>
        <v>8</v>
      </c>
      <c r="R234">
        <f t="shared" si="93"/>
        <v>0.77777777777777779</v>
      </c>
      <c r="S234" s="32">
        <f t="shared" si="94"/>
        <v>0.83333333333333326</v>
      </c>
      <c r="T234" s="32">
        <f t="shared" si="95"/>
        <v>0.77777777777777779</v>
      </c>
      <c r="U234">
        <f>step3_validation[[#This Row],[AI_TRU1]]</f>
        <v>6</v>
      </c>
      <c r="V234">
        <f t="shared" si="96"/>
        <v>0.55555555555555558</v>
      </c>
      <c r="W234">
        <f>survey_responses[[#This Row],[Tôi tin rằng Nhà nước, cơ quan thuế sẽ thực thi chính sách mới một cách khách quan, công tâm và đối xử bình đẳng với mọi người nộp thuế.  - HUMAN-TRU1]]</f>
        <v>9</v>
      </c>
      <c r="X234">
        <f t="shared" si="97"/>
        <v>0.88888888888888884</v>
      </c>
      <c r="Y234">
        <f>step3_validation[[#This Row],[AI_TRU2]]</f>
        <v>5</v>
      </c>
      <c r="Z234">
        <f t="shared" si="98"/>
        <v>0.44444444444444442</v>
      </c>
      <c r="AA234">
        <f>survey_responses[[#This Row],[Tôi thấy mức thuế tôi phải đóng theo phương án mới là công bằng (người thu nhập như tôi đóng mức này là hợp lý). - HUMAN-TRU2]]</f>
        <v>8</v>
      </c>
      <c r="AB234">
        <f t="shared" si="99"/>
        <v>0.77777777777777779</v>
      </c>
      <c r="AC234">
        <f>step3_validation[[#This Row],[AI_TRU3]]</f>
        <v>6</v>
      </c>
      <c r="AD234">
        <f t="shared" si="100"/>
        <v>0.55555555555555558</v>
      </c>
      <c r="AE234">
        <f>survey_responses[[#This Row],[Tôi tin tưởng số tiền thuế tôi đóng sẽ được Nhà nước sử dụng hiệu quả để cải thiện dịch vụ công (y tế, đường xá...). - HUMAN-TRU3]]</f>
        <v>8</v>
      </c>
      <c r="AF234">
        <f t="shared" si="101"/>
        <v>0.77777777777777779</v>
      </c>
      <c r="AG234">
        <f>step3_validation[[#This Row],[AI_TRU4]]</f>
        <v>6</v>
      </c>
      <c r="AH234">
        <f t="shared" si="102"/>
        <v>0.55555555555555558</v>
      </c>
      <c r="AI234">
        <f>survey_responses[[#This Row],[Tôi thấy Nhà nước đã giải thích rõ ràng, minh bạch về lý do và mục tiêu của việc sửa đổi thuế lần này. - HUMAN-TRU4]]</f>
        <v>8</v>
      </c>
      <c r="AJ234">
        <f t="shared" si="103"/>
        <v>0.77777777777777779</v>
      </c>
      <c r="AK234" s="32">
        <f t="shared" si="104"/>
        <v>0.52777777777777779</v>
      </c>
      <c r="AL234" s="32">
        <f t="shared" si="105"/>
        <v>0.80555555555555547</v>
      </c>
      <c r="AM234" s="7">
        <f t="shared" si="106"/>
        <v>0.67592592592592593</v>
      </c>
      <c r="AN234" s="7">
        <f t="shared" si="107"/>
        <v>0.78703703703703709</v>
      </c>
      <c r="AO234">
        <f>step3_validation[[#This Row],[AI_OUT1]]</f>
        <v>6</v>
      </c>
      <c r="AP234">
        <f t="shared" si="108"/>
        <v>0.55555555555555558</v>
      </c>
      <c r="AQ234">
        <f>survey_responses[[#This Row],[Sau khi xem xét các quyền lợi và nghĩa vụ, bạn có ủng hộ và tuân thủ chính sách mới hiện nay? - HUMAN-OUT1]]</f>
        <v>10</v>
      </c>
      <c r="AR234">
        <f t="shared" si="109"/>
        <v>1</v>
      </c>
      <c r="AS234" s="32">
        <f t="shared" si="110"/>
        <v>4</v>
      </c>
      <c r="AT234">
        <f t="shared" si="111"/>
        <v>1</v>
      </c>
    </row>
    <row r="235" spans="1:46" x14ac:dyDescent="0.45">
      <c r="A235">
        <f>step3_validation[[#This Row],[AI_ENF1]]</f>
        <v>8</v>
      </c>
      <c r="B235">
        <f t="shared" si="84"/>
        <v>0.77777777777777779</v>
      </c>
      <c r="C235">
        <f>survey_responses[[#This Row],[Tôi tin rằng với các quy định quản lý thuế hiện nay, hành vi gian lận hoặc trốn thuế sẽ dễ dàng bị phát hiện và xử lý nghiêm. - HUMAN-ENF1]]</f>
        <v>4</v>
      </c>
      <c r="D235">
        <f t="shared" si="85"/>
        <v>0.33333333333333331</v>
      </c>
      <c r="E235">
        <f>step3_validation[[#This Row],[AI_ENF2]]</f>
        <v>9</v>
      </c>
      <c r="F235">
        <f t="shared" si="86"/>
        <v>0.88888888888888884</v>
      </c>
      <c r="G235">
        <f>survey_responses[[#This Row],[Tôi tin rằng Nhà nước, cơ quan thuế có đủ khả năng và công nghệ để phát hiện, xử lý nghiêm các hành vi trốn thuế. - HUMAN-ENF2]]</f>
        <v>4</v>
      </c>
      <c r="H235">
        <f t="shared" si="87"/>
        <v>0.33333333333333331</v>
      </c>
      <c r="I235" s="32">
        <f t="shared" si="88"/>
        <v>0.83333333333333326</v>
      </c>
      <c r="J235" s="32">
        <f t="shared" si="89"/>
        <v>0.33333333333333331</v>
      </c>
      <c r="K235">
        <f>step3_validation[[#This Row],[AI_FAC1]]</f>
        <v>8</v>
      </c>
      <c r="L235">
        <f t="shared" si="90"/>
        <v>0.77777777777777779</v>
      </c>
      <c r="M235">
        <f>survey_responses[[#This Row],[Các thủ tục khai báo thuế VÀ/HOẶC quy trình làm việc với cơ quan thuế đơn giản, tiện lợi, nhanh chóng hơn so với trước đây. - HUMAN-FAC1]]</f>
        <v>4</v>
      </c>
      <c r="N235">
        <f t="shared" si="91"/>
        <v>0.33333333333333331</v>
      </c>
      <c r="O235">
        <f>step3_validation[[#This Row],[AI_FAC2]]</f>
        <v>7</v>
      </c>
      <c r="P235">
        <f t="shared" si="92"/>
        <v>0.66666666666666663</v>
      </c>
      <c r="Q235">
        <f>survey_responses[[#This Row],[So với trước đây, tôi thấy cách tính thuế và các bậc thuế trong phương án mới đơn giản, dễ hiểu và dễ thực hiện hơn. - HUMAN-FAC2]]</f>
        <v>4</v>
      </c>
      <c r="R235">
        <f t="shared" si="93"/>
        <v>0.33333333333333331</v>
      </c>
      <c r="S235" s="32">
        <f t="shared" si="94"/>
        <v>0.72222222222222221</v>
      </c>
      <c r="T235" s="32">
        <f t="shared" si="95"/>
        <v>0.33333333333333331</v>
      </c>
      <c r="U235">
        <f>step3_validation[[#This Row],[AI_TRU1]]</f>
        <v>8</v>
      </c>
      <c r="V235">
        <f t="shared" si="96"/>
        <v>0.77777777777777779</v>
      </c>
      <c r="W235">
        <f>survey_responses[[#This Row],[Tôi tin rằng Nhà nước, cơ quan thuế sẽ thực thi chính sách mới một cách khách quan, công tâm và đối xử bình đẳng với mọi người nộp thuế.  - HUMAN-TRU1]]</f>
        <v>1</v>
      </c>
      <c r="X235">
        <f t="shared" si="97"/>
        <v>0</v>
      </c>
      <c r="Y235">
        <f>step3_validation[[#This Row],[AI_TRU2]]</f>
        <v>7</v>
      </c>
      <c r="Z235">
        <f t="shared" si="98"/>
        <v>0.66666666666666663</v>
      </c>
      <c r="AA235">
        <f>survey_responses[[#This Row],[Tôi thấy mức thuế tôi phải đóng theo phương án mới là công bằng (người thu nhập như tôi đóng mức này là hợp lý). - HUMAN-TRU2]]</f>
        <v>3</v>
      </c>
      <c r="AB235">
        <f t="shared" si="99"/>
        <v>0.22222222222222221</v>
      </c>
      <c r="AC235">
        <f>step3_validation[[#This Row],[AI_TRU3]]</f>
        <v>8</v>
      </c>
      <c r="AD235">
        <f t="shared" si="100"/>
        <v>0.77777777777777779</v>
      </c>
      <c r="AE235">
        <f>survey_responses[[#This Row],[Tôi tin tưởng số tiền thuế tôi đóng sẽ được Nhà nước sử dụng hiệu quả để cải thiện dịch vụ công (y tế, đường xá...). - HUMAN-TRU3]]</f>
        <v>1</v>
      </c>
      <c r="AF235">
        <f t="shared" si="101"/>
        <v>0</v>
      </c>
      <c r="AG235">
        <f>step3_validation[[#This Row],[AI_TRU4]]</f>
        <v>6</v>
      </c>
      <c r="AH235">
        <f t="shared" si="102"/>
        <v>0.55555555555555558</v>
      </c>
      <c r="AI235">
        <f>survey_responses[[#This Row],[Tôi thấy Nhà nước đã giải thích rõ ràng, minh bạch về lý do và mục tiêu của việc sửa đổi thuế lần này. - HUMAN-TRU4]]</f>
        <v>1</v>
      </c>
      <c r="AJ235">
        <f t="shared" si="103"/>
        <v>0</v>
      </c>
      <c r="AK235" s="32">
        <f t="shared" si="104"/>
        <v>0.69444444444444442</v>
      </c>
      <c r="AL235" s="32">
        <f t="shared" si="105"/>
        <v>5.5555555555555552E-2</v>
      </c>
      <c r="AM235" s="7">
        <f t="shared" si="106"/>
        <v>0.75</v>
      </c>
      <c r="AN235" s="7">
        <f t="shared" si="107"/>
        <v>0.24074074074074073</v>
      </c>
      <c r="AO235">
        <f>step3_validation[[#This Row],[AI_OUT1]]</f>
        <v>7</v>
      </c>
      <c r="AP235">
        <f t="shared" si="108"/>
        <v>0.66666666666666663</v>
      </c>
      <c r="AQ235">
        <f>survey_responses[[#This Row],[Sau khi xem xét các quyền lợi và nghĩa vụ, bạn có ủng hộ và tuân thủ chính sách mới hiện nay? - HUMAN-OUT1]]</f>
        <v>1</v>
      </c>
      <c r="AR235">
        <f t="shared" si="109"/>
        <v>0</v>
      </c>
      <c r="AS235" s="32">
        <f t="shared" si="110"/>
        <v>6</v>
      </c>
      <c r="AT235">
        <f t="shared" si="111"/>
        <v>0</v>
      </c>
    </row>
    <row r="236" spans="1:46" x14ac:dyDescent="0.45">
      <c r="A236">
        <f>step3_validation[[#This Row],[AI_ENF1]]</f>
        <v>7</v>
      </c>
      <c r="B236">
        <f t="shared" si="84"/>
        <v>0.66666666666666663</v>
      </c>
      <c r="C236">
        <f>survey_responses[[#This Row],[Tôi tin rằng với các quy định quản lý thuế hiện nay, hành vi gian lận hoặc trốn thuế sẽ dễ dàng bị phát hiện và xử lý nghiêm. - HUMAN-ENF1]]</f>
        <v>6</v>
      </c>
      <c r="D236">
        <f t="shared" si="85"/>
        <v>0.55555555555555558</v>
      </c>
      <c r="E236">
        <f>step3_validation[[#This Row],[AI_ENF2]]</f>
        <v>6</v>
      </c>
      <c r="F236">
        <f t="shared" si="86"/>
        <v>0.55555555555555558</v>
      </c>
      <c r="G236">
        <f>survey_responses[[#This Row],[Tôi tin rằng Nhà nước, cơ quan thuế có đủ khả năng và công nghệ để phát hiện, xử lý nghiêm các hành vi trốn thuế. - HUMAN-ENF2]]</f>
        <v>6</v>
      </c>
      <c r="H236">
        <f t="shared" si="87"/>
        <v>0.55555555555555558</v>
      </c>
      <c r="I236" s="32">
        <f t="shared" si="88"/>
        <v>0.61111111111111116</v>
      </c>
      <c r="J236" s="32">
        <f t="shared" si="89"/>
        <v>0.55555555555555558</v>
      </c>
      <c r="K236">
        <f>step3_validation[[#This Row],[AI_FAC1]]</f>
        <v>8</v>
      </c>
      <c r="L236">
        <f t="shared" si="90"/>
        <v>0.77777777777777779</v>
      </c>
      <c r="M236">
        <f>survey_responses[[#This Row],[Các thủ tục khai báo thuế VÀ/HOẶC quy trình làm việc với cơ quan thuế đơn giản, tiện lợi, nhanh chóng hơn so với trước đây. - HUMAN-FAC1]]</f>
        <v>1</v>
      </c>
      <c r="N236">
        <f t="shared" si="91"/>
        <v>0</v>
      </c>
      <c r="O236">
        <f>step3_validation[[#This Row],[AI_FAC2]]</f>
        <v>9</v>
      </c>
      <c r="P236">
        <f t="shared" si="92"/>
        <v>0.88888888888888884</v>
      </c>
      <c r="Q236">
        <f>survey_responses[[#This Row],[So với trước đây, tôi thấy cách tính thuế và các bậc thuế trong phương án mới đơn giản, dễ hiểu và dễ thực hiện hơn. - HUMAN-FAC2]]</f>
        <v>6</v>
      </c>
      <c r="R236">
        <f t="shared" si="93"/>
        <v>0.55555555555555558</v>
      </c>
      <c r="S236" s="32">
        <f t="shared" si="94"/>
        <v>0.83333333333333326</v>
      </c>
      <c r="T236" s="32">
        <f t="shared" si="95"/>
        <v>0.27777777777777779</v>
      </c>
      <c r="U236">
        <f>step3_validation[[#This Row],[AI_TRU1]]</f>
        <v>8</v>
      </c>
      <c r="V236">
        <f t="shared" si="96"/>
        <v>0.77777777777777779</v>
      </c>
      <c r="W236">
        <f>survey_responses[[#This Row],[Tôi tin rằng Nhà nước, cơ quan thuế sẽ thực thi chính sách mới một cách khách quan, công tâm và đối xử bình đẳng với mọi người nộp thuế.  - HUMAN-TRU1]]</f>
        <v>5</v>
      </c>
      <c r="X236">
        <f t="shared" si="97"/>
        <v>0.44444444444444442</v>
      </c>
      <c r="Y236">
        <f>step3_validation[[#This Row],[AI_TRU2]]</f>
        <v>9</v>
      </c>
      <c r="Z236">
        <f t="shared" si="98"/>
        <v>0.88888888888888884</v>
      </c>
      <c r="AA236">
        <f>survey_responses[[#This Row],[Tôi thấy mức thuế tôi phải đóng theo phương án mới là công bằng (người thu nhập như tôi đóng mức này là hợp lý). - HUMAN-TRU2]]</f>
        <v>6</v>
      </c>
      <c r="AB236">
        <f t="shared" si="99"/>
        <v>0.55555555555555558</v>
      </c>
      <c r="AC236">
        <f>step3_validation[[#This Row],[AI_TRU3]]</f>
        <v>7</v>
      </c>
      <c r="AD236">
        <f t="shared" si="100"/>
        <v>0.66666666666666663</v>
      </c>
      <c r="AE236">
        <f>survey_responses[[#This Row],[Tôi tin tưởng số tiền thuế tôi đóng sẽ được Nhà nước sử dụng hiệu quả để cải thiện dịch vụ công (y tế, đường xá...). - HUMAN-TRU3]]</f>
        <v>5</v>
      </c>
      <c r="AF236">
        <f t="shared" si="101"/>
        <v>0.44444444444444442</v>
      </c>
      <c r="AG236">
        <f>step3_validation[[#This Row],[AI_TRU4]]</f>
        <v>5</v>
      </c>
      <c r="AH236">
        <f t="shared" si="102"/>
        <v>0.44444444444444442</v>
      </c>
      <c r="AI236">
        <f>survey_responses[[#This Row],[Tôi thấy Nhà nước đã giải thích rõ ràng, minh bạch về lý do và mục tiêu của việc sửa đổi thuế lần này. - HUMAN-TRU4]]</f>
        <v>6</v>
      </c>
      <c r="AJ236">
        <f t="shared" si="103"/>
        <v>0.55555555555555558</v>
      </c>
      <c r="AK236" s="32">
        <f t="shared" si="104"/>
        <v>0.69444444444444442</v>
      </c>
      <c r="AL236" s="32">
        <f t="shared" si="105"/>
        <v>0.5</v>
      </c>
      <c r="AM236" s="7">
        <f t="shared" si="106"/>
        <v>0.71296296296296291</v>
      </c>
      <c r="AN236" s="7">
        <f t="shared" si="107"/>
        <v>0.44444444444444448</v>
      </c>
      <c r="AO236">
        <f>step3_validation[[#This Row],[AI_OUT1]]</f>
        <v>7</v>
      </c>
      <c r="AP236">
        <f t="shared" si="108"/>
        <v>0.66666666666666663</v>
      </c>
      <c r="AQ236">
        <f>survey_responses[[#This Row],[Sau khi xem xét các quyền lợi và nghĩa vụ, bạn có ủng hộ và tuân thủ chính sách mới hiện nay? - HUMAN-OUT1]]</f>
        <v>6</v>
      </c>
      <c r="AR236">
        <f t="shared" si="109"/>
        <v>0.55555555555555558</v>
      </c>
      <c r="AS236" s="32">
        <f t="shared" si="110"/>
        <v>1</v>
      </c>
      <c r="AT236">
        <f t="shared" si="111"/>
        <v>1</v>
      </c>
    </row>
    <row r="237" spans="1:46" x14ac:dyDescent="0.45">
      <c r="A237">
        <f>step3_validation[[#This Row],[AI_ENF1]]</f>
        <v>7</v>
      </c>
      <c r="B237">
        <f t="shared" si="84"/>
        <v>0.66666666666666663</v>
      </c>
      <c r="C237">
        <f>survey_responses[[#This Row],[Tôi tin rằng với các quy định quản lý thuế hiện nay, hành vi gian lận hoặc trốn thuế sẽ dễ dàng bị phát hiện và xử lý nghiêm. - HUMAN-ENF1]]</f>
        <v>7</v>
      </c>
      <c r="D237">
        <f t="shared" si="85"/>
        <v>0.66666666666666663</v>
      </c>
      <c r="E237">
        <f>step3_validation[[#This Row],[AI_ENF2]]</f>
        <v>7</v>
      </c>
      <c r="F237">
        <f t="shared" si="86"/>
        <v>0.66666666666666663</v>
      </c>
      <c r="G237">
        <f>survey_responses[[#This Row],[Tôi tin rằng Nhà nước, cơ quan thuế có đủ khả năng và công nghệ để phát hiện, xử lý nghiêm các hành vi trốn thuế. - HUMAN-ENF2]]</f>
        <v>7</v>
      </c>
      <c r="H237">
        <f t="shared" si="87"/>
        <v>0.66666666666666663</v>
      </c>
      <c r="I237" s="32">
        <f t="shared" si="88"/>
        <v>0.66666666666666663</v>
      </c>
      <c r="J237" s="32">
        <f t="shared" si="89"/>
        <v>0.66666666666666663</v>
      </c>
      <c r="K237">
        <f>step3_validation[[#This Row],[AI_FAC1]]</f>
        <v>6</v>
      </c>
      <c r="L237">
        <f t="shared" si="90"/>
        <v>0.55555555555555558</v>
      </c>
      <c r="M237">
        <f>survey_responses[[#This Row],[Các thủ tục khai báo thuế VÀ/HOẶC quy trình làm việc với cơ quan thuế đơn giản, tiện lợi, nhanh chóng hơn so với trước đây. - HUMAN-FAC1]]</f>
        <v>7</v>
      </c>
      <c r="N237">
        <f t="shared" si="91"/>
        <v>0.66666666666666663</v>
      </c>
      <c r="O237">
        <f>step3_validation[[#This Row],[AI_FAC2]]</f>
        <v>8</v>
      </c>
      <c r="P237">
        <f t="shared" si="92"/>
        <v>0.77777777777777779</v>
      </c>
      <c r="Q237">
        <f>survey_responses[[#This Row],[So với trước đây, tôi thấy cách tính thuế và các bậc thuế trong phương án mới đơn giản, dễ hiểu và dễ thực hiện hơn. - HUMAN-FAC2]]</f>
        <v>7</v>
      </c>
      <c r="R237">
        <f t="shared" si="93"/>
        <v>0.66666666666666663</v>
      </c>
      <c r="S237" s="32">
        <f t="shared" si="94"/>
        <v>0.66666666666666674</v>
      </c>
      <c r="T237" s="32">
        <f t="shared" si="95"/>
        <v>0.66666666666666663</v>
      </c>
      <c r="U237">
        <f>step3_validation[[#This Row],[AI_TRU1]]</f>
        <v>7</v>
      </c>
      <c r="V237">
        <f t="shared" si="96"/>
        <v>0.66666666666666663</v>
      </c>
      <c r="W237">
        <f>survey_responses[[#This Row],[Tôi tin rằng Nhà nước, cơ quan thuế sẽ thực thi chính sách mới một cách khách quan, công tâm và đối xử bình đẳng với mọi người nộp thuế.  - HUMAN-TRU1]]</f>
        <v>7</v>
      </c>
      <c r="X237">
        <f t="shared" si="97"/>
        <v>0.66666666666666663</v>
      </c>
      <c r="Y237">
        <f>step3_validation[[#This Row],[AI_TRU2]]</f>
        <v>8</v>
      </c>
      <c r="Z237">
        <f t="shared" si="98"/>
        <v>0.77777777777777779</v>
      </c>
      <c r="AA237">
        <f>survey_responses[[#This Row],[Tôi thấy mức thuế tôi phải đóng theo phương án mới là công bằng (người thu nhập như tôi đóng mức này là hợp lý). - HUMAN-TRU2]]</f>
        <v>7</v>
      </c>
      <c r="AB237">
        <f t="shared" si="99"/>
        <v>0.66666666666666663</v>
      </c>
      <c r="AC237">
        <f>step3_validation[[#This Row],[AI_TRU3]]</f>
        <v>7</v>
      </c>
      <c r="AD237">
        <f t="shared" si="100"/>
        <v>0.66666666666666663</v>
      </c>
      <c r="AE237">
        <f>survey_responses[[#This Row],[Tôi tin tưởng số tiền thuế tôi đóng sẽ được Nhà nước sử dụng hiệu quả để cải thiện dịch vụ công (y tế, đường xá...). - HUMAN-TRU3]]</f>
        <v>7</v>
      </c>
      <c r="AF237">
        <f t="shared" si="101"/>
        <v>0.66666666666666663</v>
      </c>
      <c r="AG237">
        <f>step3_validation[[#This Row],[AI_TRU4]]</f>
        <v>7</v>
      </c>
      <c r="AH237">
        <f t="shared" si="102"/>
        <v>0.66666666666666663</v>
      </c>
      <c r="AI237">
        <f>survey_responses[[#This Row],[Tôi thấy Nhà nước đã giải thích rõ ràng, minh bạch về lý do và mục tiêu của việc sửa đổi thuế lần này. - HUMAN-TRU4]]</f>
        <v>7</v>
      </c>
      <c r="AJ237">
        <f t="shared" si="103"/>
        <v>0.66666666666666663</v>
      </c>
      <c r="AK237" s="32">
        <f t="shared" si="104"/>
        <v>0.69444444444444442</v>
      </c>
      <c r="AL237" s="32">
        <f t="shared" si="105"/>
        <v>0.66666666666666663</v>
      </c>
      <c r="AM237" s="7">
        <f t="shared" si="106"/>
        <v>0.67592592592592593</v>
      </c>
      <c r="AN237" s="7">
        <f t="shared" si="107"/>
        <v>0.66666666666666663</v>
      </c>
      <c r="AO237">
        <f>step3_validation[[#This Row],[AI_OUT1]]</f>
        <v>6</v>
      </c>
      <c r="AP237">
        <f t="shared" si="108"/>
        <v>0.55555555555555558</v>
      </c>
      <c r="AQ237">
        <f>survey_responses[[#This Row],[Sau khi xem xét các quyền lợi và nghĩa vụ, bạn có ủng hộ và tuân thủ chính sách mới hiện nay? - HUMAN-OUT1]]</f>
        <v>7</v>
      </c>
      <c r="AR237">
        <f t="shared" si="109"/>
        <v>0.66666666666666663</v>
      </c>
      <c r="AS237" s="32">
        <f t="shared" si="110"/>
        <v>1</v>
      </c>
      <c r="AT237">
        <f t="shared" si="111"/>
        <v>1</v>
      </c>
    </row>
    <row r="238" spans="1:46" x14ac:dyDescent="0.45">
      <c r="A238">
        <f>step3_validation[[#This Row],[AI_ENF1]]</f>
        <v>7</v>
      </c>
      <c r="B238">
        <f t="shared" si="84"/>
        <v>0.66666666666666663</v>
      </c>
      <c r="C238">
        <f>survey_responses[[#This Row],[Tôi tin rằng với các quy định quản lý thuế hiện nay, hành vi gian lận hoặc trốn thuế sẽ dễ dàng bị phát hiện và xử lý nghiêm. - HUMAN-ENF1]]</f>
        <v>10</v>
      </c>
      <c r="D238">
        <f t="shared" si="85"/>
        <v>1</v>
      </c>
      <c r="E238">
        <f>step3_validation[[#This Row],[AI_ENF2]]</f>
        <v>8</v>
      </c>
      <c r="F238">
        <f t="shared" si="86"/>
        <v>0.77777777777777779</v>
      </c>
      <c r="G238">
        <f>survey_responses[[#This Row],[Tôi tin rằng Nhà nước, cơ quan thuế có đủ khả năng và công nghệ để phát hiện, xử lý nghiêm các hành vi trốn thuế. - HUMAN-ENF2]]</f>
        <v>10</v>
      </c>
      <c r="H238">
        <f t="shared" si="87"/>
        <v>1</v>
      </c>
      <c r="I238" s="32">
        <f t="shared" si="88"/>
        <v>0.72222222222222221</v>
      </c>
      <c r="J238" s="32">
        <f t="shared" si="89"/>
        <v>1</v>
      </c>
      <c r="K238">
        <f>step3_validation[[#This Row],[AI_FAC1]]</f>
        <v>9</v>
      </c>
      <c r="L238">
        <f t="shared" si="90"/>
        <v>0.88888888888888884</v>
      </c>
      <c r="M238">
        <f>survey_responses[[#This Row],[Các thủ tục khai báo thuế VÀ/HOẶC quy trình làm việc với cơ quan thuế đơn giản, tiện lợi, nhanh chóng hơn so với trước đây. - HUMAN-FAC1]]</f>
        <v>4</v>
      </c>
      <c r="N238">
        <f t="shared" si="91"/>
        <v>0.33333333333333331</v>
      </c>
      <c r="O238">
        <f>step3_validation[[#This Row],[AI_FAC2]]</f>
        <v>8</v>
      </c>
      <c r="P238">
        <f t="shared" si="92"/>
        <v>0.77777777777777779</v>
      </c>
      <c r="Q238">
        <f>survey_responses[[#This Row],[So với trước đây, tôi thấy cách tính thuế và các bậc thuế trong phương án mới đơn giản, dễ hiểu và dễ thực hiện hơn. - HUMAN-FAC2]]</f>
        <v>6</v>
      </c>
      <c r="R238">
        <f t="shared" si="93"/>
        <v>0.55555555555555558</v>
      </c>
      <c r="S238" s="32">
        <f t="shared" si="94"/>
        <v>0.83333333333333326</v>
      </c>
      <c r="T238" s="32">
        <f t="shared" si="95"/>
        <v>0.44444444444444442</v>
      </c>
      <c r="U238">
        <f>step3_validation[[#This Row],[AI_TRU1]]</f>
        <v>7</v>
      </c>
      <c r="V238">
        <f t="shared" si="96"/>
        <v>0.66666666666666663</v>
      </c>
      <c r="W238">
        <f>survey_responses[[#This Row],[Tôi tin rằng Nhà nước, cơ quan thuế sẽ thực thi chính sách mới một cách khách quan, công tâm và đối xử bình đẳng với mọi người nộp thuế.  - HUMAN-TRU1]]</f>
        <v>3</v>
      </c>
      <c r="X238">
        <f t="shared" si="97"/>
        <v>0.22222222222222221</v>
      </c>
      <c r="Y238">
        <f>step3_validation[[#This Row],[AI_TRU2]]</f>
        <v>8</v>
      </c>
      <c r="Z238">
        <f t="shared" si="98"/>
        <v>0.77777777777777779</v>
      </c>
      <c r="AA238">
        <f>survey_responses[[#This Row],[Tôi thấy mức thuế tôi phải đóng theo phương án mới là công bằng (người thu nhập như tôi đóng mức này là hợp lý). - HUMAN-TRU2]]</f>
        <v>1</v>
      </c>
      <c r="AB238">
        <f t="shared" si="99"/>
        <v>0</v>
      </c>
      <c r="AC238">
        <f>step3_validation[[#This Row],[AI_TRU3]]</f>
        <v>7</v>
      </c>
      <c r="AD238">
        <f t="shared" si="100"/>
        <v>0.66666666666666663</v>
      </c>
      <c r="AE238">
        <f>survey_responses[[#This Row],[Tôi tin tưởng số tiền thuế tôi đóng sẽ được Nhà nước sử dụng hiệu quả để cải thiện dịch vụ công (y tế, đường xá...). - HUMAN-TRU3]]</f>
        <v>1</v>
      </c>
      <c r="AF238">
        <f t="shared" si="101"/>
        <v>0</v>
      </c>
      <c r="AG238">
        <f>step3_validation[[#This Row],[AI_TRU4]]</f>
        <v>6</v>
      </c>
      <c r="AH238">
        <f t="shared" si="102"/>
        <v>0.55555555555555558</v>
      </c>
      <c r="AI238">
        <f>survey_responses[[#This Row],[Tôi thấy Nhà nước đã giải thích rõ ràng, minh bạch về lý do và mục tiêu của việc sửa đổi thuế lần này. - HUMAN-TRU4]]</f>
        <v>3</v>
      </c>
      <c r="AJ238">
        <f t="shared" si="103"/>
        <v>0.22222222222222221</v>
      </c>
      <c r="AK238" s="32">
        <f t="shared" si="104"/>
        <v>0.66666666666666674</v>
      </c>
      <c r="AL238" s="32">
        <f t="shared" si="105"/>
        <v>0.1111111111111111</v>
      </c>
      <c r="AM238" s="7">
        <f t="shared" si="106"/>
        <v>0.74074074074074081</v>
      </c>
      <c r="AN238" s="7">
        <f t="shared" si="107"/>
        <v>0.51851851851851849</v>
      </c>
      <c r="AO238">
        <f>step3_validation[[#This Row],[AI_OUT1]]</f>
        <v>8</v>
      </c>
      <c r="AP238">
        <f t="shared" si="108"/>
        <v>0.77777777777777779</v>
      </c>
      <c r="AQ238">
        <f>survey_responses[[#This Row],[Sau khi xem xét các quyền lợi và nghĩa vụ, bạn có ủng hộ và tuân thủ chính sách mới hiện nay? - HUMAN-OUT1]]</f>
        <v>1</v>
      </c>
      <c r="AR238">
        <f t="shared" si="109"/>
        <v>0</v>
      </c>
      <c r="AS238" s="32">
        <f t="shared" si="110"/>
        <v>7</v>
      </c>
      <c r="AT238">
        <f t="shared" si="111"/>
        <v>0</v>
      </c>
    </row>
    <row r="239" spans="1:46" x14ac:dyDescent="0.45">
      <c r="A239">
        <f>step3_validation[[#This Row],[AI_ENF1]]</f>
        <v>8</v>
      </c>
      <c r="B239">
        <f t="shared" si="84"/>
        <v>0.77777777777777779</v>
      </c>
      <c r="C239">
        <f>survey_responses[[#This Row],[Tôi tin rằng với các quy định quản lý thuế hiện nay, hành vi gian lận hoặc trốn thuế sẽ dễ dàng bị phát hiện và xử lý nghiêm. - HUMAN-ENF1]]</f>
        <v>8</v>
      </c>
      <c r="D239">
        <f t="shared" si="85"/>
        <v>0.77777777777777779</v>
      </c>
      <c r="E239">
        <f>step3_validation[[#This Row],[AI_ENF2]]</f>
        <v>7</v>
      </c>
      <c r="F239">
        <f t="shared" si="86"/>
        <v>0.66666666666666663</v>
      </c>
      <c r="G239">
        <f>survey_responses[[#This Row],[Tôi tin rằng Nhà nước, cơ quan thuế có đủ khả năng và công nghệ để phát hiện, xử lý nghiêm các hành vi trốn thuế. - HUMAN-ENF2]]</f>
        <v>10</v>
      </c>
      <c r="H239">
        <f t="shared" si="87"/>
        <v>1</v>
      </c>
      <c r="I239" s="32">
        <f t="shared" si="88"/>
        <v>0.72222222222222221</v>
      </c>
      <c r="J239" s="32">
        <f t="shared" si="89"/>
        <v>0.88888888888888884</v>
      </c>
      <c r="K239">
        <f>step3_validation[[#This Row],[AI_FAC1]]</f>
        <v>9</v>
      </c>
      <c r="L239">
        <f t="shared" si="90"/>
        <v>0.88888888888888884</v>
      </c>
      <c r="M239">
        <f>survey_responses[[#This Row],[Các thủ tục khai báo thuế VÀ/HOẶC quy trình làm việc với cơ quan thuế đơn giản, tiện lợi, nhanh chóng hơn so với trước đây. - HUMAN-FAC1]]</f>
        <v>8</v>
      </c>
      <c r="N239">
        <f t="shared" si="91"/>
        <v>0.77777777777777779</v>
      </c>
      <c r="O239">
        <f>step3_validation[[#This Row],[AI_FAC2]]</f>
        <v>8</v>
      </c>
      <c r="P239">
        <f t="shared" si="92"/>
        <v>0.77777777777777779</v>
      </c>
      <c r="Q239">
        <f>survey_responses[[#This Row],[So với trước đây, tôi thấy cách tính thuế và các bậc thuế trong phương án mới đơn giản, dễ hiểu và dễ thực hiện hơn. - HUMAN-FAC2]]</f>
        <v>10</v>
      </c>
      <c r="R239">
        <f t="shared" si="93"/>
        <v>1</v>
      </c>
      <c r="S239" s="32">
        <f t="shared" si="94"/>
        <v>0.83333333333333326</v>
      </c>
      <c r="T239" s="32">
        <f t="shared" si="95"/>
        <v>0.88888888888888884</v>
      </c>
      <c r="U239">
        <f>step3_validation[[#This Row],[AI_TRU1]]</f>
        <v>7</v>
      </c>
      <c r="V239">
        <f t="shared" si="96"/>
        <v>0.66666666666666663</v>
      </c>
      <c r="W239">
        <f>survey_responses[[#This Row],[Tôi tin rằng Nhà nước, cơ quan thuế sẽ thực thi chính sách mới một cách khách quan, công tâm và đối xử bình đẳng với mọi người nộp thuế.  - HUMAN-TRU1]]</f>
        <v>9</v>
      </c>
      <c r="X239">
        <f t="shared" si="97"/>
        <v>0.88888888888888884</v>
      </c>
      <c r="Y239">
        <f>step3_validation[[#This Row],[AI_TRU2]]</f>
        <v>6</v>
      </c>
      <c r="Z239">
        <f t="shared" si="98"/>
        <v>0.55555555555555558</v>
      </c>
      <c r="AA239">
        <f>survey_responses[[#This Row],[Tôi thấy mức thuế tôi phải đóng theo phương án mới là công bằng (người thu nhập như tôi đóng mức này là hợp lý). - HUMAN-TRU2]]</f>
        <v>8</v>
      </c>
      <c r="AB239">
        <f t="shared" si="99"/>
        <v>0.77777777777777779</v>
      </c>
      <c r="AC239">
        <f>step3_validation[[#This Row],[AI_TRU3]]</f>
        <v>7</v>
      </c>
      <c r="AD239">
        <f t="shared" si="100"/>
        <v>0.66666666666666663</v>
      </c>
      <c r="AE239">
        <f>survey_responses[[#This Row],[Tôi tin tưởng số tiền thuế tôi đóng sẽ được Nhà nước sử dụng hiệu quả để cải thiện dịch vụ công (y tế, đường xá...). - HUMAN-TRU3]]</f>
        <v>7</v>
      </c>
      <c r="AF239">
        <f t="shared" si="101"/>
        <v>0.66666666666666663</v>
      </c>
      <c r="AG239">
        <f>step3_validation[[#This Row],[AI_TRU4]]</f>
        <v>5</v>
      </c>
      <c r="AH239">
        <f t="shared" si="102"/>
        <v>0.44444444444444442</v>
      </c>
      <c r="AI239">
        <f>survey_responses[[#This Row],[Tôi thấy Nhà nước đã giải thích rõ ràng, minh bạch về lý do và mục tiêu của việc sửa đổi thuế lần này. - HUMAN-TRU4]]</f>
        <v>9</v>
      </c>
      <c r="AJ239">
        <f t="shared" si="103"/>
        <v>0.88888888888888884</v>
      </c>
      <c r="AK239" s="32">
        <f t="shared" si="104"/>
        <v>0.58333333333333326</v>
      </c>
      <c r="AL239" s="32">
        <f t="shared" si="105"/>
        <v>0.80555555555555547</v>
      </c>
      <c r="AM239" s="7">
        <f t="shared" si="106"/>
        <v>0.7129629629629628</v>
      </c>
      <c r="AN239" s="7">
        <f t="shared" si="107"/>
        <v>0.86111111111111105</v>
      </c>
      <c r="AO239">
        <f>step3_validation[[#This Row],[AI_OUT1]]</f>
        <v>6</v>
      </c>
      <c r="AP239">
        <f t="shared" si="108"/>
        <v>0.55555555555555558</v>
      </c>
      <c r="AQ239">
        <f>survey_responses[[#This Row],[Sau khi xem xét các quyền lợi và nghĩa vụ, bạn có ủng hộ và tuân thủ chính sách mới hiện nay? - HUMAN-OUT1]]</f>
        <v>9</v>
      </c>
      <c r="AR239">
        <f t="shared" si="109"/>
        <v>0.88888888888888884</v>
      </c>
      <c r="AS239" s="32">
        <f t="shared" si="110"/>
        <v>3</v>
      </c>
      <c r="AT239">
        <f t="shared" si="111"/>
        <v>1</v>
      </c>
    </row>
    <row r="240" spans="1:46" x14ac:dyDescent="0.45">
      <c r="A240">
        <f>step3_validation[[#This Row],[AI_ENF1]]</f>
        <v>8</v>
      </c>
      <c r="B240">
        <f t="shared" si="84"/>
        <v>0.77777777777777779</v>
      </c>
      <c r="C240">
        <f>survey_responses[[#This Row],[Tôi tin rằng với các quy định quản lý thuế hiện nay, hành vi gian lận hoặc trốn thuế sẽ dễ dàng bị phát hiện và xử lý nghiêm. - HUMAN-ENF1]]</f>
        <v>6</v>
      </c>
      <c r="D240">
        <f t="shared" si="85"/>
        <v>0.55555555555555558</v>
      </c>
      <c r="E240">
        <f>step3_validation[[#This Row],[AI_ENF2]]</f>
        <v>7</v>
      </c>
      <c r="F240">
        <f t="shared" si="86"/>
        <v>0.66666666666666663</v>
      </c>
      <c r="G240">
        <f>survey_responses[[#This Row],[Tôi tin rằng Nhà nước, cơ quan thuế có đủ khả năng và công nghệ để phát hiện, xử lý nghiêm các hành vi trốn thuế. - HUMAN-ENF2]]</f>
        <v>6</v>
      </c>
      <c r="H240">
        <f t="shared" si="87"/>
        <v>0.55555555555555558</v>
      </c>
      <c r="I240" s="32">
        <f t="shared" si="88"/>
        <v>0.72222222222222221</v>
      </c>
      <c r="J240" s="32">
        <f t="shared" si="89"/>
        <v>0.55555555555555558</v>
      </c>
      <c r="K240">
        <f>step3_validation[[#This Row],[AI_FAC1]]</f>
        <v>6</v>
      </c>
      <c r="L240">
        <f t="shared" si="90"/>
        <v>0.55555555555555558</v>
      </c>
      <c r="M240">
        <f>survey_responses[[#This Row],[Các thủ tục khai báo thuế VÀ/HOẶC quy trình làm việc với cơ quan thuế đơn giản, tiện lợi, nhanh chóng hơn so với trước đây. - HUMAN-FAC1]]</f>
        <v>6</v>
      </c>
      <c r="N240">
        <f t="shared" si="91"/>
        <v>0.55555555555555558</v>
      </c>
      <c r="O240">
        <f>step3_validation[[#This Row],[AI_FAC2]]</f>
        <v>8</v>
      </c>
      <c r="P240">
        <f t="shared" si="92"/>
        <v>0.77777777777777779</v>
      </c>
      <c r="Q240">
        <f>survey_responses[[#This Row],[So với trước đây, tôi thấy cách tính thuế và các bậc thuế trong phương án mới đơn giản, dễ hiểu và dễ thực hiện hơn. - HUMAN-FAC2]]</f>
        <v>6</v>
      </c>
      <c r="R240">
        <f t="shared" si="93"/>
        <v>0.55555555555555558</v>
      </c>
      <c r="S240" s="32">
        <f t="shared" si="94"/>
        <v>0.66666666666666674</v>
      </c>
      <c r="T240" s="32">
        <f t="shared" si="95"/>
        <v>0.55555555555555558</v>
      </c>
      <c r="U240">
        <f>step3_validation[[#This Row],[AI_TRU1]]</f>
        <v>9</v>
      </c>
      <c r="V240">
        <f t="shared" si="96"/>
        <v>0.88888888888888884</v>
      </c>
      <c r="W240">
        <f>survey_responses[[#This Row],[Tôi tin rằng Nhà nước, cơ quan thuế sẽ thực thi chính sách mới một cách khách quan, công tâm và đối xử bình đẳng với mọi người nộp thuế.  - HUMAN-TRU1]]</f>
        <v>6</v>
      </c>
      <c r="X240">
        <f t="shared" si="97"/>
        <v>0.55555555555555558</v>
      </c>
      <c r="Y240">
        <f>step3_validation[[#This Row],[AI_TRU2]]</f>
        <v>7</v>
      </c>
      <c r="Z240">
        <f t="shared" si="98"/>
        <v>0.66666666666666663</v>
      </c>
      <c r="AA240">
        <f>survey_responses[[#This Row],[Tôi thấy mức thuế tôi phải đóng theo phương án mới là công bằng (người thu nhập như tôi đóng mức này là hợp lý). - HUMAN-TRU2]]</f>
        <v>6</v>
      </c>
      <c r="AB240">
        <f t="shared" si="99"/>
        <v>0.55555555555555558</v>
      </c>
      <c r="AC240">
        <f>step3_validation[[#This Row],[AI_TRU3]]</f>
        <v>8</v>
      </c>
      <c r="AD240">
        <f t="shared" si="100"/>
        <v>0.77777777777777779</v>
      </c>
      <c r="AE240">
        <f>survey_responses[[#This Row],[Tôi tin tưởng số tiền thuế tôi đóng sẽ được Nhà nước sử dụng hiệu quả để cải thiện dịch vụ công (y tế, đường xá...). - HUMAN-TRU3]]</f>
        <v>6</v>
      </c>
      <c r="AF240">
        <f t="shared" si="101"/>
        <v>0.55555555555555558</v>
      </c>
      <c r="AG240">
        <f>step3_validation[[#This Row],[AI_TRU4]]</f>
        <v>7</v>
      </c>
      <c r="AH240">
        <f t="shared" si="102"/>
        <v>0.66666666666666663</v>
      </c>
      <c r="AI240">
        <f>survey_responses[[#This Row],[Tôi thấy Nhà nước đã giải thích rõ ràng, minh bạch về lý do và mục tiêu của việc sửa đổi thuế lần này. - HUMAN-TRU4]]</f>
        <v>7</v>
      </c>
      <c r="AJ240">
        <f t="shared" si="103"/>
        <v>0.66666666666666663</v>
      </c>
      <c r="AK240" s="32">
        <f t="shared" si="104"/>
        <v>0.74999999999999989</v>
      </c>
      <c r="AL240" s="32">
        <f t="shared" si="105"/>
        <v>0.58333333333333337</v>
      </c>
      <c r="AM240" s="7">
        <f t="shared" si="106"/>
        <v>0.71296296296296291</v>
      </c>
      <c r="AN240" s="7">
        <f t="shared" si="107"/>
        <v>0.56481481481481488</v>
      </c>
      <c r="AO240">
        <f>step3_validation[[#This Row],[AI_OUT1]]</f>
        <v>9</v>
      </c>
      <c r="AP240">
        <f t="shared" si="108"/>
        <v>0.88888888888888884</v>
      </c>
      <c r="AQ240">
        <f>survey_responses[[#This Row],[Sau khi xem xét các quyền lợi và nghĩa vụ, bạn có ủng hộ và tuân thủ chính sách mới hiện nay? - HUMAN-OUT1]]</f>
        <v>6</v>
      </c>
      <c r="AR240">
        <f t="shared" si="109"/>
        <v>0.55555555555555558</v>
      </c>
      <c r="AS240" s="32">
        <f t="shared" si="110"/>
        <v>3</v>
      </c>
      <c r="AT240">
        <f t="shared" si="111"/>
        <v>1</v>
      </c>
    </row>
    <row r="241" spans="1:46" x14ac:dyDescent="0.45">
      <c r="A241">
        <f>step3_validation[[#This Row],[AI_ENF1]]</f>
        <v>8</v>
      </c>
      <c r="B241">
        <f t="shared" si="84"/>
        <v>0.77777777777777779</v>
      </c>
      <c r="C241">
        <f>survey_responses[[#This Row],[Tôi tin rằng với các quy định quản lý thuế hiện nay, hành vi gian lận hoặc trốn thuế sẽ dễ dàng bị phát hiện và xử lý nghiêm. - HUMAN-ENF1]]</f>
        <v>8</v>
      </c>
      <c r="D241">
        <f t="shared" si="85"/>
        <v>0.77777777777777779</v>
      </c>
      <c r="E241">
        <f>step3_validation[[#This Row],[AI_ENF2]]</f>
        <v>9</v>
      </c>
      <c r="F241">
        <f t="shared" si="86"/>
        <v>0.88888888888888884</v>
      </c>
      <c r="G241">
        <f>survey_responses[[#This Row],[Tôi tin rằng Nhà nước, cơ quan thuế có đủ khả năng và công nghệ để phát hiện, xử lý nghiêm các hành vi trốn thuế. - HUMAN-ENF2]]</f>
        <v>8</v>
      </c>
      <c r="H241">
        <f t="shared" si="87"/>
        <v>0.77777777777777779</v>
      </c>
      <c r="I241" s="32">
        <f t="shared" si="88"/>
        <v>0.83333333333333326</v>
      </c>
      <c r="J241" s="32">
        <f t="shared" si="89"/>
        <v>0.77777777777777779</v>
      </c>
      <c r="K241">
        <f>step3_validation[[#This Row],[AI_FAC1]]</f>
        <v>8</v>
      </c>
      <c r="L241">
        <f t="shared" si="90"/>
        <v>0.77777777777777779</v>
      </c>
      <c r="M241">
        <f>survey_responses[[#This Row],[Các thủ tục khai báo thuế VÀ/HOẶC quy trình làm việc với cơ quan thuế đơn giản, tiện lợi, nhanh chóng hơn so với trước đây. - HUMAN-FAC1]]</f>
        <v>8</v>
      </c>
      <c r="N241">
        <f t="shared" si="91"/>
        <v>0.77777777777777779</v>
      </c>
      <c r="O241">
        <f>step3_validation[[#This Row],[AI_FAC2]]</f>
        <v>7</v>
      </c>
      <c r="P241">
        <f t="shared" si="92"/>
        <v>0.66666666666666663</v>
      </c>
      <c r="Q241">
        <f>survey_responses[[#This Row],[So với trước đây, tôi thấy cách tính thuế và các bậc thuế trong phương án mới đơn giản, dễ hiểu và dễ thực hiện hơn. - HUMAN-FAC2]]</f>
        <v>8</v>
      </c>
      <c r="R241">
        <f t="shared" si="93"/>
        <v>0.77777777777777779</v>
      </c>
      <c r="S241" s="32">
        <f t="shared" si="94"/>
        <v>0.72222222222222221</v>
      </c>
      <c r="T241" s="32">
        <f t="shared" si="95"/>
        <v>0.77777777777777779</v>
      </c>
      <c r="U241">
        <f>step3_validation[[#This Row],[AI_TRU1]]</f>
        <v>8</v>
      </c>
      <c r="V241">
        <f t="shared" si="96"/>
        <v>0.77777777777777779</v>
      </c>
      <c r="W241">
        <f>survey_responses[[#This Row],[Tôi tin rằng Nhà nước, cơ quan thuế sẽ thực thi chính sách mới một cách khách quan, công tâm và đối xử bình đẳng với mọi người nộp thuế.  - HUMAN-TRU1]]</f>
        <v>8</v>
      </c>
      <c r="X241">
        <f t="shared" si="97"/>
        <v>0.77777777777777779</v>
      </c>
      <c r="Y241">
        <f>step3_validation[[#This Row],[AI_TRU2]]</f>
        <v>9</v>
      </c>
      <c r="Z241">
        <f t="shared" si="98"/>
        <v>0.88888888888888884</v>
      </c>
      <c r="AA241">
        <f>survey_responses[[#This Row],[Tôi thấy mức thuế tôi phải đóng theo phương án mới là công bằng (người thu nhập như tôi đóng mức này là hợp lý). - HUMAN-TRU2]]</f>
        <v>8</v>
      </c>
      <c r="AB241">
        <f t="shared" si="99"/>
        <v>0.77777777777777779</v>
      </c>
      <c r="AC241">
        <f>step3_validation[[#This Row],[AI_TRU3]]</f>
        <v>8</v>
      </c>
      <c r="AD241">
        <f t="shared" si="100"/>
        <v>0.77777777777777779</v>
      </c>
      <c r="AE241">
        <f>survey_responses[[#This Row],[Tôi tin tưởng số tiền thuế tôi đóng sẽ được Nhà nước sử dụng hiệu quả để cải thiện dịch vụ công (y tế, đường xá...). - HUMAN-TRU3]]</f>
        <v>8</v>
      </c>
      <c r="AF241">
        <f t="shared" si="101"/>
        <v>0.77777777777777779</v>
      </c>
      <c r="AG241">
        <f>step3_validation[[#This Row],[AI_TRU4]]</f>
        <v>6</v>
      </c>
      <c r="AH241">
        <f t="shared" si="102"/>
        <v>0.55555555555555558</v>
      </c>
      <c r="AI241">
        <f>survey_responses[[#This Row],[Tôi thấy Nhà nước đã giải thích rõ ràng, minh bạch về lý do và mục tiêu của việc sửa đổi thuế lần này. - HUMAN-TRU4]]</f>
        <v>8</v>
      </c>
      <c r="AJ241">
        <f t="shared" si="103"/>
        <v>0.77777777777777779</v>
      </c>
      <c r="AK241" s="32">
        <f t="shared" si="104"/>
        <v>0.75</v>
      </c>
      <c r="AL241" s="32">
        <f t="shared" si="105"/>
        <v>0.77777777777777779</v>
      </c>
      <c r="AM241" s="7">
        <f t="shared" si="106"/>
        <v>0.76851851851851849</v>
      </c>
      <c r="AN241" s="7">
        <f t="shared" si="107"/>
        <v>0.77777777777777779</v>
      </c>
      <c r="AO241">
        <f>step3_validation[[#This Row],[AI_OUT1]]</f>
        <v>8</v>
      </c>
      <c r="AP241">
        <f t="shared" si="108"/>
        <v>0.77777777777777779</v>
      </c>
      <c r="AQ241">
        <f>survey_responses[[#This Row],[Sau khi xem xét các quyền lợi và nghĩa vụ, bạn có ủng hộ và tuân thủ chính sách mới hiện nay? - HUMAN-OUT1]]</f>
        <v>8</v>
      </c>
      <c r="AR241">
        <f t="shared" si="109"/>
        <v>0.77777777777777779</v>
      </c>
      <c r="AS241" s="32">
        <f t="shared" si="110"/>
        <v>0</v>
      </c>
      <c r="AT241">
        <f t="shared" si="111"/>
        <v>1</v>
      </c>
    </row>
    <row r="242" spans="1:46" x14ac:dyDescent="0.45">
      <c r="A242">
        <f>step3_validation[[#This Row],[AI_ENF1]]</f>
        <v>7</v>
      </c>
      <c r="B242">
        <f t="shared" si="84"/>
        <v>0.66666666666666663</v>
      </c>
      <c r="C242">
        <f>survey_responses[[#This Row],[Tôi tin rằng với các quy định quản lý thuế hiện nay, hành vi gian lận hoặc trốn thuế sẽ dễ dàng bị phát hiện và xử lý nghiêm. - HUMAN-ENF1]]</f>
        <v>7</v>
      </c>
      <c r="D242">
        <f t="shared" si="85"/>
        <v>0.66666666666666663</v>
      </c>
      <c r="E242">
        <f>step3_validation[[#This Row],[AI_ENF2]]</f>
        <v>8</v>
      </c>
      <c r="F242">
        <f t="shared" si="86"/>
        <v>0.77777777777777779</v>
      </c>
      <c r="G242">
        <f>survey_responses[[#This Row],[Tôi tin rằng Nhà nước, cơ quan thuế có đủ khả năng và công nghệ để phát hiện, xử lý nghiêm các hành vi trốn thuế. - HUMAN-ENF2]]</f>
        <v>6</v>
      </c>
      <c r="H242">
        <f t="shared" si="87"/>
        <v>0.55555555555555558</v>
      </c>
      <c r="I242" s="32">
        <f t="shared" si="88"/>
        <v>0.72222222222222221</v>
      </c>
      <c r="J242" s="32">
        <f t="shared" si="89"/>
        <v>0.61111111111111116</v>
      </c>
      <c r="K242">
        <f>step3_validation[[#This Row],[AI_FAC1]]</f>
        <v>9</v>
      </c>
      <c r="L242">
        <f t="shared" si="90"/>
        <v>0.88888888888888884</v>
      </c>
      <c r="M242">
        <f>survey_responses[[#This Row],[Các thủ tục khai báo thuế VÀ/HOẶC quy trình làm việc với cơ quan thuế đơn giản, tiện lợi, nhanh chóng hơn so với trước đây. - HUMAN-FAC1]]</f>
        <v>7</v>
      </c>
      <c r="N242">
        <f t="shared" si="91"/>
        <v>0.66666666666666663</v>
      </c>
      <c r="O242">
        <f>step3_validation[[#This Row],[AI_FAC2]]</f>
        <v>7</v>
      </c>
      <c r="P242">
        <f t="shared" si="92"/>
        <v>0.66666666666666663</v>
      </c>
      <c r="Q242">
        <f>survey_responses[[#This Row],[So với trước đây, tôi thấy cách tính thuế và các bậc thuế trong phương án mới đơn giản, dễ hiểu và dễ thực hiện hơn. - HUMAN-FAC2]]</f>
        <v>7</v>
      </c>
      <c r="R242">
        <f t="shared" si="93"/>
        <v>0.66666666666666663</v>
      </c>
      <c r="S242" s="32">
        <f t="shared" si="94"/>
        <v>0.77777777777777768</v>
      </c>
      <c r="T242" s="32">
        <f t="shared" si="95"/>
        <v>0.66666666666666663</v>
      </c>
      <c r="U242">
        <f>step3_validation[[#This Row],[AI_TRU1]]</f>
        <v>8</v>
      </c>
      <c r="V242">
        <f t="shared" si="96"/>
        <v>0.77777777777777779</v>
      </c>
      <c r="W242">
        <f>survey_responses[[#This Row],[Tôi tin rằng Nhà nước, cơ quan thuế sẽ thực thi chính sách mới một cách khách quan, công tâm và đối xử bình đẳng với mọi người nộp thuế.  - HUMAN-TRU1]]</f>
        <v>8</v>
      </c>
      <c r="X242">
        <f t="shared" si="97"/>
        <v>0.77777777777777779</v>
      </c>
      <c r="Y242">
        <f>step3_validation[[#This Row],[AI_TRU2]]</f>
        <v>7</v>
      </c>
      <c r="Z242">
        <f t="shared" si="98"/>
        <v>0.66666666666666663</v>
      </c>
      <c r="AA242">
        <f>survey_responses[[#This Row],[Tôi thấy mức thuế tôi phải đóng theo phương án mới là công bằng (người thu nhập như tôi đóng mức này là hợp lý). - HUMAN-TRU2]]</f>
        <v>8</v>
      </c>
      <c r="AB242">
        <f t="shared" si="99"/>
        <v>0.77777777777777779</v>
      </c>
      <c r="AC242">
        <f>step3_validation[[#This Row],[AI_TRU3]]</f>
        <v>8</v>
      </c>
      <c r="AD242">
        <f t="shared" si="100"/>
        <v>0.77777777777777779</v>
      </c>
      <c r="AE242">
        <f>survey_responses[[#This Row],[Tôi tin tưởng số tiền thuế tôi đóng sẽ được Nhà nước sử dụng hiệu quả để cải thiện dịch vụ công (y tế, đường xá...). - HUMAN-TRU3]]</f>
        <v>8</v>
      </c>
      <c r="AF242">
        <f t="shared" si="101"/>
        <v>0.77777777777777779</v>
      </c>
      <c r="AG242">
        <f>step3_validation[[#This Row],[AI_TRU4]]</f>
        <v>7</v>
      </c>
      <c r="AH242">
        <f t="shared" si="102"/>
        <v>0.66666666666666663</v>
      </c>
      <c r="AI242">
        <f>survey_responses[[#This Row],[Tôi thấy Nhà nước đã giải thích rõ ràng, minh bạch về lý do và mục tiêu của việc sửa đổi thuế lần này. - HUMAN-TRU4]]</f>
        <v>8</v>
      </c>
      <c r="AJ242">
        <f t="shared" si="103"/>
        <v>0.77777777777777779</v>
      </c>
      <c r="AK242" s="32">
        <f t="shared" si="104"/>
        <v>0.72222222222222221</v>
      </c>
      <c r="AL242" s="32">
        <f t="shared" si="105"/>
        <v>0.77777777777777779</v>
      </c>
      <c r="AM242" s="7">
        <f t="shared" si="106"/>
        <v>0.74074074074074081</v>
      </c>
      <c r="AN242" s="7">
        <f t="shared" si="107"/>
        <v>0.68518518518518512</v>
      </c>
      <c r="AO242">
        <f>step3_validation[[#This Row],[AI_OUT1]]</f>
        <v>8</v>
      </c>
      <c r="AP242">
        <f t="shared" si="108"/>
        <v>0.77777777777777779</v>
      </c>
      <c r="AQ242">
        <f>survey_responses[[#This Row],[Sau khi xem xét các quyền lợi và nghĩa vụ, bạn có ủng hộ và tuân thủ chính sách mới hiện nay? - HUMAN-OUT1]]</f>
        <v>8</v>
      </c>
      <c r="AR242">
        <f t="shared" si="109"/>
        <v>0.77777777777777779</v>
      </c>
      <c r="AS242" s="32">
        <f t="shared" si="110"/>
        <v>0</v>
      </c>
      <c r="AT242">
        <f t="shared" si="111"/>
        <v>1</v>
      </c>
    </row>
    <row r="243" spans="1:46" x14ac:dyDescent="0.45">
      <c r="A243">
        <f>step3_validation[[#This Row],[AI_ENF1]]</f>
        <v>6</v>
      </c>
      <c r="B243">
        <f t="shared" si="84"/>
        <v>0.55555555555555558</v>
      </c>
      <c r="C243">
        <f>survey_responses[[#This Row],[Tôi tin rằng với các quy định quản lý thuế hiện nay, hành vi gian lận hoặc trốn thuế sẽ dễ dàng bị phát hiện và xử lý nghiêm. - HUMAN-ENF1]]</f>
        <v>6</v>
      </c>
      <c r="D243">
        <f t="shared" si="85"/>
        <v>0.55555555555555558</v>
      </c>
      <c r="E243">
        <f>step3_validation[[#This Row],[AI_ENF2]]</f>
        <v>7</v>
      </c>
      <c r="F243">
        <f t="shared" si="86"/>
        <v>0.66666666666666663</v>
      </c>
      <c r="G243">
        <f>survey_responses[[#This Row],[Tôi tin rằng Nhà nước, cơ quan thuế có đủ khả năng và công nghệ để phát hiện, xử lý nghiêm các hành vi trốn thuế. - HUMAN-ENF2]]</f>
        <v>5</v>
      </c>
      <c r="H243">
        <f t="shared" si="87"/>
        <v>0.44444444444444442</v>
      </c>
      <c r="I243" s="32">
        <f t="shared" si="88"/>
        <v>0.61111111111111116</v>
      </c>
      <c r="J243" s="32">
        <f t="shared" si="89"/>
        <v>0.5</v>
      </c>
      <c r="K243">
        <f>step3_validation[[#This Row],[AI_FAC1]]</f>
        <v>8</v>
      </c>
      <c r="L243">
        <f t="shared" si="90"/>
        <v>0.77777777777777779</v>
      </c>
      <c r="M243">
        <f>survey_responses[[#This Row],[Các thủ tục khai báo thuế VÀ/HOẶC quy trình làm việc với cơ quan thuế đơn giản, tiện lợi, nhanh chóng hơn so với trước đây. - HUMAN-FAC1]]</f>
        <v>5</v>
      </c>
      <c r="N243">
        <f t="shared" si="91"/>
        <v>0.44444444444444442</v>
      </c>
      <c r="O243">
        <f>step3_validation[[#This Row],[AI_FAC2]]</f>
        <v>9</v>
      </c>
      <c r="P243">
        <f t="shared" si="92"/>
        <v>0.88888888888888884</v>
      </c>
      <c r="Q243">
        <f>survey_responses[[#This Row],[So với trước đây, tôi thấy cách tính thuế và các bậc thuế trong phương án mới đơn giản, dễ hiểu và dễ thực hiện hơn. - HUMAN-FAC2]]</f>
        <v>7</v>
      </c>
      <c r="R243">
        <f t="shared" si="93"/>
        <v>0.66666666666666663</v>
      </c>
      <c r="S243" s="32">
        <f t="shared" si="94"/>
        <v>0.83333333333333326</v>
      </c>
      <c r="T243" s="32">
        <f t="shared" si="95"/>
        <v>0.55555555555555558</v>
      </c>
      <c r="U243">
        <f>step3_validation[[#This Row],[AI_TRU1]]</f>
        <v>7</v>
      </c>
      <c r="V243">
        <f t="shared" si="96"/>
        <v>0.66666666666666663</v>
      </c>
      <c r="W243">
        <f>survey_responses[[#This Row],[Tôi tin rằng Nhà nước, cơ quan thuế sẽ thực thi chính sách mới một cách khách quan, công tâm và đối xử bình đẳng với mọi người nộp thuế.  - HUMAN-TRU1]]</f>
        <v>7</v>
      </c>
      <c r="X243">
        <f t="shared" si="97"/>
        <v>0.66666666666666663</v>
      </c>
      <c r="Y243">
        <f>step3_validation[[#This Row],[AI_TRU2]]</f>
        <v>8</v>
      </c>
      <c r="Z243">
        <f t="shared" si="98"/>
        <v>0.77777777777777779</v>
      </c>
      <c r="AA243">
        <f>survey_responses[[#This Row],[Tôi thấy mức thuế tôi phải đóng theo phương án mới là công bằng (người thu nhập như tôi đóng mức này là hợp lý). - HUMAN-TRU2]]</f>
        <v>7</v>
      </c>
      <c r="AB243">
        <f t="shared" si="99"/>
        <v>0.66666666666666663</v>
      </c>
      <c r="AC243">
        <f>step3_validation[[#This Row],[AI_TRU3]]</f>
        <v>6</v>
      </c>
      <c r="AD243">
        <f t="shared" si="100"/>
        <v>0.55555555555555558</v>
      </c>
      <c r="AE243">
        <f>survey_responses[[#This Row],[Tôi tin tưởng số tiền thuế tôi đóng sẽ được Nhà nước sử dụng hiệu quả để cải thiện dịch vụ công (y tế, đường xá...). - HUMAN-TRU3]]</f>
        <v>7</v>
      </c>
      <c r="AF243">
        <f t="shared" si="101"/>
        <v>0.66666666666666663</v>
      </c>
      <c r="AG243">
        <f>step3_validation[[#This Row],[AI_TRU4]]</f>
        <v>8</v>
      </c>
      <c r="AH243">
        <f t="shared" si="102"/>
        <v>0.77777777777777779</v>
      </c>
      <c r="AI243">
        <f>survey_responses[[#This Row],[Tôi thấy Nhà nước đã giải thích rõ ràng, minh bạch về lý do và mục tiêu của việc sửa đổi thuế lần này. - HUMAN-TRU4]]</f>
        <v>8</v>
      </c>
      <c r="AJ243">
        <f t="shared" si="103"/>
        <v>0.77777777777777779</v>
      </c>
      <c r="AK243" s="32">
        <f t="shared" si="104"/>
        <v>0.69444444444444442</v>
      </c>
      <c r="AL243" s="32">
        <f t="shared" si="105"/>
        <v>0.69444444444444442</v>
      </c>
      <c r="AM243" s="7">
        <f t="shared" si="106"/>
        <v>0.71296296296296291</v>
      </c>
      <c r="AN243" s="7">
        <f t="shared" si="107"/>
        <v>0.58333333333333337</v>
      </c>
      <c r="AO243">
        <f>step3_validation[[#This Row],[AI_OUT1]]</f>
        <v>9</v>
      </c>
      <c r="AP243">
        <f t="shared" si="108"/>
        <v>0.88888888888888884</v>
      </c>
      <c r="AQ243">
        <f>survey_responses[[#This Row],[Sau khi xem xét các quyền lợi và nghĩa vụ, bạn có ủng hộ và tuân thủ chính sách mới hiện nay? - HUMAN-OUT1]]</f>
        <v>8</v>
      </c>
      <c r="AR243">
        <f t="shared" si="109"/>
        <v>0.77777777777777779</v>
      </c>
      <c r="AS243" s="32">
        <f t="shared" si="110"/>
        <v>1</v>
      </c>
      <c r="AT243">
        <f t="shared" si="111"/>
        <v>1</v>
      </c>
    </row>
    <row r="244" spans="1:46" x14ac:dyDescent="0.45">
      <c r="A244">
        <f>step3_validation[[#This Row],[AI_ENF1]]</f>
        <v>7</v>
      </c>
      <c r="B244">
        <f t="shared" si="84"/>
        <v>0.66666666666666663</v>
      </c>
      <c r="C244">
        <f>survey_responses[[#This Row],[Tôi tin rằng với các quy định quản lý thuế hiện nay, hành vi gian lận hoặc trốn thuế sẽ dễ dàng bị phát hiện và xử lý nghiêm. - HUMAN-ENF1]]</f>
        <v>6</v>
      </c>
      <c r="D244">
        <f t="shared" si="85"/>
        <v>0.55555555555555558</v>
      </c>
      <c r="E244">
        <f>step3_validation[[#This Row],[AI_ENF2]]</f>
        <v>8</v>
      </c>
      <c r="F244">
        <f t="shared" si="86"/>
        <v>0.77777777777777779</v>
      </c>
      <c r="G244">
        <f>survey_responses[[#This Row],[Tôi tin rằng Nhà nước, cơ quan thuế có đủ khả năng và công nghệ để phát hiện, xử lý nghiêm các hành vi trốn thuế. - HUMAN-ENF2]]</f>
        <v>6</v>
      </c>
      <c r="H244">
        <f t="shared" si="87"/>
        <v>0.55555555555555558</v>
      </c>
      <c r="I244" s="32">
        <f t="shared" si="88"/>
        <v>0.72222222222222221</v>
      </c>
      <c r="J244" s="32">
        <f t="shared" si="89"/>
        <v>0.55555555555555558</v>
      </c>
      <c r="K244">
        <f>step3_validation[[#This Row],[AI_FAC1]]</f>
        <v>6</v>
      </c>
      <c r="L244">
        <f t="shared" si="90"/>
        <v>0.55555555555555558</v>
      </c>
      <c r="M244">
        <f>survey_responses[[#This Row],[Các thủ tục khai báo thuế VÀ/HOẶC quy trình làm việc với cơ quan thuế đơn giản, tiện lợi, nhanh chóng hơn so với trước đây. - HUMAN-FAC1]]</f>
        <v>6</v>
      </c>
      <c r="N244">
        <f t="shared" si="91"/>
        <v>0.55555555555555558</v>
      </c>
      <c r="O244">
        <f>step3_validation[[#This Row],[AI_FAC2]]</f>
        <v>8</v>
      </c>
      <c r="P244">
        <f t="shared" si="92"/>
        <v>0.77777777777777779</v>
      </c>
      <c r="Q244">
        <f>survey_responses[[#This Row],[So với trước đây, tôi thấy cách tính thuế và các bậc thuế trong phương án mới đơn giản, dễ hiểu và dễ thực hiện hơn. - HUMAN-FAC2]]</f>
        <v>6</v>
      </c>
      <c r="R244">
        <f t="shared" si="93"/>
        <v>0.55555555555555558</v>
      </c>
      <c r="S244" s="32">
        <f t="shared" si="94"/>
        <v>0.66666666666666674</v>
      </c>
      <c r="T244" s="32">
        <f t="shared" si="95"/>
        <v>0.55555555555555558</v>
      </c>
      <c r="U244">
        <f>step3_validation[[#This Row],[AI_TRU1]]</f>
        <v>9</v>
      </c>
      <c r="V244">
        <f t="shared" si="96"/>
        <v>0.88888888888888884</v>
      </c>
      <c r="W244">
        <f>survey_responses[[#This Row],[Tôi tin rằng Nhà nước, cơ quan thuế sẽ thực thi chính sách mới một cách khách quan, công tâm và đối xử bình đẳng với mọi người nộp thuế.  - HUMAN-TRU1]]</f>
        <v>6</v>
      </c>
      <c r="X244">
        <f t="shared" si="97"/>
        <v>0.55555555555555558</v>
      </c>
      <c r="Y244">
        <f>step3_validation[[#This Row],[AI_TRU2]]</f>
        <v>7</v>
      </c>
      <c r="Z244">
        <f t="shared" si="98"/>
        <v>0.66666666666666663</v>
      </c>
      <c r="AA244">
        <f>survey_responses[[#This Row],[Tôi thấy mức thuế tôi phải đóng theo phương án mới là công bằng (người thu nhập như tôi đóng mức này là hợp lý). - HUMAN-TRU2]]</f>
        <v>6</v>
      </c>
      <c r="AB244">
        <f t="shared" si="99"/>
        <v>0.55555555555555558</v>
      </c>
      <c r="AC244">
        <f>step3_validation[[#This Row],[AI_TRU3]]</f>
        <v>8</v>
      </c>
      <c r="AD244">
        <f t="shared" si="100"/>
        <v>0.77777777777777779</v>
      </c>
      <c r="AE244">
        <f>survey_responses[[#This Row],[Tôi tin tưởng số tiền thuế tôi đóng sẽ được Nhà nước sử dụng hiệu quả để cải thiện dịch vụ công (y tế, đường xá...). - HUMAN-TRU3]]</f>
        <v>6</v>
      </c>
      <c r="AF244">
        <f t="shared" si="101"/>
        <v>0.55555555555555558</v>
      </c>
      <c r="AG244">
        <f>step3_validation[[#This Row],[AI_TRU4]]</f>
        <v>5</v>
      </c>
      <c r="AH244">
        <f t="shared" si="102"/>
        <v>0.44444444444444442</v>
      </c>
      <c r="AI244">
        <f>survey_responses[[#This Row],[Tôi thấy Nhà nước đã giải thích rõ ràng, minh bạch về lý do và mục tiêu của việc sửa đổi thuế lần này. - HUMAN-TRU4]]</f>
        <v>6</v>
      </c>
      <c r="AJ244">
        <f t="shared" si="103"/>
        <v>0.55555555555555558</v>
      </c>
      <c r="AK244" s="32">
        <f t="shared" si="104"/>
        <v>0.69444444444444442</v>
      </c>
      <c r="AL244" s="32">
        <f t="shared" si="105"/>
        <v>0.55555555555555558</v>
      </c>
      <c r="AM244" s="7">
        <f t="shared" si="106"/>
        <v>0.69444444444444431</v>
      </c>
      <c r="AN244" s="7">
        <f t="shared" si="107"/>
        <v>0.55555555555555558</v>
      </c>
      <c r="AO244">
        <f>step3_validation[[#This Row],[AI_OUT1]]</f>
        <v>6</v>
      </c>
      <c r="AP244">
        <f t="shared" si="108"/>
        <v>0.55555555555555558</v>
      </c>
      <c r="AQ244">
        <f>survey_responses[[#This Row],[Sau khi xem xét các quyền lợi và nghĩa vụ, bạn có ủng hộ và tuân thủ chính sách mới hiện nay? - HUMAN-OUT1]]</f>
        <v>6</v>
      </c>
      <c r="AR244">
        <f t="shared" si="109"/>
        <v>0.55555555555555558</v>
      </c>
      <c r="AS244" s="32">
        <f t="shared" si="110"/>
        <v>0</v>
      </c>
      <c r="AT244">
        <f t="shared" si="111"/>
        <v>1</v>
      </c>
    </row>
    <row r="245" spans="1:46" x14ac:dyDescent="0.45">
      <c r="A245">
        <f>step3_validation[[#This Row],[AI_ENF1]]</f>
        <v>8</v>
      </c>
      <c r="B245">
        <f t="shared" si="84"/>
        <v>0.77777777777777779</v>
      </c>
      <c r="C245">
        <f>survey_responses[[#This Row],[Tôi tin rằng với các quy định quản lý thuế hiện nay, hành vi gian lận hoặc trốn thuế sẽ dễ dàng bị phát hiện và xử lý nghiêm. - HUMAN-ENF1]]</f>
        <v>7</v>
      </c>
      <c r="D245">
        <f t="shared" si="85"/>
        <v>0.66666666666666663</v>
      </c>
      <c r="E245">
        <f>step3_validation[[#This Row],[AI_ENF2]]</f>
        <v>8</v>
      </c>
      <c r="F245">
        <f t="shared" si="86"/>
        <v>0.77777777777777779</v>
      </c>
      <c r="G245">
        <f>survey_responses[[#This Row],[Tôi tin rằng Nhà nước, cơ quan thuế có đủ khả năng và công nghệ để phát hiện, xử lý nghiêm các hành vi trốn thuế. - HUMAN-ENF2]]</f>
        <v>6</v>
      </c>
      <c r="H245">
        <f t="shared" si="87"/>
        <v>0.55555555555555558</v>
      </c>
      <c r="I245" s="32">
        <f t="shared" si="88"/>
        <v>0.77777777777777779</v>
      </c>
      <c r="J245" s="32">
        <f t="shared" si="89"/>
        <v>0.61111111111111116</v>
      </c>
      <c r="K245">
        <f>step3_validation[[#This Row],[AI_FAC1]]</f>
        <v>7</v>
      </c>
      <c r="L245">
        <f t="shared" si="90"/>
        <v>0.66666666666666663</v>
      </c>
      <c r="M245">
        <f>survey_responses[[#This Row],[Các thủ tục khai báo thuế VÀ/HOẶC quy trình làm việc với cơ quan thuế đơn giản, tiện lợi, nhanh chóng hơn so với trước đây. - HUMAN-FAC1]]</f>
        <v>6</v>
      </c>
      <c r="N245">
        <f t="shared" si="91"/>
        <v>0.55555555555555558</v>
      </c>
      <c r="O245">
        <f>step3_validation[[#This Row],[AI_FAC2]]</f>
        <v>9</v>
      </c>
      <c r="P245">
        <f t="shared" si="92"/>
        <v>0.88888888888888884</v>
      </c>
      <c r="Q245">
        <f>survey_responses[[#This Row],[So với trước đây, tôi thấy cách tính thuế và các bậc thuế trong phương án mới đơn giản, dễ hiểu và dễ thực hiện hơn. - HUMAN-FAC2]]</f>
        <v>8</v>
      </c>
      <c r="R245">
        <f t="shared" si="93"/>
        <v>0.77777777777777779</v>
      </c>
      <c r="S245" s="32">
        <f t="shared" si="94"/>
        <v>0.77777777777777768</v>
      </c>
      <c r="T245" s="32">
        <f t="shared" si="95"/>
        <v>0.66666666666666674</v>
      </c>
      <c r="U245">
        <f>step3_validation[[#This Row],[AI_TRU1]]</f>
        <v>8</v>
      </c>
      <c r="V245">
        <f t="shared" si="96"/>
        <v>0.77777777777777779</v>
      </c>
      <c r="W245">
        <f>survey_responses[[#This Row],[Tôi tin rằng Nhà nước, cơ quan thuế sẽ thực thi chính sách mới một cách khách quan, công tâm và đối xử bình đẳng với mọi người nộp thuế.  - HUMAN-TRU1]]</f>
        <v>6</v>
      </c>
      <c r="X245">
        <f t="shared" si="97"/>
        <v>0.55555555555555558</v>
      </c>
      <c r="Y245">
        <f>step3_validation[[#This Row],[AI_TRU2]]</f>
        <v>9</v>
      </c>
      <c r="Z245">
        <f t="shared" si="98"/>
        <v>0.88888888888888884</v>
      </c>
      <c r="AA245">
        <f>survey_responses[[#This Row],[Tôi thấy mức thuế tôi phải đóng theo phương án mới là công bằng (người thu nhập như tôi đóng mức này là hợp lý). - HUMAN-TRU2]]</f>
        <v>6</v>
      </c>
      <c r="AB245">
        <f t="shared" si="99"/>
        <v>0.55555555555555558</v>
      </c>
      <c r="AC245">
        <f>step3_validation[[#This Row],[AI_TRU3]]</f>
        <v>7</v>
      </c>
      <c r="AD245">
        <f t="shared" si="100"/>
        <v>0.66666666666666663</v>
      </c>
      <c r="AE245">
        <f>survey_responses[[#This Row],[Tôi tin tưởng số tiền thuế tôi đóng sẽ được Nhà nước sử dụng hiệu quả để cải thiện dịch vụ công (y tế, đường xá...). - HUMAN-TRU3]]</f>
        <v>6</v>
      </c>
      <c r="AF245">
        <f t="shared" si="101"/>
        <v>0.55555555555555558</v>
      </c>
      <c r="AG245">
        <f>step3_validation[[#This Row],[AI_TRU4]]</f>
        <v>6</v>
      </c>
      <c r="AH245">
        <f t="shared" si="102"/>
        <v>0.55555555555555558</v>
      </c>
      <c r="AI245">
        <f>survey_responses[[#This Row],[Tôi thấy Nhà nước đã giải thích rõ ràng, minh bạch về lý do và mục tiêu của việc sửa đổi thuế lần này. - HUMAN-TRU4]]</f>
        <v>6</v>
      </c>
      <c r="AJ245">
        <f t="shared" si="103"/>
        <v>0.55555555555555558</v>
      </c>
      <c r="AK245" s="32">
        <f t="shared" si="104"/>
        <v>0.7222222222222221</v>
      </c>
      <c r="AL245" s="32">
        <f t="shared" si="105"/>
        <v>0.55555555555555558</v>
      </c>
      <c r="AM245" s="7">
        <f t="shared" si="106"/>
        <v>0.75925925925925919</v>
      </c>
      <c r="AN245" s="7">
        <f t="shared" si="107"/>
        <v>0.61111111111111116</v>
      </c>
      <c r="AO245">
        <f>step3_validation[[#This Row],[AI_OUT1]]</f>
        <v>7</v>
      </c>
      <c r="AP245">
        <f t="shared" si="108"/>
        <v>0.66666666666666663</v>
      </c>
      <c r="AQ245">
        <f>survey_responses[[#This Row],[Sau khi xem xét các quyền lợi và nghĩa vụ, bạn có ủng hộ và tuân thủ chính sách mới hiện nay? - HUMAN-OUT1]]</f>
        <v>6</v>
      </c>
      <c r="AR245">
        <f t="shared" si="109"/>
        <v>0.55555555555555558</v>
      </c>
      <c r="AS245" s="32">
        <f t="shared" si="110"/>
        <v>1</v>
      </c>
      <c r="AT245">
        <f t="shared" si="111"/>
        <v>1</v>
      </c>
    </row>
    <row r="246" spans="1:46" x14ac:dyDescent="0.45">
      <c r="A246">
        <f>step3_validation[[#This Row],[AI_ENF1]]</f>
        <v>6</v>
      </c>
      <c r="B246">
        <f t="shared" si="84"/>
        <v>0.55555555555555558</v>
      </c>
      <c r="C246">
        <f>survey_responses[[#This Row],[Tôi tin rằng với các quy định quản lý thuế hiện nay, hành vi gian lận hoặc trốn thuế sẽ dễ dàng bị phát hiện và xử lý nghiêm. - HUMAN-ENF1]]</f>
        <v>4</v>
      </c>
      <c r="D246">
        <f t="shared" si="85"/>
        <v>0.33333333333333331</v>
      </c>
      <c r="E246">
        <f>step3_validation[[#This Row],[AI_ENF2]]</f>
        <v>7</v>
      </c>
      <c r="F246">
        <f t="shared" si="86"/>
        <v>0.66666666666666663</v>
      </c>
      <c r="G246">
        <f>survey_responses[[#This Row],[Tôi tin rằng Nhà nước, cơ quan thuế có đủ khả năng và công nghệ để phát hiện, xử lý nghiêm các hành vi trốn thuế. - HUMAN-ENF2]]</f>
        <v>4</v>
      </c>
      <c r="H246">
        <f t="shared" si="87"/>
        <v>0.33333333333333331</v>
      </c>
      <c r="I246" s="32">
        <f t="shared" si="88"/>
        <v>0.61111111111111116</v>
      </c>
      <c r="J246" s="32">
        <f t="shared" si="89"/>
        <v>0.33333333333333331</v>
      </c>
      <c r="K246">
        <f>step3_validation[[#This Row],[AI_FAC1]]</f>
        <v>8</v>
      </c>
      <c r="L246">
        <f t="shared" si="90"/>
        <v>0.77777777777777779</v>
      </c>
      <c r="M246">
        <f>survey_responses[[#This Row],[Các thủ tục khai báo thuế VÀ/HOẶC quy trình làm việc với cơ quan thuế đơn giản, tiện lợi, nhanh chóng hơn so với trước đây. - HUMAN-FAC1]]</f>
        <v>1</v>
      </c>
      <c r="N246">
        <f t="shared" si="91"/>
        <v>0</v>
      </c>
      <c r="O246">
        <f>step3_validation[[#This Row],[AI_FAC2]]</f>
        <v>9</v>
      </c>
      <c r="P246">
        <f t="shared" si="92"/>
        <v>0.88888888888888884</v>
      </c>
      <c r="Q246">
        <f>survey_responses[[#This Row],[So với trước đây, tôi thấy cách tính thuế và các bậc thuế trong phương án mới đơn giản, dễ hiểu và dễ thực hiện hơn. - HUMAN-FAC2]]</f>
        <v>4</v>
      </c>
      <c r="R246">
        <f t="shared" si="93"/>
        <v>0.33333333333333331</v>
      </c>
      <c r="S246" s="32">
        <f t="shared" si="94"/>
        <v>0.83333333333333326</v>
      </c>
      <c r="T246" s="32">
        <f t="shared" si="95"/>
        <v>0.16666666666666666</v>
      </c>
      <c r="U246">
        <f>step3_validation[[#This Row],[AI_TRU1]]</f>
        <v>8</v>
      </c>
      <c r="V246">
        <f t="shared" si="96"/>
        <v>0.77777777777777779</v>
      </c>
      <c r="W246">
        <f>survey_responses[[#This Row],[Tôi tin rằng Nhà nước, cơ quan thuế sẽ thực thi chính sách mới một cách khách quan, công tâm và đối xử bình đẳng với mọi người nộp thuế.  - HUMAN-TRU1]]</f>
        <v>4</v>
      </c>
      <c r="X246">
        <f t="shared" si="97"/>
        <v>0.33333333333333331</v>
      </c>
      <c r="Y246">
        <f>step3_validation[[#This Row],[AI_TRU2]]</f>
        <v>7</v>
      </c>
      <c r="Z246">
        <f t="shared" si="98"/>
        <v>0.66666666666666663</v>
      </c>
      <c r="AA246">
        <f>survey_responses[[#This Row],[Tôi thấy mức thuế tôi phải đóng theo phương án mới là công bằng (người thu nhập như tôi đóng mức này là hợp lý). - HUMAN-TRU2]]</f>
        <v>4</v>
      </c>
      <c r="AB246">
        <f t="shared" si="99"/>
        <v>0.33333333333333331</v>
      </c>
      <c r="AC246">
        <f>step3_validation[[#This Row],[AI_TRU3]]</f>
        <v>8</v>
      </c>
      <c r="AD246">
        <f t="shared" si="100"/>
        <v>0.77777777777777779</v>
      </c>
      <c r="AE246">
        <f>survey_responses[[#This Row],[Tôi tin tưởng số tiền thuế tôi đóng sẽ được Nhà nước sử dụng hiệu quả để cải thiện dịch vụ công (y tế, đường xá...). - HUMAN-TRU3]]</f>
        <v>5</v>
      </c>
      <c r="AF246">
        <f t="shared" si="101"/>
        <v>0.44444444444444442</v>
      </c>
      <c r="AG246">
        <f>step3_validation[[#This Row],[AI_TRU4]]</f>
        <v>6</v>
      </c>
      <c r="AH246">
        <f t="shared" si="102"/>
        <v>0.55555555555555558</v>
      </c>
      <c r="AI246">
        <f>survey_responses[[#This Row],[Tôi thấy Nhà nước đã giải thích rõ ràng, minh bạch về lý do và mục tiêu của việc sửa đổi thuế lần này. - HUMAN-TRU4]]</f>
        <v>5</v>
      </c>
      <c r="AJ246">
        <f t="shared" si="103"/>
        <v>0.44444444444444442</v>
      </c>
      <c r="AK246" s="32">
        <f t="shared" si="104"/>
        <v>0.69444444444444442</v>
      </c>
      <c r="AL246" s="32">
        <f t="shared" si="105"/>
        <v>0.3888888888888889</v>
      </c>
      <c r="AM246" s="7">
        <f t="shared" si="106"/>
        <v>0.71296296296296291</v>
      </c>
      <c r="AN246" s="7">
        <f t="shared" si="107"/>
        <v>0.29629629629629628</v>
      </c>
      <c r="AO246">
        <f>step3_validation[[#This Row],[AI_OUT1]]</f>
        <v>8</v>
      </c>
      <c r="AP246">
        <f t="shared" si="108"/>
        <v>0.77777777777777779</v>
      </c>
      <c r="AQ246">
        <f>survey_responses[[#This Row],[Sau khi xem xét các quyền lợi và nghĩa vụ, bạn có ủng hộ và tuân thủ chính sách mới hiện nay? - HUMAN-OUT1]]</f>
        <v>5</v>
      </c>
      <c r="AR246">
        <f t="shared" si="109"/>
        <v>0.44444444444444442</v>
      </c>
      <c r="AS246" s="32">
        <f t="shared" si="110"/>
        <v>3</v>
      </c>
      <c r="AT246">
        <f t="shared" si="111"/>
        <v>0</v>
      </c>
    </row>
    <row r="247" spans="1:46" x14ac:dyDescent="0.45">
      <c r="A247">
        <f>step3_validation[[#This Row],[AI_ENF1]]</f>
        <v>6</v>
      </c>
      <c r="B247">
        <f t="shared" si="84"/>
        <v>0.55555555555555558</v>
      </c>
      <c r="C247">
        <f>survey_responses[[#This Row],[Tôi tin rằng với các quy định quản lý thuế hiện nay, hành vi gian lận hoặc trốn thuế sẽ dễ dàng bị phát hiện và xử lý nghiêm. - HUMAN-ENF1]]</f>
        <v>6</v>
      </c>
      <c r="D247">
        <f t="shared" si="85"/>
        <v>0.55555555555555558</v>
      </c>
      <c r="E247">
        <f>step3_validation[[#This Row],[AI_ENF2]]</f>
        <v>5</v>
      </c>
      <c r="F247">
        <f t="shared" si="86"/>
        <v>0.44444444444444442</v>
      </c>
      <c r="G247">
        <f>survey_responses[[#This Row],[Tôi tin rằng Nhà nước, cơ quan thuế có đủ khả năng và công nghệ để phát hiện, xử lý nghiêm các hành vi trốn thuế. - HUMAN-ENF2]]</f>
        <v>7</v>
      </c>
      <c r="H247">
        <f t="shared" si="87"/>
        <v>0.66666666666666663</v>
      </c>
      <c r="I247" s="32">
        <f t="shared" si="88"/>
        <v>0.5</v>
      </c>
      <c r="J247" s="32">
        <f t="shared" si="89"/>
        <v>0.61111111111111116</v>
      </c>
      <c r="K247">
        <f>step3_validation[[#This Row],[AI_FAC1]]</f>
        <v>8</v>
      </c>
      <c r="L247">
        <f t="shared" si="90"/>
        <v>0.77777777777777779</v>
      </c>
      <c r="M247">
        <f>survey_responses[[#This Row],[Các thủ tục khai báo thuế VÀ/HOẶC quy trình làm việc với cơ quan thuế đơn giản, tiện lợi, nhanh chóng hơn so với trước đây. - HUMAN-FAC1]]</f>
        <v>7</v>
      </c>
      <c r="N247">
        <f t="shared" si="91"/>
        <v>0.66666666666666663</v>
      </c>
      <c r="O247">
        <f>step3_validation[[#This Row],[AI_FAC2]]</f>
        <v>7</v>
      </c>
      <c r="P247">
        <f t="shared" si="92"/>
        <v>0.66666666666666663</v>
      </c>
      <c r="Q247">
        <f>survey_responses[[#This Row],[So với trước đây, tôi thấy cách tính thuế và các bậc thuế trong phương án mới đơn giản, dễ hiểu và dễ thực hiện hơn. - HUMAN-FAC2]]</f>
        <v>7</v>
      </c>
      <c r="R247">
        <f t="shared" si="93"/>
        <v>0.66666666666666663</v>
      </c>
      <c r="S247" s="32">
        <f t="shared" si="94"/>
        <v>0.72222222222222221</v>
      </c>
      <c r="T247" s="32">
        <f t="shared" si="95"/>
        <v>0.66666666666666663</v>
      </c>
      <c r="U247">
        <f>step3_validation[[#This Row],[AI_TRU1]]</f>
        <v>4</v>
      </c>
      <c r="V247">
        <f t="shared" si="96"/>
        <v>0.33333333333333331</v>
      </c>
      <c r="W247">
        <f>survey_responses[[#This Row],[Tôi tin rằng Nhà nước, cơ quan thuế sẽ thực thi chính sách mới một cách khách quan, công tâm và đối xử bình đẳng với mọi người nộp thuế.  - HUMAN-TRU1]]</f>
        <v>7</v>
      </c>
      <c r="X247">
        <f t="shared" si="97"/>
        <v>0.66666666666666663</v>
      </c>
      <c r="Y247">
        <f>step3_validation[[#This Row],[AI_TRU2]]</f>
        <v>6</v>
      </c>
      <c r="Z247">
        <f t="shared" si="98"/>
        <v>0.55555555555555558</v>
      </c>
      <c r="AA247">
        <f>survey_responses[[#This Row],[Tôi thấy mức thuế tôi phải đóng theo phương án mới là công bằng (người thu nhập như tôi đóng mức này là hợp lý). - HUMAN-TRU2]]</f>
        <v>7</v>
      </c>
      <c r="AB247">
        <f t="shared" si="99"/>
        <v>0.66666666666666663</v>
      </c>
      <c r="AC247">
        <f>step3_validation[[#This Row],[AI_TRU3]]</f>
        <v>5</v>
      </c>
      <c r="AD247">
        <f t="shared" si="100"/>
        <v>0.44444444444444442</v>
      </c>
      <c r="AE247">
        <f>survey_responses[[#This Row],[Tôi tin tưởng số tiền thuế tôi đóng sẽ được Nhà nước sử dụng hiệu quả để cải thiện dịch vụ công (y tế, đường xá...). - HUMAN-TRU3]]</f>
        <v>7</v>
      </c>
      <c r="AF247">
        <f t="shared" si="101"/>
        <v>0.66666666666666663</v>
      </c>
      <c r="AG247">
        <f>step3_validation[[#This Row],[AI_TRU4]]</f>
        <v>4</v>
      </c>
      <c r="AH247">
        <f t="shared" si="102"/>
        <v>0.33333333333333331</v>
      </c>
      <c r="AI247">
        <f>survey_responses[[#This Row],[Tôi thấy Nhà nước đã giải thích rõ ràng, minh bạch về lý do và mục tiêu của việc sửa đổi thuế lần này. - HUMAN-TRU4]]</f>
        <v>7</v>
      </c>
      <c r="AJ247">
        <f t="shared" si="103"/>
        <v>0.66666666666666663</v>
      </c>
      <c r="AK247" s="32">
        <f t="shared" si="104"/>
        <v>0.41666666666666663</v>
      </c>
      <c r="AL247" s="32">
        <f t="shared" si="105"/>
        <v>0.66666666666666663</v>
      </c>
      <c r="AM247" s="7">
        <f t="shared" si="106"/>
        <v>0.54629629629629628</v>
      </c>
      <c r="AN247" s="7">
        <f t="shared" si="107"/>
        <v>0.64814814814814803</v>
      </c>
      <c r="AO247">
        <f>step3_validation[[#This Row],[AI_OUT1]]</f>
        <v>7</v>
      </c>
      <c r="AP247">
        <f t="shared" si="108"/>
        <v>0.66666666666666663</v>
      </c>
      <c r="AQ247">
        <f>survey_responses[[#This Row],[Sau khi xem xét các quyền lợi và nghĩa vụ, bạn có ủng hộ và tuân thủ chính sách mới hiện nay? - HUMAN-OUT1]]</f>
        <v>7</v>
      </c>
      <c r="AR247">
        <f t="shared" si="109"/>
        <v>0.66666666666666663</v>
      </c>
      <c r="AS247" s="32">
        <f t="shared" si="110"/>
        <v>0</v>
      </c>
      <c r="AT247">
        <f t="shared" si="111"/>
        <v>1</v>
      </c>
    </row>
    <row r="248" spans="1:46" x14ac:dyDescent="0.45">
      <c r="A248">
        <f>step3_validation[[#This Row],[AI_ENF1]]</f>
        <v>7</v>
      </c>
      <c r="B248">
        <f t="shared" si="84"/>
        <v>0.66666666666666663</v>
      </c>
      <c r="C248">
        <f>survey_responses[[#This Row],[Tôi tin rằng với các quy định quản lý thuế hiện nay, hành vi gian lận hoặc trốn thuế sẽ dễ dàng bị phát hiện và xử lý nghiêm. - HUMAN-ENF1]]</f>
        <v>8</v>
      </c>
      <c r="D248">
        <f t="shared" si="85"/>
        <v>0.77777777777777779</v>
      </c>
      <c r="E248">
        <f>step3_validation[[#This Row],[AI_ENF2]]</f>
        <v>6</v>
      </c>
      <c r="F248">
        <f t="shared" si="86"/>
        <v>0.55555555555555558</v>
      </c>
      <c r="G248">
        <f>survey_responses[[#This Row],[Tôi tin rằng Nhà nước, cơ quan thuế có đủ khả năng và công nghệ để phát hiện, xử lý nghiêm các hành vi trốn thuế. - HUMAN-ENF2]]</f>
        <v>8</v>
      </c>
      <c r="H248">
        <f t="shared" si="87"/>
        <v>0.77777777777777779</v>
      </c>
      <c r="I248" s="32">
        <f t="shared" si="88"/>
        <v>0.61111111111111116</v>
      </c>
      <c r="J248" s="32">
        <f t="shared" si="89"/>
        <v>0.77777777777777779</v>
      </c>
      <c r="K248">
        <f>step3_validation[[#This Row],[AI_FAC1]]</f>
        <v>5</v>
      </c>
      <c r="L248">
        <f t="shared" si="90"/>
        <v>0.44444444444444442</v>
      </c>
      <c r="M248">
        <f>survey_responses[[#This Row],[Các thủ tục khai báo thuế VÀ/HOẶC quy trình làm việc với cơ quan thuế đơn giản, tiện lợi, nhanh chóng hơn so với trước đây. - HUMAN-FAC1]]</f>
        <v>8</v>
      </c>
      <c r="N248">
        <f t="shared" si="91"/>
        <v>0.77777777777777779</v>
      </c>
      <c r="O248">
        <f>step3_validation[[#This Row],[AI_FAC2]]</f>
        <v>4</v>
      </c>
      <c r="P248">
        <f t="shared" si="92"/>
        <v>0.33333333333333331</v>
      </c>
      <c r="Q248">
        <f>survey_responses[[#This Row],[So với trước đây, tôi thấy cách tính thuế và các bậc thuế trong phương án mới đơn giản, dễ hiểu và dễ thực hiện hơn. - HUMAN-FAC2]]</f>
        <v>8</v>
      </c>
      <c r="R248">
        <f t="shared" si="93"/>
        <v>0.77777777777777779</v>
      </c>
      <c r="S248" s="32">
        <f t="shared" si="94"/>
        <v>0.38888888888888884</v>
      </c>
      <c r="T248" s="32">
        <f t="shared" si="95"/>
        <v>0.77777777777777779</v>
      </c>
      <c r="U248">
        <f>step3_validation[[#This Row],[AI_TRU1]]</f>
        <v>8</v>
      </c>
      <c r="V248">
        <f t="shared" si="96"/>
        <v>0.77777777777777779</v>
      </c>
      <c r="W248">
        <f>survey_responses[[#This Row],[Tôi tin rằng Nhà nước, cơ quan thuế sẽ thực thi chính sách mới một cách khách quan, công tâm và đối xử bình đẳng với mọi người nộp thuế.  - HUMAN-TRU1]]</f>
        <v>8</v>
      </c>
      <c r="X248">
        <f t="shared" si="97"/>
        <v>0.77777777777777779</v>
      </c>
      <c r="Y248">
        <f>step3_validation[[#This Row],[AI_TRU2]]</f>
        <v>6</v>
      </c>
      <c r="Z248">
        <f t="shared" si="98"/>
        <v>0.55555555555555558</v>
      </c>
      <c r="AA248">
        <f>survey_responses[[#This Row],[Tôi thấy mức thuế tôi phải đóng theo phương án mới là công bằng (người thu nhập như tôi đóng mức này là hợp lý). - HUMAN-TRU2]]</f>
        <v>8</v>
      </c>
      <c r="AB248">
        <f t="shared" si="99"/>
        <v>0.77777777777777779</v>
      </c>
      <c r="AC248">
        <f>step3_validation[[#This Row],[AI_TRU3]]</f>
        <v>5</v>
      </c>
      <c r="AD248">
        <f t="shared" si="100"/>
        <v>0.44444444444444442</v>
      </c>
      <c r="AE248">
        <f>survey_responses[[#This Row],[Tôi tin tưởng số tiền thuế tôi đóng sẽ được Nhà nước sử dụng hiệu quả để cải thiện dịch vụ công (y tế, đường xá...). - HUMAN-TRU3]]</f>
        <v>8</v>
      </c>
      <c r="AF248">
        <f t="shared" si="101"/>
        <v>0.77777777777777779</v>
      </c>
      <c r="AG248">
        <f>step3_validation[[#This Row],[AI_TRU4]]</f>
        <v>3</v>
      </c>
      <c r="AH248">
        <f t="shared" si="102"/>
        <v>0.22222222222222221</v>
      </c>
      <c r="AI248">
        <f>survey_responses[[#This Row],[Tôi thấy Nhà nước đã giải thích rõ ràng, minh bạch về lý do và mục tiêu của việc sửa đổi thuế lần này. - HUMAN-TRU4]]</f>
        <v>8</v>
      </c>
      <c r="AJ248">
        <f t="shared" si="103"/>
        <v>0.77777777777777779</v>
      </c>
      <c r="AK248" s="32">
        <f t="shared" si="104"/>
        <v>0.5</v>
      </c>
      <c r="AL248" s="32">
        <f t="shared" si="105"/>
        <v>0.77777777777777779</v>
      </c>
      <c r="AM248" s="7">
        <f t="shared" si="106"/>
        <v>0.5</v>
      </c>
      <c r="AN248" s="7">
        <f t="shared" si="107"/>
        <v>0.77777777777777779</v>
      </c>
      <c r="AO248">
        <f>step3_validation[[#This Row],[AI_OUT1]]</f>
        <v>6</v>
      </c>
      <c r="AP248">
        <f t="shared" si="108"/>
        <v>0.55555555555555558</v>
      </c>
      <c r="AQ248">
        <f>survey_responses[[#This Row],[Sau khi xem xét các quyền lợi và nghĩa vụ, bạn có ủng hộ và tuân thủ chính sách mới hiện nay? - HUMAN-OUT1]]</f>
        <v>8</v>
      </c>
      <c r="AR248">
        <f t="shared" si="109"/>
        <v>0.77777777777777779</v>
      </c>
      <c r="AS248" s="32">
        <f t="shared" si="110"/>
        <v>2</v>
      </c>
      <c r="AT248">
        <f t="shared" si="111"/>
        <v>1</v>
      </c>
    </row>
    <row r="249" spans="1:46" x14ac:dyDescent="0.45">
      <c r="A249">
        <f>step3_validation[[#This Row],[AI_ENF1]]</f>
        <v>6</v>
      </c>
      <c r="B249">
        <f t="shared" si="84"/>
        <v>0.55555555555555558</v>
      </c>
      <c r="C249">
        <f>survey_responses[[#This Row],[Tôi tin rằng với các quy định quản lý thuế hiện nay, hành vi gian lận hoặc trốn thuế sẽ dễ dàng bị phát hiện và xử lý nghiêm. - HUMAN-ENF1]]</f>
        <v>7</v>
      </c>
      <c r="D249">
        <f t="shared" si="85"/>
        <v>0.66666666666666663</v>
      </c>
      <c r="E249">
        <f>step3_validation[[#This Row],[AI_ENF2]]</f>
        <v>7</v>
      </c>
      <c r="F249">
        <f t="shared" si="86"/>
        <v>0.66666666666666663</v>
      </c>
      <c r="G249">
        <f>survey_responses[[#This Row],[Tôi tin rằng Nhà nước, cơ quan thuế có đủ khả năng và công nghệ để phát hiện, xử lý nghiêm các hành vi trốn thuế. - HUMAN-ENF2]]</f>
        <v>7</v>
      </c>
      <c r="H249">
        <f t="shared" si="87"/>
        <v>0.66666666666666663</v>
      </c>
      <c r="I249" s="32">
        <f t="shared" si="88"/>
        <v>0.61111111111111116</v>
      </c>
      <c r="J249" s="32">
        <f t="shared" si="89"/>
        <v>0.66666666666666663</v>
      </c>
      <c r="K249">
        <f>step3_validation[[#This Row],[AI_FAC1]]</f>
        <v>5</v>
      </c>
      <c r="L249">
        <f t="shared" si="90"/>
        <v>0.44444444444444442</v>
      </c>
      <c r="M249">
        <f>survey_responses[[#This Row],[Các thủ tục khai báo thuế VÀ/HOẶC quy trình làm việc với cơ quan thuế đơn giản, tiện lợi, nhanh chóng hơn so với trước đây. - HUMAN-FAC1]]</f>
        <v>7</v>
      </c>
      <c r="N249">
        <f t="shared" si="91"/>
        <v>0.66666666666666663</v>
      </c>
      <c r="O249">
        <f>step3_validation[[#This Row],[AI_FAC2]]</f>
        <v>8</v>
      </c>
      <c r="P249">
        <f t="shared" si="92"/>
        <v>0.77777777777777779</v>
      </c>
      <c r="Q249">
        <f>survey_responses[[#This Row],[So với trước đây, tôi thấy cách tính thuế và các bậc thuế trong phương án mới đơn giản, dễ hiểu và dễ thực hiện hơn. - HUMAN-FAC2]]</f>
        <v>7</v>
      </c>
      <c r="R249">
        <f t="shared" si="93"/>
        <v>0.66666666666666663</v>
      </c>
      <c r="S249" s="32">
        <f t="shared" si="94"/>
        <v>0.61111111111111116</v>
      </c>
      <c r="T249" s="32">
        <f t="shared" si="95"/>
        <v>0.66666666666666663</v>
      </c>
      <c r="U249">
        <f>step3_validation[[#This Row],[AI_TRU1]]</f>
        <v>7</v>
      </c>
      <c r="V249">
        <f t="shared" si="96"/>
        <v>0.66666666666666663</v>
      </c>
      <c r="W249">
        <f>survey_responses[[#This Row],[Tôi tin rằng Nhà nước, cơ quan thuế sẽ thực thi chính sách mới một cách khách quan, công tâm và đối xử bình đẳng với mọi người nộp thuế.  - HUMAN-TRU1]]</f>
        <v>7</v>
      </c>
      <c r="X249">
        <f t="shared" si="97"/>
        <v>0.66666666666666663</v>
      </c>
      <c r="Y249">
        <f>step3_validation[[#This Row],[AI_TRU2]]</f>
        <v>8</v>
      </c>
      <c r="Z249">
        <f t="shared" si="98"/>
        <v>0.77777777777777779</v>
      </c>
      <c r="AA249">
        <f>survey_responses[[#This Row],[Tôi thấy mức thuế tôi phải đóng theo phương án mới là công bằng (người thu nhập như tôi đóng mức này là hợp lý). - HUMAN-TRU2]]</f>
        <v>7</v>
      </c>
      <c r="AB249">
        <f t="shared" si="99"/>
        <v>0.66666666666666663</v>
      </c>
      <c r="AC249">
        <f>step3_validation[[#This Row],[AI_TRU3]]</f>
        <v>7</v>
      </c>
      <c r="AD249">
        <f t="shared" si="100"/>
        <v>0.66666666666666663</v>
      </c>
      <c r="AE249">
        <f>survey_responses[[#This Row],[Tôi tin tưởng số tiền thuế tôi đóng sẽ được Nhà nước sử dụng hiệu quả để cải thiện dịch vụ công (y tế, đường xá...). - HUMAN-TRU3]]</f>
        <v>7</v>
      </c>
      <c r="AF249">
        <f t="shared" si="101"/>
        <v>0.66666666666666663</v>
      </c>
      <c r="AG249">
        <f>step3_validation[[#This Row],[AI_TRU4]]</f>
        <v>6</v>
      </c>
      <c r="AH249">
        <f t="shared" si="102"/>
        <v>0.55555555555555558</v>
      </c>
      <c r="AI249">
        <f>survey_responses[[#This Row],[Tôi thấy Nhà nước đã giải thích rõ ràng, minh bạch về lý do và mục tiêu của việc sửa đổi thuế lần này. - HUMAN-TRU4]]</f>
        <v>7</v>
      </c>
      <c r="AJ249">
        <f t="shared" si="103"/>
        <v>0.66666666666666663</v>
      </c>
      <c r="AK249" s="32">
        <f t="shared" si="104"/>
        <v>0.66666666666666674</v>
      </c>
      <c r="AL249" s="32">
        <f t="shared" si="105"/>
        <v>0.66666666666666663</v>
      </c>
      <c r="AM249" s="7">
        <f t="shared" si="106"/>
        <v>0.62962962962962965</v>
      </c>
      <c r="AN249" s="7">
        <f t="shared" si="107"/>
        <v>0.66666666666666663</v>
      </c>
      <c r="AO249">
        <f>step3_validation[[#This Row],[AI_OUT1]]</f>
        <v>8</v>
      </c>
      <c r="AP249">
        <f t="shared" si="108"/>
        <v>0.77777777777777779</v>
      </c>
      <c r="AQ249">
        <f>survey_responses[[#This Row],[Sau khi xem xét các quyền lợi và nghĩa vụ, bạn có ủng hộ và tuân thủ chính sách mới hiện nay? - HUMAN-OUT1]]</f>
        <v>7</v>
      </c>
      <c r="AR249">
        <f t="shared" si="109"/>
        <v>0.66666666666666663</v>
      </c>
      <c r="AS249" s="32">
        <f t="shared" si="110"/>
        <v>1</v>
      </c>
      <c r="AT249">
        <f t="shared" si="111"/>
        <v>1</v>
      </c>
    </row>
    <row r="250" spans="1:46" x14ac:dyDescent="0.45">
      <c r="A250">
        <f>step3_validation[[#This Row],[AI_ENF1]]</f>
        <v>9</v>
      </c>
      <c r="B250">
        <f t="shared" si="84"/>
        <v>0.88888888888888884</v>
      </c>
      <c r="C250">
        <f>survey_responses[[#This Row],[Tôi tin rằng với các quy định quản lý thuế hiện nay, hành vi gian lận hoặc trốn thuế sẽ dễ dàng bị phát hiện và xử lý nghiêm. - HUMAN-ENF1]]</f>
        <v>9</v>
      </c>
      <c r="D250">
        <f t="shared" si="85"/>
        <v>0.88888888888888884</v>
      </c>
      <c r="E250">
        <f>step3_validation[[#This Row],[AI_ENF2]]</f>
        <v>8</v>
      </c>
      <c r="F250">
        <f t="shared" si="86"/>
        <v>0.77777777777777779</v>
      </c>
      <c r="G250">
        <f>survey_responses[[#This Row],[Tôi tin rằng Nhà nước, cơ quan thuế có đủ khả năng và công nghệ để phát hiện, xử lý nghiêm các hành vi trốn thuế. - HUMAN-ENF2]]</f>
        <v>9</v>
      </c>
      <c r="H250">
        <f t="shared" si="87"/>
        <v>0.88888888888888884</v>
      </c>
      <c r="I250" s="32">
        <f t="shared" si="88"/>
        <v>0.83333333333333326</v>
      </c>
      <c r="J250" s="32">
        <f t="shared" si="89"/>
        <v>0.88888888888888884</v>
      </c>
      <c r="K250">
        <f>step3_validation[[#This Row],[AI_FAC1]]</f>
        <v>8</v>
      </c>
      <c r="L250">
        <f t="shared" si="90"/>
        <v>0.77777777777777779</v>
      </c>
      <c r="M250">
        <f>survey_responses[[#This Row],[Các thủ tục khai báo thuế VÀ/HOẶC quy trình làm việc với cơ quan thuế đơn giản, tiện lợi, nhanh chóng hơn so với trước đây. - HUMAN-FAC1]]</f>
        <v>9</v>
      </c>
      <c r="N250">
        <f t="shared" si="91"/>
        <v>0.88888888888888884</v>
      </c>
      <c r="O250">
        <f>step3_validation[[#This Row],[AI_FAC2]]</f>
        <v>9</v>
      </c>
      <c r="P250">
        <f t="shared" si="92"/>
        <v>0.88888888888888884</v>
      </c>
      <c r="Q250">
        <f>survey_responses[[#This Row],[So với trước đây, tôi thấy cách tính thuế và các bậc thuế trong phương án mới đơn giản, dễ hiểu và dễ thực hiện hơn. - HUMAN-FAC2]]</f>
        <v>9</v>
      </c>
      <c r="R250">
        <f t="shared" si="93"/>
        <v>0.88888888888888884</v>
      </c>
      <c r="S250" s="32">
        <f t="shared" si="94"/>
        <v>0.83333333333333326</v>
      </c>
      <c r="T250" s="32">
        <f t="shared" si="95"/>
        <v>0.88888888888888884</v>
      </c>
      <c r="U250">
        <f>step3_validation[[#This Row],[AI_TRU1]]</f>
        <v>8</v>
      </c>
      <c r="V250">
        <f t="shared" si="96"/>
        <v>0.77777777777777779</v>
      </c>
      <c r="W250">
        <f>survey_responses[[#This Row],[Tôi tin rằng Nhà nước, cơ quan thuế sẽ thực thi chính sách mới một cách khách quan, công tâm và đối xử bình đẳng với mọi người nộp thuế.  - HUMAN-TRU1]]</f>
        <v>9</v>
      </c>
      <c r="X250">
        <f t="shared" si="97"/>
        <v>0.88888888888888884</v>
      </c>
      <c r="Y250">
        <f>step3_validation[[#This Row],[AI_TRU2]]</f>
        <v>7</v>
      </c>
      <c r="Z250">
        <f t="shared" si="98"/>
        <v>0.66666666666666663</v>
      </c>
      <c r="AA250">
        <f>survey_responses[[#This Row],[Tôi thấy mức thuế tôi phải đóng theo phương án mới là công bằng (người thu nhập như tôi đóng mức này là hợp lý). - HUMAN-TRU2]]</f>
        <v>9</v>
      </c>
      <c r="AB250">
        <f t="shared" si="99"/>
        <v>0.88888888888888884</v>
      </c>
      <c r="AC250">
        <f>step3_validation[[#This Row],[AI_TRU3]]</f>
        <v>8</v>
      </c>
      <c r="AD250">
        <f t="shared" si="100"/>
        <v>0.77777777777777779</v>
      </c>
      <c r="AE250">
        <f>survey_responses[[#This Row],[Tôi tin tưởng số tiền thuế tôi đóng sẽ được Nhà nước sử dụng hiệu quả để cải thiện dịch vụ công (y tế, đường xá...). - HUMAN-TRU3]]</f>
        <v>9</v>
      </c>
      <c r="AF250">
        <f t="shared" si="101"/>
        <v>0.88888888888888884</v>
      </c>
      <c r="AG250">
        <f>step3_validation[[#This Row],[AI_TRU4]]</f>
        <v>7</v>
      </c>
      <c r="AH250">
        <f t="shared" si="102"/>
        <v>0.66666666666666663</v>
      </c>
      <c r="AI250">
        <f>survey_responses[[#This Row],[Tôi thấy Nhà nước đã giải thích rõ ràng, minh bạch về lý do và mục tiêu của việc sửa đổi thuế lần này. - HUMAN-TRU4]]</f>
        <v>9</v>
      </c>
      <c r="AJ250">
        <f t="shared" si="103"/>
        <v>0.88888888888888884</v>
      </c>
      <c r="AK250" s="32">
        <f t="shared" si="104"/>
        <v>0.72222222222222221</v>
      </c>
      <c r="AL250" s="32">
        <f t="shared" si="105"/>
        <v>0.88888888888888884</v>
      </c>
      <c r="AM250" s="7">
        <f t="shared" si="106"/>
        <v>0.79629629629629628</v>
      </c>
      <c r="AN250" s="7">
        <f t="shared" si="107"/>
        <v>0.88888888888888884</v>
      </c>
      <c r="AO250">
        <f>step3_validation[[#This Row],[AI_OUT1]]</f>
        <v>8</v>
      </c>
      <c r="AP250">
        <f t="shared" si="108"/>
        <v>0.77777777777777779</v>
      </c>
      <c r="AQ250">
        <f>survey_responses[[#This Row],[Sau khi xem xét các quyền lợi và nghĩa vụ, bạn có ủng hộ và tuân thủ chính sách mới hiện nay? - HUMAN-OUT1]]</f>
        <v>9</v>
      </c>
      <c r="AR250">
        <f t="shared" si="109"/>
        <v>0.88888888888888884</v>
      </c>
      <c r="AS250" s="32">
        <f t="shared" si="110"/>
        <v>1</v>
      </c>
      <c r="AT250">
        <f t="shared" si="111"/>
        <v>1</v>
      </c>
    </row>
    <row r="251" spans="1:46" x14ac:dyDescent="0.45">
      <c r="A251">
        <f>step3_validation[[#This Row],[AI_ENF1]]</f>
        <v>8</v>
      </c>
      <c r="B251">
        <f t="shared" si="84"/>
        <v>0.77777777777777779</v>
      </c>
      <c r="C251">
        <f>survey_responses[[#This Row],[Tôi tin rằng với các quy định quản lý thuế hiện nay, hành vi gian lận hoặc trốn thuế sẽ dễ dàng bị phát hiện và xử lý nghiêm. - HUMAN-ENF1]]</f>
        <v>7</v>
      </c>
      <c r="D251">
        <f t="shared" si="85"/>
        <v>0.66666666666666663</v>
      </c>
      <c r="E251">
        <f>step3_validation[[#This Row],[AI_ENF2]]</f>
        <v>7</v>
      </c>
      <c r="F251">
        <f t="shared" si="86"/>
        <v>0.66666666666666663</v>
      </c>
      <c r="G251">
        <f>survey_responses[[#This Row],[Tôi tin rằng Nhà nước, cơ quan thuế có đủ khả năng và công nghệ để phát hiện, xử lý nghiêm các hành vi trốn thuế. - HUMAN-ENF2]]</f>
        <v>6</v>
      </c>
      <c r="H251">
        <f t="shared" si="87"/>
        <v>0.55555555555555558</v>
      </c>
      <c r="I251" s="32">
        <f t="shared" si="88"/>
        <v>0.72222222222222221</v>
      </c>
      <c r="J251" s="32">
        <f t="shared" si="89"/>
        <v>0.61111111111111116</v>
      </c>
      <c r="K251">
        <f>step3_validation[[#This Row],[AI_FAC1]]</f>
        <v>9</v>
      </c>
      <c r="L251">
        <f t="shared" si="90"/>
        <v>0.88888888888888884</v>
      </c>
      <c r="M251">
        <f>survey_responses[[#This Row],[Các thủ tục khai báo thuế VÀ/HOẶC quy trình làm việc với cơ quan thuế đơn giản, tiện lợi, nhanh chóng hơn so với trước đây. - HUMAN-FAC1]]</f>
        <v>5</v>
      </c>
      <c r="N251">
        <f t="shared" si="91"/>
        <v>0.44444444444444442</v>
      </c>
      <c r="O251">
        <f>step3_validation[[#This Row],[AI_FAC2]]</f>
        <v>8</v>
      </c>
      <c r="P251">
        <f t="shared" si="92"/>
        <v>0.77777777777777779</v>
      </c>
      <c r="Q251">
        <f>survey_responses[[#This Row],[So với trước đây, tôi thấy cách tính thuế và các bậc thuế trong phương án mới đơn giản, dễ hiểu và dễ thực hiện hơn. - HUMAN-FAC2]]</f>
        <v>6</v>
      </c>
      <c r="R251">
        <f t="shared" si="93"/>
        <v>0.55555555555555558</v>
      </c>
      <c r="S251" s="32">
        <f t="shared" si="94"/>
        <v>0.83333333333333326</v>
      </c>
      <c r="T251" s="32">
        <f t="shared" si="95"/>
        <v>0.5</v>
      </c>
      <c r="U251">
        <f>step3_validation[[#This Row],[AI_TRU1]]</f>
        <v>7</v>
      </c>
      <c r="V251">
        <f t="shared" si="96"/>
        <v>0.66666666666666663</v>
      </c>
      <c r="W251">
        <f>survey_responses[[#This Row],[Tôi tin rằng Nhà nước, cơ quan thuế sẽ thực thi chính sách mới một cách khách quan, công tâm và đối xử bình đẳng với mọi người nộp thuế.  - HUMAN-TRU1]]</f>
        <v>6</v>
      </c>
      <c r="X251">
        <f t="shared" si="97"/>
        <v>0.55555555555555558</v>
      </c>
      <c r="Y251">
        <f>step3_validation[[#This Row],[AI_TRU2]]</f>
        <v>8</v>
      </c>
      <c r="Z251">
        <f t="shared" si="98"/>
        <v>0.77777777777777779</v>
      </c>
      <c r="AA251">
        <f>survey_responses[[#This Row],[Tôi thấy mức thuế tôi phải đóng theo phương án mới là công bằng (người thu nhập như tôi đóng mức này là hợp lý). - HUMAN-TRU2]]</f>
        <v>6</v>
      </c>
      <c r="AB251">
        <f t="shared" si="99"/>
        <v>0.55555555555555558</v>
      </c>
      <c r="AC251">
        <f>step3_validation[[#This Row],[AI_TRU3]]</f>
        <v>7</v>
      </c>
      <c r="AD251">
        <f t="shared" si="100"/>
        <v>0.66666666666666663</v>
      </c>
      <c r="AE251">
        <f>survey_responses[[#This Row],[Tôi tin tưởng số tiền thuế tôi đóng sẽ được Nhà nước sử dụng hiệu quả để cải thiện dịch vụ công (y tế, đường xá...). - HUMAN-TRU3]]</f>
        <v>6</v>
      </c>
      <c r="AF251">
        <f t="shared" si="101"/>
        <v>0.55555555555555558</v>
      </c>
      <c r="AG251">
        <f>step3_validation[[#This Row],[AI_TRU4]]</f>
        <v>6</v>
      </c>
      <c r="AH251">
        <f t="shared" si="102"/>
        <v>0.55555555555555558</v>
      </c>
      <c r="AI251">
        <f>survey_responses[[#This Row],[Tôi thấy Nhà nước đã giải thích rõ ràng, minh bạch về lý do và mục tiêu của việc sửa đổi thuế lần này. - HUMAN-TRU4]]</f>
        <v>6</v>
      </c>
      <c r="AJ251">
        <f t="shared" si="103"/>
        <v>0.55555555555555558</v>
      </c>
      <c r="AK251" s="32">
        <f t="shared" si="104"/>
        <v>0.66666666666666674</v>
      </c>
      <c r="AL251" s="32">
        <f t="shared" si="105"/>
        <v>0.55555555555555558</v>
      </c>
      <c r="AM251" s="7">
        <f t="shared" si="106"/>
        <v>0.74074074074074081</v>
      </c>
      <c r="AN251" s="7">
        <f t="shared" si="107"/>
        <v>0.55555555555555558</v>
      </c>
      <c r="AO251">
        <f>step3_validation[[#This Row],[AI_OUT1]]</f>
        <v>8</v>
      </c>
      <c r="AP251">
        <f t="shared" si="108"/>
        <v>0.77777777777777779</v>
      </c>
      <c r="AQ251">
        <f>survey_responses[[#This Row],[Sau khi xem xét các quyền lợi và nghĩa vụ, bạn có ủng hộ và tuân thủ chính sách mới hiện nay? - HUMAN-OUT1]]</f>
        <v>7</v>
      </c>
      <c r="AR251">
        <f t="shared" si="109"/>
        <v>0.66666666666666663</v>
      </c>
      <c r="AS251" s="32">
        <f t="shared" si="110"/>
        <v>1</v>
      </c>
      <c r="AT251">
        <f t="shared" si="111"/>
        <v>1</v>
      </c>
    </row>
    <row r="252" spans="1:46" x14ac:dyDescent="0.45">
      <c r="A252">
        <f>step3_validation[[#This Row],[AI_ENF1]]</f>
        <v>8</v>
      </c>
      <c r="B252">
        <f t="shared" si="84"/>
        <v>0.77777777777777779</v>
      </c>
      <c r="C252">
        <f>survey_responses[[#This Row],[Tôi tin rằng với các quy định quản lý thuế hiện nay, hành vi gian lận hoặc trốn thuế sẽ dễ dàng bị phát hiện và xử lý nghiêm. - HUMAN-ENF1]]</f>
        <v>8</v>
      </c>
      <c r="D252">
        <f t="shared" si="85"/>
        <v>0.77777777777777779</v>
      </c>
      <c r="E252">
        <f>step3_validation[[#This Row],[AI_ENF2]]</f>
        <v>7</v>
      </c>
      <c r="F252">
        <f t="shared" si="86"/>
        <v>0.66666666666666663</v>
      </c>
      <c r="G252">
        <f>survey_responses[[#This Row],[Tôi tin rằng Nhà nước, cơ quan thuế có đủ khả năng và công nghệ để phát hiện, xử lý nghiêm các hành vi trốn thuế. - HUMAN-ENF2]]</f>
        <v>8</v>
      </c>
      <c r="H252">
        <f t="shared" si="87"/>
        <v>0.77777777777777779</v>
      </c>
      <c r="I252" s="32">
        <f t="shared" si="88"/>
        <v>0.72222222222222221</v>
      </c>
      <c r="J252" s="32">
        <f t="shared" si="89"/>
        <v>0.77777777777777779</v>
      </c>
      <c r="K252">
        <f>step3_validation[[#This Row],[AI_FAC1]]</f>
        <v>9</v>
      </c>
      <c r="L252">
        <f t="shared" si="90"/>
        <v>0.88888888888888884</v>
      </c>
      <c r="M252">
        <f>survey_responses[[#This Row],[Các thủ tục khai báo thuế VÀ/HOẶC quy trình làm việc với cơ quan thuế đơn giản, tiện lợi, nhanh chóng hơn so với trước đây. - HUMAN-FAC1]]</f>
        <v>8</v>
      </c>
      <c r="N252">
        <f t="shared" si="91"/>
        <v>0.77777777777777779</v>
      </c>
      <c r="O252">
        <f>step3_validation[[#This Row],[AI_FAC2]]</f>
        <v>8</v>
      </c>
      <c r="P252">
        <f t="shared" si="92"/>
        <v>0.77777777777777779</v>
      </c>
      <c r="Q252">
        <f>survey_responses[[#This Row],[So với trước đây, tôi thấy cách tính thuế và các bậc thuế trong phương án mới đơn giản, dễ hiểu và dễ thực hiện hơn. - HUMAN-FAC2]]</f>
        <v>9</v>
      </c>
      <c r="R252">
        <f t="shared" si="93"/>
        <v>0.88888888888888884</v>
      </c>
      <c r="S252" s="32">
        <f t="shared" si="94"/>
        <v>0.83333333333333326</v>
      </c>
      <c r="T252" s="32">
        <f t="shared" si="95"/>
        <v>0.83333333333333326</v>
      </c>
      <c r="U252">
        <f>step3_validation[[#This Row],[AI_TRU1]]</f>
        <v>9</v>
      </c>
      <c r="V252">
        <f t="shared" si="96"/>
        <v>0.88888888888888884</v>
      </c>
      <c r="W252">
        <f>survey_responses[[#This Row],[Tôi tin rằng Nhà nước, cơ quan thuế sẽ thực thi chính sách mới một cách khách quan, công tâm và đối xử bình đẳng với mọi người nộp thuế.  - HUMAN-TRU1]]</f>
        <v>8</v>
      </c>
      <c r="X252">
        <f t="shared" si="97"/>
        <v>0.77777777777777779</v>
      </c>
      <c r="Y252">
        <f>step3_validation[[#This Row],[AI_TRU2]]</f>
        <v>8</v>
      </c>
      <c r="Z252">
        <f t="shared" si="98"/>
        <v>0.77777777777777779</v>
      </c>
      <c r="AA252">
        <f>survey_responses[[#This Row],[Tôi thấy mức thuế tôi phải đóng theo phương án mới là công bằng (người thu nhập như tôi đóng mức này là hợp lý). - HUMAN-TRU2]]</f>
        <v>10</v>
      </c>
      <c r="AB252">
        <f t="shared" si="99"/>
        <v>1</v>
      </c>
      <c r="AC252">
        <f>step3_validation[[#This Row],[AI_TRU3]]</f>
        <v>9</v>
      </c>
      <c r="AD252">
        <f t="shared" si="100"/>
        <v>0.88888888888888884</v>
      </c>
      <c r="AE252">
        <f>survey_responses[[#This Row],[Tôi tin tưởng số tiền thuế tôi đóng sẽ được Nhà nước sử dụng hiệu quả để cải thiện dịch vụ công (y tế, đường xá...). - HUMAN-TRU3]]</f>
        <v>7</v>
      </c>
      <c r="AF252">
        <f t="shared" si="101"/>
        <v>0.66666666666666663</v>
      </c>
      <c r="AG252">
        <f>step3_validation[[#This Row],[AI_TRU4]]</f>
        <v>8</v>
      </c>
      <c r="AH252">
        <f t="shared" si="102"/>
        <v>0.77777777777777779</v>
      </c>
      <c r="AI252">
        <f>survey_responses[[#This Row],[Tôi thấy Nhà nước đã giải thích rõ ràng, minh bạch về lý do và mục tiêu của việc sửa đổi thuế lần này. - HUMAN-TRU4]]</f>
        <v>7</v>
      </c>
      <c r="AJ252">
        <f t="shared" si="103"/>
        <v>0.66666666666666663</v>
      </c>
      <c r="AK252" s="32">
        <f t="shared" si="104"/>
        <v>0.83333333333333326</v>
      </c>
      <c r="AL252" s="32">
        <f t="shared" si="105"/>
        <v>0.77777777777777768</v>
      </c>
      <c r="AM252" s="7">
        <f t="shared" si="106"/>
        <v>0.79629629629629617</v>
      </c>
      <c r="AN252" s="7">
        <f t="shared" si="107"/>
        <v>0.79629629629629628</v>
      </c>
      <c r="AO252">
        <f>step3_validation[[#This Row],[AI_OUT1]]</f>
        <v>9</v>
      </c>
      <c r="AP252">
        <f t="shared" si="108"/>
        <v>0.88888888888888884</v>
      </c>
      <c r="AQ252">
        <f>survey_responses[[#This Row],[Sau khi xem xét các quyền lợi và nghĩa vụ, bạn có ủng hộ và tuân thủ chính sách mới hiện nay? - HUMAN-OUT1]]</f>
        <v>10</v>
      </c>
      <c r="AR252">
        <f t="shared" si="109"/>
        <v>1</v>
      </c>
      <c r="AS252" s="32">
        <f t="shared" si="110"/>
        <v>1</v>
      </c>
      <c r="AT252">
        <f t="shared" si="111"/>
        <v>1</v>
      </c>
    </row>
    <row r="253" spans="1:46" x14ac:dyDescent="0.45">
      <c r="A253">
        <f>step3_validation[[#This Row],[AI_ENF1]]</f>
        <v>8</v>
      </c>
      <c r="B253">
        <f t="shared" si="84"/>
        <v>0.77777777777777779</v>
      </c>
      <c r="C253">
        <f>survey_responses[[#This Row],[Tôi tin rằng với các quy định quản lý thuế hiện nay, hành vi gian lận hoặc trốn thuế sẽ dễ dàng bị phát hiện và xử lý nghiêm. - HUMAN-ENF1]]</f>
        <v>6</v>
      </c>
      <c r="D253">
        <f t="shared" si="85"/>
        <v>0.55555555555555558</v>
      </c>
      <c r="E253">
        <f>step3_validation[[#This Row],[AI_ENF2]]</f>
        <v>9</v>
      </c>
      <c r="F253">
        <f t="shared" si="86"/>
        <v>0.88888888888888884</v>
      </c>
      <c r="G253">
        <f>survey_responses[[#This Row],[Tôi tin rằng Nhà nước, cơ quan thuế có đủ khả năng và công nghệ để phát hiện, xử lý nghiêm các hành vi trốn thuế. - HUMAN-ENF2]]</f>
        <v>6</v>
      </c>
      <c r="H253">
        <f t="shared" si="87"/>
        <v>0.55555555555555558</v>
      </c>
      <c r="I253" s="32">
        <f t="shared" si="88"/>
        <v>0.83333333333333326</v>
      </c>
      <c r="J253" s="32">
        <f t="shared" si="89"/>
        <v>0.55555555555555558</v>
      </c>
      <c r="K253">
        <f>step3_validation[[#This Row],[AI_FAC1]]</f>
        <v>7</v>
      </c>
      <c r="L253">
        <f t="shared" si="90"/>
        <v>0.66666666666666663</v>
      </c>
      <c r="M253">
        <f>survey_responses[[#This Row],[Các thủ tục khai báo thuế VÀ/HOẶC quy trình làm việc với cơ quan thuế đơn giản, tiện lợi, nhanh chóng hơn so với trước đây. - HUMAN-FAC1]]</f>
        <v>1</v>
      </c>
      <c r="N253">
        <f t="shared" si="91"/>
        <v>0</v>
      </c>
      <c r="O253">
        <f>step3_validation[[#This Row],[AI_FAC2]]</f>
        <v>8</v>
      </c>
      <c r="P253">
        <f t="shared" si="92"/>
        <v>0.77777777777777779</v>
      </c>
      <c r="Q253">
        <f>survey_responses[[#This Row],[So với trước đây, tôi thấy cách tính thuế và các bậc thuế trong phương án mới đơn giản, dễ hiểu và dễ thực hiện hơn. - HUMAN-FAC2]]</f>
        <v>6</v>
      </c>
      <c r="R253">
        <f t="shared" si="93"/>
        <v>0.55555555555555558</v>
      </c>
      <c r="S253" s="32">
        <f t="shared" si="94"/>
        <v>0.72222222222222221</v>
      </c>
      <c r="T253" s="32">
        <f t="shared" si="95"/>
        <v>0.27777777777777779</v>
      </c>
      <c r="U253">
        <f>step3_validation[[#This Row],[AI_TRU1]]</f>
        <v>9</v>
      </c>
      <c r="V253">
        <f t="shared" si="96"/>
        <v>0.88888888888888884</v>
      </c>
      <c r="W253">
        <f>survey_responses[[#This Row],[Tôi tin rằng Nhà nước, cơ quan thuế sẽ thực thi chính sách mới một cách khách quan, công tâm và đối xử bình đẳng với mọi người nộp thuế.  - HUMAN-TRU1]]</f>
        <v>5</v>
      </c>
      <c r="X253">
        <f t="shared" si="97"/>
        <v>0.44444444444444442</v>
      </c>
      <c r="Y253">
        <f>step3_validation[[#This Row],[AI_TRU2]]</f>
        <v>7</v>
      </c>
      <c r="Z253">
        <f t="shared" si="98"/>
        <v>0.66666666666666663</v>
      </c>
      <c r="AA253">
        <f>survey_responses[[#This Row],[Tôi thấy mức thuế tôi phải đóng theo phương án mới là công bằng (người thu nhập như tôi đóng mức này là hợp lý). - HUMAN-TRU2]]</f>
        <v>6</v>
      </c>
      <c r="AB253">
        <f t="shared" si="99"/>
        <v>0.55555555555555558</v>
      </c>
      <c r="AC253">
        <f>step3_validation[[#This Row],[AI_TRU3]]</f>
        <v>8</v>
      </c>
      <c r="AD253">
        <f t="shared" si="100"/>
        <v>0.77777777777777779</v>
      </c>
      <c r="AE253">
        <f>survey_responses[[#This Row],[Tôi tin tưởng số tiền thuế tôi đóng sẽ được Nhà nước sử dụng hiệu quả để cải thiện dịch vụ công (y tế, đường xá...). - HUMAN-TRU3]]</f>
        <v>6</v>
      </c>
      <c r="AF253">
        <f t="shared" si="101"/>
        <v>0.55555555555555558</v>
      </c>
      <c r="AG253">
        <f>step3_validation[[#This Row],[AI_TRU4]]</f>
        <v>7</v>
      </c>
      <c r="AH253">
        <f t="shared" si="102"/>
        <v>0.66666666666666663</v>
      </c>
      <c r="AI253">
        <f>survey_responses[[#This Row],[Tôi thấy Nhà nước đã giải thích rõ ràng, minh bạch về lý do và mục tiêu của việc sửa đổi thuế lần này. - HUMAN-TRU4]]</f>
        <v>6</v>
      </c>
      <c r="AJ253">
        <f t="shared" si="103"/>
        <v>0.55555555555555558</v>
      </c>
      <c r="AK253" s="32">
        <f t="shared" si="104"/>
        <v>0.74999999999999989</v>
      </c>
      <c r="AL253" s="32">
        <f t="shared" si="105"/>
        <v>0.52777777777777779</v>
      </c>
      <c r="AM253" s="7">
        <f t="shared" si="106"/>
        <v>0.76851851851851849</v>
      </c>
      <c r="AN253" s="7">
        <f t="shared" si="107"/>
        <v>0.45370370370370372</v>
      </c>
      <c r="AO253">
        <f>step3_validation[[#This Row],[AI_OUT1]]</f>
        <v>9</v>
      </c>
      <c r="AP253">
        <f t="shared" si="108"/>
        <v>0.88888888888888884</v>
      </c>
      <c r="AQ253">
        <f>survey_responses[[#This Row],[Sau khi xem xét các quyền lợi và nghĩa vụ, bạn có ủng hộ và tuân thủ chính sách mới hiện nay? - HUMAN-OUT1]]</f>
        <v>6</v>
      </c>
      <c r="AR253">
        <f t="shared" si="109"/>
        <v>0.55555555555555558</v>
      </c>
      <c r="AS253" s="32">
        <f t="shared" si="110"/>
        <v>3</v>
      </c>
      <c r="AT253">
        <f t="shared" si="111"/>
        <v>1</v>
      </c>
    </row>
    <row r="254" spans="1:46" x14ac:dyDescent="0.45">
      <c r="A254">
        <f>step3_validation[[#This Row],[AI_ENF1]]</f>
        <v>8</v>
      </c>
      <c r="B254">
        <f t="shared" si="84"/>
        <v>0.77777777777777779</v>
      </c>
      <c r="C254">
        <f>survey_responses[[#This Row],[Tôi tin rằng với các quy định quản lý thuế hiện nay, hành vi gian lận hoặc trốn thuế sẽ dễ dàng bị phát hiện và xử lý nghiêm. - HUMAN-ENF1]]</f>
        <v>8</v>
      </c>
      <c r="D254">
        <f t="shared" si="85"/>
        <v>0.77777777777777779</v>
      </c>
      <c r="E254">
        <f>step3_validation[[#This Row],[AI_ENF2]]</f>
        <v>9</v>
      </c>
      <c r="F254">
        <f t="shared" si="86"/>
        <v>0.88888888888888884</v>
      </c>
      <c r="G254">
        <f>survey_responses[[#This Row],[Tôi tin rằng Nhà nước, cơ quan thuế có đủ khả năng và công nghệ để phát hiện, xử lý nghiêm các hành vi trốn thuế. - HUMAN-ENF2]]</f>
        <v>8</v>
      </c>
      <c r="H254">
        <f t="shared" si="87"/>
        <v>0.77777777777777779</v>
      </c>
      <c r="I254" s="32">
        <f t="shared" si="88"/>
        <v>0.83333333333333326</v>
      </c>
      <c r="J254" s="32">
        <f t="shared" si="89"/>
        <v>0.77777777777777779</v>
      </c>
      <c r="K254">
        <f>step3_validation[[#This Row],[AI_FAC1]]</f>
        <v>8</v>
      </c>
      <c r="L254">
        <f t="shared" si="90"/>
        <v>0.77777777777777779</v>
      </c>
      <c r="M254">
        <f>survey_responses[[#This Row],[Các thủ tục khai báo thuế VÀ/HOẶC quy trình làm việc với cơ quan thuế đơn giản, tiện lợi, nhanh chóng hơn so với trước đây. - HUMAN-FAC1]]</f>
        <v>3</v>
      </c>
      <c r="N254">
        <f t="shared" si="91"/>
        <v>0.22222222222222221</v>
      </c>
      <c r="O254">
        <f>step3_validation[[#This Row],[AI_FAC2]]</f>
        <v>7</v>
      </c>
      <c r="P254">
        <f t="shared" si="92"/>
        <v>0.66666666666666663</v>
      </c>
      <c r="Q254">
        <f>survey_responses[[#This Row],[So với trước đây, tôi thấy cách tính thuế và các bậc thuế trong phương án mới đơn giản, dễ hiểu và dễ thực hiện hơn. - HUMAN-FAC2]]</f>
        <v>9</v>
      </c>
      <c r="R254">
        <f t="shared" si="93"/>
        <v>0.88888888888888884</v>
      </c>
      <c r="S254" s="32">
        <f t="shared" si="94"/>
        <v>0.72222222222222221</v>
      </c>
      <c r="T254" s="32">
        <f t="shared" si="95"/>
        <v>0.55555555555555558</v>
      </c>
      <c r="U254">
        <f>step3_validation[[#This Row],[AI_TRU1]]</f>
        <v>8</v>
      </c>
      <c r="V254">
        <f t="shared" si="96"/>
        <v>0.77777777777777779</v>
      </c>
      <c r="W254">
        <f>survey_responses[[#This Row],[Tôi tin rằng Nhà nước, cơ quan thuế sẽ thực thi chính sách mới một cách khách quan, công tâm và đối xử bình đẳng với mọi người nộp thuế.  - HUMAN-TRU1]]</f>
        <v>8</v>
      </c>
      <c r="X254">
        <f t="shared" si="97"/>
        <v>0.77777777777777779</v>
      </c>
      <c r="Y254">
        <f>step3_validation[[#This Row],[AI_TRU2]]</f>
        <v>7</v>
      </c>
      <c r="Z254">
        <f t="shared" si="98"/>
        <v>0.66666666666666663</v>
      </c>
      <c r="AA254">
        <f>survey_responses[[#This Row],[Tôi thấy mức thuế tôi phải đóng theo phương án mới là công bằng (người thu nhập như tôi đóng mức này là hợp lý). - HUMAN-TRU2]]</f>
        <v>8</v>
      </c>
      <c r="AB254">
        <f t="shared" si="99"/>
        <v>0.77777777777777779</v>
      </c>
      <c r="AC254">
        <f>step3_validation[[#This Row],[AI_TRU3]]</f>
        <v>8</v>
      </c>
      <c r="AD254">
        <f t="shared" si="100"/>
        <v>0.77777777777777779</v>
      </c>
      <c r="AE254">
        <f>survey_responses[[#This Row],[Tôi tin tưởng số tiền thuế tôi đóng sẽ được Nhà nước sử dụng hiệu quả để cải thiện dịch vụ công (y tế, đường xá...). - HUMAN-TRU3]]</f>
        <v>8</v>
      </c>
      <c r="AF254">
        <f t="shared" si="101"/>
        <v>0.77777777777777779</v>
      </c>
      <c r="AG254">
        <f>step3_validation[[#This Row],[AI_TRU4]]</f>
        <v>6</v>
      </c>
      <c r="AH254">
        <f t="shared" si="102"/>
        <v>0.55555555555555558</v>
      </c>
      <c r="AI254">
        <f>survey_responses[[#This Row],[Tôi thấy Nhà nước đã giải thích rõ ràng, minh bạch về lý do và mục tiêu của việc sửa đổi thuế lần này. - HUMAN-TRU4]]</f>
        <v>8</v>
      </c>
      <c r="AJ254">
        <f t="shared" si="103"/>
        <v>0.77777777777777779</v>
      </c>
      <c r="AK254" s="32">
        <f t="shared" si="104"/>
        <v>0.69444444444444442</v>
      </c>
      <c r="AL254" s="32">
        <f t="shared" si="105"/>
        <v>0.77777777777777779</v>
      </c>
      <c r="AM254" s="7">
        <f t="shared" si="106"/>
        <v>0.75</v>
      </c>
      <c r="AN254" s="7">
        <f t="shared" si="107"/>
        <v>0.70370370370370372</v>
      </c>
      <c r="AO254">
        <f>step3_validation[[#This Row],[AI_OUT1]]</f>
        <v>8</v>
      </c>
      <c r="AP254">
        <f t="shared" si="108"/>
        <v>0.77777777777777779</v>
      </c>
      <c r="AQ254">
        <f>survey_responses[[#This Row],[Sau khi xem xét các quyền lợi và nghĩa vụ, bạn có ủng hộ và tuân thủ chính sách mới hiện nay? - HUMAN-OUT1]]</f>
        <v>8</v>
      </c>
      <c r="AR254">
        <f t="shared" si="109"/>
        <v>0.77777777777777779</v>
      </c>
      <c r="AS254" s="32">
        <f t="shared" si="110"/>
        <v>0</v>
      </c>
      <c r="AT254">
        <f t="shared" si="111"/>
        <v>1</v>
      </c>
    </row>
    <row r="255" spans="1:46" x14ac:dyDescent="0.45">
      <c r="A255">
        <f>step3_validation[[#This Row],[AI_ENF1]]</f>
        <v>6</v>
      </c>
      <c r="B255">
        <f t="shared" si="84"/>
        <v>0.55555555555555558</v>
      </c>
      <c r="C255">
        <f>survey_responses[[#This Row],[Tôi tin rằng với các quy định quản lý thuế hiện nay, hành vi gian lận hoặc trốn thuế sẽ dễ dàng bị phát hiện và xử lý nghiêm. - HUMAN-ENF1]]</f>
        <v>4</v>
      </c>
      <c r="D255">
        <f t="shared" si="85"/>
        <v>0.33333333333333331</v>
      </c>
      <c r="E255">
        <f>step3_validation[[#This Row],[AI_ENF2]]</f>
        <v>7</v>
      </c>
      <c r="F255">
        <f t="shared" si="86"/>
        <v>0.66666666666666663</v>
      </c>
      <c r="G255">
        <f>survey_responses[[#This Row],[Tôi tin rằng Nhà nước, cơ quan thuế có đủ khả năng và công nghệ để phát hiện, xử lý nghiêm các hành vi trốn thuế. - HUMAN-ENF2]]</f>
        <v>3</v>
      </c>
      <c r="H255">
        <f t="shared" si="87"/>
        <v>0.22222222222222221</v>
      </c>
      <c r="I255" s="32">
        <f t="shared" si="88"/>
        <v>0.61111111111111116</v>
      </c>
      <c r="J255" s="32">
        <f t="shared" si="89"/>
        <v>0.27777777777777779</v>
      </c>
      <c r="K255">
        <f>step3_validation[[#This Row],[AI_FAC1]]</f>
        <v>8</v>
      </c>
      <c r="L255">
        <f t="shared" si="90"/>
        <v>0.77777777777777779</v>
      </c>
      <c r="M255">
        <f>survey_responses[[#This Row],[Các thủ tục khai báo thuế VÀ/HOẶC quy trình làm việc với cơ quan thuế đơn giản, tiện lợi, nhanh chóng hơn so với trước đây. - HUMAN-FAC1]]</f>
        <v>1</v>
      </c>
      <c r="N255">
        <f t="shared" si="91"/>
        <v>0</v>
      </c>
      <c r="O255">
        <f>step3_validation[[#This Row],[AI_FAC2]]</f>
        <v>9</v>
      </c>
      <c r="P255">
        <f t="shared" si="92"/>
        <v>0.88888888888888884</v>
      </c>
      <c r="Q255">
        <f>survey_responses[[#This Row],[So với trước đây, tôi thấy cách tính thuế và các bậc thuế trong phương án mới đơn giản, dễ hiểu và dễ thực hiện hơn. - HUMAN-FAC2]]</f>
        <v>7</v>
      </c>
      <c r="R255">
        <f t="shared" si="93"/>
        <v>0.66666666666666663</v>
      </c>
      <c r="S255" s="32">
        <f t="shared" si="94"/>
        <v>0.83333333333333326</v>
      </c>
      <c r="T255" s="32">
        <f t="shared" si="95"/>
        <v>0.33333333333333331</v>
      </c>
      <c r="U255">
        <f>step3_validation[[#This Row],[AI_TRU1]]</f>
        <v>7</v>
      </c>
      <c r="V255">
        <f t="shared" si="96"/>
        <v>0.66666666666666663</v>
      </c>
      <c r="W255">
        <f>survey_responses[[#This Row],[Tôi tin rằng Nhà nước, cơ quan thuế sẽ thực thi chính sách mới một cách khách quan, công tâm và đối xử bình đẳng với mọi người nộp thuế.  - HUMAN-TRU1]]</f>
        <v>3</v>
      </c>
      <c r="X255">
        <f t="shared" si="97"/>
        <v>0.22222222222222221</v>
      </c>
      <c r="Y255">
        <f>step3_validation[[#This Row],[AI_TRU2]]</f>
        <v>8</v>
      </c>
      <c r="Z255">
        <f t="shared" si="98"/>
        <v>0.77777777777777779</v>
      </c>
      <c r="AA255">
        <f>survey_responses[[#This Row],[Tôi thấy mức thuế tôi phải đóng theo phương án mới là công bằng (người thu nhập như tôi đóng mức này là hợp lý). - HUMAN-TRU2]]</f>
        <v>6</v>
      </c>
      <c r="AB255">
        <f t="shared" si="99"/>
        <v>0.55555555555555558</v>
      </c>
      <c r="AC255">
        <f>step3_validation[[#This Row],[AI_TRU3]]</f>
        <v>7</v>
      </c>
      <c r="AD255">
        <f t="shared" si="100"/>
        <v>0.66666666666666663</v>
      </c>
      <c r="AE255">
        <f>survey_responses[[#This Row],[Tôi tin tưởng số tiền thuế tôi đóng sẽ được Nhà nước sử dụng hiệu quả để cải thiện dịch vụ công (y tế, đường xá...). - HUMAN-TRU3]]</f>
        <v>5</v>
      </c>
      <c r="AF255">
        <f t="shared" si="101"/>
        <v>0.44444444444444442</v>
      </c>
      <c r="AG255">
        <f>step3_validation[[#This Row],[AI_TRU4]]</f>
        <v>6</v>
      </c>
      <c r="AH255">
        <f t="shared" si="102"/>
        <v>0.55555555555555558</v>
      </c>
      <c r="AI255">
        <f>survey_responses[[#This Row],[Tôi thấy Nhà nước đã giải thích rõ ràng, minh bạch về lý do và mục tiêu của việc sửa đổi thuế lần này. - HUMAN-TRU4]]</f>
        <v>6</v>
      </c>
      <c r="AJ255">
        <f t="shared" si="103"/>
        <v>0.55555555555555558</v>
      </c>
      <c r="AK255" s="32">
        <f t="shared" si="104"/>
        <v>0.66666666666666674</v>
      </c>
      <c r="AL255" s="32">
        <f t="shared" si="105"/>
        <v>0.44444444444444448</v>
      </c>
      <c r="AM255" s="7">
        <f t="shared" si="106"/>
        <v>0.70370370370370372</v>
      </c>
      <c r="AN255" s="7">
        <f t="shared" si="107"/>
        <v>0.35185185185185186</v>
      </c>
      <c r="AO255">
        <f>step3_validation[[#This Row],[AI_OUT1]]</f>
        <v>7</v>
      </c>
      <c r="AP255">
        <f t="shared" si="108"/>
        <v>0.66666666666666663</v>
      </c>
      <c r="AQ255">
        <f>survey_responses[[#This Row],[Sau khi xem xét các quyền lợi và nghĩa vụ, bạn có ủng hộ và tuân thủ chính sách mới hiện nay? - HUMAN-OUT1]]</f>
        <v>6</v>
      </c>
      <c r="AR255">
        <f t="shared" si="109"/>
        <v>0.55555555555555558</v>
      </c>
      <c r="AS255" s="32">
        <f t="shared" si="110"/>
        <v>1</v>
      </c>
      <c r="AT255">
        <f t="shared" si="111"/>
        <v>1</v>
      </c>
    </row>
    <row r="256" spans="1:46" x14ac:dyDescent="0.45">
      <c r="A256">
        <f>step3_validation[[#This Row],[AI_ENF1]]</f>
        <v>7</v>
      </c>
      <c r="B256">
        <f t="shared" si="84"/>
        <v>0.66666666666666663</v>
      </c>
      <c r="C256">
        <f>survey_responses[[#This Row],[Tôi tin rằng với các quy định quản lý thuế hiện nay, hành vi gian lận hoặc trốn thuế sẽ dễ dàng bị phát hiện và xử lý nghiêm. - HUMAN-ENF1]]</f>
        <v>6</v>
      </c>
      <c r="D256">
        <f t="shared" si="85"/>
        <v>0.55555555555555558</v>
      </c>
      <c r="E256">
        <f>step3_validation[[#This Row],[AI_ENF2]]</f>
        <v>8</v>
      </c>
      <c r="F256">
        <f t="shared" si="86"/>
        <v>0.77777777777777779</v>
      </c>
      <c r="G256">
        <f>survey_responses[[#This Row],[Tôi tin rằng Nhà nước, cơ quan thuế có đủ khả năng và công nghệ để phát hiện, xử lý nghiêm các hành vi trốn thuế. - HUMAN-ENF2]]</f>
        <v>6</v>
      </c>
      <c r="H256">
        <f t="shared" si="87"/>
        <v>0.55555555555555558</v>
      </c>
      <c r="I256" s="32">
        <f t="shared" si="88"/>
        <v>0.72222222222222221</v>
      </c>
      <c r="J256" s="32">
        <f t="shared" si="89"/>
        <v>0.55555555555555558</v>
      </c>
      <c r="K256">
        <f>step3_validation[[#This Row],[AI_FAC1]]</f>
        <v>6</v>
      </c>
      <c r="L256">
        <f t="shared" si="90"/>
        <v>0.55555555555555558</v>
      </c>
      <c r="M256">
        <f>survey_responses[[#This Row],[Các thủ tục khai báo thuế VÀ/HOẶC quy trình làm việc với cơ quan thuế đơn giản, tiện lợi, nhanh chóng hơn so với trước đây. - HUMAN-FAC1]]</f>
        <v>1</v>
      </c>
      <c r="N256">
        <f t="shared" si="91"/>
        <v>0</v>
      </c>
      <c r="O256">
        <f>step3_validation[[#This Row],[AI_FAC2]]</f>
        <v>6</v>
      </c>
      <c r="P256">
        <f t="shared" si="92"/>
        <v>0.55555555555555558</v>
      </c>
      <c r="Q256">
        <f>survey_responses[[#This Row],[So với trước đây, tôi thấy cách tính thuế và các bậc thuế trong phương án mới đơn giản, dễ hiểu và dễ thực hiện hơn. - HUMAN-FAC2]]</f>
        <v>7</v>
      </c>
      <c r="R256">
        <f t="shared" si="93"/>
        <v>0.66666666666666663</v>
      </c>
      <c r="S256" s="32">
        <f t="shared" si="94"/>
        <v>0.55555555555555558</v>
      </c>
      <c r="T256" s="32">
        <f t="shared" si="95"/>
        <v>0.33333333333333331</v>
      </c>
      <c r="U256">
        <f>step3_validation[[#This Row],[AI_TRU1]]</f>
        <v>7</v>
      </c>
      <c r="V256">
        <f t="shared" si="96"/>
        <v>0.66666666666666663</v>
      </c>
      <c r="W256">
        <f>survey_responses[[#This Row],[Tôi tin rằng Nhà nước, cơ quan thuế sẽ thực thi chính sách mới một cách khách quan, công tâm và đối xử bình đẳng với mọi người nộp thuế.  - HUMAN-TRU1]]</f>
        <v>5</v>
      </c>
      <c r="X256">
        <f t="shared" si="97"/>
        <v>0.44444444444444442</v>
      </c>
      <c r="Y256">
        <f>step3_validation[[#This Row],[AI_TRU2]]</f>
        <v>6</v>
      </c>
      <c r="Z256">
        <f t="shared" si="98"/>
        <v>0.55555555555555558</v>
      </c>
      <c r="AA256">
        <f>survey_responses[[#This Row],[Tôi thấy mức thuế tôi phải đóng theo phương án mới là công bằng (người thu nhập như tôi đóng mức này là hợp lý). - HUMAN-TRU2]]</f>
        <v>6</v>
      </c>
      <c r="AB256">
        <f t="shared" si="99"/>
        <v>0.55555555555555558</v>
      </c>
      <c r="AC256">
        <f>step3_validation[[#This Row],[AI_TRU3]]</f>
        <v>7</v>
      </c>
      <c r="AD256">
        <f t="shared" si="100"/>
        <v>0.66666666666666663</v>
      </c>
      <c r="AE256">
        <f>survey_responses[[#This Row],[Tôi tin tưởng số tiền thuế tôi đóng sẽ được Nhà nước sử dụng hiệu quả để cải thiện dịch vụ công (y tế, đường xá...). - HUMAN-TRU3]]</f>
        <v>6</v>
      </c>
      <c r="AF256">
        <f t="shared" si="101"/>
        <v>0.55555555555555558</v>
      </c>
      <c r="AG256">
        <f>step3_validation[[#This Row],[AI_TRU4]]</f>
        <v>6</v>
      </c>
      <c r="AH256">
        <f t="shared" si="102"/>
        <v>0.55555555555555558</v>
      </c>
      <c r="AI256">
        <f>survey_responses[[#This Row],[Tôi thấy Nhà nước đã giải thích rõ ràng, minh bạch về lý do và mục tiêu của việc sửa đổi thuế lần này. - HUMAN-TRU4]]</f>
        <v>6</v>
      </c>
      <c r="AJ256">
        <f t="shared" si="103"/>
        <v>0.55555555555555558</v>
      </c>
      <c r="AK256" s="32">
        <f t="shared" si="104"/>
        <v>0.61111111111111116</v>
      </c>
      <c r="AL256" s="32">
        <f t="shared" si="105"/>
        <v>0.52777777777777779</v>
      </c>
      <c r="AM256" s="7">
        <f t="shared" si="106"/>
        <v>0.62962962962962965</v>
      </c>
      <c r="AN256" s="7">
        <f t="shared" si="107"/>
        <v>0.47222222222222215</v>
      </c>
      <c r="AO256">
        <f>step3_validation[[#This Row],[AI_OUT1]]</f>
        <v>6</v>
      </c>
      <c r="AP256">
        <f t="shared" si="108"/>
        <v>0.55555555555555558</v>
      </c>
      <c r="AQ256">
        <f>survey_responses[[#This Row],[Sau khi xem xét các quyền lợi và nghĩa vụ, bạn có ủng hộ và tuân thủ chính sách mới hiện nay? - HUMAN-OUT1]]</f>
        <v>6</v>
      </c>
      <c r="AR256">
        <f t="shared" si="109"/>
        <v>0.55555555555555558</v>
      </c>
      <c r="AS256" s="32">
        <f t="shared" si="110"/>
        <v>0</v>
      </c>
      <c r="AT256">
        <f t="shared" si="111"/>
        <v>1</v>
      </c>
    </row>
    <row r="257" spans="1:46" x14ac:dyDescent="0.45">
      <c r="A257">
        <f>step3_validation[[#This Row],[AI_ENF1]]</f>
        <v>7</v>
      </c>
      <c r="B257">
        <f t="shared" si="84"/>
        <v>0.66666666666666663</v>
      </c>
      <c r="C257">
        <f>survey_responses[[#This Row],[Tôi tin rằng với các quy định quản lý thuế hiện nay, hành vi gian lận hoặc trốn thuế sẽ dễ dàng bị phát hiện và xử lý nghiêm. - HUMAN-ENF1]]</f>
        <v>8</v>
      </c>
      <c r="D257">
        <f t="shared" si="85"/>
        <v>0.77777777777777779</v>
      </c>
      <c r="E257">
        <f>step3_validation[[#This Row],[AI_ENF2]]</f>
        <v>8</v>
      </c>
      <c r="F257">
        <f t="shared" si="86"/>
        <v>0.77777777777777779</v>
      </c>
      <c r="G257">
        <f>survey_responses[[#This Row],[Tôi tin rằng Nhà nước, cơ quan thuế có đủ khả năng và công nghệ để phát hiện, xử lý nghiêm các hành vi trốn thuế. - HUMAN-ENF2]]</f>
        <v>8</v>
      </c>
      <c r="H257">
        <f t="shared" si="87"/>
        <v>0.77777777777777779</v>
      </c>
      <c r="I257" s="32">
        <f t="shared" si="88"/>
        <v>0.72222222222222221</v>
      </c>
      <c r="J257" s="32">
        <f t="shared" si="89"/>
        <v>0.77777777777777779</v>
      </c>
      <c r="K257">
        <f>step3_validation[[#This Row],[AI_FAC1]]</f>
        <v>6</v>
      </c>
      <c r="L257">
        <f t="shared" si="90"/>
        <v>0.55555555555555558</v>
      </c>
      <c r="M257">
        <f>survey_responses[[#This Row],[Các thủ tục khai báo thuế VÀ/HOẶC quy trình làm việc với cơ quan thuế đơn giản, tiện lợi, nhanh chóng hơn so với trước đây. - HUMAN-FAC1]]</f>
        <v>5</v>
      </c>
      <c r="N257">
        <f t="shared" si="91"/>
        <v>0.44444444444444442</v>
      </c>
      <c r="O257">
        <f>step3_validation[[#This Row],[AI_FAC2]]</f>
        <v>8</v>
      </c>
      <c r="P257">
        <f t="shared" si="92"/>
        <v>0.77777777777777779</v>
      </c>
      <c r="Q257">
        <f>survey_responses[[#This Row],[So với trước đây, tôi thấy cách tính thuế và các bậc thuế trong phương án mới đơn giản, dễ hiểu và dễ thực hiện hơn. - HUMAN-FAC2]]</f>
        <v>8</v>
      </c>
      <c r="R257">
        <f t="shared" si="93"/>
        <v>0.77777777777777779</v>
      </c>
      <c r="S257" s="32">
        <f t="shared" si="94"/>
        <v>0.66666666666666674</v>
      </c>
      <c r="T257" s="32">
        <f t="shared" si="95"/>
        <v>0.61111111111111116</v>
      </c>
      <c r="U257">
        <f>step3_validation[[#This Row],[AI_TRU1]]</f>
        <v>7</v>
      </c>
      <c r="V257">
        <f t="shared" si="96"/>
        <v>0.66666666666666663</v>
      </c>
      <c r="W257">
        <f>survey_responses[[#This Row],[Tôi tin rằng Nhà nước, cơ quan thuế sẽ thực thi chính sách mới một cách khách quan, công tâm và đối xử bình đẳng với mọi người nộp thuế.  - HUMAN-TRU1]]</f>
        <v>8</v>
      </c>
      <c r="X257">
        <f t="shared" si="97"/>
        <v>0.77777777777777779</v>
      </c>
      <c r="Y257">
        <f>step3_validation[[#This Row],[AI_TRU2]]</f>
        <v>6</v>
      </c>
      <c r="Z257">
        <f t="shared" si="98"/>
        <v>0.55555555555555558</v>
      </c>
      <c r="AA257">
        <f>survey_responses[[#This Row],[Tôi thấy mức thuế tôi phải đóng theo phương án mới là công bằng (người thu nhập như tôi đóng mức này là hợp lý). - HUMAN-TRU2]]</f>
        <v>7</v>
      </c>
      <c r="AB257">
        <f t="shared" si="99"/>
        <v>0.66666666666666663</v>
      </c>
      <c r="AC257">
        <f>step3_validation[[#This Row],[AI_TRU3]]</f>
        <v>7</v>
      </c>
      <c r="AD257">
        <f t="shared" si="100"/>
        <v>0.66666666666666663</v>
      </c>
      <c r="AE257">
        <f>survey_responses[[#This Row],[Tôi tin tưởng số tiền thuế tôi đóng sẽ được Nhà nước sử dụng hiệu quả để cải thiện dịch vụ công (y tế, đường xá...). - HUMAN-TRU3]]</f>
        <v>7</v>
      </c>
      <c r="AF257">
        <f t="shared" si="101"/>
        <v>0.66666666666666663</v>
      </c>
      <c r="AG257">
        <f>step3_validation[[#This Row],[AI_TRU4]]</f>
        <v>5</v>
      </c>
      <c r="AH257">
        <f t="shared" si="102"/>
        <v>0.44444444444444442</v>
      </c>
      <c r="AI257">
        <f>survey_responses[[#This Row],[Tôi thấy Nhà nước đã giải thích rõ ràng, minh bạch về lý do và mục tiêu của việc sửa đổi thuế lần này. - HUMAN-TRU4]]</f>
        <v>7</v>
      </c>
      <c r="AJ257">
        <f t="shared" si="103"/>
        <v>0.66666666666666663</v>
      </c>
      <c r="AK257" s="32">
        <f t="shared" si="104"/>
        <v>0.58333333333333326</v>
      </c>
      <c r="AL257" s="32">
        <f t="shared" si="105"/>
        <v>0.69444444444444442</v>
      </c>
      <c r="AM257" s="7">
        <f t="shared" si="106"/>
        <v>0.65740740740740733</v>
      </c>
      <c r="AN257" s="7">
        <f t="shared" si="107"/>
        <v>0.69444444444444431</v>
      </c>
      <c r="AO257">
        <f>step3_validation[[#This Row],[AI_OUT1]]</f>
        <v>6</v>
      </c>
      <c r="AP257">
        <f t="shared" si="108"/>
        <v>0.55555555555555558</v>
      </c>
      <c r="AQ257">
        <f>survey_responses[[#This Row],[Sau khi xem xét các quyền lợi và nghĩa vụ, bạn có ủng hộ và tuân thủ chính sách mới hiện nay? - HUMAN-OUT1]]</f>
        <v>7</v>
      </c>
      <c r="AR257">
        <f t="shared" si="109"/>
        <v>0.66666666666666663</v>
      </c>
      <c r="AS257" s="32">
        <f t="shared" si="110"/>
        <v>1</v>
      </c>
      <c r="AT257">
        <f t="shared" si="111"/>
        <v>1</v>
      </c>
    </row>
    <row r="258" spans="1:46" x14ac:dyDescent="0.45">
      <c r="A258">
        <f>step3_validation[[#This Row],[AI_ENF1]]</f>
        <v>7</v>
      </c>
      <c r="B258">
        <f t="shared" si="84"/>
        <v>0.66666666666666663</v>
      </c>
      <c r="C258">
        <f>survey_responses[[#This Row],[Tôi tin rằng với các quy định quản lý thuế hiện nay, hành vi gian lận hoặc trốn thuế sẽ dễ dàng bị phát hiện và xử lý nghiêm. - HUMAN-ENF1]]</f>
        <v>7</v>
      </c>
      <c r="D258">
        <f t="shared" si="85"/>
        <v>0.66666666666666663</v>
      </c>
      <c r="E258">
        <f>step3_validation[[#This Row],[AI_ENF2]]</f>
        <v>6</v>
      </c>
      <c r="F258">
        <f t="shared" si="86"/>
        <v>0.55555555555555558</v>
      </c>
      <c r="G258">
        <f>survey_responses[[#This Row],[Tôi tin rằng Nhà nước, cơ quan thuế có đủ khả năng và công nghệ để phát hiện, xử lý nghiêm các hành vi trốn thuế. - HUMAN-ENF2]]</f>
        <v>8</v>
      </c>
      <c r="H258">
        <f t="shared" si="87"/>
        <v>0.77777777777777779</v>
      </c>
      <c r="I258" s="32">
        <f t="shared" si="88"/>
        <v>0.61111111111111116</v>
      </c>
      <c r="J258" s="32">
        <f t="shared" si="89"/>
        <v>0.72222222222222221</v>
      </c>
      <c r="K258">
        <f>step3_validation[[#This Row],[AI_FAC1]]</f>
        <v>8</v>
      </c>
      <c r="L258">
        <f t="shared" si="90"/>
        <v>0.77777777777777779</v>
      </c>
      <c r="M258">
        <f>survey_responses[[#This Row],[Các thủ tục khai báo thuế VÀ/HOẶC quy trình làm việc với cơ quan thuế đơn giản, tiện lợi, nhanh chóng hơn so với trước đây. - HUMAN-FAC1]]</f>
        <v>4</v>
      </c>
      <c r="N258">
        <f t="shared" si="91"/>
        <v>0.33333333333333331</v>
      </c>
      <c r="O258">
        <f>step3_validation[[#This Row],[AI_FAC2]]</f>
        <v>9</v>
      </c>
      <c r="P258">
        <f t="shared" si="92"/>
        <v>0.88888888888888884</v>
      </c>
      <c r="Q258">
        <f>survey_responses[[#This Row],[So với trước đây, tôi thấy cách tính thuế và các bậc thuế trong phương án mới đơn giản, dễ hiểu và dễ thực hiện hơn. - HUMAN-FAC2]]</f>
        <v>8</v>
      </c>
      <c r="R258">
        <f t="shared" si="93"/>
        <v>0.77777777777777779</v>
      </c>
      <c r="S258" s="32">
        <f t="shared" si="94"/>
        <v>0.83333333333333326</v>
      </c>
      <c r="T258" s="32">
        <f t="shared" si="95"/>
        <v>0.55555555555555558</v>
      </c>
      <c r="U258">
        <f>step3_validation[[#This Row],[AI_TRU1]]</f>
        <v>7</v>
      </c>
      <c r="V258">
        <f t="shared" si="96"/>
        <v>0.66666666666666663</v>
      </c>
      <c r="W258">
        <f>survey_responses[[#This Row],[Tôi tin rằng Nhà nước, cơ quan thuế sẽ thực thi chính sách mới một cách khách quan, công tâm và đối xử bình đẳng với mọi người nộp thuế.  - HUMAN-TRU1]]</f>
        <v>5</v>
      </c>
      <c r="X258">
        <f t="shared" si="97"/>
        <v>0.44444444444444442</v>
      </c>
      <c r="Y258">
        <f>step3_validation[[#This Row],[AI_TRU2]]</f>
        <v>6</v>
      </c>
      <c r="Z258">
        <f t="shared" si="98"/>
        <v>0.55555555555555558</v>
      </c>
      <c r="AA258">
        <f>survey_responses[[#This Row],[Tôi thấy mức thuế tôi phải đóng theo phương án mới là công bằng (người thu nhập như tôi đóng mức này là hợp lý). - HUMAN-TRU2]]</f>
        <v>7</v>
      </c>
      <c r="AB258">
        <f t="shared" si="99"/>
        <v>0.66666666666666663</v>
      </c>
      <c r="AC258">
        <f>step3_validation[[#This Row],[AI_TRU3]]</f>
        <v>7</v>
      </c>
      <c r="AD258">
        <f t="shared" si="100"/>
        <v>0.66666666666666663</v>
      </c>
      <c r="AE258">
        <f>survey_responses[[#This Row],[Tôi tin tưởng số tiền thuế tôi đóng sẽ được Nhà nước sử dụng hiệu quả để cải thiện dịch vụ công (y tế, đường xá...). - HUMAN-TRU3]]</f>
        <v>5</v>
      </c>
      <c r="AF258">
        <f t="shared" si="101"/>
        <v>0.44444444444444442</v>
      </c>
      <c r="AG258">
        <f>step3_validation[[#This Row],[AI_TRU4]]</f>
        <v>5</v>
      </c>
      <c r="AH258">
        <f t="shared" si="102"/>
        <v>0.44444444444444442</v>
      </c>
      <c r="AI258">
        <f>survey_responses[[#This Row],[Tôi thấy Nhà nước đã giải thích rõ ràng, minh bạch về lý do và mục tiêu của việc sửa đổi thuế lần này. - HUMAN-TRU4]]</f>
        <v>6</v>
      </c>
      <c r="AJ258">
        <f t="shared" si="103"/>
        <v>0.55555555555555558</v>
      </c>
      <c r="AK258" s="32">
        <f t="shared" si="104"/>
        <v>0.58333333333333326</v>
      </c>
      <c r="AL258" s="32">
        <f t="shared" si="105"/>
        <v>0.52777777777777779</v>
      </c>
      <c r="AM258" s="7">
        <f t="shared" si="106"/>
        <v>0.67592592592592593</v>
      </c>
      <c r="AN258" s="7">
        <f t="shared" si="107"/>
        <v>0.60185185185185175</v>
      </c>
      <c r="AO258">
        <f>step3_validation[[#This Row],[AI_OUT1]]</f>
        <v>6</v>
      </c>
      <c r="AP258">
        <f t="shared" si="108"/>
        <v>0.55555555555555558</v>
      </c>
      <c r="AQ258">
        <f>survey_responses[[#This Row],[Sau khi xem xét các quyền lợi và nghĩa vụ, bạn có ủng hộ và tuân thủ chính sách mới hiện nay? - HUMAN-OUT1]]</f>
        <v>6</v>
      </c>
      <c r="AR258">
        <f t="shared" si="109"/>
        <v>0.55555555555555558</v>
      </c>
      <c r="AS258" s="32">
        <f t="shared" si="110"/>
        <v>0</v>
      </c>
      <c r="AT258">
        <f t="shared" si="111"/>
        <v>1</v>
      </c>
    </row>
    <row r="259" spans="1:46" x14ac:dyDescent="0.45">
      <c r="A259">
        <f>step3_validation[[#This Row],[AI_ENF1]]</f>
        <v>7</v>
      </c>
      <c r="B259">
        <f t="shared" ref="B259:B322" si="112">(A259-1)/9</f>
        <v>0.66666666666666663</v>
      </c>
      <c r="C259">
        <f>survey_responses[[#This Row],[Tôi tin rằng với các quy định quản lý thuế hiện nay, hành vi gian lận hoặc trốn thuế sẽ dễ dàng bị phát hiện và xử lý nghiêm. - HUMAN-ENF1]]</f>
        <v>6</v>
      </c>
      <c r="D259">
        <f t="shared" ref="D259:D322" si="113">(C259-1)/9</f>
        <v>0.55555555555555558</v>
      </c>
      <c r="E259">
        <f>step3_validation[[#This Row],[AI_ENF2]]</f>
        <v>8</v>
      </c>
      <c r="F259">
        <f t="shared" ref="F259:F322" si="114">(E259-1)/9</f>
        <v>0.77777777777777779</v>
      </c>
      <c r="G259">
        <f>survey_responses[[#This Row],[Tôi tin rằng Nhà nước, cơ quan thuế có đủ khả năng và công nghệ để phát hiện, xử lý nghiêm các hành vi trốn thuế. - HUMAN-ENF2]]</f>
        <v>7</v>
      </c>
      <c r="H259">
        <f t="shared" ref="H259:H322" si="115">(G259-1)/9</f>
        <v>0.66666666666666663</v>
      </c>
      <c r="I259" s="32">
        <f t="shared" ref="I259:I322" si="116">AVERAGE(B259,F259)</f>
        <v>0.72222222222222221</v>
      </c>
      <c r="J259" s="32">
        <f t="shared" ref="J259:J322" si="117">AVERAGE(D259,H259)</f>
        <v>0.61111111111111116</v>
      </c>
      <c r="K259">
        <f>step3_validation[[#This Row],[AI_FAC1]]</f>
        <v>9</v>
      </c>
      <c r="L259">
        <f t="shared" ref="L259:L322" si="118">(K259-1)/9</f>
        <v>0.88888888888888884</v>
      </c>
      <c r="M259">
        <f>survey_responses[[#This Row],[Các thủ tục khai báo thuế VÀ/HOẶC quy trình làm việc với cơ quan thuế đơn giản, tiện lợi, nhanh chóng hơn so với trước đây. - HUMAN-FAC1]]</f>
        <v>2</v>
      </c>
      <c r="N259">
        <f t="shared" ref="N259:N322" si="119">(M259-1)/9</f>
        <v>0.1111111111111111</v>
      </c>
      <c r="O259">
        <f>step3_validation[[#This Row],[AI_FAC2]]</f>
        <v>8</v>
      </c>
      <c r="P259">
        <f t="shared" ref="P259:P322" si="120">(O259-1)/9</f>
        <v>0.77777777777777779</v>
      </c>
      <c r="Q259">
        <f>survey_responses[[#This Row],[So với trước đây, tôi thấy cách tính thuế và các bậc thuế trong phương án mới đơn giản, dễ hiểu và dễ thực hiện hơn. - HUMAN-FAC2]]</f>
        <v>7</v>
      </c>
      <c r="R259">
        <f t="shared" ref="R259:R322" si="121">(Q259-1)/9</f>
        <v>0.66666666666666663</v>
      </c>
      <c r="S259" s="32">
        <f t="shared" ref="S259:S322" si="122">AVERAGE(L259,P259)</f>
        <v>0.83333333333333326</v>
      </c>
      <c r="T259" s="32">
        <f t="shared" ref="T259:T322" si="123">AVERAGE(N259,R259)</f>
        <v>0.38888888888888884</v>
      </c>
      <c r="U259">
        <f>step3_validation[[#This Row],[AI_TRU1]]</f>
        <v>9</v>
      </c>
      <c r="V259">
        <f t="shared" ref="V259:V322" si="124">(U259-1)/9</f>
        <v>0.88888888888888884</v>
      </c>
      <c r="W259">
        <f>survey_responses[[#This Row],[Tôi tin rằng Nhà nước, cơ quan thuế sẽ thực thi chính sách mới một cách khách quan, công tâm và đối xử bình đẳng với mọi người nộp thuế.  - HUMAN-TRU1]]</f>
        <v>5</v>
      </c>
      <c r="X259">
        <f t="shared" ref="X259:X322" si="125">(W259-1)/9</f>
        <v>0.44444444444444442</v>
      </c>
      <c r="Y259">
        <f>step3_validation[[#This Row],[AI_TRU2]]</f>
        <v>7</v>
      </c>
      <c r="Z259">
        <f t="shared" ref="Z259:Z322" si="126">(Y259-1)/9</f>
        <v>0.66666666666666663</v>
      </c>
      <c r="AA259">
        <f>survey_responses[[#This Row],[Tôi thấy mức thuế tôi phải đóng theo phương án mới là công bằng (người thu nhập như tôi đóng mức này là hợp lý). - HUMAN-TRU2]]</f>
        <v>5</v>
      </c>
      <c r="AB259">
        <f t="shared" ref="AB259:AB322" si="127">(AA259-1)/9</f>
        <v>0.44444444444444442</v>
      </c>
      <c r="AC259">
        <f>step3_validation[[#This Row],[AI_TRU3]]</f>
        <v>8</v>
      </c>
      <c r="AD259">
        <f t="shared" ref="AD259:AD322" si="128">(AC259-1)/9</f>
        <v>0.77777777777777779</v>
      </c>
      <c r="AE259">
        <f>survey_responses[[#This Row],[Tôi tin tưởng số tiền thuế tôi đóng sẽ được Nhà nước sử dụng hiệu quả để cải thiện dịch vụ công (y tế, đường xá...). - HUMAN-TRU3]]</f>
        <v>5</v>
      </c>
      <c r="AF259">
        <f t="shared" ref="AF259:AF322" si="129">(AE259-1)/9</f>
        <v>0.44444444444444442</v>
      </c>
      <c r="AG259">
        <f>step3_validation[[#This Row],[AI_TRU4]]</f>
        <v>6</v>
      </c>
      <c r="AH259">
        <f t="shared" ref="AH259:AH322" si="130">(AG259-1)/9</f>
        <v>0.55555555555555558</v>
      </c>
      <c r="AI259">
        <f>survey_responses[[#This Row],[Tôi thấy Nhà nước đã giải thích rõ ràng, minh bạch về lý do và mục tiêu của việc sửa đổi thuế lần này. - HUMAN-TRU4]]</f>
        <v>6</v>
      </c>
      <c r="AJ259">
        <f t="shared" ref="AJ259:AJ322" si="131">(AI259-1)/9</f>
        <v>0.55555555555555558</v>
      </c>
      <c r="AK259" s="32">
        <f t="shared" ref="AK259:AK322" si="132">AVERAGE(V259,Z259,AD259,AH259)</f>
        <v>0.7222222222222221</v>
      </c>
      <c r="AL259" s="32">
        <f t="shared" ref="AL259:AL322" si="133">AVERAGE(X259,AB259,AF259,AJ259)</f>
        <v>0.47222222222222221</v>
      </c>
      <c r="AM259" s="7">
        <f t="shared" ref="AM259:AM322" si="134">(I259+S259+AK259)/3</f>
        <v>0.75925925925925919</v>
      </c>
      <c r="AN259" s="7">
        <f t="shared" ref="AN259:AN322" si="135">(J259+T259+AL259)/3</f>
        <v>0.49074074074074076</v>
      </c>
      <c r="AO259">
        <f>step3_validation[[#This Row],[AI_OUT1]]</f>
        <v>6</v>
      </c>
      <c r="AP259">
        <f t="shared" ref="AP259:AP322" si="136">(AO259-1)/9</f>
        <v>0.55555555555555558</v>
      </c>
      <c r="AQ259">
        <f>survey_responses[[#This Row],[Sau khi xem xét các quyền lợi và nghĩa vụ, bạn có ủng hộ và tuân thủ chính sách mới hiện nay? - HUMAN-OUT1]]</f>
        <v>5</v>
      </c>
      <c r="AR259">
        <f t="shared" ref="AR259:AR322" si="137">(AQ259-1)/9</f>
        <v>0.44444444444444442</v>
      </c>
      <c r="AS259" s="32">
        <f t="shared" ref="AS259:AS322" si="138">ABS(AQ259-AO259)</f>
        <v>1</v>
      </c>
      <c r="AT259">
        <f t="shared" ref="AT259:AT322" si="139">IF(AQ259&gt;=6,1,0)</f>
        <v>0</v>
      </c>
    </row>
    <row r="260" spans="1:46" x14ac:dyDescent="0.45">
      <c r="A260">
        <f>step3_validation[[#This Row],[AI_ENF1]]</f>
        <v>7</v>
      </c>
      <c r="B260">
        <f t="shared" si="112"/>
        <v>0.66666666666666663</v>
      </c>
      <c r="C260">
        <f>survey_responses[[#This Row],[Tôi tin rằng với các quy định quản lý thuế hiện nay, hành vi gian lận hoặc trốn thuế sẽ dễ dàng bị phát hiện và xử lý nghiêm. - HUMAN-ENF1]]</f>
        <v>2</v>
      </c>
      <c r="D260">
        <f t="shared" si="113"/>
        <v>0.1111111111111111</v>
      </c>
      <c r="E260">
        <f>step3_validation[[#This Row],[AI_ENF2]]</f>
        <v>6</v>
      </c>
      <c r="F260">
        <f t="shared" si="114"/>
        <v>0.55555555555555558</v>
      </c>
      <c r="G260">
        <f>survey_responses[[#This Row],[Tôi tin rằng Nhà nước, cơ quan thuế có đủ khả năng và công nghệ để phát hiện, xử lý nghiêm các hành vi trốn thuế. - HUMAN-ENF2]]</f>
        <v>1</v>
      </c>
      <c r="H260">
        <f t="shared" si="115"/>
        <v>0</v>
      </c>
      <c r="I260" s="32">
        <f t="shared" si="116"/>
        <v>0.61111111111111116</v>
      </c>
      <c r="J260" s="32">
        <f t="shared" si="117"/>
        <v>5.5555555555555552E-2</v>
      </c>
      <c r="K260">
        <f>step3_validation[[#This Row],[AI_FAC1]]</f>
        <v>8</v>
      </c>
      <c r="L260">
        <f t="shared" si="118"/>
        <v>0.77777777777777779</v>
      </c>
      <c r="M260">
        <f>survey_responses[[#This Row],[Các thủ tục khai báo thuế VÀ/HOẶC quy trình làm việc với cơ quan thuế đơn giản, tiện lợi, nhanh chóng hơn so với trước đây. - HUMAN-FAC1]]</f>
        <v>1</v>
      </c>
      <c r="N260">
        <f t="shared" si="119"/>
        <v>0</v>
      </c>
      <c r="O260">
        <f>step3_validation[[#This Row],[AI_FAC2]]</f>
        <v>9</v>
      </c>
      <c r="P260">
        <f t="shared" si="120"/>
        <v>0.88888888888888884</v>
      </c>
      <c r="Q260">
        <f>survey_responses[[#This Row],[So với trước đây, tôi thấy cách tính thuế và các bậc thuế trong phương án mới đơn giản, dễ hiểu và dễ thực hiện hơn. - HUMAN-FAC2]]</f>
        <v>6</v>
      </c>
      <c r="R260">
        <f t="shared" si="121"/>
        <v>0.55555555555555558</v>
      </c>
      <c r="S260" s="32">
        <f t="shared" si="122"/>
        <v>0.83333333333333326</v>
      </c>
      <c r="T260" s="32">
        <f t="shared" si="123"/>
        <v>0.27777777777777779</v>
      </c>
      <c r="U260">
        <f>step3_validation[[#This Row],[AI_TRU1]]</f>
        <v>7</v>
      </c>
      <c r="V260">
        <f t="shared" si="124"/>
        <v>0.66666666666666663</v>
      </c>
      <c r="W260">
        <f>survey_responses[[#This Row],[Tôi tin rằng Nhà nước, cơ quan thuế sẽ thực thi chính sách mới một cách khách quan, công tâm và đối xử bình đẳng với mọi người nộp thuế.  - HUMAN-TRU1]]</f>
        <v>2</v>
      </c>
      <c r="X260">
        <f t="shared" si="125"/>
        <v>0.1111111111111111</v>
      </c>
      <c r="Y260">
        <f>step3_validation[[#This Row],[AI_TRU2]]</f>
        <v>6</v>
      </c>
      <c r="Z260">
        <f t="shared" si="126"/>
        <v>0.55555555555555558</v>
      </c>
      <c r="AA260">
        <f>survey_responses[[#This Row],[Tôi thấy mức thuế tôi phải đóng theo phương án mới là công bằng (người thu nhập như tôi đóng mức này là hợp lý). - HUMAN-TRU2]]</f>
        <v>3</v>
      </c>
      <c r="AB260">
        <f t="shared" si="127"/>
        <v>0.22222222222222221</v>
      </c>
      <c r="AC260">
        <f>step3_validation[[#This Row],[AI_TRU3]]</f>
        <v>7</v>
      </c>
      <c r="AD260">
        <f t="shared" si="128"/>
        <v>0.66666666666666663</v>
      </c>
      <c r="AE260">
        <f>survey_responses[[#This Row],[Tôi tin tưởng số tiền thuế tôi đóng sẽ được Nhà nước sử dụng hiệu quả để cải thiện dịch vụ công (y tế, đường xá...). - HUMAN-TRU3]]</f>
        <v>1</v>
      </c>
      <c r="AF260">
        <f t="shared" si="129"/>
        <v>0</v>
      </c>
      <c r="AG260">
        <f>step3_validation[[#This Row],[AI_TRU4]]</f>
        <v>5</v>
      </c>
      <c r="AH260">
        <f t="shared" si="130"/>
        <v>0.44444444444444442</v>
      </c>
      <c r="AI260">
        <f>survey_responses[[#This Row],[Tôi thấy Nhà nước đã giải thích rõ ràng, minh bạch về lý do và mục tiêu của việc sửa đổi thuế lần này. - HUMAN-TRU4]]</f>
        <v>5</v>
      </c>
      <c r="AJ260">
        <f t="shared" si="131"/>
        <v>0.44444444444444442</v>
      </c>
      <c r="AK260" s="32">
        <f t="shared" si="132"/>
        <v>0.58333333333333326</v>
      </c>
      <c r="AL260" s="32">
        <f t="shared" si="133"/>
        <v>0.19444444444444442</v>
      </c>
      <c r="AM260" s="7">
        <f t="shared" si="134"/>
        <v>0.67592592592592593</v>
      </c>
      <c r="AN260" s="7">
        <f t="shared" si="135"/>
        <v>0.17592592592592593</v>
      </c>
      <c r="AO260">
        <f>step3_validation[[#This Row],[AI_OUT1]]</f>
        <v>6</v>
      </c>
      <c r="AP260">
        <f t="shared" si="136"/>
        <v>0.55555555555555558</v>
      </c>
      <c r="AQ260">
        <f>survey_responses[[#This Row],[Sau khi xem xét các quyền lợi và nghĩa vụ, bạn có ủng hộ và tuân thủ chính sách mới hiện nay? - HUMAN-OUT1]]</f>
        <v>4</v>
      </c>
      <c r="AR260">
        <f t="shared" si="137"/>
        <v>0.33333333333333331</v>
      </c>
      <c r="AS260" s="32">
        <f t="shared" si="138"/>
        <v>2</v>
      </c>
      <c r="AT260">
        <f t="shared" si="139"/>
        <v>0</v>
      </c>
    </row>
    <row r="261" spans="1:46" x14ac:dyDescent="0.45">
      <c r="A261">
        <f>step3_validation[[#This Row],[AI_ENF1]]</f>
        <v>9</v>
      </c>
      <c r="B261">
        <f t="shared" si="112"/>
        <v>0.88888888888888884</v>
      </c>
      <c r="C261">
        <f>survey_responses[[#This Row],[Tôi tin rằng với các quy định quản lý thuế hiện nay, hành vi gian lận hoặc trốn thuế sẽ dễ dàng bị phát hiện và xử lý nghiêm. - HUMAN-ENF1]]</f>
        <v>6</v>
      </c>
      <c r="D261">
        <f t="shared" si="113"/>
        <v>0.55555555555555558</v>
      </c>
      <c r="E261">
        <f>step3_validation[[#This Row],[AI_ENF2]]</f>
        <v>8</v>
      </c>
      <c r="F261">
        <f t="shared" si="114"/>
        <v>0.77777777777777779</v>
      </c>
      <c r="G261">
        <f>survey_responses[[#This Row],[Tôi tin rằng Nhà nước, cơ quan thuế có đủ khả năng và công nghệ để phát hiện, xử lý nghiêm các hành vi trốn thuế. - HUMAN-ENF2]]</f>
        <v>6</v>
      </c>
      <c r="H261">
        <f t="shared" si="115"/>
        <v>0.55555555555555558</v>
      </c>
      <c r="I261" s="32">
        <f t="shared" si="116"/>
        <v>0.83333333333333326</v>
      </c>
      <c r="J261" s="32">
        <f t="shared" si="117"/>
        <v>0.55555555555555558</v>
      </c>
      <c r="K261">
        <f>step3_validation[[#This Row],[AI_FAC1]]</f>
        <v>9</v>
      </c>
      <c r="L261">
        <f t="shared" si="118"/>
        <v>0.88888888888888884</v>
      </c>
      <c r="M261">
        <f>survey_responses[[#This Row],[Các thủ tục khai báo thuế VÀ/HOẶC quy trình làm việc với cơ quan thuế đơn giản, tiện lợi, nhanh chóng hơn so với trước đây. - HUMAN-FAC1]]</f>
        <v>7</v>
      </c>
      <c r="N261">
        <f t="shared" si="119"/>
        <v>0.66666666666666663</v>
      </c>
      <c r="O261">
        <f>step3_validation[[#This Row],[AI_FAC2]]</f>
        <v>8</v>
      </c>
      <c r="P261">
        <f t="shared" si="120"/>
        <v>0.77777777777777779</v>
      </c>
      <c r="Q261">
        <f>survey_responses[[#This Row],[So với trước đây, tôi thấy cách tính thuế và các bậc thuế trong phương án mới đơn giản, dễ hiểu và dễ thực hiện hơn. - HUMAN-FAC2]]</f>
        <v>6</v>
      </c>
      <c r="R261">
        <f t="shared" si="121"/>
        <v>0.55555555555555558</v>
      </c>
      <c r="S261" s="32">
        <f t="shared" si="122"/>
        <v>0.83333333333333326</v>
      </c>
      <c r="T261" s="32">
        <f t="shared" si="123"/>
        <v>0.61111111111111116</v>
      </c>
      <c r="U261">
        <f>step3_validation[[#This Row],[AI_TRU1]]</f>
        <v>9</v>
      </c>
      <c r="V261">
        <f t="shared" si="124"/>
        <v>0.88888888888888884</v>
      </c>
      <c r="W261">
        <f>survey_responses[[#This Row],[Tôi tin rằng Nhà nước, cơ quan thuế sẽ thực thi chính sách mới một cách khách quan, công tâm và đối xử bình đẳng với mọi người nộp thuế.  - HUMAN-TRU1]]</f>
        <v>5</v>
      </c>
      <c r="X261">
        <f t="shared" si="125"/>
        <v>0.44444444444444442</v>
      </c>
      <c r="Y261">
        <f>step3_validation[[#This Row],[AI_TRU2]]</f>
        <v>7</v>
      </c>
      <c r="Z261">
        <f t="shared" si="126"/>
        <v>0.66666666666666663</v>
      </c>
      <c r="AA261">
        <f>survey_responses[[#This Row],[Tôi thấy mức thuế tôi phải đóng theo phương án mới là công bằng (người thu nhập như tôi đóng mức này là hợp lý). - HUMAN-TRU2]]</f>
        <v>6</v>
      </c>
      <c r="AB261">
        <f t="shared" si="127"/>
        <v>0.55555555555555558</v>
      </c>
      <c r="AC261">
        <f>step3_validation[[#This Row],[AI_TRU3]]</f>
        <v>8</v>
      </c>
      <c r="AD261">
        <f t="shared" si="128"/>
        <v>0.77777777777777779</v>
      </c>
      <c r="AE261">
        <f>survey_responses[[#This Row],[Tôi tin tưởng số tiền thuế tôi đóng sẽ được Nhà nước sử dụng hiệu quả để cải thiện dịch vụ công (y tế, đường xá...). - HUMAN-TRU3]]</f>
        <v>5</v>
      </c>
      <c r="AF261">
        <f t="shared" si="129"/>
        <v>0.44444444444444442</v>
      </c>
      <c r="AG261">
        <f>step3_validation[[#This Row],[AI_TRU4]]</f>
        <v>6</v>
      </c>
      <c r="AH261">
        <f t="shared" si="130"/>
        <v>0.55555555555555558</v>
      </c>
      <c r="AI261">
        <f>survey_responses[[#This Row],[Tôi thấy Nhà nước đã giải thích rõ ràng, minh bạch về lý do và mục tiêu của việc sửa đổi thuế lần này. - HUMAN-TRU4]]</f>
        <v>6</v>
      </c>
      <c r="AJ261">
        <f t="shared" si="131"/>
        <v>0.55555555555555558</v>
      </c>
      <c r="AK261" s="32">
        <f t="shared" si="132"/>
        <v>0.7222222222222221</v>
      </c>
      <c r="AL261" s="32">
        <f t="shared" si="133"/>
        <v>0.5</v>
      </c>
      <c r="AM261" s="7">
        <f t="shared" si="134"/>
        <v>0.79629629629629617</v>
      </c>
      <c r="AN261" s="7">
        <f t="shared" si="135"/>
        <v>0.55555555555555558</v>
      </c>
      <c r="AO261">
        <f>step3_validation[[#This Row],[AI_OUT1]]</f>
        <v>8</v>
      </c>
      <c r="AP261">
        <f t="shared" si="136"/>
        <v>0.77777777777777779</v>
      </c>
      <c r="AQ261">
        <f>survey_responses[[#This Row],[Sau khi xem xét các quyền lợi và nghĩa vụ, bạn có ủng hộ và tuân thủ chính sách mới hiện nay? - HUMAN-OUT1]]</f>
        <v>6</v>
      </c>
      <c r="AR261">
        <f t="shared" si="137"/>
        <v>0.55555555555555558</v>
      </c>
      <c r="AS261" s="32">
        <f t="shared" si="138"/>
        <v>2</v>
      </c>
      <c r="AT261">
        <f t="shared" si="139"/>
        <v>1</v>
      </c>
    </row>
    <row r="262" spans="1:46" x14ac:dyDescent="0.45">
      <c r="A262">
        <f>step3_validation[[#This Row],[AI_ENF1]]</f>
        <v>7</v>
      </c>
      <c r="B262">
        <f t="shared" si="112"/>
        <v>0.66666666666666663</v>
      </c>
      <c r="C262">
        <f>survey_responses[[#This Row],[Tôi tin rằng với các quy định quản lý thuế hiện nay, hành vi gian lận hoặc trốn thuế sẽ dễ dàng bị phát hiện và xử lý nghiêm. - HUMAN-ENF1]]</f>
        <v>6</v>
      </c>
      <c r="D262">
        <f t="shared" si="113"/>
        <v>0.55555555555555558</v>
      </c>
      <c r="E262">
        <f>step3_validation[[#This Row],[AI_ENF2]]</f>
        <v>8</v>
      </c>
      <c r="F262">
        <f t="shared" si="114"/>
        <v>0.77777777777777779</v>
      </c>
      <c r="G262">
        <f>survey_responses[[#This Row],[Tôi tin rằng Nhà nước, cơ quan thuế có đủ khả năng và công nghệ để phát hiện, xử lý nghiêm các hành vi trốn thuế. - HUMAN-ENF2]]</f>
        <v>7</v>
      </c>
      <c r="H262">
        <f t="shared" si="115"/>
        <v>0.66666666666666663</v>
      </c>
      <c r="I262" s="32">
        <f t="shared" si="116"/>
        <v>0.72222222222222221</v>
      </c>
      <c r="J262" s="32">
        <f t="shared" si="117"/>
        <v>0.61111111111111116</v>
      </c>
      <c r="K262">
        <f>step3_validation[[#This Row],[AI_FAC1]]</f>
        <v>9</v>
      </c>
      <c r="L262">
        <f t="shared" si="118"/>
        <v>0.88888888888888884</v>
      </c>
      <c r="M262">
        <f>survey_responses[[#This Row],[Các thủ tục khai báo thuế VÀ/HOẶC quy trình làm việc với cơ quan thuế đơn giản, tiện lợi, nhanh chóng hơn so với trước đây. - HUMAN-FAC1]]</f>
        <v>1</v>
      </c>
      <c r="N262">
        <f t="shared" si="119"/>
        <v>0</v>
      </c>
      <c r="O262">
        <f>step3_validation[[#This Row],[AI_FAC2]]</f>
        <v>7</v>
      </c>
      <c r="P262">
        <f t="shared" si="120"/>
        <v>0.66666666666666663</v>
      </c>
      <c r="Q262">
        <f>survey_responses[[#This Row],[So với trước đây, tôi thấy cách tính thuế và các bậc thuế trong phương án mới đơn giản, dễ hiểu và dễ thực hiện hơn. - HUMAN-FAC2]]</f>
        <v>9</v>
      </c>
      <c r="R262">
        <f t="shared" si="121"/>
        <v>0.88888888888888884</v>
      </c>
      <c r="S262" s="32">
        <f t="shared" si="122"/>
        <v>0.77777777777777768</v>
      </c>
      <c r="T262" s="32">
        <f t="shared" si="123"/>
        <v>0.44444444444444442</v>
      </c>
      <c r="U262">
        <f>step3_validation[[#This Row],[AI_TRU1]]</f>
        <v>6</v>
      </c>
      <c r="V262">
        <f t="shared" si="124"/>
        <v>0.55555555555555558</v>
      </c>
      <c r="W262">
        <f>survey_responses[[#This Row],[Tôi tin rằng Nhà nước, cơ quan thuế sẽ thực thi chính sách mới một cách khách quan, công tâm và đối xử bình đẳng với mọi người nộp thuế.  - HUMAN-TRU1]]</f>
        <v>5</v>
      </c>
      <c r="X262">
        <f t="shared" si="125"/>
        <v>0.44444444444444442</v>
      </c>
      <c r="Y262">
        <f>step3_validation[[#This Row],[AI_TRU2]]</f>
        <v>7</v>
      </c>
      <c r="Z262">
        <f t="shared" si="126"/>
        <v>0.66666666666666663</v>
      </c>
      <c r="AA262">
        <f>survey_responses[[#This Row],[Tôi thấy mức thuế tôi phải đóng theo phương án mới là công bằng (người thu nhập như tôi đóng mức này là hợp lý). - HUMAN-TRU2]]</f>
        <v>4</v>
      </c>
      <c r="AB262">
        <f t="shared" si="127"/>
        <v>0.33333333333333331</v>
      </c>
      <c r="AC262">
        <f>step3_validation[[#This Row],[AI_TRU3]]</f>
        <v>5</v>
      </c>
      <c r="AD262">
        <f t="shared" si="128"/>
        <v>0.44444444444444442</v>
      </c>
      <c r="AE262">
        <f>survey_responses[[#This Row],[Tôi tin tưởng số tiền thuế tôi đóng sẽ được Nhà nước sử dụng hiệu quả để cải thiện dịch vụ công (y tế, đường xá...). - HUMAN-TRU3]]</f>
        <v>4</v>
      </c>
      <c r="AF262">
        <f t="shared" si="129"/>
        <v>0.33333333333333331</v>
      </c>
      <c r="AG262">
        <f>step3_validation[[#This Row],[AI_TRU4]]</f>
        <v>6</v>
      </c>
      <c r="AH262">
        <f t="shared" si="130"/>
        <v>0.55555555555555558</v>
      </c>
      <c r="AI262">
        <f>survey_responses[[#This Row],[Tôi thấy Nhà nước đã giải thích rõ ràng, minh bạch về lý do và mục tiêu của việc sửa đổi thuế lần này. - HUMAN-TRU4]]</f>
        <v>5</v>
      </c>
      <c r="AJ262">
        <f t="shared" si="131"/>
        <v>0.44444444444444442</v>
      </c>
      <c r="AK262" s="32">
        <f t="shared" si="132"/>
        <v>0.55555555555555558</v>
      </c>
      <c r="AL262" s="32">
        <f t="shared" si="133"/>
        <v>0.38888888888888884</v>
      </c>
      <c r="AM262" s="7">
        <f t="shared" si="134"/>
        <v>0.68518518518518512</v>
      </c>
      <c r="AN262" s="7">
        <f t="shared" si="135"/>
        <v>0.48148148148148145</v>
      </c>
      <c r="AO262">
        <f>step3_validation[[#This Row],[AI_OUT1]]</f>
        <v>7</v>
      </c>
      <c r="AP262">
        <f t="shared" si="136"/>
        <v>0.66666666666666663</v>
      </c>
      <c r="AQ262">
        <f>survey_responses[[#This Row],[Sau khi xem xét các quyền lợi và nghĩa vụ, bạn có ủng hộ và tuân thủ chính sách mới hiện nay? - HUMAN-OUT1]]</f>
        <v>5</v>
      </c>
      <c r="AR262">
        <f t="shared" si="137"/>
        <v>0.44444444444444442</v>
      </c>
      <c r="AS262" s="32">
        <f t="shared" si="138"/>
        <v>2</v>
      </c>
      <c r="AT262">
        <f t="shared" si="139"/>
        <v>0</v>
      </c>
    </row>
    <row r="263" spans="1:46" x14ac:dyDescent="0.45">
      <c r="A263">
        <f>step3_validation[[#This Row],[AI_ENF1]]</f>
        <v>6</v>
      </c>
      <c r="B263">
        <f t="shared" si="112"/>
        <v>0.55555555555555558</v>
      </c>
      <c r="C263">
        <f>survey_responses[[#This Row],[Tôi tin rằng với các quy định quản lý thuế hiện nay, hành vi gian lận hoặc trốn thuế sẽ dễ dàng bị phát hiện và xử lý nghiêm. - HUMAN-ENF1]]</f>
        <v>9</v>
      </c>
      <c r="D263">
        <f t="shared" si="113"/>
        <v>0.88888888888888884</v>
      </c>
      <c r="E263">
        <f>step3_validation[[#This Row],[AI_ENF2]]</f>
        <v>7</v>
      </c>
      <c r="F263">
        <f t="shared" si="114"/>
        <v>0.66666666666666663</v>
      </c>
      <c r="G263">
        <f>survey_responses[[#This Row],[Tôi tin rằng Nhà nước, cơ quan thuế có đủ khả năng và công nghệ để phát hiện, xử lý nghiêm các hành vi trốn thuế. - HUMAN-ENF2]]</f>
        <v>9</v>
      </c>
      <c r="H263">
        <f t="shared" si="115"/>
        <v>0.88888888888888884</v>
      </c>
      <c r="I263" s="32">
        <f t="shared" si="116"/>
        <v>0.61111111111111116</v>
      </c>
      <c r="J263" s="32">
        <f t="shared" si="117"/>
        <v>0.88888888888888884</v>
      </c>
      <c r="K263">
        <f>step3_validation[[#This Row],[AI_FAC1]]</f>
        <v>8</v>
      </c>
      <c r="L263">
        <f t="shared" si="118"/>
        <v>0.77777777777777779</v>
      </c>
      <c r="M263">
        <f>survey_responses[[#This Row],[Các thủ tục khai báo thuế VÀ/HOẶC quy trình làm việc với cơ quan thuế đơn giản, tiện lợi, nhanh chóng hơn so với trước đây. - HUMAN-FAC1]]</f>
        <v>8</v>
      </c>
      <c r="N263">
        <f t="shared" si="119"/>
        <v>0.77777777777777779</v>
      </c>
      <c r="O263">
        <f>step3_validation[[#This Row],[AI_FAC2]]</f>
        <v>8</v>
      </c>
      <c r="P263">
        <f t="shared" si="120"/>
        <v>0.77777777777777779</v>
      </c>
      <c r="Q263">
        <f>survey_responses[[#This Row],[So với trước đây, tôi thấy cách tính thuế và các bậc thuế trong phương án mới đơn giản, dễ hiểu và dễ thực hiện hơn. - HUMAN-FAC2]]</f>
        <v>9</v>
      </c>
      <c r="R263">
        <f t="shared" si="121"/>
        <v>0.88888888888888884</v>
      </c>
      <c r="S263" s="32">
        <f t="shared" si="122"/>
        <v>0.77777777777777779</v>
      </c>
      <c r="T263" s="32">
        <f t="shared" si="123"/>
        <v>0.83333333333333326</v>
      </c>
      <c r="U263">
        <f>step3_validation[[#This Row],[AI_TRU1]]</f>
        <v>7</v>
      </c>
      <c r="V263">
        <f t="shared" si="124"/>
        <v>0.66666666666666663</v>
      </c>
      <c r="W263">
        <f>survey_responses[[#This Row],[Tôi tin rằng Nhà nước, cơ quan thuế sẽ thực thi chính sách mới một cách khách quan, công tâm và đối xử bình đẳng với mọi người nộp thuế.  - HUMAN-TRU1]]</f>
        <v>8</v>
      </c>
      <c r="X263">
        <f t="shared" si="125"/>
        <v>0.77777777777777779</v>
      </c>
      <c r="Y263">
        <f>step3_validation[[#This Row],[AI_TRU2]]</f>
        <v>7</v>
      </c>
      <c r="Z263">
        <f t="shared" si="126"/>
        <v>0.66666666666666663</v>
      </c>
      <c r="AA263">
        <f>survey_responses[[#This Row],[Tôi thấy mức thuế tôi phải đóng theo phương án mới là công bằng (người thu nhập như tôi đóng mức này là hợp lý). - HUMAN-TRU2]]</f>
        <v>9</v>
      </c>
      <c r="AB263">
        <f t="shared" si="127"/>
        <v>0.88888888888888884</v>
      </c>
      <c r="AC263">
        <f>step3_validation[[#This Row],[AI_TRU3]]</f>
        <v>7</v>
      </c>
      <c r="AD263">
        <f t="shared" si="128"/>
        <v>0.66666666666666663</v>
      </c>
      <c r="AE263">
        <f>survey_responses[[#This Row],[Tôi tin tưởng số tiền thuế tôi đóng sẽ được Nhà nước sử dụng hiệu quả để cải thiện dịch vụ công (y tế, đường xá...). - HUMAN-TRU3]]</f>
        <v>9</v>
      </c>
      <c r="AF263">
        <f t="shared" si="129"/>
        <v>0.88888888888888884</v>
      </c>
      <c r="AG263">
        <f>step3_validation[[#This Row],[AI_TRU4]]</f>
        <v>6</v>
      </c>
      <c r="AH263">
        <f t="shared" si="130"/>
        <v>0.55555555555555558</v>
      </c>
      <c r="AI263">
        <f>survey_responses[[#This Row],[Tôi thấy Nhà nước đã giải thích rõ ràng, minh bạch về lý do và mục tiêu của việc sửa đổi thuế lần này. - HUMAN-TRU4]]</f>
        <v>8</v>
      </c>
      <c r="AJ263">
        <f t="shared" si="131"/>
        <v>0.77777777777777779</v>
      </c>
      <c r="AK263" s="32">
        <f t="shared" si="132"/>
        <v>0.63888888888888884</v>
      </c>
      <c r="AL263" s="32">
        <f t="shared" si="133"/>
        <v>0.83333333333333326</v>
      </c>
      <c r="AM263" s="7">
        <f t="shared" si="134"/>
        <v>0.67592592592592593</v>
      </c>
      <c r="AN263" s="7">
        <f t="shared" si="135"/>
        <v>0.85185185185185175</v>
      </c>
      <c r="AO263">
        <f>step3_validation[[#This Row],[AI_OUT1]]</f>
        <v>7</v>
      </c>
      <c r="AP263">
        <f t="shared" si="136"/>
        <v>0.66666666666666663</v>
      </c>
      <c r="AQ263">
        <f>survey_responses[[#This Row],[Sau khi xem xét các quyền lợi và nghĩa vụ, bạn có ủng hộ và tuân thủ chính sách mới hiện nay? - HUMAN-OUT1]]</f>
        <v>8</v>
      </c>
      <c r="AR263">
        <f t="shared" si="137"/>
        <v>0.77777777777777779</v>
      </c>
      <c r="AS263" s="32">
        <f t="shared" si="138"/>
        <v>1</v>
      </c>
      <c r="AT263">
        <f t="shared" si="139"/>
        <v>1</v>
      </c>
    </row>
    <row r="264" spans="1:46" x14ac:dyDescent="0.45">
      <c r="A264">
        <f>step3_validation[[#This Row],[AI_ENF1]]</f>
        <v>8</v>
      </c>
      <c r="B264">
        <f t="shared" si="112"/>
        <v>0.77777777777777779</v>
      </c>
      <c r="C264">
        <f>survey_responses[[#This Row],[Tôi tin rằng với các quy định quản lý thuế hiện nay, hành vi gian lận hoặc trốn thuế sẽ dễ dàng bị phát hiện và xử lý nghiêm. - HUMAN-ENF1]]</f>
        <v>8</v>
      </c>
      <c r="D264">
        <f t="shared" si="113"/>
        <v>0.77777777777777779</v>
      </c>
      <c r="E264">
        <f>step3_validation[[#This Row],[AI_ENF2]]</f>
        <v>7</v>
      </c>
      <c r="F264">
        <f t="shared" si="114"/>
        <v>0.66666666666666663</v>
      </c>
      <c r="G264">
        <f>survey_responses[[#This Row],[Tôi tin rằng Nhà nước, cơ quan thuế có đủ khả năng và công nghệ để phát hiện, xử lý nghiêm các hành vi trốn thuế. - HUMAN-ENF2]]</f>
        <v>8</v>
      </c>
      <c r="H264">
        <f t="shared" si="115"/>
        <v>0.77777777777777779</v>
      </c>
      <c r="I264" s="32">
        <f t="shared" si="116"/>
        <v>0.72222222222222221</v>
      </c>
      <c r="J264" s="32">
        <f t="shared" si="117"/>
        <v>0.77777777777777779</v>
      </c>
      <c r="K264">
        <f>step3_validation[[#This Row],[AI_FAC1]]</f>
        <v>9</v>
      </c>
      <c r="L264">
        <f t="shared" si="118"/>
        <v>0.88888888888888884</v>
      </c>
      <c r="M264">
        <f>survey_responses[[#This Row],[Các thủ tục khai báo thuế VÀ/HOẶC quy trình làm việc với cơ quan thuế đơn giản, tiện lợi, nhanh chóng hơn so với trước đây. - HUMAN-FAC1]]</f>
        <v>5</v>
      </c>
      <c r="N264">
        <f t="shared" si="119"/>
        <v>0.44444444444444442</v>
      </c>
      <c r="O264">
        <f>step3_validation[[#This Row],[AI_FAC2]]</f>
        <v>8</v>
      </c>
      <c r="P264">
        <f t="shared" si="120"/>
        <v>0.77777777777777779</v>
      </c>
      <c r="Q264">
        <f>survey_responses[[#This Row],[So với trước đây, tôi thấy cách tính thuế và các bậc thuế trong phương án mới đơn giản, dễ hiểu và dễ thực hiện hơn. - HUMAN-FAC2]]</f>
        <v>7</v>
      </c>
      <c r="R264">
        <f t="shared" si="121"/>
        <v>0.66666666666666663</v>
      </c>
      <c r="S264" s="32">
        <f t="shared" si="122"/>
        <v>0.83333333333333326</v>
      </c>
      <c r="T264" s="32">
        <f t="shared" si="123"/>
        <v>0.55555555555555558</v>
      </c>
      <c r="U264">
        <f>step3_validation[[#This Row],[AI_TRU1]]</f>
        <v>7</v>
      </c>
      <c r="V264">
        <f t="shared" si="124"/>
        <v>0.66666666666666663</v>
      </c>
      <c r="W264">
        <f>survey_responses[[#This Row],[Tôi tin rằng Nhà nước, cơ quan thuế sẽ thực thi chính sách mới một cách khách quan, công tâm và đối xử bình đẳng với mọi người nộp thuế.  - HUMAN-TRU1]]</f>
        <v>7</v>
      </c>
      <c r="X264">
        <f t="shared" si="125"/>
        <v>0.66666666666666663</v>
      </c>
      <c r="Y264">
        <f>step3_validation[[#This Row],[AI_TRU2]]</f>
        <v>6</v>
      </c>
      <c r="Z264">
        <f t="shared" si="126"/>
        <v>0.55555555555555558</v>
      </c>
      <c r="AA264">
        <f>survey_responses[[#This Row],[Tôi thấy mức thuế tôi phải đóng theo phương án mới là công bằng (người thu nhập như tôi đóng mức này là hợp lý). - HUMAN-TRU2]]</f>
        <v>5</v>
      </c>
      <c r="AB264">
        <f t="shared" si="127"/>
        <v>0.44444444444444442</v>
      </c>
      <c r="AC264">
        <f>step3_validation[[#This Row],[AI_TRU3]]</f>
        <v>5</v>
      </c>
      <c r="AD264">
        <f t="shared" si="128"/>
        <v>0.44444444444444442</v>
      </c>
      <c r="AE264">
        <f>survey_responses[[#This Row],[Tôi tin tưởng số tiền thuế tôi đóng sẽ được Nhà nước sử dụng hiệu quả để cải thiện dịch vụ công (y tế, đường xá...). - HUMAN-TRU3]]</f>
        <v>5</v>
      </c>
      <c r="AF264">
        <f t="shared" si="129"/>
        <v>0.44444444444444442</v>
      </c>
      <c r="AG264">
        <f>step3_validation[[#This Row],[AI_TRU4]]</f>
        <v>6</v>
      </c>
      <c r="AH264">
        <f t="shared" si="130"/>
        <v>0.55555555555555558</v>
      </c>
      <c r="AI264">
        <f>survey_responses[[#This Row],[Tôi thấy Nhà nước đã giải thích rõ ràng, minh bạch về lý do và mục tiêu của việc sửa đổi thuế lần này. - HUMAN-TRU4]]</f>
        <v>6</v>
      </c>
      <c r="AJ264">
        <f t="shared" si="131"/>
        <v>0.55555555555555558</v>
      </c>
      <c r="AK264" s="32">
        <f t="shared" si="132"/>
        <v>0.55555555555555558</v>
      </c>
      <c r="AL264" s="32">
        <f t="shared" si="133"/>
        <v>0.52777777777777779</v>
      </c>
      <c r="AM264" s="7">
        <f t="shared" si="134"/>
        <v>0.70370370370370361</v>
      </c>
      <c r="AN264" s="7">
        <f t="shared" si="135"/>
        <v>0.62037037037037035</v>
      </c>
      <c r="AO264">
        <f>step3_validation[[#This Row],[AI_OUT1]]</f>
        <v>7</v>
      </c>
      <c r="AP264">
        <f t="shared" si="136"/>
        <v>0.66666666666666663</v>
      </c>
      <c r="AQ264">
        <f>survey_responses[[#This Row],[Sau khi xem xét các quyền lợi và nghĩa vụ, bạn có ủng hộ và tuân thủ chính sách mới hiện nay? - HUMAN-OUT1]]</f>
        <v>6</v>
      </c>
      <c r="AR264">
        <f t="shared" si="137"/>
        <v>0.55555555555555558</v>
      </c>
      <c r="AS264" s="32">
        <f t="shared" si="138"/>
        <v>1</v>
      </c>
      <c r="AT264">
        <f t="shared" si="139"/>
        <v>1</v>
      </c>
    </row>
    <row r="265" spans="1:46" x14ac:dyDescent="0.45">
      <c r="A265">
        <f>step3_validation[[#This Row],[AI_ENF1]]</f>
        <v>8</v>
      </c>
      <c r="B265">
        <f t="shared" si="112"/>
        <v>0.77777777777777779</v>
      </c>
      <c r="C265">
        <f>survey_responses[[#This Row],[Tôi tin rằng với các quy định quản lý thuế hiện nay, hành vi gian lận hoặc trốn thuế sẽ dễ dàng bị phát hiện và xử lý nghiêm. - HUMAN-ENF1]]</f>
        <v>7</v>
      </c>
      <c r="D265">
        <f t="shared" si="113"/>
        <v>0.66666666666666663</v>
      </c>
      <c r="E265">
        <f>step3_validation[[#This Row],[AI_ENF2]]</f>
        <v>7</v>
      </c>
      <c r="F265">
        <f t="shared" si="114"/>
        <v>0.66666666666666663</v>
      </c>
      <c r="G265">
        <f>survey_responses[[#This Row],[Tôi tin rằng Nhà nước, cơ quan thuế có đủ khả năng và công nghệ để phát hiện, xử lý nghiêm các hành vi trốn thuế. - HUMAN-ENF2]]</f>
        <v>7</v>
      </c>
      <c r="H265">
        <f t="shared" si="115"/>
        <v>0.66666666666666663</v>
      </c>
      <c r="I265" s="32">
        <f t="shared" si="116"/>
        <v>0.72222222222222221</v>
      </c>
      <c r="J265" s="32">
        <f t="shared" si="117"/>
        <v>0.66666666666666663</v>
      </c>
      <c r="K265">
        <f>step3_validation[[#This Row],[AI_FAC1]]</f>
        <v>9</v>
      </c>
      <c r="L265">
        <f t="shared" si="118"/>
        <v>0.88888888888888884</v>
      </c>
      <c r="M265">
        <f>survey_responses[[#This Row],[Các thủ tục khai báo thuế VÀ/HOẶC quy trình làm việc với cơ quan thuế đơn giản, tiện lợi, nhanh chóng hơn so với trước đây. - HUMAN-FAC1]]</f>
        <v>7</v>
      </c>
      <c r="N265">
        <f t="shared" si="119"/>
        <v>0.66666666666666663</v>
      </c>
      <c r="O265">
        <f>step3_validation[[#This Row],[AI_FAC2]]</f>
        <v>8</v>
      </c>
      <c r="P265">
        <f t="shared" si="120"/>
        <v>0.77777777777777779</v>
      </c>
      <c r="Q265">
        <f>survey_responses[[#This Row],[So với trước đây, tôi thấy cách tính thuế và các bậc thuế trong phương án mới đơn giản, dễ hiểu và dễ thực hiện hơn. - HUMAN-FAC2]]</f>
        <v>8</v>
      </c>
      <c r="R265">
        <f t="shared" si="121"/>
        <v>0.77777777777777779</v>
      </c>
      <c r="S265" s="32">
        <f t="shared" si="122"/>
        <v>0.83333333333333326</v>
      </c>
      <c r="T265" s="32">
        <f t="shared" si="123"/>
        <v>0.72222222222222221</v>
      </c>
      <c r="U265">
        <f>step3_validation[[#This Row],[AI_TRU1]]</f>
        <v>7</v>
      </c>
      <c r="V265">
        <f t="shared" si="124"/>
        <v>0.66666666666666663</v>
      </c>
      <c r="W265">
        <f>survey_responses[[#This Row],[Tôi tin rằng Nhà nước, cơ quan thuế sẽ thực thi chính sách mới một cách khách quan, công tâm và đối xử bình đẳng với mọi người nộp thuế.  - HUMAN-TRU1]]</f>
        <v>7</v>
      </c>
      <c r="X265">
        <f t="shared" si="125"/>
        <v>0.66666666666666663</v>
      </c>
      <c r="Y265">
        <f>step3_validation[[#This Row],[AI_TRU2]]</f>
        <v>8</v>
      </c>
      <c r="Z265">
        <f t="shared" si="126"/>
        <v>0.77777777777777779</v>
      </c>
      <c r="AA265">
        <f>survey_responses[[#This Row],[Tôi thấy mức thuế tôi phải đóng theo phương án mới là công bằng (người thu nhập như tôi đóng mức này là hợp lý). - HUMAN-TRU2]]</f>
        <v>7</v>
      </c>
      <c r="AB265">
        <f t="shared" si="127"/>
        <v>0.66666666666666663</v>
      </c>
      <c r="AC265">
        <f>step3_validation[[#This Row],[AI_TRU3]]</f>
        <v>7</v>
      </c>
      <c r="AD265">
        <f t="shared" si="128"/>
        <v>0.66666666666666663</v>
      </c>
      <c r="AE265">
        <f>survey_responses[[#This Row],[Tôi tin tưởng số tiền thuế tôi đóng sẽ được Nhà nước sử dụng hiệu quả để cải thiện dịch vụ công (y tế, đường xá...). - HUMAN-TRU3]]</f>
        <v>7</v>
      </c>
      <c r="AF265">
        <f t="shared" si="129"/>
        <v>0.66666666666666663</v>
      </c>
      <c r="AG265">
        <f>step3_validation[[#This Row],[AI_TRU4]]</f>
        <v>6</v>
      </c>
      <c r="AH265">
        <f t="shared" si="130"/>
        <v>0.55555555555555558</v>
      </c>
      <c r="AI265">
        <f>survey_responses[[#This Row],[Tôi thấy Nhà nước đã giải thích rõ ràng, minh bạch về lý do và mục tiêu của việc sửa đổi thuế lần này. - HUMAN-TRU4]]</f>
        <v>7</v>
      </c>
      <c r="AJ265">
        <f t="shared" si="131"/>
        <v>0.66666666666666663</v>
      </c>
      <c r="AK265" s="32">
        <f t="shared" si="132"/>
        <v>0.66666666666666674</v>
      </c>
      <c r="AL265" s="32">
        <f t="shared" si="133"/>
        <v>0.66666666666666663</v>
      </c>
      <c r="AM265" s="7">
        <f t="shared" si="134"/>
        <v>0.74074074074074081</v>
      </c>
      <c r="AN265" s="7">
        <f t="shared" si="135"/>
        <v>0.68518518518518512</v>
      </c>
      <c r="AO265">
        <f>step3_validation[[#This Row],[AI_OUT1]]</f>
        <v>8</v>
      </c>
      <c r="AP265">
        <f t="shared" si="136"/>
        <v>0.77777777777777779</v>
      </c>
      <c r="AQ265">
        <f>survey_responses[[#This Row],[Sau khi xem xét các quyền lợi và nghĩa vụ, bạn có ủng hộ và tuân thủ chính sách mới hiện nay? - HUMAN-OUT1]]</f>
        <v>7</v>
      </c>
      <c r="AR265">
        <f t="shared" si="137"/>
        <v>0.66666666666666663</v>
      </c>
      <c r="AS265" s="32">
        <f t="shared" si="138"/>
        <v>1</v>
      </c>
      <c r="AT265">
        <f t="shared" si="139"/>
        <v>1</v>
      </c>
    </row>
    <row r="266" spans="1:46" x14ac:dyDescent="0.45">
      <c r="A266">
        <f>step3_validation[[#This Row],[AI_ENF1]]</f>
        <v>7</v>
      </c>
      <c r="B266">
        <f t="shared" si="112"/>
        <v>0.66666666666666663</v>
      </c>
      <c r="C266">
        <f>survey_responses[[#This Row],[Tôi tin rằng với các quy định quản lý thuế hiện nay, hành vi gian lận hoặc trốn thuế sẽ dễ dàng bị phát hiện và xử lý nghiêm. - HUMAN-ENF1]]</f>
        <v>6</v>
      </c>
      <c r="D266">
        <f t="shared" si="113"/>
        <v>0.55555555555555558</v>
      </c>
      <c r="E266">
        <f>step3_validation[[#This Row],[AI_ENF2]]</f>
        <v>6</v>
      </c>
      <c r="F266">
        <f t="shared" si="114"/>
        <v>0.55555555555555558</v>
      </c>
      <c r="G266">
        <f>survey_responses[[#This Row],[Tôi tin rằng Nhà nước, cơ quan thuế có đủ khả năng và công nghệ để phát hiện, xử lý nghiêm các hành vi trốn thuế. - HUMAN-ENF2]]</f>
        <v>5</v>
      </c>
      <c r="H266">
        <f t="shared" si="115"/>
        <v>0.44444444444444442</v>
      </c>
      <c r="I266" s="32">
        <f t="shared" si="116"/>
        <v>0.61111111111111116</v>
      </c>
      <c r="J266" s="32">
        <f t="shared" si="117"/>
        <v>0.5</v>
      </c>
      <c r="K266">
        <f>step3_validation[[#This Row],[AI_FAC1]]</f>
        <v>8</v>
      </c>
      <c r="L266">
        <f t="shared" si="118"/>
        <v>0.77777777777777779</v>
      </c>
      <c r="M266">
        <f>survey_responses[[#This Row],[Các thủ tục khai báo thuế VÀ/HOẶC quy trình làm việc với cơ quan thuế đơn giản, tiện lợi, nhanh chóng hơn so với trước đây. - HUMAN-FAC1]]</f>
        <v>5</v>
      </c>
      <c r="N266">
        <f t="shared" si="119"/>
        <v>0.44444444444444442</v>
      </c>
      <c r="O266">
        <f>step3_validation[[#This Row],[AI_FAC2]]</f>
        <v>8</v>
      </c>
      <c r="P266">
        <f t="shared" si="120"/>
        <v>0.77777777777777779</v>
      </c>
      <c r="Q266">
        <f>survey_responses[[#This Row],[So với trước đây, tôi thấy cách tính thuế và các bậc thuế trong phương án mới đơn giản, dễ hiểu và dễ thực hiện hơn. - HUMAN-FAC2]]</f>
        <v>7</v>
      </c>
      <c r="R266">
        <f t="shared" si="121"/>
        <v>0.66666666666666663</v>
      </c>
      <c r="S266" s="32">
        <f t="shared" si="122"/>
        <v>0.77777777777777779</v>
      </c>
      <c r="T266" s="32">
        <f t="shared" si="123"/>
        <v>0.55555555555555558</v>
      </c>
      <c r="U266">
        <f>step3_validation[[#This Row],[AI_TRU1]]</f>
        <v>7</v>
      </c>
      <c r="V266">
        <f t="shared" si="124"/>
        <v>0.66666666666666663</v>
      </c>
      <c r="W266">
        <f>survey_responses[[#This Row],[Tôi tin rằng Nhà nước, cơ quan thuế sẽ thực thi chính sách mới một cách khách quan, công tâm và đối xử bình đẳng với mọi người nộp thuế.  - HUMAN-TRU1]]</f>
        <v>6</v>
      </c>
      <c r="X266">
        <f t="shared" si="125"/>
        <v>0.55555555555555558</v>
      </c>
      <c r="Y266">
        <f>step3_validation[[#This Row],[AI_TRU2]]</f>
        <v>7</v>
      </c>
      <c r="Z266">
        <f t="shared" si="126"/>
        <v>0.66666666666666663</v>
      </c>
      <c r="AA266">
        <f>survey_responses[[#This Row],[Tôi thấy mức thuế tôi phải đóng theo phương án mới là công bằng (người thu nhập như tôi đóng mức này là hợp lý). - HUMAN-TRU2]]</f>
        <v>7</v>
      </c>
      <c r="AB266">
        <f t="shared" si="127"/>
        <v>0.66666666666666663</v>
      </c>
      <c r="AC266">
        <f>step3_validation[[#This Row],[AI_TRU3]]</f>
        <v>7</v>
      </c>
      <c r="AD266">
        <f t="shared" si="128"/>
        <v>0.66666666666666663</v>
      </c>
      <c r="AE266">
        <f>survey_responses[[#This Row],[Tôi tin tưởng số tiền thuế tôi đóng sẽ được Nhà nước sử dụng hiệu quả để cải thiện dịch vụ công (y tế, đường xá...). - HUMAN-TRU3]]</f>
        <v>5</v>
      </c>
      <c r="AF266">
        <f t="shared" si="129"/>
        <v>0.44444444444444442</v>
      </c>
      <c r="AG266">
        <f>step3_validation[[#This Row],[AI_TRU4]]</f>
        <v>6</v>
      </c>
      <c r="AH266">
        <f t="shared" si="130"/>
        <v>0.55555555555555558</v>
      </c>
      <c r="AI266">
        <f>survey_responses[[#This Row],[Tôi thấy Nhà nước đã giải thích rõ ràng, minh bạch về lý do và mục tiêu của việc sửa đổi thuế lần này. - HUMAN-TRU4]]</f>
        <v>6</v>
      </c>
      <c r="AJ266">
        <f t="shared" si="131"/>
        <v>0.55555555555555558</v>
      </c>
      <c r="AK266" s="32">
        <f t="shared" si="132"/>
        <v>0.63888888888888884</v>
      </c>
      <c r="AL266" s="32">
        <f t="shared" si="133"/>
        <v>0.55555555555555558</v>
      </c>
      <c r="AM266" s="7">
        <f t="shared" si="134"/>
        <v>0.67592592592592593</v>
      </c>
      <c r="AN266" s="7">
        <f t="shared" si="135"/>
        <v>0.53703703703703709</v>
      </c>
      <c r="AO266">
        <f>step3_validation[[#This Row],[AI_OUT1]]</f>
        <v>7</v>
      </c>
      <c r="AP266">
        <f t="shared" si="136"/>
        <v>0.66666666666666663</v>
      </c>
      <c r="AQ266">
        <f>survey_responses[[#This Row],[Sau khi xem xét các quyền lợi và nghĩa vụ, bạn có ủng hộ và tuân thủ chính sách mới hiện nay? - HUMAN-OUT1]]</f>
        <v>6</v>
      </c>
      <c r="AR266">
        <f t="shared" si="137"/>
        <v>0.55555555555555558</v>
      </c>
      <c r="AS266" s="32">
        <f t="shared" si="138"/>
        <v>1</v>
      </c>
      <c r="AT266">
        <f t="shared" si="139"/>
        <v>1</v>
      </c>
    </row>
    <row r="267" spans="1:46" x14ac:dyDescent="0.45">
      <c r="A267">
        <f>step3_validation[[#This Row],[AI_ENF1]]</f>
        <v>7</v>
      </c>
      <c r="B267">
        <f t="shared" si="112"/>
        <v>0.66666666666666663</v>
      </c>
      <c r="C267">
        <f>survey_responses[[#This Row],[Tôi tin rằng với các quy định quản lý thuế hiện nay, hành vi gian lận hoặc trốn thuế sẽ dễ dàng bị phát hiện và xử lý nghiêm. - HUMAN-ENF1]]</f>
        <v>7</v>
      </c>
      <c r="D267">
        <f t="shared" si="113"/>
        <v>0.66666666666666663</v>
      </c>
      <c r="E267">
        <f>step3_validation[[#This Row],[AI_ENF2]]</f>
        <v>6</v>
      </c>
      <c r="F267">
        <f t="shared" si="114"/>
        <v>0.55555555555555558</v>
      </c>
      <c r="G267">
        <f>survey_responses[[#This Row],[Tôi tin rằng Nhà nước, cơ quan thuế có đủ khả năng và công nghệ để phát hiện, xử lý nghiêm các hành vi trốn thuế. - HUMAN-ENF2]]</f>
        <v>6</v>
      </c>
      <c r="H267">
        <f t="shared" si="115"/>
        <v>0.55555555555555558</v>
      </c>
      <c r="I267" s="32">
        <f t="shared" si="116"/>
        <v>0.61111111111111116</v>
      </c>
      <c r="J267" s="32">
        <f t="shared" si="117"/>
        <v>0.61111111111111116</v>
      </c>
      <c r="K267">
        <f>step3_validation[[#This Row],[AI_FAC1]]</f>
        <v>8</v>
      </c>
      <c r="L267">
        <f t="shared" si="118"/>
        <v>0.77777777777777779</v>
      </c>
      <c r="M267">
        <f>survey_responses[[#This Row],[Các thủ tục khai báo thuế VÀ/HOẶC quy trình làm việc với cơ quan thuế đơn giản, tiện lợi, nhanh chóng hơn so với trước đây. - HUMAN-FAC1]]</f>
        <v>6</v>
      </c>
      <c r="N267">
        <f t="shared" si="119"/>
        <v>0.55555555555555558</v>
      </c>
      <c r="O267">
        <f>step3_validation[[#This Row],[AI_FAC2]]</f>
        <v>7</v>
      </c>
      <c r="P267">
        <f t="shared" si="120"/>
        <v>0.66666666666666663</v>
      </c>
      <c r="Q267">
        <f>survey_responses[[#This Row],[So với trước đây, tôi thấy cách tính thuế và các bậc thuế trong phương án mới đơn giản, dễ hiểu và dễ thực hiện hơn. - HUMAN-FAC2]]</f>
        <v>6</v>
      </c>
      <c r="R267">
        <f t="shared" si="121"/>
        <v>0.55555555555555558</v>
      </c>
      <c r="S267" s="32">
        <f t="shared" si="122"/>
        <v>0.72222222222222221</v>
      </c>
      <c r="T267" s="32">
        <f t="shared" si="123"/>
        <v>0.55555555555555558</v>
      </c>
      <c r="U267">
        <f>step3_validation[[#This Row],[AI_TRU1]]</f>
        <v>8</v>
      </c>
      <c r="V267">
        <f t="shared" si="124"/>
        <v>0.77777777777777779</v>
      </c>
      <c r="W267">
        <f>survey_responses[[#This Row],[Tôi tin rằng Nhà nước, cơ quan thuế sẽ thực thi chính sách mới một cách khách quan, công tâm và đối xử bình đẳng với mọi người nộp thuế.  - HUMAN-TRU1]]</f>
        <v>7</v>
      </c>
      <c r="X267">
        <f t="shared" si="125"/>
        <v>0.66666666666666663</v>
      </c>
      <c r="Y267">
        <f>step3_validation[[#This Row],[AI_TRU2]]</f>
        <v>7</v>
      </c>
      <c r="Z267">
        <f t="shared" si="126"/>
        <v>0.66666666666666663</v>
      </c>
      <c r="AA267">
        <f>survey_responses[[#This Row],[Tôi thấy mức thuế tôi phải đóng theo phương án mới là công bằng (người thu nhập như tôi đóng mức này là hợp lý). - HUMAN-TRU2]]</f>
        <v>7</v>
      </c>
      <c r="AB267">
        <f t="shared" si="127"/>
        <v>0.66666666666666663</v>
      </c>
      <c r="AC267">
        <f>step3_validation[[#This Row],[AI_TRU3]]</f>
        <v>6</v>
      </c>
      <c r="AD267">
        <f t="shared" si="128"/>
        <v>0.55555555555555558</v>
      </c>
      <c r="AE267">
        <f>survey_responses[[#This Row],[Tôi tin tưởng số tiền thuế tôi đóng sẽ được Nhà nước sử dụng hiệu quả để cải thiện dịch vụ công (y tế, đường xá...). - HUMAN-TRU3]]</f>
        <v>7</v>
      </c>
      <c r="AF267">
        <f t="shared" si="129"/>
        <v>0.66666666666666663</v>
      </c>
      <c r="AG267">
        <f>step3_validation[[#This Row],[AI_TRU4]]</f>
        <v>5</v>
      </c>
      <c r="AH267">
        <f t="shared" si="130"/>
        <v>0.44444444444444442</v>
      </c>
      <c r="AI267">
        <f>survey_responses[[#This Row],[Tôi thấy Nhà nước đã giải thích rõ ràng, minh bạch về lý do và mục tiêu của việc sửa đổi thuế lần này. - HUMAN-TRU4]]</f>
        <v>7</v>
      </c>
      <c r="AJ267">
        <f t="shared" si="131"/>
        <v>0.66666666666666663</v>
      </c>
      <c r="AK267" s="32">
        <f t="shared" si="132"/>
        <v>0.61111111111111116</v>
      </c>
      <c r="AL267" s="32">
        <f t="shared" si="133"/>
        <v>0.66666666666666663</v>
      </c>
      <c r="AM267" s="7">
        <f t="shared" si="134"/>
        <v>0.64814814814814825</v>
      </c>
      <c r="AN267" s="7">
        <f t="shared" si="135"/>
        <v>0.61111111111111116</v>
      </c>
      <c r="AO267">
        <f>step3_validation[[#This Row],[AI_OUT1]]</f>
        <v>8</v>
      </c>
      <c r="AP267">
        <f t="shared" si="136"/>
        <v>0.77777777777777779</v>
      </c>
      <c r="AQ267">
        <f>survey_responses[[#This Row],[Sau khi xem xét các quyền lợi và nghĩa vụ, bạn có ủng hộ và tuân thủ chính sách mới hiện nay? - HUMAN-OUT1]]</f>
        <v>7</v>
      </c>
      <c r="AR267">
        <f t="shared" si="137"/>
        <v>0.66666666666666663</v>
      </c>
      <c r="AS267" s="32">
        <f t="shared" si="138"/>
        <v>1</v>
      </c>
      <c r="AT267">
        <f t="shared" si="139"/>
        <v>1</v>
      </c>
    </row>
    <row r="268" spans="1:46" x14ac:dyDescent="0.45">
      <c r="A268">
        <f>step3_validation[[#This Row],[AI_ENF1]]</f>
        <v>7</v>
      </c>
      <c r="B268">
        <f t="shared" si="112"/>
        <v>0.66666666666666663</v>
      </c>
      <c r="C268">
        <f>survey_responses[[#This Row],[Tôi tin rằng với các quy định quản lý thuế hiện nay, hành vi gian lận hoặc trốn thuế sẽ dễ dàng bị phát hiện và xử lý nghiêm. - HUMAN-ENF1]]</f>
        <v>6</v>
      </c>
      <c r="D268">
        <f t="shared" si="113"/>
        <v>0.55555555555555558</v>
      </c>
      <c r="E268">
        <f>step3_validation[[#This Row],[AI_ENF2]]</f>
        <v>8</v>
      </c>
      <c r="F268">
        <f t="shared" si="114"/>
        <v>0.77777777777777779</v>
      </c>
      <c r="G268">
        <f>survey_responses[[#This Row],[Tôi tin rằng Nhà nước, cơ quan thuế có đủ khả năng và công nghệ để phát hiện, xử lý nghiêm các hành vi trốn thuế. - HUMAN-ENF2]]</f>
        <v>7</v>
      </c>
      <c r="H268">
        <f t="shared" si="115"/>
        <v>0.66666666666666663</v>
      </c>
      <c r="I268" s="32">
        <f t="shared" si="116"/>
        <v>0.72222222222222221</v>
      </c>
      <c r="J268" s="32">
        <f t="shared" si="117"/>
        <v>0.61111111111111116</v>
      </c>
      <c r="K268">
        <f>step3_validation[[#This Row],[AI_FAC1]]</f>
        <v>9</v>
      </c>
      <c r="L268">
        <f t="shared" si="118"/>
        <v>0.88888888888888884</v>
      </c>
      <c r="M268">
        <f>survey_responses[[#This Row],[Các thủ tục khai báo thuế VÀ/HOẶC quy trình làm việc với cơ quan thuế đơn giản, tiện lợi, nhanh chóng hơn so với trước đây. - HUMAN-FAC1]]</f>
        <v>7</v>
      </c>
      <c r="N268">
        <f t="shared" si="119"/>
        <v>0.66666666666666663</v>
      </c>
      <c r="O268">
        <f>step3_validation[[#This Row],[AI_FAC2]]</f>
        <v>9</v>
      </c>
      <c r="P268">
        <f t="shared" si="120"/>
        <v>0.88888888888888884</v>
      </c>
      <c r="Q268">
        <f>survey_responses[[#This Row],[So với trước đây, tôi thấy cách tính thuế và các bậc thuế trong phương án mới đơn giản, dễ hiểu và dễ thực hiện hơn. - HUMAN-FAC2]]</f>
        <v>6</v>
      </c>
      <c r="R268">
        <f t="shared" si="121"/>
        <v>0.55555555555555558</v>
      </c>
      <c r="S268" s="32">
        <f t="shared" si="122"/>
        <v>0.88888888888888884</v>
      </c>
      <c r="T268" s="32">
        <f t="shared" si="123"/>
        <v>0.61111111111111116</v>
      </c>
      <c r="U268">
        <f>step3_validation[[#This Row],[AI_TRU1]]</f>
        <v>7</v>
      </c>
      <c r="V268">
        <f t="shared" si="124"/>
        <v>0.66666666666666663</v>
      </c>
      <c r="W268">
        <f>survey_responses[[#This Row],[Tôi tin rằng Nhà nước, cơ quan thuế sẽ thực thi chính sách mới một cách khách quan, công tâm và đối xử bình đẳng với mọi người nộp thuế.  - HUMAN-TRU1]]</f>
        <v>6</v>
      </c>
      <c r="X268">
        <f t="shared" si="125"/>
        <v>0.55555555555555558</v>
      </c>
      <c r="Y268">
        <f>step3_validation[[#This Row],[AI_TRU2]]</f>
        <v>8</v>
      </c>
      <c r="Z268">
        <f t="shared" si="126"/>
        <v>0.77777777777777779</v>
      </c>
      <c r="AA268">
        <f>survey_responses[[#This Row],[Tôi thấy mức thuế tôi phải đóng theo phương án mới là công bằng (người thu nhập như tôi đóng mức này là hợp lý). - HUMAN-TRU2]]</f>
        <v>6</v>
      </c>
      <c r="AB268">
        <f t="shared" si="127"/>
        <v>0.55555555555555558</v>
      </c>
      <c r="AC268">
        <f>step3_validation[[#This Row],[AI_TRU3]]</f>
        <v>8</v>
      </c>
      <c r="AD268">
        <f t="shared" si="128"/>
        <v>0.77777777777777779</v>
      </c>
      <c r="AE268">
        <f>survey_responses[[#This Row],[Tôi tin tưởng số tiền thuế tôi đóng sẽ được Nhà nước sử dụng hiệu quả để cải thiện dịch vụ công (y tế, đường xá...). - HUMAN-TRU3]]</f>
        <v>6</v>
      </c>
      <c r="AF268">
        <f t="shared" si="129"/>
        <v>0.55555555555555558</v>
      </c>
      <c r="AG268">
        <f>step3_validation[[#This Row],[AI_TRU4]]</f>
        <v>7</v>
      </c>
      <c r="AH268">
        <f t="shared" si="130"/>
        <v>0.66666666666666663</v>
      </c>
      <c r="AI268">
        <f>survey_responses[[#This Row],[Tôi thấy Nhà nước đã giải thích rõ ràng, minh bạch về lý do và mục tiêu của việc sửa đổi thuế lần này. - HUMAN-TRU4]]</f>
        <v>7</v>
      </c>
      <c r="AJ268">
        <f t="shared" si="131"/>
        <v>0.66666666666666663</v>
      </c>
      <c r="AK268" s="32">
        <f t="shared" si="132"/>
        <v>0.72222222222222221</v>
      </c>
      <c r="AL268" s="32">
        <f t="shared" si="133"/>
        <v>0.58333333333333337</v>
      </c>
      <c r="AM268" s="7">
        <f t="shared" si="134"/>
        <v>0.77777777777777779</v>
      </c>
      <c r="AN268" s="7">
        <f t="shared" si="135"/>
        <v>0.60185185185185197</v>
      </c>
      <c r="AO268">
        <f>step3_validation[[#This Row],[AI_OUT1]]</f>
        <v>8</v>
      </c>
      <c r="AP268">
        <f t="shared" si="136"/>
        <v>0.77777777777777779</v>
      </c>
      <c r="AQ268">
        <f>survey_responses[[#This Row],[Sau khi xem xét các quyền lợi và nghĩa vụ, bạn có ủng hộ và tuân thủ chính sách mới hiện nay? - HUMAN-OUT1]]</f>
        <v>7</v>
      </c>
      <c r="AR268">
        <f t="shared" si="137"/>
        <v>0.66666666666666663</v>
      </c>
      <c r="AS268" s="32">
        <f t="shared" si="138"/>
        <v>1</v>
      </c>
      <c r="AT268">
        <f t="shared" si="139"/>
        <v>1</v>
      </c>
    </row>
    <row r="269" spans="1:46" x14ac:dyDescent="0.45">
      <c r="A269">
        <f>step3_validation[[#This Row],[AI_ENF1]]</f>
        <v>7</v>
      </c>
      <c r="B269">
        <f t="shared" si="112"/>
        <v>0.66666666666666663</v>
      </c>
      <c r="C269">
        <f>survey_responses[[#This Row],[Tôi tin rằng với các quy định quản lý thuế hiện nay, hành vi gian lận hoặc trốn thuế sẽ dễ dàng bị phát hiện và xử lý nghiêm. - HUMAN-ENF1]]</f>
        <v>7</v>
      </c>
      <c r="D269">
        <f t="shared" si="113"/>
        <v>0.66666666666666663</v>
      </c>
      <c r="E269">
        <f>step3_validation[[#This Row],[AI_ENF2]]</f>
        <v>8</v>
      </c>
      <c r="F269">
        <f t="shared" si="114"/>
        <v>0.77777777777777779</v>
      </c>
      <c r="G269">
        <f>survey_responses[[#This Row],[Tôi tin rằng Nhà nước, cơ quan thuế có đủ khả năng và công nghệ để phát hiện, xử lý nghiêm các hành vi trốn thuế. - HUMAN-ENF2]]</f>
        <v>7</v>
      </c>
      <c r="H269">
        <f t="shared" si="115"/>
        <v>0.66666666666666663</v>
      </c>
      <c r="I269" s="32">
        <f t="shared" si="116"/>
        <v>0.72222222222222221</v>
      </c>
      <c r="J269" s="32">
        <f t="shared" si="117"/>
        <v>0.66666666666666663</v>
      </c>
      <c r="K269">
        <f>step3_validation[[#This Row],[AI_FAC1]]</f>
        <v>6</v>
      </c>
      <c r="L269">
        <f t="shared" si="118"/>
        <v>0.55555555555555558</v>
      </c>
      <c r="M269">
        <f>survey_responses[[#This Row],[Các thủ tục khai báo thuế VÀ/HOẶC quy trình làm việc với cơ quan thuế đơn giản, tiện lợi, nhanh chóng hơn so với trước đây. - HUMAN-FAC1]]</f>
        <v>2</v>
      </c>
      <c r="N269">
        <f t="shared" si="119"/>
        <v>0.1111111111111111</v>
      </c>
      <c r="O269">
        <f>step3_validation[[#This Row],[AI_FAC2]]</f>
        <v>5</v>
      </c>
      <c r="P269">
        <f t="shared" si="120"/>
        <v>0.44444444444444442</v>
      </c>
      <c r="Q269">
        <f>survey_responses[[#This Row],[So với trước đây, tôi thấy cách tính thuế và các bậc thuế trong phương án mới đơn giản, dễ hiểu và dễ thực hiện hơn. - HUMAN-FAC2]]</f>
        <v>7</v>
      </c>
      <c r="R269">
        <f t="shared" si="121"/>
        <v>0.66666666666666663</v>
      </c>
      <c r="S269" s="32">
        <f t="shared" si="122"/>
        <v>0.5</v>
      </c>
      <c r="T269" s="32">
        <f t="shared" si="123"/>
        <v>0.38888888888888884</v>
      </c>
      <c r="U269">
        <f>step3_validation[[#This Row],[AI_TRU1]]</f>
        <v>7</v>
      </c>
      <c r="V269">
        <f t="shared" si="124"/>
        <v>0.66666666666666663</v>
      </c>
      <c r="W269">
        <f>survey_responses[[#This Row],[Tôi tin rằng Nhà nước, cơ quan thuế sẽ thực thi chính sách mới một cách khách quan, công tâm và đối xử bình đẳng với mọi người nộp thuế.  - HUMAN-TRU1]]</f>
        <v>7</v>
      </c>
      <c r="X269">
        <f t="shared" si="125"/>
        <v>0.66666666666666663</v>
      </c>
      <c r="Y269">
        <f>step3_validation[[#This Row],[AI_TRU2]]</f>
        <v>6</v>
      </c>
      <c r="Z269">
        <f t="shared" si="126"/>
        <v>0.55555555555555558</v>
      </c>
      <c r="AA269">
        <f>survey_responses[[#This Row],[Tôi thấy mức thuế tôi phải đóng theo phương án mới là công bằng (người thu nhập như tôi đóng mức này là hợp lý). - HUMAN-TRU2]]</f>
        <v>7</v>
      </c>
      <c r="AB269">
        <f t="shared" si="127"/>
        <v>0.66666666666666663</v>
      </c>
      <c r="AC269">
        <f>step3_validation[[#This Row],[AI_TRU3]]</f>
        <v>7</v>
      </c>
      <c r="AD269">
        <f t="shared" si="128"/>
        <v>0.66666666666666663</v>
      </c>
      <c r="AE269">
        <f>survey_responses[[#This Row],[Tôi tin tưởng số tiền thuế tôi đóng sẽ được Nhà nước sử dụng hiệu quả để cải thiện dịch vụ công (y tế, đường xá...). - HUMAN-TRU3]]</f>
        <v>7</v>
      </c>
      <c r="AF269">
        <f t="shared" si="129"/>
        <v>0.66666666666666663</v>
      </c>
      <c r="AG269">
        <f>step3_validation[[#This Row],[AI_TRU4]]</f>
        <v>4</v>
      </c>
      <c r="AH269">
        <f t="shared" si="130"/>
        <v>0.33333333333333331</v>
      </c>
      <c r="AI269">
        <f>survey_responses[[#This Row],[Tôi thấy Nhà nước đã giải thích rõ ràng, minh bạch về lý do và mục tiêu của việc sửa đổi thuế lần này. - HUMAN-TRU4]]</f>
        <v>7</v>
      </c>
      <c r="AJ269">
        <f t="shared" si="131"/>
        <v>0.66666666666666663</v>
      </c>
      <c r="AK269" s="32">
        <f t="shared" si="132"/>
        <v>0.55555555555555558</v>
      </c>
      <c r="AL269" s="32">
        <f t="shared" si="133"/>
        <v>0.66666666666666663</v>
      </c>
      <c r="AM269" s="7">
        <f t="shared" si="134"/>
        <v>0.59259259259259267</v>
      </c>
      <c r="AN269" s="7">
        <f t="shared" si="135"/>
        <v>0.57407407407407396</v>
      </c>
      <c r="AO269">
        <f>step3_validation[[#This Row],[AI_OUT1]]</f>
        <v>6</v>
      </c>
      <c r="AP269">
        <f t="shared" si="136"/>
        <v>0.55555555555555558</v>
      </c>
      <c r="AQ269">
        <f>survey_responses[[#This Row],[Sau khi xem xét các quyền lợi và nghĩa vụ, bạn có ủng hộ và tuân thủ chính sách mới hiện nay? - HUMAN-OUT1]]</f>
        <v>7</v>
      </c>
      <c r="AR269">
        <f t="shared" si="137"/>
        <v>0.66666666666666663</v>
      </c>
      <c r="AS269" s="32">
        <f t="shared" si="138"/>
        <v>1</v>
      </c>
      <c r="AT269">
        <f t="shared" si="139"/>
        <v>1</v>
      </c>
    </row>
    <row r="270" spans="1:46" x14ac:dyDescent="0.45">
      <c r="A270">
        <f>step3_validation[[#This Row],[AI_ENF1]]</f>
        <v>7</v>
      </c>
      <c r="B270">
        <f t="shared" si="112"/>
        <v>0.66666666666666663</v>
      </c>
      <c r="C270">
        <f>survey_responses[[#This Row],[Tôi tin rằng với các quy định quản lý thuế hiện nay, hành vi gian lận hoặc trốn thuế sẽ dễ dàng bị phát hiện và xử lý nghiêm. - HUMAN-ENF1]]</f>
        <v>4</v>
      </c>
      <c r="D270">
        <f t="shared" si="113"/>
        <v>0.33333333333333331</v>
      </c>
      <c r="E270">
        <f>step3_validation[[#This Row],[AI_ENF2]]</f>
        <v>8</v>
      </c>
      <c r="F270">
        <f t="shared" si="114"/>
        <v>0.77777777777777779</v>
      </c>
      <c r="G270">
        <f>survey_responses[[#This Row],[Tôi tin rằng Nhà nước, cơ quan thuế có đủ khả năng và công nghệ để phát hiện, xử lý nghiêm các hành vi trốn thuế. - HUMAN-ENF2]]</f>
        <v>5</v>
      </c>
      <c r="H270">
        <f t="shared" si="115"/>
        <v>0.44444444444444442</v>
      </c>
      <c r="I270" s="32">
        <f t="shared" si="116"/>
        <v>0.72222222222222221</v>
      </c>
      <c r="J270" s="32">
        <f t="shared" si="117"/>
        <v>0.38888888888888884</v>
      </c>
      <c r="K270">
        <f>step3_validation[[#This Row],[AI_FAC1]]</f>
        <v>9</v>
      </c>
      <c r="L270">
        <f t="shared" si="118"/>
        <v>0.88888888888888884</v>
      </c>
      <c r="M270">
        <f>survey_responses[[#This Row],[Các thủ tục khai báo thuế VÀ/HOẶC quy trình làm việc với cơ quan thuế đơn giản, tiện lợi, nhanh chóng hơn so với trước đây. - HUMAN-FAC1]]</f>
        <v>2</v>
      </c>
      <c r="N270">
        <f t="shared" si="119"/>
        <v>0.1111111111111111</v>
      </c>
      <c r="O270">
        <f>step3_validation[[#This Row],[AI_FAC2]]</f>
        <v>8</v>
      </c>
      <c r="P270">
        <f t="shared" si="120"/>
        <v>0.77777777777777779</v>
      </c>
      <c r="Q270">
        <f>survey_responses[[#This Row],[So với trước đây, tôi thấy cách tính thuế và các bậc thuế trong phương án mới đơn giản, dễ hiểu và dễ thực hiện hơn. - HUMAN-FAC2]]</f>
        <v>6</v>
      </c>
      <c r="R270">
        <f t="shared" si="121"/>
        <v>0.55555555555555558</v>
      </c>
      <c r="S270" s="32">
        <f t="shared" si="122"/>
        <v>0.83333333333333326</v>
      </c>
      <c r="T270" s="32">
        <f t="shared" si="123"/>
        <v>0.33333333333333337</v>
      </c>
      <c r="U270">
        <f>step3_validation[[#This Row],[AI_TRU1]]</f>
        <v>7</v>
      </c>
      <c r="V270">
        <f t="shared" si="124"/>
        <v>0.66666666666666663</v>
      </c>
      <c r="W270">
        <f>survey_responses[[#This Row],[Tôi tin rằng Nhà nước, cơ quan thuế sẽ thực thi chính sách mới một cách khách quan, công tâm và đối xử bình đẳng với mọi người nộp thuế.  - HUMAN-TRU1]]</f>
        <v>3</v>
      </c>
      <c r="X270">
        <f t="shared" si="125"/>
        <v>0.22222222222222221</v>
      </c>
      <c r="Y270">
        <f>step3_validation[[#This Row],[AI_TRU2]]</f>
        <v>8</v>
      </c>
      <c r="Z270">
        <f t="shared" si="126"/>
        <v>0.77777777777777779</v>
      </c>
      <c r="AA270">
        <f>survey_responses[[#This Row],[Tôi thấy mức thuế tôi phải đóng theo phương án mới là công bằng (người thu nhập như tôi đóng mức này là hợp lý). - HUMAN-TRU2]]</f>
        <v>3</v>
      </c>
      <c r="AB270">
        <f t="shared" si="127"/>
        <v>0.22222222222222221</v>
      </c>
      <c r="AC270">
        <f>step3_validation[[#This Row],[AI_TRU3]]</f>
        <v>7</v>
      </c>
      <c r="AD270">
        <f t="shared" si="128"/>
        <v>0.66666666666666663</v>
      </c>
      <c r="AE270">
        <f>survey_responses[[#This Row],[Tôi tin tưởng số tiền thuế tôi đóng sẽ được Nhà nước sử dụng hiệu quả để cải thiện dịch vụ công (y tế, đường xá...). - HUMAN-TRU3]]</f>
        <v>1</v>
      </c>
      <c r="AF270">
        <f t="shared" si="129"/>
        <v>0</v>
      </c>
      <c r="AG270">
        <f>step3_validation[[#This Row],[AI_TRU4]]</f>
        <v>6</v>
      </c>
      <c r="AH270">
        <f t="shared" si="130"/>
        <v>0.55555555555555558</v>
      </c>
      <c r="AI270">
        <f>survey_responses[[#This Row],[Tôi thấy Nhà nước đã giải thích rõ ràng, minh bạch về lý do và mục tiêu của việc sửa đổi thuế lần này. - HUMAN-TRU4]]</f>
        <v>3</v>
      </c>
      <c r="AJ270">
        <f t="shared" si="131"/>
        <v>0.22222222222222221</v>
      </c>
      <c r="AK270" s="32">
        <f t="shared" si="132"/>
        <v>0.66666666666666674</v>
      </c>
      <c r="AL270" s="32">
        <f t="shared" si="133"/>
        <v>0.16666666666666666</v>
      </c>
      <c r="AM270" s="7">
        <f t="shared" si="134"/>
        <v>0.74074074074074081</v>
      </c>
      <c r="AN270" s="7">
        <f t="shared" si="135"/>
        <v>0.29629629629629628</v>
      </c>
      <c r="AO270">
        <f>step3_validation[[#This Row],[AI_OUT1]]</f>
        <v>8</v>
      </c>
      <c r="AP270">
        <f t="shared" si="136"/>
        <v>0.77777777777777779</v>
      </c>
      <c r="AQ270">
        <f>survey_responses[[#This Row],[Sau khi xem xét các quyền lợi và nghĩa vụ, bạn có ủng hộ và tuân thủ chính sách mới hiện nay? - HUMAN-OUT1]]</f>
        <v>1</v>
      </c>
      <c r="AR270">
        <f t="shared" si="137"/>
        <v>0</v>
      </c>
      <c r="AS270" s="32">
        <f t="shared" si="138"/>
        <v>7</v>
      </c>
      <c r="AT270">
        <f t="shared" si="139"/>
        <v>0</v>
      </c>
    </row>
    <row r="271" spans="1:46" x14ac:dyDescent="0.45">
      <c r="A271">
        <f>step3_validation[[#This Row],[AI_ENF1]]</f>
        <v>4</v>
      </c>
      <c r="B271">
        <f t="shared" si="112"/>
        <v>0.33333333333333331</v>
      </c>
      <c r="C271">
        <f>survey_responses[[#This Row],[Tôi tin rằng với các quy định quản lý thuế hiện nay, hành vi gian lận hoặc trốn thuế sẽ dễ dàng bị phát hiện và xử lý nghiêm. - HUMAN-ENF1]]</f>
        <v>8</v>
      </c>
      <c r="D271">
        <f t="shared" si="113"/>
        <v>0.77777777777777779</v>
      </c>
      <c r="E271">
        <f>step3_validation[[#This Row],[AI_ENF2]]</f>
        <v>5</v>
      </c>
      <c r="F271">
        <f t="shared" si="114"/>
        <v>0.44444444444444442</v>
      </c>
      <c r="G271">
        <f>survey_responses[[#This Row],[Tôi tin rằng Nhà nước, cơ quan thuế có đủ khả năng và công nghệ để phát hiện, xử lý nghiêm các hành vi trốn thuế. - HUMAN-ENF2]]</f>
        <v>8</v>
      </c>
      <c r="H271">
        <f t="shared" si="115"/>
        <v>0.77777777777777779</v>
      </c>
      <c r="I271" s="32">
        <f t="shared" si="116"/>
        <v>0.38888888888888884</v>
      </c>
      <c r="J271" s="32">
        <f t="shared" si="117"/>
        <v>0.77777777777777779</v>
      </c>
      <c r="K271">
        <f>step3_validation[[#This Row],[AI_FAC1]]</f>
        <v>8</v>
      </c>
      <c r="L271">
        <f t="shared" si="118"/>
        <v>0.77777777777777779</v>
      </c>
      <c r="M271">
        <f>survey_responses[[#This Row],[Các thủ tục khai báo thuế VÀ/HOẶC quy trình làm việc với cơ quan thuế đơn giản, tiện lợi, nhanh chóng hơn so với trước đây. - HUMAN-FAC1]]</f>
        <v>3</v>
      </c>
      <c r="N271">
        <f t="shared" si="119"/>
        <v>0.22222222222222221</v>
      </c>
      <c r="O271">
        <f>step3_validation[[#This Row],[AI_FAC2]]</f>
        <v>8</v>
      </c>
      <c r="P271">
        <f t="shared" si="120"/>
        <v>0.77777777777777779</v>
      </c>
      <c r="Q271">
        <f>survey_responses[[#This Row],[So với trước đây, tôi thấy cách tính thuế và các bậc thuế trong phương án mới đơn giản, dễ hiểu và dễ thực hiện hơn. - HUMAN-FAC2]]</f>
        <v>8</v>
      </c>
      <c r="R271">
        <f t="shared" si="121"/>
        <v>0.77777777777777779</v>
      </c>
      <c r="S271" s="32">
        <f t="shared" si="122"/>
        <v>0.77777777777777779</v>
      </c>
      <c r="T271" s="32">
        <f t="shared" si="123"/>
        <v>0.5</v>
      </c>
      <c r="U271">
        <f>step3_validation[[#This Row],[AI_TRU1]]</f>
        <v>6</v>
      </c>
      <c r="V271">
        <f t="shared" si="124"/>
        <v>0.55555555555555558</v>
      </c>
      <c r="W271">
        <f>survey_responses[[#This Row],[Tôi tin rằng Nhà nước, cơ quan thuế sẽ thực thi chính sách mới một cách khách quan, công tâm và đối xử bình đẳng với mọi người nộp thuế.  - HUMAN-TRU1]]</f>
        <v>3</v>
      </c>
      <c r="X271">
        <f t="shared" si="125"/>
        <v>0.22222222222222221</v>
      </c>
      <c r="Y271">
        <f>step3_validation[[#This Row],[AI_TRU2]]</f>
        <v>7</v>
      </c>
      <c r="Z271">
        <f t="shared" si="126"/>
        <v>0.66666666666666663</v>
      </c>
      <c r="AA271">
        <f>survey_responses[[#This Row],[Tôi thấy mức thuế tôi phải đóng theo phương án mới là công bằng (người thu nhập như tôi đóng mức này là hợp lý). - HUMAN-TRU2]]</f>
        <v>1</v>
      </c>
      <c r="AB271">
        <f t="shared" si="127"/>
        <v>0</v>
      </c>
      <c r="AC271">
        <f>step3_validation[[#This Row],[AI_TRU3]]</f>
        <v>6</v>
      </c>
      <c r="AD271">
        <f t="shared" si="128"/>
        <v>0.55555555555555558</v>
      </c>
      <c r="AE271">
        <f>survey_responses[[#This Row],[Tôi tin tưởng số tiền thuế tôi đóng sẽ được Nhà nước sử dụng hiệu quả để cải thiện dịch vụ công (y tế, đường xá...). - HUMAN-TRU3]]</f>
        <v>8</v>
      </c>
      <c r="AF271">
        <f t="shared" si="129"/>
        <v>0.77777777777777779</v>
      </c>
      <c r="AG271">
        <f>step3_validation[[#This Row],[AI_TRU4]]</f>
        <v>7</v>
      </c>
      <c r="AH271">
        <f t="shared" si="130"/>
        <v>0.66666666666666663</v>
      </c>
      <c r="AI271">
        <f>survey_responses[[#This Row],[Tôi thấy Nhà nước đã giải thích rõ ràng, minh bạch về lý do và mục tiêu của việc sửa đổi thuế lần này. - HUMAN-TRU4]]</f>
        <v>6</v>
      </c>
      <c r="AJ271">
        <f t="shared" si="131"/>
        <v>0.55555555555555558</v>
      </c>
      <c r="AK271" s="32">
        <f t="shared" si="132"/>
        <v>0.61111111111111116</v>
      </c>
      <c r="AL271" s="32">
        <f t="shared" si="133"/>
        <v>0.3888888888888889</v>
      </c>
      <c r="AM271" s="7">
        <f t="shared" si="134"/>
        <v>0.59259259259259256</v>
      </c>
      <c r="AN271" s="7">
        <f t="shared" si="135"/>
        <v>0.55555555555555547</v>
      </c>
      <c r="AO271">
        <f>step3_validation[[#This Row],[AI_OUT1]]</f>
        <v>7</v>
      </c>
      <c r="AP271">
        <f t="shared" si="136"/>
        <v>0.66666666666666663</v>
      </c>
      <c r="AQ271">
        <f>survey_responses[[#This Row],[Sau khi xem xét các quyền lợi và nghĩa vụ, bạn có ủng hộ và tuân thủ chính sách mới hiện nay? - HUMAN-OUT1]]</f>
        <v>7</v>
      </c>
      <c r="AR271">
        <f t="shared" si="137"/>
        <v>0.66666666666666663</v>
      </c>
      <c r="AS271" s="32">
        <f t="shared" si="138"/>
        <v>0</v>
      </c>
      <c r="AT271">
        <f t="shared" si="139"/>
        <v>1</v>
      </c>
    </row>
    <row r="272" spans="1:46" x14ac:dyDescent="0.45">
      <c r="A272">
        <f>step3_validation[[#This Row],[AI_ENF1]]</f>
        <v>7</v>
      </c>
      <c r="B272">
        <f t="shared" si="112"/>
        <v>0.66666666666666663</v>
      </c>
      <c r="C272">
        <f>survey_responses[[#This Row],[Tôi tin rằng với các quy định quản lý thuế hiện nay, hành vi gian lận hoặc trốn thuế sẽ dễ dàng bị phát hiện và xử lý nghiêm. - HUMAN-ENF1]]</f>
        <v>7</v>
      </c>
      <c r="D272">
        <f t="shared" si="113"/>
        <v>0.66666666666666663</v>
      </c>
      <c r="E272">
        <f>step3_validation[[#This Row],[AI_ENF2]]</f>
        <v>6</v>
      </c>
      <c r="F272">
        <f t="shared" si="114"/>
        <v>0.55555555555555558</v>
      </c>
      <c r="G272">
        <f>survey_responses[[#This Row],[Tôi tin rằng Nhà nước, cơ quan thuế có đủ khả năng và công nghệ để phát hiện, xử lý nghiêm các hành vi trốn thuế. - HUMAN-ENF2]]</f>
        <v>7</v>
      </c>
      <c r="H272">
        <f t="shared" si="115"/>
        <v>0.66666666666666663</v>
      </c>
      <c r="I272" s="32">
        <f t="shared" si="116"/>
        <v>0.61111111111111116</v>
      </c>
      <c r="J272" s="32">
        <f t="shared" si="117"/>
        <v>0.66666666666666663</v>
      </c>
      <c r="K272">
        <f>step3_validation[[#This Row],[AI_FAC1]]</f>
        <v>5</v>
      </c>
      <c r="L272">
        <f t="shared" si="118"/>
        <v>0.44444444444444442</v>
      </c>
      <c r="M272">
        <f>survey_responses[[#This Row],[Các thủ tục khai báo thuế VÀ/HOẶC quy trình làm việc với cơ quan thuế đơn giản, tiện lợi, nhanh chóng hơn so với trước đây. - HUMAN-FAC1]]</f>
        <v>4</v>
      </c>
      <c r="N272">
        <f t="shared" si="119"/>
        <v>0.33333333333333331</v>
      </c>
      <c r="O272">
        <f>step3_validation[[#This Row],[AI_FAC2]]</f>
        <v>4</v>
      </c>
      <c r="P272">
        <f t="shared" si="120"/>
        <v>0.33333333333333331</v>
      </c>
      <c r="Q272">
        <f>survey_responses[[#This Row],[So với trước đây, tôi thấy cách tính thuế và các bậc thuế trong phương án mới đơn giản, dễ hiểu và dễ thực hiện hơn. - HUMAN-FAC2]]</f>
        <v>7</v>
      </c>
      <c r="R272">
        <f t="shared" si="121"/>
        <v>0.66666666666666663</v>
      </c>
      <c r="S272" s="32">
        <f t="shared" si="122"/>
        <v>0.38888888888888884</v>
      </c>
      <c r="T272" s="32">
        <f t="shared" si="123"/>
        <v>0.5</v>
      </c>
      <c r="U272">
        <f>step3_validation[[#This Row],[AI_TRU1]]</f>
        <v>6</v>
      </c>
      <c r="V272">
        <f t="shared" si="124"/>
        <v>0.55555555555555558</v>
      </c>
      <c r="W272">
        <f>survey_responses[[#This Row],[Tôi tin rằng Nhà nước, cơ quan thuế sẽ thực thi chính sách mới một cách khách quan, công tâm và đối xử bình đẳng với mọi người nộp thuế.  - HUMAN-TRU1]]</f>
        <v>7</v>
      </c>
      <c r="X272">
        <f t="shared" si="125"/>
        <v>0.66666666666666663</v>
      </c>
      <c r="Y272">
        <f>step3_validation[[#This Row],[AI_TRU2]]</f>
        <v>3</v>
      </c>
      <c r="Z272">
        <f t="shared" si="126"/>
        <v>0.22222222222222221</v>
      </c>
      <c r="AA272">
        <f>survey_responses[[#This Row],[Tôi thấy mức thuế tôi phải đóng theo phương án mới là công bằng (người thu nhập như tôi đóng mức này là hợp lý). - HUMAN-TRU2]]</f>
        <v>6</v>
      </c>
      <c r="AB272">
        <f t="shared" si="127"/>
        <v>0.55555555555555558</v>
      </c>
      <c r="AC272">
        <f>step3_validation[[#This Row],[AI_TRU3]]</f>
        <v>5</v>
      </c>
      <c r="AD272">
        <f t="shared" si="128"/>
        <v>0.44444444444444442</v>
      </c>
      <c r="AE272">
        <f>survey_responses[[#This Row],[Tôi tin tưởng số tiền thuế tôi đóng sẽ được Nhà nước sử dụng hiệu quả để cải thiện dịch vụ công (y tế, đường xá...). - HUMAN-TRU3]]</f>
        <v>5</v>
      </c>
      <c r="AF272">
        <f t="shared" si="129"/>
        <v>0.44444444444444442</v>
      </c>
      <c r="AG272">
        <f>step3_validation[[#This Row],[AI_TRU4]]</f>
        <v>7</v>
      </c>
      <c r="AH272">
        <f t="shared" si="130"/>
        <v>0.66666666666666663</v>
      </c>
      <c r="AI272">
        <f>survey_responses[[#This Row],[Tôi thấy Nhà nước đã giải thích rõ ràng, minh bạch về lý do và mục tiêu của việc sửa đổi thuế lần này. - HUMAN-TRU4]]</f>
        <v>7</v>
      </c>
      <c r="AJ272">
        <f t="shared" si="131"/>
        <v>0.66666666666666663</v>
      </c>
      <c r="AK272" s="32">
        <f t="shared" si="132"/>
        <v>0.47222222222222221</v>
      </c>
      <c r="AL272" s="32">
        <f t="shared" si="133"/>
        <v>0.58333333333333337</v>
      </c>
      <c r="AM272" s="7">
        <f t="shared" si="134"/>
        <v>0.49074074074074076</v>
      </c>
      <c r="AN272" s="7">
        <f t="shared" si="135"/>
        <v>0.58333333333333337</v>
      </c>
      <c r="AO272">
        <f>step3_validation[[#This Row],[AI_OUT1]]</f>
        <v>8</v>
      </c>
      <c r="AP272">
        <f t="shared" si="136"/>
        <v>0.77777777777777779</v>
      </c>
      <c r="AQ272">
        <f>survey_responses[[#This Row],[Sau khi xem xét các quyền lợi và nghĩa vụ, bạn có ủng hộ và tuân thủ chính sách mới hiện nay? - HUMAN-OUT1]]</f>
        <v>6</v>
      </c>
      <c r="AR272">
        <f t="shared" si="137"/>
        <v>0.55555555555555558</v>
      </c>
      <c r="AS272" s="32">
        <f t="shared" si="138"/>
        <v>2</v>
      </c>
      <c r="AT272">
        <f t="shared" si="139"/>
        <v>1</v>
      </c>
    </row>
    <row r="273" spans="1:46" x14ac:dyDescent="0.45">
      <c r="A273">
        <f>step3_validation[[#This Row],[AI_ENF1]]</f>
        <v>7</v>
      </c>
      <c r="B273">
        <f t="shared" si="112"/>
        <v>0.66666666666666663</v>
      </c>
      <c r="C273">
        <f>survey_responses[[#This Row],[Tôi tin rằng với các quy định quản lý thuế hiện nay, hành vi gian lận hoặc trốn thuế sẽ dễ dàng bị phát hiện và xử lý nghiêm. - HUMAN-ENF1]]</f>
        <v>7</v>
      </c>
      <c r="D273">
        <f t="shared" si="113"/>
        <v>0.66666666666666663</v>
      </c>
      <c r="E273">
        <f>step3_validation[[#This Row],[AI_ENF2]]</f>
        <v>7</v>
      </c>
      <c r="F273">
        <f t="shared" si="114"/>
        <v>0.66666666666666663</v>
      </c>
      <c r="G273">
        <f>survey_responses[[#This Row],[Tôi tin rằng Nhà nước, cơ quan thuế có đủ khả năng và công nghệ để phát hiện, xử lý nghiêm các hành vi trốn thuế. - HUMAN-ENF2]]</f>
        <v>8</v>
      </c>
      <c r="H273">
        <f t="shared" si="115"/>
        <v>0.77777777777777779</v>
      </c>
      <c r="I273" s="32">
        <f t="shared" si="116"/>
        <v>0.66666666666666663</v>
      </c>
      <c r="J273" s="32">
        <f t="shared" si="117"/>
        <v>0.72222222222222221</v>
      </c>
      <c r="K273">
        <f>step3_validation[[#This Row],[AI_FAC1]]</f>
        <v>8</v>
      </c>
      <c r="L273">
        <f t="shared" si="118"/>
        <v>0.77777777777777779</v>
      </c>
      <c r="M273">
        <f>survey_responses[[#This Row],[Các thủ tục khai báo thuế VÀ/HOẶC quy trình làm việc với cơ quan thuế đơn giản, tiện lợi, nhanh chóng hơn so với trước đây. - HUMAN-FAC1]]</f>
        <v>2</v>
      </c>
      <c r="N273">
        <f t="shared" si="119"/>
        <v>0.1111111111111111</v>
      </c>
      <c r="O273">
        <f>step3_validation[[#This Row],[AI_FAC2]]</f>
        <v>9</v>
      </c>
      <c r="P273">
        <f t="shared" si="120"/>
        <v>0.88888888888888884</v>
      </c>
      <c r="Q273">
        <f>survey_responses[[#This Row],[So với trước đây, tôi thấy cách tính thuế và các bậc thuế trong phương án mới đơn giản, dễ hiểu và dễ thực hiện hơn. - HUMAN-FAC2]]</f>
        <v>6</v>
      </c>
      <c r="R273">
        <f t="shared" si="121"/>
        <v>0.55555555555555558</v>
      </c>
      <c r="S273" s="32">
        <f t="shared" si="122"/>
        <v>0.83333333333333326</v>
      </c>
      <c r="T273" s="32">
        <f t="shared" si="123"/>
        <v>0.33333333333333337</v>
      </c>
      <c r="U273">
        <f>step3_validation[[#This Row],[AI_TRU1]]</f>
        <v>6</v>
      </c>
      <c r="V273">
        <f t="shared" si="124"/>
        <v>0.55555555555555558</v>
      </c>
      <c r="W273">
        <f>survey_responses[[#This Row],[Tôi tin rằng Nhà nước, cơ quan thuế sẽ thực thi chính sách mới một cách khách quan, công tâm và đối xử bình đẳng với mọi người nộp thuế.  - HUMAN-TRU1]]</f>
        <v>6</v>
      </c>
      <c r="X273">
        <f t="shared" si="125"/>
        <v>0.55555555555555558</v>
      </c>
      <c r="Y273">
        <f>step3_validation[[#This Row],[AI_TRU2]]</f>
        <v>7</v>
      </c>
      <c r="Z273">
        <f t="shared" si="126"/>
        <v>0.66666666666666663</v>
      </c>
      <c r="AA273">
        <f>survey_responses[[#This Row],[Tôi thấy mức thuế tôi phải đóng theo phương án mới là công bằng (người thu nhập như tôi đóng mức này là hợp lý). - HUMAN-TRU2]]</f>
        <v>6</v>
      </c>
      <c r="AB273">
        <f t="shared" si="127"/>
        <v>0.55555555555555558</v>
      </c>
      <c r="AC273">
        <f>step3_validation[[#This Row],[AI_TRU3]]</f>
        <v>6</v>
      </c>
      <c r="AD273">
        <f t="shared" si="128"/>
        <v>0.55555555555555558</v>
      </c>
      <c r="AE273">
        <f>survey_responses[[#This Row],[Tôi tin tưởng số tiền thuế tôi đóng sẽ được Nhà nước sử dụng hiệu quả để cải thiện dịch vụ công (y tế, đường xá...). - HUMAN-TRU3]]</f>
        <v>5</v>
      </c>
      <c r="AF273">
        <f t="shared" si="129"/>
        <v>0.44444444444444442</v>
      </c>
      <c r="AG273">
        <f>step3_validation[[#This Row],[AI_TRU4]]</f>
        <v>7</v>
      </c>
      <c r="AH273">
        <f t="shared" si="130"/>
        <v>0.66666666666666663</v>
      </c>
      <c r="AI273">
        <f>survey_responses[[#This Row],[Tôi thấy Nhà nước đã giải thích rõ ràng, minh bạch về lý do và mục tiêu của việc sửa đổi thuế lần này. - HUMAN-TRU4]]</f>
        <v>5</v>
      </c>
      <c r="AJ273">
        <f t="shared" si="131"/>
        <v>0.44444444444444442</v>
      </c>
      <c r="AK273" s="32">
        <f t="shared" si="132"/>
        <v>0.61111111111111116</v>
      </c>
      <c r="AL273" s="32">
        <f t="shared" si="133"/>
        <v>0.5</v>
      </c>
      <c r="AM273" s="7">
        <f t="shared" si="134"/>
        <v>0.70370370370370372</v>
      </c>
      <c r="AN273" s="7">
        <f t="shared" si="135"/>
        <v>0.51851851851851849</v>
      </c>
      <c r="AO273">
        <f>step3_validation[[#This Row],[AI_OUT1]]</f>
        <v>8</v>
      </c>
      <c r="AP273">
        <f t="shared" si="136"/>
        <v>0.77777777777777779</v>
      </c>
      <c r="AQ273">
        <f>survey_responses[[#This Row],[Sau khi xem xét các quyền lợi và nghĩa vụ, bạn có ủng hộ và tuân thủ chính sách mới hiện nay? - HUMAN-OUT1]]</f>
        <v>6</v>
      </c>
      <c r="AR273">
        <f t="shared" si="137"/>
        <v>0.55555555555555558</v>
      </c>
      <c r="AS273" s="32">
        <f t="shared" si="138"/>
        <v>2</v>
      </c>
      <c r="AT273">
        <f t="shared" si="139"/>
        <v>1</v>
      </c>
    </row>
    <row r="274" spans="1:46" x14ac:dyDescent="0.45">
      <c r="A274">
        <f>step3_validation[[#This Row],[AI_ENF1]]</f>
        <v>7</v>
      </c>
      <c r="B274">
        <f t="shared" si="112"/>
        <v>0.66666666666666663</v>
      </c>
      <c r="C274">
        <f>survey_responses[[#This Row],[Tôi tin rằng với các quy định quản lý thuế hiện nay, hành vi gian lận hoặc trốn thuế sẽ dễ dàng bị phát hiện và xử lý nghiêm. - HUMAN-ENF1]]</f>
        <v>3</v>
      </c>
      <c r="D274">
        <f t="shared" si="113"/>
        <v>0.22222222222222221</v>
      </c>
      <c r="E274">
        <f>step3_validation[[#This Row],[AI_ENF2]]</f>
        <v>8</v>
      </c>
      <c r="F274">
        <f t="shared" si="114"/>
        <v>0.77777777777777779</v>
      </c>
      <c r="G274">
        <f>survey_responses[[#This Row],[Tôi tin rằng Nhà nước, cơ quan thuế có đủ khả năng và công nghệ để phát hiện, xử lý nghiêm các hành vi trốn thuế. - HUMAN-ENF2]]</f>
        <v>3</v>
      </c>
      <c r="H274">
        <f t="shared" si="115"/>
        <v>0.22222222222222221</v>
      </c>
      <c r="I274" s="32">
        <f t="shared" si="116"/>
        <v>0.72222222222222221</v>
      </c>
      <c r="J274" s="32">
        <f t="shared" si="117"/>
        <v>0.22222222222222221</v>
      </c>
      <c r="K274">
        <f>step3_validation[[#This Row],[AI_FAC1]]</f>
        <v>6</v>
      </c>
      <c r="L274">
        <f t="shared" si="118"/>
        <v>0.55555555555555558</v>
      </c>
      <c r="M274">
        <f>survey_responses[[#This Row],[Các thủ tục khai báo thuế VÀ/HOẶC quy trình làm việc với cơ quan thuế đơn giản, tiện lợi, nhanh chóng hơn so với trước đây. - HUMAN-FAC1]]</f>
        <v>1</v>
      </c>
      <c r="N274">
        <f t="shared" si="119"/>
        <v>0</v>
      </c>
      <c r="O274">
        <f>step3_validation[[#This Row],[AI_FAC2]]</f>
        <v>9</v>
      </c>
      <c r="P274">
        <f t="shared" si="120"/>
        <v>0.88888888888888884</v>
      </c>
      <c r="Q274">
        <f>survey_responses[[#This Row],[So với trước đây, tôi thấy cách tính thuế và các bậc thuế trong phương án mới đơn giản, dễ hiểu và dễ thực hiện hơn. - HUMAN-FAC2]]</f>
        <v>6</v>
      </c>
      <c r="R274">
        <f t="shared" si="121"/>
        <v>0.55555555555555558</v>
      </c>
      <c r="S274" s="32">
        <f t="shared" si="122"/>
        <v>0.72222222222222221</v>
      </c>
      <c r="T274" s="32">
        <f t="shared" si="123"/>
        <v>0.27777777777777779</v>
      </c>
      <c r="U274">
        <f>step3_validation[[#This Row],[AI_TRU1]]</f>
        <v>7</v>
      </c>
      <c r="V274">
        <f t="shared" si="124"/>
        <v>0.66666666666666663</v>
      </c>
      <c r="W274">
        <f>survey_responses[[#This Row],[Tôi tin rằng Nhà nước, cơ quan thuế sẽ thực thi chính sách mới một cách khách quan, công tâm và đối xử bình đẳng với mọi người nộp thuế.  - HUMAN-TRU1]]</f>
        <v>1</v>
      </c>
      <c r="X274">
        <f t="shared" si="125"/>
        <v>0</v>
      </c>
      <c r="Y274">
        <f>step3_validation[[#This Row],[AI_TRU2]]</f>
        <v>8</v>
      </c>
      <c r="Z274">
        <f t="shared" si="126"/>
        <v>0.77777777777777779</v>
      </c>
      <c r="AA274">
        <f>survey_responses[[#This Row],[Tôi thấy mức thuế tôi phải đóng theo phương án mới là công bằng (người thu nhập như tôi đóng mức này là hợp lý). - HUMAN-TRU2]]</f>
        <v>1</v>
      </c>
      <c r="AB274">
        <f t="shared" si="127"/>
        <v>0</v>
      </c>
      <c r="AC274">
        <f>step3_validation[[#This Row],[AI_TRU3]]</f>
        <v>5</v>
      </c>
      <c r="AD274">
        <f t="shared" si="128"/>
        <v>0.44444444444444442</v>
      </c>
      <c r="AE274">
        <f>survey_responses[[#This Row],[Tôi tin tưởng số tiền thuế tôi đóng sẽ được Nhà nước sử dụng hiệu quả để cải thiện dịch vụ công (y tế, đường xá...). - HUMAN-TRU3]]</f>
        <v>1</v>
      </c>
      <c r="AF274">
        <f t="shared" si="129"/>
        <v>0</v>
      </c>
      <c r="AG274">
        <f>step3_validation[[#This Row],[AI_TRU4]]</f>
        <v>6</v>
      </c>
      <c r="AH274">
        <f t="shared" si="130"/>
        <v>0.55555555555555558</v>
      </c>
      <c r="AI274">
        <f>survey_responses[[#This Row],[Tôi thấy Nhà nước đã giải thích rõ ràng, minh bạch về lý do và mục tiêu của việc sửa đổi thuế lần này. - HUMAN-TRU4]]</f>
        <v>1</v>
      </c>
      <c r="AJ274">
        <f t="shared" si="131"/>
        <v>0</v>
      </c>
      <c r="AK274" s="32">
        <f t="shared" si="132"/>
        <v>0.61111111111111116</v>
      </c>
      <c r="AL274" s="32">
        <f t="shared" si="133"/>
        <v>0</v>
      </c>
      <c r="AM274" s="7">
        <f t="shared" si="134"/>
        <v>0.68518518518518512</v>
      </c>
      <c r="AN274" s="7">
        <f t="shared" si="135"/>
        <v>0.16666666666666666</v>
      </c>
      <c r="AO274">
        <f>step3_validation[[#This Row],[AI_OUT1]]</f>
        <v>8</v>
      </c>
      <c r="AP274">
        <f t="shared" si="136"/>
        <v>0.77777777777777779</v>
      </c>
      <c r="AQ274">
        <f>survey_responses[[#This Row],[Sau khi xem xét các quyền lợi và nghĩa vụ, bạn có ủng hộ và tuân thủ chính sách mới hiện nay? - HUMAN-OUT1]]</f>
        <v>1</v>
      </c>
      <c r="AR274">
        <f t="shared" si="137"/>
        <v>0</v>
      </c>
      <c r="AS274" s="32">
        <f t="shared" si="138"/>
        <v>7</v>
      </c>
      <c r="AT274">
        <f t="shared" si="139"/>
        <v>0</v>
      </c>
    </row>
    <row r="275" spans="1:46" x14ac:dyDescent="0.45">
      <c r="A275">
        <f>step3_validation[[#This Row],[AI_ENF1]]</f>
        <v>8</v>
      </c>
      <c r="B275">
        <f t="shared" si="112"/>
        <v>0.77777777777777779</v>
      </c>
      <c r="C275">
        <f>survey_responses[[#This Row],[Tôi tin rằng với các quy định quản lý thuế hiện nay, hành vi gian lận hoặc trốn thuế sẽ dễ dàng bị phát hiện và xử lý nghiêm. - HUMAN-ENF1]]</f>
        <v>6</v>
      </c>
      <c r="D275">
        <f t="shared" si="113"/>
        <v>0.55555555555555558</v>
      </c>
      <c r="E275">
        <f>step3_validation[[#This Row],[AI_ENF2]]</f>
        <v>7</v>
      </c>
      <c r="F275">
        <f t="shared" si="114"/>
        <v>0.66666666666666663</v>
      </c>
      <c r="G275">
        <f>survey_responses[[#This Row],[Tôi tin rằng Nhà nước, cơ quan thuế có đủ khả năng và công nghệ để phát hiện, xử lý nghiêm các hành vi trốn thuế. - HUMAN-ENF2]]</f>
        <v>6</v>
      </c>
      <c r="H275">
        <f t="shared" si="115"/>
        <v>0.55555555555555558</v>
      </c>
      <c r="I275" s="32">
        <f t="shared" si="116"/>
        <v>0.72222222222222221</v>
      </c>
      <c r="J275" s="32">
        <f t="shared" si="117"/>
        <v>0.55555555555555558</v>
      </c>
      <c r="K275">
        <f>step3_validation[[#This Row],[AI_FAC1]]</f>
        <v>9</v>
      </c>
      <c r="L275">
        <f t="shared" si="118"/>
        <v>0.88888888888888884</v>
      </c>
      <c r="M275">
        <f>survey_responses[[#This Row],[Các thủ tục khai báo thuế VÀ/HOẶC quy trình làm việc với cơ quan thuế đơn giản, tiện lợi, nhanh chóng hơn so với trước đây. - HUMAN-FAC1]]</f>
        <v>5</v>
      </c>
      <c r="N275">
        <f t="shared" si="119"/>
        <v>0.44444444444444442</v>
      </c>
      <c r="O275">
        <f>step3_validation[[#This Row],[AI_FAC2]]</f>
        <v>8</v>
      </c>
      <c r="P275">
        <f t="shared" si="120"/>
        <v>0.77777777777777779</v>
      </c>
      <c r="Q275">
        <f>survey_responses[[#This Row],[So với trước đây, tôi thấy cách tính thuế và các bậc thuế trong phương án mới đơn giản, dễ hiểu và dễ thực hiện hơn. - HUMAN-FAC2]]</f>
        <v>6</v>
      </c>
      <c r="R275">
        <f t="shared" si="121"/>
        <v>0.55555555555555558</v>
      </c>
      <c r="S275" s="32">
        <f t="shared" si="122"/>
        <v>0.83333333333333326</v>
      </c>
      <c r="T275" s="32">
        <f t="shared" si="123"/>
        <v>0.5</v>
      </c>
      <c r="U275">
        <f>step3_validation[[#This Row],[AI_TRU1]]</f>
        <v>7</v>
      </c>
      <c r="V275">
        <f t="shared" si="124"/>
        <v>0.66666666666666663</v>
      </c>
      <c r="W275">
        <f>survey_responses[[#This Row],[Tôi tin rằng Nhà nước, cơ quan thuế sẽ thực thi chính sách mới một cách khách quan, công tâm và đối xử bình đẳng với mọi người nộp thuế.  - HUMAN-TRU1]]</f>
        <v>6</v>
      </c>
      <c r="X275">
        <f t="shared" si="125"/>
        <v>0.55555555555555558</v>
      </c>
      <c r="Y275">
        <f>step3_validation[[#This Row],[AI_TRU2]]</f>
        <v>6</v>
      </c>
      <c r="Z275">
        <f t="shared" si="126"/>
        <v>0.55555555555555558</v>
      </c>
      <c r="AA275">
        <f>survey_responses[[#This Row],[Tôi thấy mức thuế tôi phải đóng theo phương án mới là công bằng (người thu nhập như tôi đóng mức này là hợp lý). - HUMAN-TRU2]]</f>
        <v>6</v>
      </c>
      <c r="AB275">
        <f t="shared" si="127"/>
        <v>0.55555555555555558</v>
      </c>
      <c r="AC275">
        <f>step3_validation[[#This Row],[AI_TRU3]]</f>
        <v>5</v>
      </c>
      <c r="AD275">
        <f t="shared" si="128"/>
        <v>0.44444444444444442</v>
      </c>
      <c r="AE275">
        <f>survey_responses[[#This Row],[Tôi tin tưởng số tiền thuế tôi đóng sẽ được Nhà nước sử dụng hiệu quả để cải thiện dịch vụ công (y tế, đường xá...). - HUMAN-TRU3]]</f>
        <v>6</v>
      </c>
      <c r="AF275">
        <f t="shared" si="129"/>
        <v>0.55555555555555558</v>
      </c>
      <c r="AG275">
        <f>step3_validation[[#This Row],[AI_TRU4]]</f>
        <v>6</v>
      </c>
      <c r="AH275">
        <f t="shared" si="130"/>
        <v>0.55555555555555558</v>
      </c>
      <c r="AI275">
        <f>survey_responses[[#This Row],[Tôi thấy Nhà nước đã giải thích rõ ràng, minh bạch về lý do và mục tiêu của việc sửa đổi thuế lần này. - HUMAN-TRU4]]</f>
        <v>6</v>
      </c>
      <c r="AJ275">
        <f t="shared" si="131"/>
        <v>0.55555555555555558</v>
      </c>
      <c r="AK275" s="32">
        <f t="shared" si="132"/>
        <v>0.55555555555555558</v>
      </c>
      <c r="AL275" s="32">
        <f t="shared" si="133"/>
        <v>0.55555555555555558</v>
      </c>
      <c r="AM275" s="7">
        <f t="shared" si="134"/>
        <v>0.70370370370370361</v>
      </c>
      <c r="AN275" s="7">
        <f t="shared" si="135"/>
        <v>0.53703703703703709</v>
      </c>
      <c r="AO275">
        <f>step3_validation[[#This Row],[AI_OUT1]]</f>
        <v>7</v>
      </c>
      <c r="AP275">
        <f t="shared" si="136"/>
        <v>0.66666666666666663</v>
      </c>
      <c r="AQ275">
        <f>survey_responses[[#This Row],[Sau khi xem xét các quyền lợi và nghĩa vụ, bạn có ủng hộ và tuân thủ chính sách mới hiện nay? - HUMAN-OUT1]]</f>
        <v>6</v>
      </c>
      <c r="AR275">
        <f t="shared" si="137"/>
        <v>0.55555555555555558</v>
      </c>
      <c r="AS275" s="32">
        <f t="shared" si="138"/>
        <v>1</v>
      </c>
      <c r="AT275">
        <f t="shared" si="139"/>
        <v>1</v>
      </c>
    </row>
    <row r="276" spans="1:46" x14ac:dyDescent="0.45">
      <c r="A276">
        <f>step3_validation[[#This Row],[AI_ENF1]]</f>
        <v>7</v>
      </c>
      <c r="B276">
        <f t="shared" si="112"/>
        <v>0.66666666666666663</v>
      </c>
      <c r="C276">
        <f>survey_responses[[#This Row],[Tôi tin rằng với các quy định quản lý thuế hiện nay, hành vi gian lận hoặc trốn thuế sẽ dễ dàng bị phát hiện và xử lý nghiêm. - HUMAN-ENF1]]</f>
        <v>8</v>
      </c>
      <c r="D276">
        <f t="shared" si="113"/>
        <v>0.77777777777777779</v>
      </c>
      <c r="E276">
        <f>step3_validation[[#This Row],[AI_ENF2]]</f>
        <v>6</v>
      </c>
      <c r="F276">
        <f t="shared" si="114"/>
        <v>0.55555555555555558</v>
      </c>
      <c r="G276">
        <f>survey_responses[[#This Row],[Tôi tin rằng Nhà nước, cơ quan thuế có đủ khả năng và công nghệ để phát hiện, xử lý nghiêm các hành vi trốn thuế. - HUMAN-ENF2]]</f>
        <v>9</v>
      </c>
      <c r="H276">
        <f t="shared" si="115"/>
        <v>0.88888888888888884</v>
      </c>
      <c r="I276" s="32">
        <f t="shared" si="116"/>
        <v>0.61111111111111116</v>
      </c>
      <c r="J276" s="32">
        <f t="shared" si="117"/>
        <v>0.83333333333333326</v>
      </c>
      <c r="K276">
        <f>step3_validation[[#This Row],[AI_FAC1]]</f>
        <v>5</v>
      </c>
      <c r="L276">
        <f t="shared" si="118"/>
        <v>0.44444444444444442</v>
      </c>
      <c r="M276">
        <f>survey_responses[[#This Row],[Các thủ tục khai báo thuế VÀ/HOẶC quy trình làm việc với cơ quan thuế đơn giản, tiện lợi, nhanh chóng hơn so với trước đây. - HUMAN-FAC1]]</f>
        <v>5</v>
      </c>
      <c r="N276">
        <f t="shared" si="119"/>
        <v>0.44444444444444442</v>
      </c>
      <c r="O276">
        <f>step3_validation[[#This Row],[AI_FAC2]]</f>
        <v>8</v>
      </c>
      <c r="P276">
        <f t="shared" si="120"/>
        <v>0.77777777777777779</v>
      </c>
      <c r="Q276">
        <f>survey_responses[[#This Row],[So với trước đây, tôi thấy cách tính thuế và các bậc thuế trong phương án mới đơn giản, dễ hiểu và dễ thực hiện hơn. - HUMAN-FAC2]]</f>
        <v>7</v>
      </c>
      <c r="R276">
        <f t="shared" si="121"/>
        <v>0.66666666666666663</v>
      </c>
      <c r="S276" s="32">
        <f t="shared" si="122"/>
        <v>0.61111111111111116</v>
      </c>
      <c r="T276" s="32">
        <f t="shared" si="123"/>
        <v>0.55555555555555558</v>
      </c>
      <c r="U276">
        <f>step3_validation[[#This Row],[AI_TRU1]]</f>
        <v>7</v>
      </c>
      <c r="V276">
        <f t="shared" si="124"/>
        <v>0.66666666666666663</v>
      </c>
      <c r="W276">
        <f>survey_responses[[#This Row],[Tôi tin rằng Nhà nước, cơ quan thuế sẽ thực thi chính sách mới một cách khách quan, công tâm và đối xử bình đẳng với mọi người nộp thuế.  - HUMAN-TRU1]]</f>
        <v>6</v>
      </c>
      <c r="X276">
        <f t="shared" si="125"/>
        <v>0.55555555555555558</v>
      </c>
      <c r="Y276">
        <f>step3_validation[[#This Row],[AI_TRU2]]</f>
        <v>6</v>
      </c>
      <c r="Z276">
        <f t="shared" si="126"/>
        <v>0.55555555555555558</v>
      </c>
      <c r="AA276">
        <f>survey_responses[[#This Row],[Tôi thấy mức thuế tôi phải đóng theo phương án mới là công bằng (người thu nhập như tôi đóng mức này là hợp lý). - HUMAN-TRU2]]</f>
        <v>7</v>
      </c>
      <c r="AB276">
        <f t="shared" si="127"/>
        <v>0.66666666666666663</v>
      </c>
      <c r="AC276">
        <f>step3_validation[[#This Row],[AI_TRU3]]</f>
        <v>7</v>
      </c>
      <c r="AD276">
        <f t="shared" si="128"/>
        <v>0.66666666666666663</v>
      </c>
      <c r="AE276">
        <f>survey_responses[[#This Row],[Tôi tin tưởng số tiền thuế tôi đóng sẽ được Nhà nước sử dụng hiệu quả để cải thiện dịch vụ công (y tế, đường xá...). - HUMAN-TRU3]]</f>
        <v>7</v>
      </c>
      <c r="AF276">
        <f t="shared" si="129"/>
        <v>0.66666666666666663</v>
      </c>
      <c r="AG276">
        <f>step3_validation[[#This Row],[AI_TRU4]]</f>
        <v>6</v>
      </c>
      <c r="AH276">
        <f t="shared" si="130"/>
        <v>0.55555555555555558</v>
      </c>
      <c r="AI276">
        <f>survey_responses[[#This Row],[Tôi thấy Nhà nước đã giải thích rõ ràng, minh bạch về lý do và mục tiêu của việc sửa đổi thuế lần này. - HUMAN-TRU4]]</f>
        <v>7</v>
      </c>
      <c r="AJ276">
        <f t="shared" si="131"/>
        <v>0.66666666666666663</v>
      </c>
      <c r="AK276" s="32">
        <f t="shared" si="132"/>
        <v>0.61111111111111116</v>
      </c>
      <c r="AL276" s="32">
        <f t="shared" si="133"/>
        <v>0.63888888888888884</v>
      </c>
      <c r="AM276" s="7">
        <f t="shared" si="134"/>
        <v>0.61111111111111116</v>
      </c>
      <c r="AN276" s="7">
        <f t="shared" si="135"/>
        <v>0.67592592592592593</v>
      </c>
      <c r="AO276">
        <f>step3_validation[[#This Row],[AI_OUT1]]</f>
        <v>7</v>
      </c>
      <c r="AP276">
        <f t="shared" si="136"/>
        <v>0.66666666666666663</v>
      </c>
      <c r="AQ276">
        <f>survey_responses[[#This Row],[Sau khi xem xét các quyền lợi và nghĩa vụ, bạn có ủng hộ và tuân thủ chính sách mới hiện nay? - HUMAN-OUT1]]</f>
        <v>7</v>
      </c>
      <c r="AR276">
        <f t="shared" si="137"/>
        <v>0.66666666666666663</v>
      </c>
      <c r="AS276" s="32">
        <f t="shared" si="138"/>
        <v>0</v>
      </c>
      <c r="AT276">
        <f t="shared" si="139"/>
        <v>1</v>
      </c>
    </row>
    <row r="277" spans="1:46" x14ac:dyDescent="0.45">
      <c r="A277">
        <f>step3_validation[[#This Row],[AI_ENF1]]</f>
        <v>8</v>
      </c>
      <c r="B277">
        <f t="shared" si="112"/>
        <v>0.77777777777777779</v>
      </c>
      <c r="C277">
        <f>survey_responses[[#This Row],[Tôi tin rằng với các quy định quản lý thuế hiện nay, hành vi gian lận hoặc trốn thuế sẽ dễ dàng bị phát hiện và xử lý nghiêm. - HUMAN-ENF1]]</f>
        <v>6</v>
      </c>
      <c r="D277">
        <f t="shared" si="113"/>
        <v>0.55555555555555558</v>
      </c>
      <c r="E277">
        <f>step3_validation[[#This Row],[AI_ENF2]]</f>
        <v>7</v>
      </c>
      <c r="F277">
        <f t="shared" si="114"/>
        <v>0.66666666666666663</v>
      </c>
      <c r="G277">
        <f>survey_responses[[#This Row],[Tôi tin rằng Nhà nước, cơ quan thuế có đủ khả năng và công nghệ để phát hiện, xử lý nghiêm các hành vi trốn thuế. - HUMAN-ENF2]]</f>
        <v>6</v>
      </c>
      <c r="H277">
        <f t="shared" si="115"/>
        <v>0.55555555555555558</v>
      </c>
      <c r="I277" s="32">
        <f t="shared" si="116"/>
        <v>0.72222222222222221</v>
      </c>
      <c r="J277" s="32">
        <f t="shared" si="117"/>
        <v>0.55555555555555558</v>
      </c>
      <c r="K277">
        <f>step3_validation[[#This Row],[AI_FAC1]]</f>
        <v>9</v>
      </c>
      <c r="L277">
        <f t="shared" si="118"/>
        <v>0.88888888888888884</v>
      </c>
      <c r="M277">
        <f>survey_responses[[#This Row],[Các thủ tục khai báo thuế VÀ/HOẶC quy trình làm việc với cơ quan thuế đơn giản, tiện lợi, nhanh chóng hơn so với trước đây. - HUMAN-FAC1]]</f>
        <v>3</v>
      </c>
      <c r="N277">
        <f t="shared" si="119"/>
        <v>0.22222222222222221</v>
      </c>
      <c r="O277">
        <f>step3_validation[[#This Row],[AI_FAC2]]</f>
        <v>8</v>
      </c>
      <c r="P277">
        <f t="shared" si="120"/>
        <v>0.77777777777777779</v>
      </c>
      <c r="Q277">
        <f>survey_responses[[#This Row],[So với trước đây, tôi thấy cách tính thuế và các bậc thuế trong phương án mới đơn giản, dễ hiểu và dễ thực hiện hơn. - HUMAN-FAC2]]</f>
        <v>7</v>
      </c>
      <c r="R277">
        <f t="shared" si="121"/>
        <v>0.66666666666666663</v>
      </c>
      <c r="S277" s="32">
        <f t="shared" si="122"/>
        <v>0.83333333333333326</v>
      </c>
      <c r="T277" s="32">
        <f t="shared" si="123"/>
        <v>0.44444444444444442</v>
      </c>
      <c r="U277">
        <f>step3_validation[[#This Row],[AI_TRU1]]</f>
        <v>7</v>
      </c>
      <c r="V277">
        <f t="shared" si="124"/>
        <v>0.66666666666666663</v>
      </c>
      <c r="W277">
        <f>survey_responses[[#This Row],[Tôi tin rằng Nhà nước, cơ quan thuế sẽ thực thi chính sách mới một cách khách quan, công tâm và đối xử bình đẳng với mọi người nộp thuế.  - HUMAN-TRU1]]</f>
        <v>7</v>
      </c>
      <c r="X277">
        <f t="shared" si="125"/>
        <v>0.66666666666666663</v>
      </c>
      <c r="Y277">
        <f>step3_validation[[#This Row],[AI_TRU2]]</f>
        <v>6</v>
      </c>
      <c r="Z277">
        <f t="shared" si="126"/>
        <v>0.55555555555555558</v>
      </c>
      <c r="AA277">
        <f>survey_responses[[#This Row],[Tôi thấy mức thuế tôi phải đóng theo phương án mới là công bằng (người thu nhập như tôi đóng mức này là hợp lý). - HUMAN-TRU2]]</f>
        <v>7</v>
      </c>
      <c r="AB277">
        <f t="shared" si="127"/>
        <v>0.66666666666666663</v>
      </c>
      <c r="AC277">
        <f>step3_validation[[#This Row],[AI_TRU3]]</f>
        <v>7</v>
      </c>
      <c r="AD277">
        <f t="shared" si="128"/>
        <v>0.66666666666666663</v>
      </c>
      <c r="AE277">
        <f>survey_responses[[#This Row],[Tôi tin tưởng số tiền thuế tôi đóng sẽ được Nhà nước sử dụng hiệu quả để cải thiện dịch vụ công (y tế, đường xá...). - HUMAN-TRU3]]</f>
        <v>5</v>
      </c>
      <c r="AF277">
        <f t="shared" si="129"/>
        <v>0.44444444444444442</v>
      </c>
      <c r="AG277">
        <f>step3_validation[[#This Row],[AI_TRU4]]</f>
        <v>5</v>
      </c>
      <c r="AH277">
        <f t="shared" si="130"/>
        <v>0.44444444444444442</v>
      </c>
      <c r="AI277">
        <f>survey_responses[[#This Row],[Tôi thấy Nhà nước đã giải thích rõ ràng, minh bạch về lý do và mục tiêu của việc sửa đổi thuế lần này. - HUMAN-TRU4]]</f>
        <v>7</v>
      </c>
      <c r="AJ277">
        <f t="shared" si="131"/>
        <v>0.66666666666666663</v>
      </c>
      <c r="AK277" s="32">
        <f t="shared" si="132"/>
        <v>0.58333333333333326</v>
      </c>
      <c r="AL277" s="32">
        <f t="shared" si="133"/>
        <v>0.61111111111111105</v>
      </c>
      <c r="AM277" s="7">
        <f t="shared" si="134"/>
        <v>0.7129629629629628</v>
      </c>
      <c r="AN277" s="7">
        <f t="shared" si="135"/>
        <v>0.53703703703703709</v>
      </c>
      <c r="AO277">
        <f>step3_validation[[#This Row],[AI_OUT1]]</f>
        <v>8</v>
      </c>
      <c r="AP277">
        <f t="shared" si="136"/>
        <v>0.77777777777777779</v>
      </c>
      <c r="AQ277">
        <f>survey_responses[[#This Row],[Sau khi xem xét các quyền lợi và nghĩa vụ, bạn có ủng hộ và tuân thủ chính sách mới hiện nay? - HUMAN-OUT1]]</f>
        <v>7</v>
      </c>
      <c r="AR277">
        <f t="shared" si="137"/>
        <v>0.66666666666666663</v>
      </c>
      <c r="AS277" s="32">
        <f t="shared" si="138"/>
        <v>1</v>
      </c>
      <c r="AT277">
        <f t="shared" si="139"/>
        <v>1</v>
      </c>
    </row>
    <row r="278" spans="1:46" x14ac:dyDescent="0.45">
      <c r="A278">
        <f>step3_validation[[#This Row],[AI_ENF1]]</f>
        <v>6</v>
      </c>
      <c r="B278">
        <f t="shared" si="112"/>
        <v>0.55555555555555558</v>
      </c>
      <c r="C278">
        <f>survey_responses[[#This Row],[Tôi tin rằng với các quy định quản lý thuế hiện nay, hành vi gian lận hoặc trốn thuế sẽ dễ dàng bị phát hiện và xử lý nghiêm. - HUMAN-ENF1]]</f>
        <v>8</v>
      </c>
      <c r="D278">
        <f t="shared" si="113"/>
        <v>0.77777777777777779</v>
      </c>
      <c r="E278">
        <f>step3_validation[[#This Row],[AI_ENF2]]</f>
        <v>5</v>
      </c>
      <c r="F278">
        <f t="shared" si="114"/>
        <v>0.44444444444444442</v>
      </c>
      <c r="G278">
        <f>survey_responses[[#This Row],[Tôi tin rằng Nhà nước, cơ quan thuế có đủ khả năng và công nghệ để phát hiện, xử lý nghiêm các hành vi trốn thuế. - HUMAN-ENF2]]</f>
        <v>8</v>
      </c>
      <c r="H278">
        <f t="shared" si="115"/>
        <v>0.77777777777777779</v>
      </c>
      <c r="I278" s="32">
        <f t="shared" si="116"/>
        <v>0.5</v>
      </c>
      <c r="J278" s="32">
        <f t="shared" si="117"/>
        <v>0.77777777777777779</v>
      </c>
      <c r="K278">
        <f>step3_validation[[#This Row],[AI_FAC1]]</f>
        <v>8</v>
      </c>
      <c r="L278">
        <f t="shared" si="118"/>
        <v>0.77777777777777779</v>
      </c>
      <c r="M278">
        <f>survey_responses[[#This Row],[Các thủ tục khai báo thuế VÀ/HOẶC quy trình làm việc với cơ quan thuế đơn giản, tiện lợi, nhanh chóng hơn so với trước đây. - HUMAN-FAC1]]</f>
        <v>6</v>
      </c>
      <c r="N278">
        <f t="shared" si="119"/>
        <v>0.55555555555555558</v>
      </c>
      <c r="O278">
        <f>step3_validation[[#This Row],[AI_FAC2]]</f>
        <v>7</v>
      </c>
      <c r="P278">
        <f t="shared" si="120"/>
        <v>0.66666666666666663</v>
      </c>
      <c r="Q278">
        <f>survey_responses[[#This Row],[So với trước đây, tôi thấy cách tính thuế và các bậc thuế trong phương án mới đơn giản, dễ hiểu và dễ thực hiện hơn. - HUMAN-FAC2]]</f>
        <v>7</v>
      </c>
      <c r="R278">
        <f t="shared" si="121"/>
        <v>0.66666666666666663</v>
      </c>
      <c r="S278" s="32">
        <f t="shared" si="122"/>
        <v>0.72222222222222221</v>
      </c>
      <c r="T278" s="32">
        <f t="shared" si="123"/>
        <v>0.61111111111111116</v>
      </c>
      <c r="U278">
        <f>step3_validation[[#This Row],[AI_TRU1]]</f>
        <v>7</v>
      </c>
      <c r="V278">
        <f t="shared" si="124"/>
        <v>0.66666666666666663</v>
      </c>
      <c r="W278">
        <f>survey_responses[[#This Row],[Tôi tin rằng Nhà nước, cơ quan thuế sẽ thực thi chính sách mới một cách khách quan, công tâm và đối xử bình đẳng với mọi người nộp thuế.  - HUMAN-TRU1]]</f>
        <v>7</v>
      </c>
      <c r="X278">
        <f t="shared" si="125"/>
        <v>0.66666666666666663</v>
      </c>
      <c r="Y278">
        <f>step3_validation[[#This Row],[AI_TRU2]]</f>
        <v>6</v>
      </c>
      <c r="Z278">
        <f t="shared" si="126"/>
        <v>0.55555555555555558</v>
      </c>
      <c r="AA278">
        <f>survey_responses[[#This Row],[Tôi thấy mức thuế tôi phải đóng theo phương án mới là công bằng (người thu nhập như tôi đóng mức này là hợp lý). - HUMAN-TRU2]]</f>
        <v>4</v>
      </c>
      <c r="AB278">
        <f t="shared" si="127"/>
        <v>0.33333333333333331</v>
      </c>
      <c r="AC278">
        <f>step3_validation[[#This Row],[AI_TRU3]]</f>
        <v>7</v>
      </c>
      <c r="AD278">
        <f t="shared" si="128"/>
        <v>0.66666666666666663</v>
      </c>
      <c r="AE278">
        <f>survey_responses[[#This Row],[Tôi tin tưởng số tiền thuế tôi đóng sẽ được Nhà nước sử dụng hiệu quả để cải thiện dịch vụ công (y tế, đường xá...). - HUMAN-TRU3]]</f>
        <v>5</v>
      </c>
      <c r="AF278">
        <f t="shared" si="129"/>
        <v>0.44444444444444442</v>
      </c>
      <c r="AG278">
        <f>step3_validation[[#This Row],[AI_TRU4]]</f>
        <v>5</v>
      </c>
      <c r="AH278">
        <f t="shared" si="130"/>
        <v>0.44444444444444442</v>
      </c>
      <c r="AI278">
        <f>survey_responses[[#This Row],[Tôi thấy Nhà nước đã giải thích rõ ràng, minh bạch về lý do và mục tiêu của việc sửa đổi thuế lần này. - HUMAN-TRU4]]</f>
        <v>5</v>
      </c>
      <c r="AJ278">
        <f t="shared" si="131"/>
        <v>0.44444444444444442</v>
      </c>
      <c r="AK278" s="32">
        <f t="shared" si="132"/>
        <v>0.58333333333333326</v>
      </c>
      <c r="AL278" s="32">
        <f t="shared" si="133"/>
        <v>0.47222222222222221</v>
      </c>
      <c r="AM278" s="7">
        <f t="shared" si="134"/>
        <v>0.60185185185185186</v>
      </c>
      <c r="AN278" s="7">
        <f t="shared" si="135"/>
        <v>0.62037037037037035</v>
      </c>
      <c r="AO278">
        <f>step3_validation[[#This Row],[AI_OUT1]]</f>
        <v>6</v>
      </c>
      <c r="AP278">
        <f t="shared" si="136"/>
        <v>0.55555555555555558</v>
      </c>
      <c r="AQ278">
        <f>survey_responses[[#This Row],[Sau khi xem xét các quyền lợi và nghĩa vụ, bạn có ủng hộ và tuân thủ chính sách mới hiện nay? - HUMAN-OUT1]]</f>
        <v>5</v>
      </c>
      <c r="AR278">
        <f t="shared" si="137"/>
        <v>0.44444444444444442</v>
      </c>
      <c r="AS278" s="32">
        <f t="shared" si="138"/>
        <v>1</v>
      </c>
      <c r="AT278">
        <f t="shared" si="139"/>
        <v>0</v>
      </c>
    </row>
    <row r="279" spans="1:46" x14ac:dyDescent="0.45">
      <c r="A279">
        <f>step3_validation[[#This Row],[AI_ENF1]]</f>
        <v>6</v>
      </c>
      <c r="B279">
        <f t="shared" si="112"/>
        <v>0.55555555555555558</v>
      </c>
      <c r="C279">
        <f>survey_responses[[#This Row],[Tôi tin rằng với các quy định quản lý thuế hiện nay, hành vi gian lận hoặc trốn thuế sẽ dễ dàng bị phát hiện và xử lý nghiêm. - HUMAN-ENF1]]</f>
        <v>6</v>
      </c>
      <c r="D279">
        <f t="shared" si="113"/>
        <v>0.55555555555555558</v>
      </c>
      <c r="E279">
        <f>step3_validation[[#This Row],[AI_ENF2]]</f>
        <v>7</v>
      </c>
      <c r="F279">
        <f t="shared" si="114"/>
        <v>0.66666666666666663</v>
      </c>
      <c r="G279">
        <f>survey_responses[[#This Row],[Tôi tin rằng Nhà nước, cơ quan thuế có đủ khả năng và công nghệ để phát hiện, xử lý nghiêm các hành vi trốn thuế. - HUMAN-ENF2]]</f>
        <v>7</v>
      </c>
      <c r="H279">
        <f t="shared" si="115"/>
        <v>0.66666666666666663</v>
      </c>
      <c r="I279" s="32">
        <f t="shared" si="116"/>
        <v>0.61111111111111116</v>
      </c>
      <c r="J279" s="32">
        <f t="shared" si="117"/>
        <v>0.61111111111111116</v>
      </c>
      <c r="K279">
        <f>step3_validation[[#This Row],[AI_FAC1]]</f>
        <v>8</v>
      </c>
      <c r="L279">
        <f t="shared" si="118"/>
        <v>0.77777777777777779</v>
      </c>
      <c r="M279">
        <f>survey_responses[[#This Row],[Các thủ tục khai báo thuế VÀ/HOẶC quy trình làm việc với cơ quan thuế đơn giản, tiện lợi, nhanh chóng hơn so với trước đây. - HUMAN-FAC1]]</f>
        <v>5</v>
      </c>
      <c r="N279">
        <f t="shared" si="119"/>
        <v>0.44444444444444442</v>
      </c>
      <c r="O279">
        <f>step3_validation[[#This Row],[AI_FAC2]]</f>
        <v>7</v>
      </c>
      <c r="P279">
        <f t="shared" si="120"/>
        <v>0.66666666666666663</v>
      </c>
      <c r="Q279">
        <f>survey_responses[[#This Row],[So với trước đây, tôi thấy cách tính thuế và các bậc thuế trong phương án mới đơn giản, dễ hiểu và dễ thực hiện hơn. - HUMAN-FAC2]]</f>
        <v>7</v>
      </c>
      <c r="R279">
        <f t="shared" si="121"/>
        <v>0.66666666666666663</v>
      </c>
      <c r="S279" s="32">
        <f t="shared" si="122"/>
        <v>0.72222222222222221</v>
      </c>
      <c r="T279" s="32">
        <f t="shared" si="123"/>
        <v>0.55555555555555558</v>
      </c>
      <c r="U279">
        <f>step3_validation[[#This Row],[AI_TRU1]]</f>
        <v>8</v>
      </c>
      <c r="V279">
        <f t="shared" si="124"/>
        <v>0.77777777777777779</v>
      </c>
      <c r="W279">
        <f>survey_responses[[#This Row],[Tôi tin rằng Nhà nước, cơ quan thuế sẽ thực thi chính sách mới một cách khách quan, công tâm và đối xử bình đẳng với mọi người nộp thuế.  - HUMAN-TRU1]]</f>
        <v>6</v>
      </c>
      <c r="X279">
        <f t="shared" si="125"/>
        <v>0.55555555555555558</v>
      </c>
      <c r="Y279">
        <f>step3_validation[[#This Row],[AI_TRU2]]</f>
        <v>8</v>
      </c>
      <c r="Z279">
        <f t="shared" si="126"/>
        <v>0.77777777777777779</v>
      </c>
      <c r="AA279">
        <f>survey_responses[[#This Row],[Tôi thấy mức thuế tôi phải đóng theo phương án mới là công bằng (người thu nhập như tôi đóng mức này là hợp lý). - HUMAN-TRU2]]</f>
        <v>6</v>
      </c>
      <c r="AB279">
        <f t="shared" si="127"/>
        <v>0.55555555555555558</v>
      </c>
      <c r="AC279">
        <f>step3_validation[[#This Row],[AI_TRU3]]</f>
        <v>8</v>
      </c>
      <c r="AD279">
        <f t="shared" si="128"/>
        <v>0.77777777777777779</v>
      </c>
      <c r="AE279">
        <f>survey_responses[[#This Row],[Tôi tin tưởng số tiền thuế tôi đóng sẽ được Nhà nước sử dụng hiệu quả để cải thiện dịch vụ công (y tế, đường xá...). - HUMAN-TRU3]]</f>
        <v>6</v>
      </c>
      <c r="AF279">
        <f t="shared" si="129"/>
        <v>0.55555555555555558</v>
      </c>
      <c r="AG279">
        <f>step3_validation[[#This Row],[AI_TRU4]]</f>
        <v>5</v>
      </c>
      <c r="AH279">
        <f t="shared" si="130"/>
        <v>0.44444444444444442</v>
      </c>
      <c r="AI279">
        <f>survey_responses[[#This Row],[Tôi thấy Nhà nước đã giải thích rõ ràng, minh bạch về lý do và mục tiêu của việc sửa đổi thuế lần này. - HUMAN-TRU4]]</f>
        <v>6</v>
      </c>
      <c r="AJ279">
        <f t="shared" si="131"/>
        <v>0.55555555555555558</v>
      </c>
      <c r="AK279" s="32">
        <f t="shared" si="132"/>
        <v>0.69444444444444442</v>
      </c>
      <c r="AL279" s="32">
        <f t="shared" si="133"/>
        <v>0.55555555555555558</v>
      </c>
      <c r="AM279" s="7">
        <f t="shared" si="134"/>
        <v>0.67592592592592593</v>
      </c>
      <c r="AN279" s="7">
        <f t="shared" si="135"/>
        <v>0.57407407407407407</v>
      </c>
      <c r="AO279">
        <f>step3_validation[[#This Row],[AI_OUT1]]</f>
        <v>7</v>
      </c>
      <c r="AP279">
        <f t="shared" si="136"/>
        <v>0.66666666666666663</v>
      </c>
      <c r="AQ279">
        <f>survey_responses[[#This Row],[Sau khi xem xét các quyền lợi và nghĩa vụ, bạn có ủng hộ và tuân thủ chính sách mới hiện nay? - HUMAN-OUT1]]</f>
        <v>6</v>
      </c>
      <c r="AR279">
        <f t="shared" si="137"/>
        <v>0.55555555555555558</v>
      </c>
      <c r="AS279" s="32">
        <f t="shared" si="138"/>
        <v>1</v>
      </c>
      <c r="AT279">
        <f t="shared" si="139"/>
        <v>1</v>
      </c>
    </row>
    <row r="280" spans="1:46" x14ac:dyDescent="0.45">
      <c r="A280">
        <f>step3_validation[[#This Row],[AI_ENF1]]</f>
        <v>8</v>
      </c>
      <c r="B280">
        <f t="shared" si="112"/>
        <v>0.77777777777777779</v>
      </c>
      <c r="C280">
        <f>survey_responses[[#This Row],[Tôi tin rằng với các quy định quản lý thuế hiện nay, hành vi gian lận hoặc trốn thuế sẽ dễ dàng bị phát hiện và xử lý nghiêm. - HUMAN-ENF1]]</f>
        <v>6</v>
      </c>
      <c r="D280">
        <f t="shared" si="113"/>
        <v>0.55555555555555558</v>
      </c>
      <c r="E280">
        <f>step3_validation[[#This Row],[AI_ENF2]]</f>
        <v>7</v>
      </c>
      <c r="F280">
        <f t="shared" si="114"/>
        <v>0.66666666666666663</v>
      </c>
      <c r="G280">
        <f>survey_responses[[#This Row],[Tôi tin rằng Nhà nước, cơ quan thuế có đủ khả năng và công nghệ để phát hiện, xử lý nghiêm các hành vi trốn thuế. - HUMAN-ENF2]]</f>
        <v>7</v>
      </c>
      <c r="H280">
        <f t="shared" si="115"/>
        <v>0.66666666666666663</v>
      </c>
      <c r="I280" s="32">
        <f t="shared" si="116"/>
        <v>0.72222222222222221</v>
      </c>
      <c r="J280" s="32">
        <f t="shared" si="117"/>
        <v>0.61111111111111116</v>
      </c>
      <c r="K280">
        <f>step3_validation[[#This Row],[AI_FAC1]]</f>
        <v>9</v>
      </c>
      <c r="L280">
        <f t="shared" si="118"/>
        <v>0.88888888888888884</v>
      </c>
      <c r="M280">
        <f>survey_responses[[#This Row],[Các thủ tục khai báo thuế VÀ/HOẶC quy trình làm việc với cơ quan thuế đơn giản, tiện lợi, nhanh chóng hơn so với trước đây. - HUMAN-FAC1]]</f>
        <v>5</v>
      </c>
      <c r="N280">
        <f t="shared" si="119"/>
        <v>0.44444444444444442</v>
      </c>
      <c r="O280">
        <f>step3_validation[[#This Row],[AI_FAC2]]</f>
        <v>8</v>
      </c>
      <c r="P280">
        <f t="shared" si="120"/>
        <v>0.77777777777777779</v>
      </c>
      <c r="Q280">
        <f>survey_responses[[#This Row],[So với trước đây, tôi thấy cách tính thuế và các bậc thuế trong phương án mới đơn giản, dễ hiểu và dễ thực hiện hơn. - HUMAN-FAC2]]</f>
        <v>8</v>
      </c>
      <c r="R280">
        <f t="shared" si="121"/>
        <v>0.77777777777777779</v>
      </c>
      <c r="S280" s="32">
        <f t="shared" si="122"/>
        <v>0.83333333333333326</v>
      </c>
      <c r="T280" s="32">
        <f t="shared" si="123"/>
        <v>0.61111111111111116</v>
      </c>
      <c r="U280">
        <f>step3_validation[[#This Row],[AI_TRU1]]</f>
        <v>7</v>
      </c>
      <c r="V280">
        <f t="shared" si="124"/>
        <v>0.66666666666666663</v>
      </c>
      <c r="W280">
        <f>survey_responses[[#This Row],[Tôi tin rằng Nhà nước, cơ quan thuế sẽ thực thi chính sách mới một cách khách quan, công tâm và đối xử bình đẳng với mọi người nộp thuế.  - HUMAN-TRU1]]</f>
        <v>6</v>
      </c>
      <c r="X280">
        <f t="shared" si="125"/>
        <v>0.55555555555555558</v>
      </c>
      <c r="Y280">
        <f>step3_validation[[#This Row],[AI_TRU2]]</f>
        <v>8</v>
      </c>
      <c r="Z280">
        <f t="shared" si="126"/>
        <v>0.77777777777777779</v>
      </c>
      <c r="AA280">
        <f>survey_responses[[#This Row],[Tôi thấy mức thuế tôi phải đóng theo phương án mới là công bằng (người thu nhập như tôi đóng mức này là hợp lý). - HUMAN-TRU2]]</f>
        <v>3</v>
      </c>
      <c r="AB280">
        <f t="shared" si="127"/>
        <v>0.22222222222222221</v>
      </c>
      <c r="AC280">
        <f>step3_validation[[#This Row],[AI_TRU3]]</f>
        <v>6</v>
      </c>
      <c r="AD280">
        <f t="shared" si="128"/>
        <v>0.55555555555555558</v>
      </c>
      <c r="AE280">
        <f>survey_responses[[#This Row],[Tôi tin tưởng số tiền thuế tôi đóng sẽ được Nhà nước sử dụng hiệu quả để cải thiện dịch vụ công (y tế, đường xá...). - HUMAN-TRU3]]</f>
        <v>6</v>
      </c>
      <c r="AF280">
        <f t="shared" si="129"/>
        <v>0.55555555555555558</v>
      </c>
      <c r="AG280">
        <f>step3_validation[[#This Row],[AI_TRU4]]</f>
        <v>7</v>
      </c>
      <c r="AH280">
        <f t="shared" si="130"/>
        <v>0.66666666666666663</v>
      </c>
      <c r="AI280">
        <f>survey_responses[[#This Row],[Tôi thấy Nhà nước đã giải thích rõ ràng, minh bạch về lý do và mục tiêu của việc sửa đổi thuế lần này. - HUMAN-TRU4]]</f>
        <v>8</v>
      </c>
      <c r="AJ280">
        <f t="shared" si="131"/>
        <v>0.77777777777777779</v>
      </c>
      <c r="AK280" s="32">
        <f t="shared" si="132"/>
        <v>0.66666666666666663</v>
      </c>
      <c r="AL280" s="32">
        <f t="shared" si="133"/>
        <v>0.52777777777777779</v>
      </c>
      <c r="AM280" s="7">
        <f t="shared" si="134"/>
        <v>0.74074074074074059</v>
      </c>
      <c r="AN280" s="7">
        <f t="shared" si="135"/>
        <v>0.58333333333333337</v>
      </c>
      <c r="AO280">
        <f>step3_validation[[#This Row],[AI_OUT1]]</f>
        <v>8</v>
      </c>
      <c r="AP280">
        <f t="shared" si="136"/>
        <v>0.77777777777777779</v>
      </c>
      <c r="AQ280">
        <f>survey_responses[[#This Row],[Sau khi xem xét các quyền lợi và nghĩa vụ, bạn có ủng hộ và tuân thủ chính sách mới hiện nay? - HUMAN-OUT1]]</f>
        <v>6</v>
      </c>
      <c r="AR280">
        <f t="shared" si="137"/>
        <v>0.55555555555555558</v>
      </c>
      <c r="AS280" s="32">
        <f t="shared" si="138"/>
        <v>2</v>
      </c>
      <c r="AT280">
        <f t="shared" si="139"/>
        <v>1</v>
      </c>
    </row>
    <row r="281" spans="1:46" x14ac:dyDescent="0.45">
      <c r="A281">
        <f>step3_validation[[#This Row],[AI_ENF1]]</f>
        <v>8</v>
      </c>
      <c r="B281">
        <f t="shared" si="112"/>
        <v>0.77777777777777779</v>
      </c>
      <c r="C281">
        <f>survey_responses[[#This Row],[Tôi tin rằng với các quy định quản lý thuế hiện nay, hành vi gian lận hoặc trốn thuế sẽ dễ dàng bị phát hiện và xử lý nghiêm. - HUMAN-ENF1]]</f>
        <v>4</v>
      </c>
      <c r="D281">
        <f t="shared" si="113"/>
        <v>0.33333333333333331</v>
      </c>
      <c r="E281">
        <f>step3_validation[[#This Row],[AI_ENF2]]</f>
        <v>7</v>
      </c>
      <c r="F281">
        <f t="shared" si="114"/>
        <v>0.66666666666666663</v>
      </c>
      <c r="G281">
        <f>survey_responses[[#This Row],[Tôi tin rằng Nhà nước, cơ quan thuế có đủ khả năng và công nghệ để phát hiện, xử lý nghiêm các hành vi trốn thuế. - HUMAN-ENF2]]</f>
        <v>4</v>
      </c>
      <c r="H281">
        <f t="shared" si="115"/>
        <v>0.33333333333333331</v>
      </c>
      <c r="I281" s="32">
        <f t="shared" si="116"/>
        <v>0.72222222222222221</v>
      </c>
      <c r="J281" s="32">
        <f t="shared" si="117"/>
        <v>0.33333333333333331</v>
      </c>
      <c r="K281">
        <f>step3_validation[[#This Row],[AI_FAC1]]</f>
        <v>9</v>
      </c>
      <c r="L281">
        <f t="shared" si="118"/>
        <v>0.88888888888888884</v>
      </c>
      <c r="M281">
        <f>survey_responses[[#This Row],[Các thủ tục khai báo thuế VÀ/HOẶC quy trình làm việc với cơ quan thuế đơn giản, tiện lợi, nhanh chóng hơn so với trước đây. - HUMAN-FAC1]]</f>
        <v>1</v>
      </c>
      <c r="N281">
        <f t="shared" si="119"/>
        <v>0</v>
      </c>
      <c r="O281">
        <f>step3_validation[[#This Row],[AI_FAC2]]</f>
        <v>8</v>
      </c>
      <c r="P281">
        <f t="shared" si="120"/>
        <v>0.77777777777777779</v>
      </c>
      <c r="Q281">
        <f>survey_responses[[#This Row],[So với trước đây, tôi thấy cách tính thuế và các bậc thuế trong phương án mới đơn giản, dễ hiểu và dễ thực hiện hơn. - HUMAN-FAC2]]</f>
        <v>6</v>
      </c>
      <c r="R281">
        <f t="shared" si="121"/>
        <v>0.55555555555555558</v>
      </c>
      <c r="S281" s="32">
        <f t="shared" si="122"/>
        <v>0.83333333333333326</v>
      </c>
      <c r="T281" s="32">
        <f t="shared" si="123"/>
        <v>0.27777777777777779</v>
      </c>
      <c r="U281">
        <f>step3_validation[[#This Row],[AI_TRU1]]</f>
        <v>7</v>
      </c>
      <c r="V281">
        <f t="shared" si="124"/>
        <v>0.66666666666666663</v>
      </c>
      <c r="W281">
        <f>survey_responses[[#This Row],[Tôi tin rằng Nhà nước, cơ quan thuế sẽ thực thi chính sách mới một cách khách quan, công tâm và đối xử bình đẳng với mọi người nộp thuế.  - HUMAN-TRU1]]</f>
        <v>3</v>
      </c>
      <c r="X281">
        <f t="shared" si="125"/>
        <v>0.22222222222222221</v>
      </c>
      <c r="Y281">
        <f>step3_validation[[#This Row],[AI_TRU2]]</f>
        <v>8</v>
      </c>
      <c r="Z281">
        <f t="shared" si="126"/>
        <v>0.77777777777777779</v>
      </c>
      <c r="AA281">
        <f>survey_responses[[#This Row],[Tôi thấy mức thuế tôi phải đóng theo phương án mới là công bằng (người thu nhập như tôi đóng mức này là hợp lý). - HUMAN-TRU2]]</f>
        <v>2</v>
      </c>
      <c r="AB281">
        <f t="shared" si="127"/>
        <v>0.1111111111111111</v>
      </c>
      <c r="AC281">
        <f>step3_validation[[#This Row],[AI_TRU3]]</f>
        <v>7</v>
      </c>
      <c r="AD281">
        <f t="shared" si="128"/>
        <v>0.66666666666666663</v>
      </c>
      <c r="AE281">
        <f>survey_responses[[#This Row],[Tôi tin tưởng số tiền thuế tôi đóng sẽ được Nhà nước sử dụng hiệu quả để cải thiện dịch vụ công (y tế, đường xá...). - HUMAN-TRU3]]</f>
        <v>1</v>
      </c>
      <c r="AF281">
        <f t="shared" si="129"/>
        <v>0</v>
      </c>
      <c r="AG281">
        <f>step3_validation[[#This Row],[AI_TRU4]]</f>
        <v>6</v>
      </c>
      <c r="AH281">
        <f t="shared" si="130"/>
        <v>0.55555555555555558</v>
      </c>
      <c r="AI281">
        <f>survey_responses[[#This Row],[Tôi thấy Nhà nước đã giải thích rõ ràng, minh bạch về lý do và mục tiêu của việc sửa đổi thuế lần này. - HUMAN-TRU4]]</f>
        <v>5</v>
      </c>
      <c r="AJ281">
        <f t="shared" si="131"/>
        <v>0.44444444444444442</v>
      </c>
      <c r="AK281" s="32">
        <f t="shared" si="132"/>
        <v>0.66666666666666674</v>
      </c>
      <c r="AL281" s="32">
        <f t="shared" si="133"/>
        <v>0.19444444444444442</v>
      </c>
      <c r="AM281" s="7">
        <f t="shared" si="134"/>
        <v>0.74074074074074081</v>
      </c>
      <c r="AN281" s="7">
        <f t="shared" si="135"/>
        <v>0.26851851851851855</v>
      </c>
      <c r="AO281">
        <f>step3_validation[[#This Row],[AI_OUT1]]</f>
        <v>8</v>
      </c>
      <c r="AP281">
        <f t="shared" si="136"/>
        <v>0.77777777777777779</v>
      </c>
      <c r="AQ281">
        <f>survey_responses[[#This Row],[Sau khi xem xét các quyền lợi và nghĩa vụ, bạn có ủng hộ và tuân thủ chính sách mới hiện nay? - HUMAN-OUT1]]</f>
        <v>4</v>
      </c>
      <c r="AR281">
        <f t="shared" si="137"/>
        <v>0.33333333333333331</v>
      </c>
      <c r="AS281" s="32">
        <f t="shared" si="138"/>
        <v>4</v>
      </c>
      <c r="AT281">
        <f t="shared" si="139"/>
        <v>0</v>
      </c>
    </row>
    <row r="282" spans="1:46" x14ac:dyDescent="0.45">
      <c r="A282">
        <f>step3_validation[[#This Row],[AI_ENF1]]</f>
        <v>7</v>
      </c>
      <c r="B282">
        <f t="shared" si="112"/>
        <v>0.66666666666666663</v>
      </c>
      <c r="C282">
        <f>survey_responses[[#This Row],[Tôi tin rằng với các quy định quản lý thuế hiện nay, hành vi gian lận hoặc trốn thuế sẽ dễ dàng bị phát hiện và xử lý nghiêm. - HUMAN-ENF1]]</f>
        <v>6</v>
      </c>
      <c r="D282">
        <f t="shared" si="113"/>
        <v>0.55555555555555558</v>
      </c>
      <c r="E282">
        <f>step3_validation[[#This Row],[AI_ENF2]]</f>
        <v>8</v>
      </c>
      <c r="F282">
        <f t="shared" si="114"/>
        <v>0.77777777777777779</v>
      </c>
      <c r="G282">
        <f>survey_responses[[#This Row],[Tôi tin rằng Nhà nước, cơ quan thuế có đủ khả năng và công nghệ để phát hiện, xử lý nghiêm các hành vi trốn thuế. - HUMAN-ENF2]]</f>
        <v>7</v>
      </c>
      <c r="H282">
        <f t="shared" si="115"/>
        <v>0.66666666666666663</v>
      </c>
      <c r="I282" s="32">
        <f t="shared" si="116"/>
        <v>0.72222222222222221</v>
      </c>
      <c r="J282" s="32">
        <f t="shared" si="117"/>
        <v>0.61111111111111116</v>
      </c>
      <c r="K282">
        <f>step3_validation[[#This Row],[AI_FAC1]]</f>
        <v>9</v>
      </c>
      <c r="L282">
        <f t="shared" si="118"/>
        <v>0.88888888888888884</v>
      </c>
      <c r="M282">
        <f>survey_responses[[#This Row],[Các thủ tục khai báo thuế VÀ/HOẶC quy trình làm việc với cơ quan thuế đơn giản, tiện lợi, nhanh chóng hơn so với trước đây. - HUMAN-FAC1]]</f>
        <v>4</v>
      </c>
      <c r="N282">
        <f t="shared" si="119"/>
        <v>0.33333333333333331</v>
      </c>
      <c r="O282">
        <f>step3_validation[[#This Row],[AI_FAC2]]</f>
        <v>8</v>
      </c>
      <c r="P282">
        <f t="shared" si="120"/>
        <v>0.77777777777777779</v>
      </c>
      <c r="Q282">
        <f>survey_responses[[#This Row],[So với trước đây, tôi thấy cách tính thuế và các bậc thuế trong phương án mới đơn giản, dễ hiểu và dễ thực hiện hơn. - HUMAN-FAC2]]</f>
        <v>8</v>
      </c>
      <c r="R282">
        <f t="shared" si="121"/>
        <v>0.77777777777777779</v>
      </c>
      <c r="S282" s="32">
        <f t="shared" si="122"/>
        <v>0.83333333333333326</v>
      </c>
      <c r="T282" s="32">
        <f t="shared" si="123"/>
        <v>0.55555555555555558</v>
      </c>
      <c r="U282">
        <f>step3_validation[[#This Row],[AI_TRU1]]</f>
        <v>9</v>
      </c>
      <c r="V282">
        <f t="shared" si="124"/>
        <v>0.88888888888888884</v>
      </c>
      <c r="W282">
        <f>survey_responses[[#This Row],[Tôi tin rằng Nhà nước, cơ quan thuế sẽ thực thi chính sách mới một cách khách quan, công tâm và đối xử bình đẳng với mọi người nộp thuế.  - HUMAN-TRU1]]</f>
        <v>6</v>
      </c>
      <c r="X282">
        <f t="shared" si="125"/>
        <v>0.55555555555555558</v>
      </c>
      <c r="Y282">
        <f>step3_validation[[#This Row],[AI_TRU2]]</f>
        <v>7</v>
      </c>
      <c r="Z282">
        <f t="shared" si="126"/>
        <v>0.66666666666666663</v>
      </c>
      <c r="AA282">
        <f>survey_responses[[#This Row],[Tôi thấy mức thuế tôi phải đóng theo phương án mới là công bằng (người thu nhập như tôi đóng mức này là hợp lý). - HUMAN-TRU2]]</f>
        <v>6</v>
      </c>
      <c r="AB282">
        <f t="shared" si="127"/>
        <v>0.55555555555555558</v>
      </c>
      <c r="AC282">
        <f>step3_validation[[#This Row],[AI_TRU3]]</f>
        <v>7</v>
      </c>
      <c r="AD282">
        <f t="shared" si="128"/>
        <v>0.66666666666666663</v>
      </c>
      <c r="AE282">
        <f>survey_responses[[#This Row],[Tôi tin tưởng số tiền thuế tôi đóng sẽ được Nhà nước sử dụng hiệu quả để cải thiện dịch vụ công (y tế, đường xá...). - HUMAN-TRU3]]</f>
        <v>5</v>
      </c>
      <c r="AF282">
        <f t="shared" si="129"/>
        <v>0.44444444444444442</v>
      </c>
      <c r="AG282">
        <f>step3_validation[[#This Row],[AI_TRU4]]</f>
        <v>6</v>
      </c>
      <c r="AH282">
        <f t="shared" si="130"/>
        <v>0.55555555555555558</v>
      </c>
      <c r="AI282">
        <f>survey_responses[[#This Row],[Tôi thấy Nhà nước đã giải thích rõ ràng, minh bạch về lý do và mục tiêu của việc sửa đổi thuế lần này. - HUMAN-TRU4]]</f>
        <v>7</v>
      </c>
      <c r="AJ282">
        <f t="shared" si="131"/>
        <v>0.66666666666666663</v>
      </c>
      <c r="AK282" s="32">
        <f t="shared" si="132"/>
        <v>0.69444444444444442</v>
      </c>
      <c r="AL282" s="32">
        <f t="shared" si="133"/>
        <v>0.55555555555555558</v>
      </c>
      <c r="AM282" s="7">
        <f t="shared" si="134"/>
        <v>0.75</v>
      </c>
      <c r="AN282" s="7">
        <f t="shared" si="135"/>
        <v>0.57407407407407407</v>
      </c>
      <c r="AO282">
        <f>step3_validation[[#This Row],[AI_OUT1]]</f>
        <v>8</v>
      </c>
      <c r="AP282">
        <f t="shared" si="136"/>
        <v>0.77777777777777779</v>
      </c>
      <c r="AQ282">
        <f>survey_responses[[#This Row],[Sau khi xem xét các quyền lợi và nghĩa vụ, bạn có ủng hộ và tuân thủ chính sách mới hiện nay? - HUMAN-OUT1]]</f>
        <v>6</v>
      </c>
      <c r="AR282">
        <f t="shared" si="137"/>
        <v>0.55555555555555558</v>
      </c>
      <c r="AS282" s="32">
        <f t="shared" si="138"/>
        <v>2</v>
      </c>
      <c r="AT282">
        <f t="shared" si="139"/>
        <v>1</v>
      </c>
    </row>
    <row r="283" spans="1:46" x14ac:dyDescent="0.45">
      <c r="A283">
        <f>step3_validation[[#This Row],[AI_ENF1]]</f>
        <v>7</v>
      </c>
      <c r="B283">
        <f t="shared" si="112"/>
        <v>0.66666666666666663</v>
      </c>
      <c r="C283">
        <f>survey_responses[[#This Row],[Tôi tin rằng với các quy định quản lý thuế hiện nay, hành vi gian lận hoặc trốn thuế sẽ dễ dàng bị phát hiện và xử lý nghiêm. - HUMAN-ENF1]]</f>
        <v>8</v>
      </c>
      <c r="D283">
        <f t="shared" si="113"/>
        <v>0.77777777777777779</v>
      </c>
      <c r="E283">
        <f>step3_validation[[#This Row],[AI_ENF2]]</f>
        <v>8</v>
      </c>
      <c r="F283">
        <f t="shared" si="114"/>
        <v>0.77777777777777779</v>
      </c>
      <c r="G283">
        <f>survey_responses[[#This Row],[Tôi tin rằng Nhà nước, cơ quan thuế có đủ khả năng và công nghệ để phát hiện, xử lý nghiêm các hành vi trốn thuế. - HUMAN-ENF2]]</f>
        <v>8</v>
      </c>
      <c r="H283">
        <f t="shared" si="115"/>
        <v>0.77777777777777779</v>
      </c>
      <c r="I283" s="32">
        <f t="shared" si="116"/>
        <v>0.72222222222222221</v>
      </c>
      <c r="J283" s="32">
        <f t="shared" si="117"/>
        <v>0.77777777777777779</v>
      </c>
      <c r="K283">
        <f>step3_validation[[#This Row],[AI_FAC1]]</f>
        <v>9</v>
      </c>
      <c r="L283">
        <f t="shared" si="118"/>
        <v>0.88888888888888884</v>
      </c>
      <c r="M283">
        <f>survey_responses[[#This Row],[Các thủ tục khai báo thuế VÀ/HOẶC quy trình làm việc với cơ quan thuế đơn giản, tiện lợi, nhanh chóng hơn so với trước đây. - HUMAN-FAC1]]</f>
        <v>9</v>
      </c>
      <c r="N283">
        <f t="shared" si="119"/>
        <v>0.88888888888888884</v>
      </c>
      <c r="O283">
        <f>step3_validation[[#This Row],[AI_FAC2]]</f>
        <v>8</v>
      </c>
      <c r="P283">
        <f t="shared" si="120"/>
        <v>0.77777777777777779</v>
      </c>
      <c r="Q283">
        <f>survey_responses[[#This Row],[So với trước đây, tôi thấy cách tính thuế và các bậc thuế trong phương án mới đơn giản, dễ hiểu và dễ thực hiện hơn. - HUMAN-FAC2]]</f>
        <v>9</v>
      </c>
      <c r="R283">
        <f t="shared" si="121"/>
        <v>0.88888888888888884</v>
      </c>
      <c r="S283" s="32">
        <f t="shared" si="122"/>
        <v>0.83333333333333326</v>
      </c>
      <c r="T283" s="32">
        <f t="shared" si="123"/>
        <v>0.88888888888888884</v>
      </c>
      <c r="U283">
        <f>step3_validation[[#This Row],[AI_TRU1]]</f>
        <v>7</v>
      </c>
      <c r="V283">
        <f t="shared" si="124"/>
        <v>0.66666666666666663</v>
      </c>
      <c r="W283">
        <f>survey_responses[[#This Row],[Tôi tin rằng Nhà nước, cơ quan thuế sẽ thực thi chính sách mới một cách khách quan, công tâm và đối xử bình đẳng với mọi người nộp thuế.  - HUMAN-TRU1]]</f>
        <v>7</v>
      </c>
      <c r="X283">
        <f t="shared" si="125"/>
        <v>0.66666666666666663</v>
      </c>
      <c r="Y283">
        <f>step3_validation[[#This Row],[AI_TRU2]]</f>
        <v>6</v>
      </c>
      <c r="Z283">
        <f t="shared" si="126"/>
        <v>0.55555555555555558</v>
      </c>
      <c r="AA283">
        <f>survey_responses[[#This Row],[Tôi thấy mức thuế tôi phải đóng theo phương án mới là công bằng (người thu nhập như tôi đóng mức này là hợp lý). - HUMAN-TRU2]]</f>
        <v>8</v>
      </c>
      <c r="AB283">
        <f t="shared" si="127"/>
        <v>0.77777777777777779</v>
      </c>
      <c r="AC283">
        <f>step3_validation[[#This Row],[AI_TRU3]]</f>
        <v>7</v>
      </c>
      <c r="AD283">
        <f t="shared" si="128"/>
        <v>0.66666666666666663</v>
      </c>
      <c r="AE283">
        <f>survey_responses[[#This Row],[Tôi tin tưởng số tiền thuế tôi đóng sẽ được Nhà nước sử dụng hiệu quả để cải thiện dịch vụ công (y tế, đường xá...). - HUMAN-TRU3]]</f>
        <v>8</v>
      </c>
      <c r="AF283">
        <f t="shared" si="129"/>
        <v>0.77777777777777779</v>
      </c>
      <c r="AG283">
        <f>step3_validation[[#This Row],[AI_TRU4]]</f>
        <v>6</v>
      </c>
      <c r="AH283">
        <f t="shared" si="130"/>
        <v>0.55555555555555558</v>
      </c>
      <c r="AI283">
        <f>survey_responses[[#This Row],[Tôi thấy Nhà nước đã giải thích rõ ràng, minh bạch về lý do và mục tiêu của việc sửa đổi thuế lần này. - HUMAN-TRU4]]</f>
        <v>8</v>
      </c>
      <c r="AJ283">
        <f t="shared" si="131"/>
        <v>0.77777777777777779</v>
      </c>
      <c r="AK283" s="32">
        <f t="shared" si="132"/>
        <v>0.61111111111111116</v>
      </c>
      <c r="AL283" s="32">
        <f t="shared" si="133"/>
        <v>0.75</v>
      </c>
      <c r="AM283" s="7">
        <f t="shared" si="134"/>
        <v>0.72222222222222221</v>
      </c>
      <c r="AN283" s="7">
        <f t="shared" si="135"/>
        <v>0.80555555555555547</v>
      </c>
      <c r="AO283">
        <f>step3_validation[[#This Row],[AI_OUT1]]</f>
        <v>8</v>
      </c>
      <c r="AP283">
        <f t="shared" si="136"/>
        <v>0.77777777777777779</v>
      </c>
      <c r="AQ283">
        <f>survey_responses[[#This Row],[Sau khi xem xét các quyền lợi và nghĩa vụ, bạn có ủng hộ và tuân thủ chính sách mới hiện nay? - HUMAN-OUT1]]</f>
        <v>7</v>
      </c>
      <c r="AR283">
        <f t="shared" si="137"/>
        <v>0.66666666666666663</v>
      </c>
      <c r="AS283" s="32">
        <f t="shared" si="138"/>
        <v>1</v>
      </c>
      <c r="AT283">
        <f t="shared" si="139"/>
        <v>1</v>
      </c>
    </row>
    <row r="284" spans="1:46" x14ac:dyDescent="0.45">
      <c r="A284">
        <f>step3_validation[[#This Row],[AI_ENF1]]</f>
        <v>7</v>
      </c>
      <c r="B284">
        <f t="shared" si="112"/>
        <v>0.66666666666666663</v>
      </c>
      <c r="C284">
        <f>survey_responses[[#This Row],[Tôi tin rằng với các quy định quản lý thuế hiện nay, hành vi gian lận hoặc trốn thuế sẽ dễ dàng bị phát hiện và xử lý nghiêm. - HUMAN-ENF1]]</f>
        <v>5</v>
      </c>
      <c r="D284">
        <f t="shared" si="113"/>
        <v>0.44444444444444442</v>
      </c>
      <c r="E284">
        <f>step3_validation[[#This Row],[AI_ENF2]]</f>
        <v>6</v>
      </c>
      <c r="F284">
        <f t="shared" si="114"/>
        <v>0.55555555555555558</v>
      </c>
      <c r="G284">
        <f>survey_responses[[#This Row],[Tôi tin rằng Nhà nước, cơ quan thuế có đủ khả năng và công nghệ để phát hiện, xử lý nghiêm các hành vi trốn thuế. - HUMAN-ENF2]]</f>
        <v>5</v>
      </c>
      <c r="H284">
        <f t="shared" si="115"/>
        <v>0.44444444444444442</v>
      </c>
      <c r="I284" s="32">
        <f t="shared" si="116"/>
        <v>0.61111111111111116</v>
      </c>
      <c r="J284" s="32">
        <f t="shared" si="117"/>
        <v>0.44444444444444442</v>
      </c>
      <c r="K284">
        <f>step3_validation[[#This Row],[AI_FAC1]]</f>
        <v>8</v>
      </c>
      <c r="L284">
        <f t="shared" si="118"/>
        <v>0.77777777777777779</v>
      </c>
      <c r="M284">
        <f>survey_responses[[#This Row],[Các thủ tục khai báo thuế VÀ/HOẶC quy trình làm việc với cơ quan thuế đơn giản, tiện lợi, nhanh chóng hơn so với trước đây. - HUMAN-FAC1]]</f>
        <v>2</v>
      </c>
      <c r="N284">
        <f t="shared" si="119"/>
        <v>0.1111111111111111</v>
      </c>
      <c r="O284">
        <f>step3_validation[[#This Row],[AI_FAC2]]</f>
        <v>9</v>
      </c>
      <c r="P284">
        <f t="shared" si="120"/>
        <v>0.88888888888888884</v>
      </c>
      <c r="Q284">
        <f>survey_responses[[#This Row],[So với trước đây, tôi thấy cách tính thuế và các bậc thuế trong phương án mới đơn giản, dễ hiểu và dễ thực hiện hơn. - HUMAN-FAC2]]</f>
        <v>6</v>
      </c>
      <c r="R284">
        <f t="shared" si="121"/>
        <v>0.55555555555555558</v>
      </c>
      <c r="S284" s="32">
        <f t="shared" si="122"/>
        <v>0.83333333333333326</v>
      </c>
      <c r="T284" s="32">
        <f t="shared" si="123"/>
        <v>0.33333333333333337</v>
      </c>
      <c r="U284">
        <f>step3_validation[[#This Row],[AI_TRU1]]</f>
        <v>7</v>
      </c>
      <c r="V284">
        <f t="shared" si="124"/>
        <v>0.66666666666666663</v>
      </c>
      <c r="W284">
        <f>survey_responses[[#This Row],[Tôi tin rằng Nhà nước, cơ quan thuế sẽ thực thi chính sách mới một cách khách quan, công tâm và đối xử bình đẳng với mọi người nộp thuế.  - HUMAN-TRU1]]</f>
        <v>5</v>
      </c>
      <c r="X284">
        <f t="shared" si="125"/>
        <v>0.44444444444444442</v>
      </c>
      <c r="Y284">
        <f>step3_validation[[#This Row],[AI_TRU2]]</f>
        <v>8</v>
      </c>
      <c r="Z284">
        <f t="shared" si="126"/>
        <v>0.77777777777777779</v>
      </c>
      <c r="AA284">
        <f>survey_responses[[#This Row],[Tôi thấy mức thuế tôi phải đóng theo phương án mới là công bằng (người thu nhập như tôi đóng mức này là hợp lý). - HUMAN-TRU2]]</f>
        <v>4</v>
      </c>
      <c r="AB284">
        <f t="shared" si="127"/>
        <v>0.33333333333333331</v>
      </c>
      <c r="AC284">
        <f>step3_validation[[#This Row],[AI_TRU3]]</f>
        <v>6</v>
      </c>
      <c r="AD284">
        <f t="shared" si="128"/>
        <v>0.55555555555555558</v>
      </c>
      <c r="AE284">
        <f>survey_responses[[#This Row],[Tôi tin tưởng số tiền thuế tôi đóng sẽ được Nhà nước sử dụng hiệu quả để cải thiện dịch vụ công (y tế, đường xá...). - HUMAN-TRU3]]</f>
        <v>5</v>
      </c>
      <c r="AF284">
        <f t="shared" si="129"/>
        <v>0.44444444444444442</v>
      </c>
      <c r="AG284">
        <f>step3_validation[[#This Row],[AI_TRU4]]</f>
        <v>5</v>
      </c>
      <c r="AH284">
        <f t="shared" si="130"/>
        <v>0.44444444444444442</v>
      </c>
      <c r="AI284">
        <f>survey_responses[[#This Row],[Tôi thấy Nhà nước đã giải thích rõ ràng, minh bạch về lý do và mục tiêu của việc sửa đổi thuế lần này. - HUMAN-TRU4]]</f>
        <v>5</v>
      </c>
      <c r="AJ284">
        <f t="shared" si="131"/>
        <v>0.44444444444444442</v>
      </c>
      <c r="AK284" s="32">
        <f t="shared" si="132"/>
        <v>0.61111111111111116</v>
      </c>
      <c r="AL284" s="32">
        <f t="shared" si="133"/>
        <v>0.41666666666666663</v>
      </c>
      <c r="AM284" s="7">
        <f t="shared" si="134"/>
        <v>0.68518518518518512</v>
      </c>
      <c r="AN284" s="7">
        <f t="shared" si="135"/>
        <v>0.39814814814814814</v>
      </c>
      <c r="AO284">
        <f>step3_validation[[#This Row],[AI_OUT1]]</f>
        <v>7</v>
      </c>
      <c r="AP284">
        <f t="shared" si="136"/>
        <v>0.66666666666666663</v>
      </c>
      <c r="AQ284">
        <f>survey_responses[[#This Row],[Sau khi xem xét các quyền lợi và nghĩa vụ, bạn có ủng hộ và tuân thủ chính sách mới hiện nay? - HUMAN-OUT1]]</f>
        <v>4</v>
      </c>
      <c r="AR284">
        <f t="shared" si="137"/>
        <v>0.33333333333333331</v>
      </c>
      <c r="AS284" s="32">
        <f t="shared" si="138"/>
        <v>3</v>
      </c>
      <c r="AT284">
        <f t="shared" si="139"/>
        <v>0</v>
      </c>
    </row>
    <row r="285" spans="1:46" x14ac:dyDescent="0.45">
      <c r="A285">
        <f>step3_validation[[#This Row],[AI_ENF1]]</f>
        <v>8</v>
      </c>
      <c r="B285">
        <f t="shared" si="112"/>
        <v>0.77777777777777779</v>
      </c>
      <c r="C285">
        <f>survey_responses[[#This Row],[Tôi tin rằng với các quy định quản lý thuế hiện nay, hành vi gian lận hoặc trốn thuế sẽ dễ dàng bị phát hiện và xử lý nghiêm. - HUMAN-ENF1]]</f>
        <v>7</v>
      </c>
      <c r="D285">
        <f t="shared" si="113"/>
        <v>0.66666666666666663</v>
      </c>
      <c r="E285">
        <f>step3_validation[[#This Row],[AI_ENF2]]</f>
        <v>9</v>
      </c>
      <c r="F285">
        <f t="shared" si="114"/>
        <v>0.88888888888888884</v>
      </c>
      <c r="G285">
        <f>survey_responses[[#This Row],[Tôi tin rằng Nhà nước, cơ quan thuế có đủ khả năng và công nghệ để phát hiện, xử lý nghiêm các hành vi trốn thuế. - HUMAN-ENF2]]</f>
        <v>7</v>
      </c>
      <c r="H285">
        <f t="shared" si="115"/>
        <v>0.66666666666666663</v>
      </c>
      <c r="I285" s="32">
        <f t="shared" si="116"/>
        <v>0.83333333333333326</v>
      </c>
      <c r="J285" s="32">
        <f t="shared" si="117"/>
        <v>0.66666666666666663</v>
      </c>
      <c r="K285">
        <f>step3_validation[[#This Row],[AI_FAC1]]</f>
        <v>8</v>
      </c>
      <c r="L285">
        <f t="shared" si="118"/>
        <v>0.77777777777777779</v>
      </c>
      <c r="M285">
        <f>survey_responses[[#This Row],[Các thủ tục khai báo thuế VÀ/HOẶC quy trình làm việc với cơ quan thuế đơn giản, tiện lợi, nhanh chóng hơn so với trước đây. - HUMAN-FAC1]]</f>
        <v>5</v>
      </c>
      <c r="N285">
        <f t="shared" si="119"/>
        <v>0.44444444444444442</v>
      </c>
      <c r="O285">
        <f>step3_validation[[#This Row],[AI_FAC2]]</f>
        <v>7</v>
      </c>
      <c r="P285">
        <f t="shared" si="120"/>
        <v>0.66666666666666663</v>
      </c>
      <c r="Q285">
        <f>survey_responses[[#This Row],[So với trước đây, tôi thấy cách tính thuế và các bậc thuế trong phương án mới đơn giản, dễ hiểu và dễ thực hiện hơn. - HUMAN-FAC2]]</f>
        <v>7</v>
      </c>
      <c r="R285">
        <f t="shared" si="121"/>
        <v>0.66666666666666663</v>
      </c>
      <c r="S285" s="32">
        <f t="shared" si="122"/>
        <v>0.72222222222222221</v>
      </c>
      <c r="T285" s="32">
        <f t="shared" si="123"/>
        <v>0.55555555555555558</v>
      </c>
      <c r="U285">
        <f>step3_validation[[#This Row],[AI_TRU1]]</f>
        <v>8</v>
      </c>
      <c r="V285">
        <f t="shared" si="124"/>
        <v>0.77777777777777779</v>
      </c>
      <c r="W285">
        <f>survey_responses[[#This Row],[Tôi tin rằng Nhà nước, cơ quan thuế sẽ thực thi chính sách mới một cách khách quan, công tâm và đối xử bình đẳng với mọi người nộp thuế.  - HUMAN-TRU1]]</f>
        <v>5</v>
      </c>
      <c r="X285">
        <f t="shared" si="125"/>
        <v>0.44444444444444442</v>
      </c>
      <c r="Y285">
        <f>step3_validation[[#This Row],[AI_TRU2]]</f>
        <v>7</v>
      </c>
      <c r="Z285">
        <f t="shared" si="126"/>
        <v>0.66666666666666663</v>
      </c>
      <c r="AA285">
        <f>survey_responses[[#This Row],[Tôi thấy mức thuế tôi phải đóng theo phương án mới là công bằng (người thu nhập như tôi đóng mức này là hợp lý). - HUMAN-TRU2]]</f>
        <v>6</v>
      </c>
      <c r="AB285">
        <f t="shared" si="127"/>
        <v>0.55555555555555558</v>
      </c>
      <c r="AC285">
        <f>step3_validation[[#This Row],[AI_TRU3]]</f>
        <v>6</v>
      </c>
      <c r="AD285">
        <f t="shared" si="128"/>
        <v>0.55555555555555558</v>
      </c>
      <c r="AE285">
        <f>survey_responses[[#This Row],[Tôi tin tưởng số tiền thuế tôi đóng sẽ được Nhà nước sử dụng hiệu quả để cải thiện dịch vụ công (y tế, đường xá...). - HUMAN-TRU3]]</f>
        <v>5</v>
      </c>
      <c r="AF285">
        <f t="shared" si="129"/>
        <v>0.44444444444444442</v>
      </c>
      <c r="AG285">
        <f>step3_validation[[#This Row],[AI_TRU4]]</f>
        <v>5</v>
      </c>
      <c r="AH285">
        <f t="shared" si="130"/>
        <v>0.44444444444444442</v>
      </c>
      <c r="AI285">
        <f>survey_responses[[#This Row],[Tôi thấy Nhà nước đã giải thích rõ ràng, minh bạch về lý do và mục tiêu của việc sửa đổi thuế lần này. - HUMAN-TRU4]]</f>
        <v>7</v>
      </c>
      <c r="AJ285">
        <f t="shared" si="131"/>
        <v>0.66666666666666663</v>
      </c>
      <c r="AK285" s="32">
        <f t="shared" si="132"/>
        <v>0.61111111111111116</v>
      </c>
      <c r="AL285" s="32">
        <f t="shared" si="133"/>
        <v>0.52777777777777779</v>
      </c>
      <c r="AM285" s="7">
        <f t="shared" si="134"/>
        <v>0.72222222222222221</v>
      </c>
      <c r="AN285" s="7">
        <f t="shared" si="135"/>
        <v>0.58333333333333337</v>
      </c>
      <c r="AO285">
        <f>step3_validation[[#This Row],[AI_OUT1]]</f>
        <v>7</v>
      </c>
      <c r="AP285">
        <f t="shared" si="136"/>
        <v>0.66666666666666663</v>
      </c>
      <c r="AQ285">
        <f>survey_responses[[#This Row],[Sau khi xem xét các quyền lợi và nghĩa vụ, bạn có ủng hộ và tuân thủ chính sách mới hiện nay? - HUMAN-OUT1]]</f>
        <v>6</v>
      </c>
      <c r="AR285">
        <f t="shared" si="137"/>
        <v>0.55555555555555558</v>
      </c>
      <c r="AS285" s="32">
        <f t="shared" si="138"/>
        <v>1</v>
      </c>
      <c r="AT285">
        <f t="shared" si="139"/>
        <v>1</v>
      </c>
    </row>
    <row r="286" spans="1:46" x14ac:dyDescent="0.45">
      <c r="A286">
        <f>step3_validation[[#This Row],[AI_ENF1]]</f>
        <v>7</v>
      </c>
      <c r="B286">
        <f t="shared" si="112"/>
        <v>0.66666666666666663</v>
      </c>
      <c r="C286">
        <f>survey_responses[[#This Row],[Tôi tin rằng với các quy định quản lý thuế hiện nay, hành vi gian lận hoặc trốn thuế sẽ dễ dàng bị phát hiện và xử lý nghiêm. - HUMAN-ENF1]]</f>
        <v>7</v>
      </c>
      <c r="D286">
        <f t="shared" si="113"/>
        <v>0.66666666666666663</v>
      </c>
      <c r="E286">
        <f>step3_validation[[#This Row],[AI_ENF2]]</f>
        <v>6</v>
      </c>
      <c r="F286">
        <f t="shared" si="114"/>
        <v>0.55555555555555558</v>
      </c>
      <c r="G286">
        <f>survey_responses[[#This Row],[Tôi tin rằng Nhà nước, cơ quan thuế có đủ khả năng và công nghệ để phát hiện, xử lý nghiêm các hành vi trốn thuế. - HUMAN-ENF2]]</f>
        <v>7</v>
      </c>
      <c r="H286">
        <f t="shared" si="115"/>
        <v>0.66666666666666663</v>
      </c>
      <c r="I286" s="32">
        <f t="shared" si="116"/>
        <v>0.61111111111111116</v>
      </c>
      <c r="J286" s="32">
        <f t="shared" si="117"/>
        <v>0.66666666666666663</v>
      </c>
      <c r="K286">
        <f>step3_validation[[#This Row],[AI_FAC1]]</f>
        <v>8</v>
      </c>
      <c r="L286">
        <f t="shared" si="118"/>
        <v>0.77777777777777779</v>
      </c>
      <c r="M286">
        <f>survey_responses[[#This Row],[Các thủ tục khai báo thuế VÀ/HOẶC quy trình làm việc với cơ quan thuế đơn giản, tiện lợi, nhanh chóng hơn so với trước đây. - HUMAN-FAC1]]</f>
        <v>5</v>
      </c>
      <c r="N286">
        <f t="shared" si="119"/>
        <v>0.44444444444444442</v>
      </c>
      <c r="O286">
        <f>step3_validation[[#This Row],[AI_FAC2]]</f>
        <v>9</v>
      </c>
      <c r="P286">
        <f t="shared" si="120"/>
        <v>0.88888888888888884</v>
      </c>
      <c r="Q286">
        <f>survey_responses[[#This Row],[So với trước đây, tôi thấy cách tính thuế và các bậc thuế trong phương án mới đơn giản, dễ hiểu và dễ thực hiện hơn. - HUMAN-FAC2]]</f>
        <v>8</v>
      </c>
      <c r="R286">
        <f t="shared" si="121"/>
        <v>0.77777777777777779</v>
      </c>
      <c r="S286" s="32">
        <f t="shared" si="122"/>
        <v>0.83333333333333326</v>
      </c>
      <c r="T286" s="32">
        <f t="shared" si="123"/>
        <v>0.61111111111111116</v>
      </c>
      <c r="U286">
        <f>step3_validation[[#This Row],[AI_TRU1]]</f>
        <v>7</v>
      </c>
      <c r="V286">
        <f t="shared" si="124"/>
        <v>0.66666666666666663</v>
      </c>
      <c r="W286">
        <f>survey_responses[[#This Row],[Tôi tin rằng Nhà nước, cơ quan thuế sẽ thực thi chính sách mới một cách khách quan, công tâm và đối xử bình đẳng với mọi người nộp thuế.  - HUMAN-TRU1]]</f>
        <v>6</v>
      </c>
      <c r="X286">
        <f t="shared" si="125"/>
        <v>0.55555555555555558</v>
      </c>
      <c r="Y286">
        <f>step3_validation[[#This Row],[AI_TRU2]]</f>
        <v>8</v>
      </c>
      <c r="Z286">
        <f t="shared" si="126"/>
        <v>0.77777777777777779</v>
      </c>
      <c r="AA286">
        <f>survey_responses[[#This Row],[Tôi thấy mức thuế tôi phải đóng theo phương án mới là công bằng (người thu nhập như tôi đóng mức này là hợp lý). - HUMAN-TRU2]]</f>
        <v>6</v>
      </c>
      <c r="AB286">
        <f t="shared" si="127"/>
        <v>0.55555555555555558</v>
      </c>
      <c r="AC286">
        <f>step3_validation[[#This Row],[AI_TRU3]]</f>
        <v>6</v>
      </c>
      <c r="AD286">
        <f t="shared" si="128"/>
        <v>0.55555555555555558</v>
      </c>
      <c r="AE286">
        <f>survey_responses[[#This Row],[Tôi tin tưởng số tiền thuế tôi đóng sẽ được Nhà nước sử dụng hiệu quả để cải thiện dịch vụ công (y tế, đường xá...). - HUMAN-TRU3]]</f>
        <v>6</v>
      </c>
      <c r="AF286">
        <f t="shared" si="129"/>
        <v>0.55555555555555558</v>
      </c>
      <c r="AG286">
        <f>step3_validation[[#This Row],[AI_TRU4]]</f>
        <v>7</v>
      </c>
      <c r="AH286">
        <f t="shared" si="130"/>
        <v>0.66666666666666663</v>
      </c>
      <c r="AI286">
        <f>survey_responses[[#This Row],[Tôi thấy Nhà nước đã giải thích rõ ràng, minh bạch về lý do và mục tiêu của việc sửa đổi thuế lần này. - HUMAN-TRU4]]</f>
        <v>7</v>
      </c>
      <c r="AJ286">
        <f t="shared" si="131"/>
        <v>0.66666666666666663</v>
      </c>
      <c r="AK286" s="32">
        <f t="shared" si="132"/>
        <v>0.66666666666666663</v>
      </c>
      <c r="AL286" s="32">
        <f t="shared" si="133"/>
        <v>0.58333333333333337</v>
      </c>
      <c r="AM286" s="7">
        <f t="shared" si="134"/>
        <v>0.70370370370370372</v>
      </c>
      <c r="AN286" s="7">
        <f t="shared" si="135"/>
        <v>0.62037037037037035</v>
      </c>
      <c r="AO286">
        <f>step3_validation[[#This Row],[AI_OUT1]]</f>
        <v>6</v>
      </c>
      <c r="AP286">
        <f t="shared" si="136"/>
        <v>0.55555555555555558</v>
      </c>
      <c r="AQ286">
        <f>survey_responses[[#This Row],[Sau khi xem xét các quyền lợi và nghĩa vụ, bạn có ủng hộ và tuân thủ chính sách mới hiện nay? - HUMAN-OUT1]]</f>
        <v>7</v>
      </c>
      <c r="AR286">
        <f t="shared" si="137"/>
        <v>0.66666666666666663</v>
      </c>
      <c r="AS286" s="32">
        <f t="shared" si="138"/>
        <v>1</v>
      </c>
      <c r="AT286">
        <f t="shared" si="139"/>
        <v>1</v>
      </c>
    </row>
    <row r="287" spans="1:46" x14ac:dyDescent="0.45">
      <c r="A287">
        <f>step3_validation[[#This Row],[AI_ENF1]]</f>
        <v>8</v>
      </c>
      <c r="B287">
        <f t="shared" si="112"/>
        <v>0.77777777777777779</v>
      </c>
      <c r="C287">
        <f>survey_responses[[#This Row],[Tôi tin rằng với các quy định quản lý thuế hiện nay, hành vi gian lận hoặc trốn thuế sẽ dễ dàng bị phát hiện và xử lý nghiêm. - HUMAN-ENF1]]</f>
        <v>4</v>
      </c>
      <c r="D287">
        <f t="shared" si="113"/>
        <v>0.33333333333333331</v>
      </c>
      <c r="E287">
        <f>step3_validation[[#This Row],[AI_ENF2]]</f>
        <v>7</v>
      </c>
      <c r="F287">
        <f t="shared" si="114"/>
        <v>0.66666666666666663</v>
      </c>
      <c r="G287">
        <f>survey_responses[[#This Row],[Tôi tin rằng Nhà nước, cơ quan thuế có đủ khả năng và công nghệ để phát hiện, xử lý nghiêm các hành vi trốn thuế. - HUMAN-ENF2]]</f>
        <v>4</v>
      </c>
      <c r="H287">
        <f t="shared" si="115"/>
        <v>0.33333333333333331</v>
      </c>
      <c r="I287" s="32">
        <f t="shared" si="116"/>
        <v>0.72222222222222221</v>
      </c>
      <c r="J287" s="32">
        <f t="shared" si="117"/>
        <v>0.33333333333333331</v>
      </c>
      <c r="K287">
        <f>step3_validation[[#This Row],[AI_FAC1]]</f>
        <v>9</v>
      </c>
      <c r="L287">
        <f t="shared" si="118"/>
        <v>0.88888888888888884</v>
      </c>
      <c r="M287">
        <f>survey_responses[[#This Row],[Các thủ tục khai báo thuế VÀ/HOẶC quy trình làm việc với cơ quan thuế đơn giản, tiện lợi, nhanh chóng hơn so với trước đây. - HUMAN-FAC1]]</f>
        <v>2</v>
      </c>
      <c r="N287">
        <f t="shared" si="119"/>
        <v>0.1111111111111111</v>
      </c>
      <c r="O287">
        <f>step3_validation[[#This Row],[AI_FAC2]]</f>
        <v>8</v>
      </c>
      <c r="P287">
        <f t="shared" si="120"/>
        <v>0.77777777777777779</v>
      </c>
      <c r="Q287">
        <f>survey_responses[[#This Row],[So với trước đây, tôi thấy cách tính thuế và các bậc thuế trong phương án mới đơn giản, dễ hiểu và dễ thực hiện hơn. - HUMAN-FAC2]]</f>
        <v>8</v>
      </c>
      <c r="R287">
        <f t="shared" si="121"/>
        <v>0.77777777777777779</v>
      </c>
      <c r="S287" s="32">
        <f t="shared" si="122"/>
        <v>0.83333333333333326</v>
      </c>
      <c r="T287" s="32">
        <f t="shared" si="123"/>
        <v>0.44444444444444442</v>
      </c>
      <c r="U287">
        <f>step3_validation[[#This Row],[AI_TRU1]]</f>
        <v>6</v>
      </c>
      <c r="V287">
        <f t="shared" si="124"/>
        <v>0.55555555555555558</v>
      </c>
      <c r="W287">
        <f>survey_responses[[#This Row],[Tôi tin rằng Nhà nước, cơ quan thuế sẽ thực thi chính sách mới một cách khách quan, công tâm và đối xử bình đẳng với mọi người nộp thuế.  - HUMAN-TRU1]]</f>
        <v>5</v>
      </c>
      <c r="X287">
        <f t="shared" si="125"/>
        <v>0.44444444444444442</v>
      </c>
      <c r="Y287">
        <f>step3_validation[[#This Row],[AI_TRU2]]</f>
        <v>5</v>
      </c>
      <c r="Z287">
        <f t="shared" si="126"/>
        <v>0.44444444444444442</v>
      </c>
      <c r="AA287">
        <f>survey_responses[[#This Row],[Tôi thấy mức thuế tôi phải đóng theo phương án mới là công bằng (người thu nhập như tôi đóng mức này là hợp lý). - HUMAN-TRU2]]</f>
        <v>5</v>
      </c>
      <c r="AB287">
        <f t="shared" si="127"/>
        <v>0.44444444444444442</v>
      </c>
      <c r="AC287">
        <f>step3_validation[[#This Row],[AI_TRU3]]</f>
        <v>4</v>
      </c>
      <c r="AD287">
        <f t="shared" si="128"/>
        <v>0.33333333333333331</v>
      </c>
      <c r="AE287">
        <f>survey_responses[[#This Row],[Tôi tin tưởng số tiền thuế tôi đóng sẽ được Nhà nước sử dụng hiệu quả để cải thiện dịch vụ công (y tế, đường xá...). - HUMAN-TRU3]]</f>
        <v>4</v>
      </c>
      <c r="AF287">
        <f t="shared" si="129"/>
        <v>0.33333333333333331</v>
      </c>
      <c r="AG287">
        <f>step3_validation[[#This Row],[AI_TRU4]]</f>
        <v>5</v>
      </c>
      <c r="AH287">
        <f t="shared" si="130"/>
        <v>0.44444444444444442</v>
      </c>
      <c r="AI287">
        <f>survey_responses[[#This Row],[Tôi thấy Nhà nước đã giải thích rõ ràng, minh bạch về lý do và mục tiêu của việc sửa đổi thuế lần này. - HUMAN-TRU4]]</f>
        <v>6</v>
      </c>
      <c r="AJ287">
        <f t="shared" si="131"/>
        <v>0.55555555555555558</v>
      </c>
      <c r="AK287" s="32">
        <f t="shared" si="132"/>
        <v>0.44444444444444442</v>
      </c>
      <c r="AL287" s="32">
        <f t="shared" si="133"/>
        <v>0.44444444444444442</v>
      </c>
      <c r="AM287" s="7">
        <f t="shared" si="134"/>
        <v>0.66666666666666663</v>
      </c>
      <c r="AN287" s="7">
        <f t="shared" si="135"/>
        <v>0.40740740740740738</v>
      </c>
      <c r="AO287">
        <f>step3_validation[[#This Row],[AI_OUT1]]</f>
        <v>7</v>
      </c>
      <c r="AP287">
        <f t="shared" si="136"/>
        <v>0.66666666666666663</v>
      </c>
      <c r="AQ287">
        <f>survey_responses[[#This Row],[Sau khi xem xét các quyền lợi và nghĩa vụ, bạn có ủng hộ và tuân thủ chính sách mới hiện nay? - HUMAN-OUT1]]</f>
        <v>5</v>
      </c>
      <c r="AR287">
        <f t="shared" si="137"/>
        <v>0.44444444444444442</v>
      </c>
      <c r="AS287" s="32">
        <f t="shared" si="138"/>
        <v>2</v>
      </c>
      <c r="AT287">
        <f t="shared" si="139"/>
        <v>0</v>
      </c>
    </row>
    <row r="288" spans="1:46" x14ac:dyDescent="0.45">
      <c r="A288">
        <f>step3_validation[[#This Row],[AI_ENF1]]</f>
        <v>7</v>
      </c>
      <c r="B288">
        <f t="shared" si="112"/>
        <v>0.66666666666666663</v>
      </c>
      <c r="C288">
        <f>survey_responses[[#This Row],[Tôi tin rằng với các quy định quản lý thuế hiện nay, hành vi gian lận hoặc trốn thuế sẽ dễ dàng bị phát hiện và xử lý nghiêm. - HUMAN-ENF1]]</f>
        <v>10</v>
      </c>
      <c r="D288">
        <f t="shared" si="113"/>
        <v>1</v>
      </c>
      <c r="E288">
        <f>step3_validation[[#This Row],[AI_ENF2]]</f>
        <v>8</v>
      </c>
      <c r="F288">
        <f t="shared" si="114"/>
        <v>0.77777777777777779</v>
      </c>
      <c r="G288">
        <f>survey_responses[[#This Row],[Tôi tin rằng Nhà nước, cơ quan thuế có đủ khả năng và công nghệ để phát hiện, xử lý nghiêm các hành vi trốn thuế. - HUMAN-ENF2]]</f>
        <v>10</v>
      </c>
      <c r="H288">
        <f t="shared" si="115"/>
        <v>1</v>
      </c>
      <c r="I288" s="32">
        <f t="shared" si="116"/>
        <v>0.72222222222222221</v>
      </c>
      <c r="J288" s="32">
        <f t="shared" si="117"/>
        <v>1</v>
      </c>
      <c r="K288">
        <f>step3_validation[[#This Row],[AI_FAC1]]</f>
        <v>9</v>
      </c>
      <c r="L288">
        <f t="shared" si="118"/>
        <v>0.88888888888888884</v>
      </c>
      <c r="M288">
        <f>survey_responses[[#This Row],[Các thủ tục khai báo thuế VÀ/HOẶC quy trình làm việc với cơ quan thuế đơn giản, tiện lợi, nhanh chóng hơn so với trước đây. - HUMAN-FAC1]]</f>
        <v>7</v>
      </c>
      <c r="N288">
        <f t="shared" si="119"/>
        <v>0.66666666666666663</v>
      </c>
      <c r="O288">
        <f>step3_validation[[#This Row],[AI_FAC2]]</f>
        <v>8</v>
      </c>
      <c r="P288">
        <f t="shared" si="120"/>
        <v>0.77777777777777779</v>
      </c>
      <c r="Q288">
        <f>survey_responses[[#This Row],[So với trước đây, tôi thấy cách tính thuế và các bậc thuế trong phương án mới đơn giản, dễ hiểu và dễ thực hiện hơn. - HUMAN-FAC2]]</f>
        <v>7</v>
      </c>
      <c r="R288">
        <f t="shared" si="121"/>
        <v>0.66666666666666663</v>
      </c>
      <c r="S288" s="32">
        <f t="shared" si="122"/>
        <v>0.83333333333333326</v>
      </c>
      <c r="T288" s="32">
        <f t="shared" si="123"/>
        <v>0.66666666666666663</v>
      </c>
      <c r="U288">
        <f>step3_validation[[#This Row],[AI_TRU1]]</f>
        <v>7</v>
      </c>
      <c r="V288">
        <f t="shared" si="124"/>
        <v>0.66666666666666663</v>
      </c>
      <c r="W288">
        <f>survey_responses[[#This Row],[Tôi tin rằng Nhà nước, cơ quan thuế sẽ thực thi chính sách mới một cách khách quan, công tâm và đối xử bình đẳng với mọi người nộp thuế.  - HUMAN-TRU1]]</f>
        <v>8</v>
      </c>
      <c r="X288">
        <f t="shared" si="125"/>
        <v>0.77777777777777779</v>
      </c>
      <c r="Y288">
        <f>step3_validation[[#This Row],[AI_TRU2]]</f>
        <v>6</v>
      </c>
      <c r="Z288">
        <f t="shared" si="126"/>
        <v>0.55555555555555558</v>
      </c>
      <c r="AA288">
        <f>survey_responses[[#This Row],[Tôi thấy mức thuế tôi phải đóng theo phương án mới là công bằng (người thu nhập như tôi đóng mức này là hợp lý). - HUMAN-TRU2]]</f>
        <v>7</v>
      </c>
      <c r="AB288">
        <f t="shared" si="127"/>
        <v>0.66666666666666663</v>
      </c>
      <c r="AC288">
        <f>step3_validation[[#This Row],[AI_TRU3]]</f>
        <v>5</v>
      </c>
      <c r="AD288">
        <f t="shared" si="128"/>
        <v>0.44444444444444442</v>
      </c>
      <c r="AE288">
        <f>survey_responses[[#This Row],[Tôi tin tưởng số tiền thuế tôi đóng sẽ được Nhà nước sử dụng hiệu quả để cải thiện dịch vụ công (y tế, đường xá...). - HUMAN-TRU3]]</f>
        <v>8</v>
      </c>
      <c r="AF288">
        <f t="shared" si="129"/>
        <v>0.77777777777777779</v>
      </c>
      <c r="AG288">
        <f>step3_validation[[#This Row],[AI_TRU4]]</f>
        <v>4</v>
      </c>
      <c r="AH288">
        <f t="shared" si="130"/>
        <v>0.33333333333333331</v>
      </c>
      <c r="AI288">
        <f>survey_responses[[#This Row],[Tôi thấy Nhà nước đã giải thích rõ ràng, minh bạch về lý do và mục tiêu của việc sửa đổi thuế lần này. - HUMAN-TRU4]]</f>
        <v>8</v>
      </c>
      <c r="AJ288">
        <f t="shared" si="131"/>
        <v>0.77777777777777779</v>
      </c>
      <c r="AK288" s="32">
        <f t="shared" si="132"/>
        <v>0.5</v>
      </c>
      <c r="AL288" s="32">
        <f t="shared" si="133"/>
        <v>0.75</v>
      </c>
      <c r="AM288" s="7">
        <f t="shared" si="134"/>
        <v>0.68518518518518512</v>
      </c>
      <c r="AN288" s="7">
        <f t="shared" si="135"/>
        <v>0.80555555555555547</v>
      </c>
      <c r="AO288">
        <f>step3_validation[[#This Row],[AI_OUT1]]</f>
        <v>5</v>
      </c>
      <c r="AP288">
        <f t="shared" si="136"/>
        <v>0.44444444444444442</v>
      </c>
      <c r="AQ288">
        <f>survey_responses[[#This Row],[Sau khi xem xét các quyền lợi và nghĩa vụ, bạn có ủng hộ và tuân thủ chính sách mới hiện nay? - HUMAN-OUT1]]</f>
        <v>8</v>
      </c>
      <c r="AR288">
        <f t="shared" si="137"/>
        <v>0.77777777777777779</v>
      </c>
      <c r="AS288" s="32">
        <f t="shared" si="138"/>
        <v>3</v>
      </c>
      <c r="AT288">
        <f t="shared" si="139"/>
        <v>1</v>
      </c>
    </row>
    <row r="289" spans="1:46" x14ac:dyDescent="0.45">
      <c r="A289">
        <f>step3_validation[[#This Row],[AI_ENF1]]</f>
        <v>8</v>
      </c>
      <c r="B289">
        <f t="shared" si="112"/>
        <v>0.77777777777777779</v>
      </c>
      <c r="C289">
        <f>survey_responses[[#This Row],[Tôi tin rằng với các quy định quản lý thuế hiện nay, hành vi gian lận hoặc trốn thuế sẽ dễ dàng bị phát hiện và xử lý nghiêm. - HUMAN-ENF1]]</f>
        <v>8</v>
      </c>
      <c r="D289">
        <f t="shared" si="113"/>
        <v>0.77777777777777779</v>
      </c>
      <c r="E289">
        <f>step3_validation[[#This Row],[AI_ENF2]]</f>
        <v>9</v>
      </c>
      <c r="F289">
        <f t="shared" si="114"/>
        <v>0.88888888888888884</v>
      </c>
      <c r="G289">
        <f>survey_responses[[#This Row],[Tôi tin rằng Nhà nước, cơ quan thuế có đủ khả năng và công nghệ để phát hiện, xử lý nghiêm các hành vi trốn thuế. - HUMAN-ENF2]]</f>
        <v>8</v>
      </c>
      <c r="H289">
        <f t="shared" si="115"/>
        <v>0.77777777777777779</v>
      </c>
      <c r="I289" s="32">
        <f t="shared" si="116"/>
        <v>0.83333333333333326</v>
      </c>
      <c r="J289" s="32">
        <f t="shared" si="117"/>
        <v>0.77777777777777779</v>
      </c>
      <c r="K289">
        <f>step3_validation[[#This Row],[AI_FAC1]]</f>
        <v>7</v>
      </c>
      <c r="L289">
        <f t="shared" si="118"/>
        <v>0.66666666666666663</v>
      </c>
      <c r="M289">
        <f>survey_responses[[#This Row],[Các thủ tục khai báo thuế VÀ/HOẶC quy trình làm việc với cơ quan thuế đơn giản, tiện lợi, nhanh chóng hơn so với trước đây. - HUMAN-FAC1]]</f>
        <v>5</v>
      </c>
      <c r="N289">
        <f t="shared" si="119"/>
        <v>0.44444444444444442</v>
      </c>
      <c r="O289">
        <f>step3_validation[[#This Row],[AI_FAC2]]</f>
        <v>8</v>
      </c>
      <c r="P289">
        <f t="shared" si="120"/>
        <v>0.77777777777777779</v>
      </c>
      <c r="Q289">
        <f>survey_responses[[#This Row],[So với trước đây, tôi thấy cách tính thuế và các bậc thuế trong phương án mới đơn giản, dễ hiểu và dễ thực hiện hơn. - HUMAN-FAC2]]</f>
        <v>9</v>
      </c>
      <c r="R289">
        <f t="shared" si="121"/>
        <v>0.88888888888888884</v>
      </c>
      <c r="S289" s="32">
        <f t="shared" si="122"/>
        <v>0.72222222222222221</v>
      </c>
      <c r="T289" s="32">
        <f t="shared" si="123"/>
        <v>0.66666666666666663</v>
      </c>
      <c r="U289">
        <f>step3_validation[[#This Row],[AI_TRU1]]</f>
        <v>7</v>
      </c>
      <c r="V289">
        <f t="shared" si="124"/>
        <v>0.66666666666666663</v>
      </c>
      <c r="W289">
        <f>survey_responses[[#This Row],[Tôi tin rằng Nhà nước, cơ quan thuế sẽ thực thi chính sách mới một cách khách quan, công tâm và đối xử bình đẳng với mọi người nộp thuế.  - HUMAN-TRU1]]</f>
        <v>10</v>
      </c>
      <c r="X289">
        <f t="shared" si="125"/>
        <v>1</v>
      </c>
      <c r="Y289">
        <f>step3_validation[[#This Row],[AI_TRU2]]</f>
        <v>8</v>
      </c>
      <c r="Z289">
        <f t="shared" si="126"/>
        <v>0.77777777777777779</v>
      </c>
      <c r="AA289">
        <f>survey_responses[[#This Row],[Tôi thấy mức thuế tôi phải đóng theo phương án mới là công bằng (người thu nhập như tôi đóng mức này là hợp lý). - HUMAN-TRU2]]</f>
        <v>10</v>
      </c>
      <c r="AB289">
        <f t="shared" si="127"/>
        <v>1</v>
      </c>
      <c r="AC289">
        <f>step3_validation[[#This Row],[AI_TRU3]]</f>
        <v>7</v>
      </c>
      <c r="AD289">
        <f t="shared" si="128"/>
        <v>0.66666666666666663</v>
      </c>
      <c r="AE289">
        <f>survey_responses[[#This Row],[Tôi tin tưởng số tiền thuế tôi đóng sẽ được Nhà nước sử dụng hiệu quả để cải thiện dịch vụ công (y tế, đường xá...). - HUMAN-TRU3]]</f>
        <v>9</v>
      </c>
      <c r="AF289">
        <f t="shared" si="129"/>
        <v>0.88888888888888884</v>
      </c>
      <c r="AG289">
        <f>step3_validation[[#This Row],[AI_TRU4]]</f>
        <v>8</v>
      </c>
      <c r="AH289">
        <f t="shared" si="130"/>
        <v>0.77777777777777779</v>
      </c>
      <c r="AI289">
        <f>survey_responses[[#This Row],[Tôi thấy Nhà nước đã giải thích rõ ràng, minh bạch về lý do và mục tiêu của việc sửa đổi thuế lần này. - HUMAN-TRU4]]</f>
        <v>9</v>
      </c>
      <c r="AJ289">
        <f t="shared" si="131"/>
        <v>0.88888888888888884</v>
      </c>
      <c r="AK289" s="32">
        <f t="shared" si="132"/>
        <v>0.72222222222222221</v>
      </c>
      <c r="AL289" s="32">
        <f t="shared" si="133"/>
        <v>0.94444444444444442</v>
      </c>
      <c r="AM289" s="7">
        <f t="shared" si="134"/>
        <v>0.75925925925925919</v>
      </c>
      <c r="AN289" s="7">
        <f t="shared" si="135"/>
        <v>0.79629629629629628</v>
      </c>
      <c r="AO289">
        <f>step3_validation[[#This Row],[AI_OUT1]]</f>
        <v>9</v>
      </c>
      <c r="AP289">
        <f t="shared" si="136"/>
        <v>0.88888888888888884</v>
      </c>
      <c r="AQ289">
        <f>survey_responses[[#This Row],[Sau khi xem xét các quyền lợi và nghĩa vụ, bạn có ủng hộ và tuân thủ chính sách mới hiện nay? - HUMAN-OUT1]]</f>
        <v>10</v>
      </c>
      <c r="AR289">
        <f t="shared" si="137"/>
        <v>1</v>
      </c>
      <c r="AS289" s="32">
        <f t="shared" si="138"/>
        <v>1</v>
      </c>
      <c r="AT289">
        <f t="shared" si="139"/>
        <v>1</v>
      </c>
    </row>
    <row r="290" spans="1:46" x14ac:dyDescent="0.45">
      <c r="A290">
        <f>step3_validation[[#This Row],[AI_ENF1]]</f>
        <v>7</v>
      </c>
      <c r="B290">
        <f t="shared" si="112"/>
        <v>0.66666666666666663</v>
      </c>
      <c r="C290">
        <f>survey_responses[[#This Row],[Tôi tin rằng với các quy định quản lý thuế hiện nay, hành vi gian lận hoặc trốn thuế sẽ dễ dàng bị phát hiện và xử lý nghiêm. - HUMAN-ENF1]]</f>
        <v>7</v>
      </c>
      <c r="D290">
        <f t="shared" si="113"/>
        <v>0.66666666666666663</v>
      </c>
      <c r="E290">
        <f>step3_validation[[#This Row],[AI_ENF2]]</f>
        <v>8</v>
      </c>
      <c r="F290">
        <f t="shared" si="114"/>
        <v>0.77777777777777779</v>
      </c>
      <c r="G290">
        <f>survey_responses[[#This Row],[Tôi tin rằng Nhà nước, cơ quan thuế có đủ khả năng và công nghệ để phát hiện, xử lý nghiêm các hành vi trốn thuế. - HUMAN-ENF2]]</f>
        <v>7</v>
      </c>
      <c r="H290">
        <f t="shared" si="115"/>
        <v>0.66666666666666663</v>
      </c>
      <c r="I290" s="32">
        <f t="shared" si="116"/>
        <v>0.72222222222222221</v>
      </c>
      <c r="J290" s="32">
        <f t="shared" si="117"/>
        <v>0.66666666666666663</v>
      </c>
      <c r="K290">
        <f>step3_validation[[#This Row],[AI_FAC1]]</f>
        <v>6</v>
      </c>
      <c r="L290">
        <f t="shared" si="118"/>
        <v>0.55555555555555558</v>
      </c>
      <c r="M290">
        <f>survey_responses[[#This Row],[Các thủ tục khai báo thuế VÀ/HOẶC quy trình làm việc với cơ quan thuế đơn giản, tiện lợi, nhanh chóng hơn so với trước đây. - HUMAN-FAC1]]</f>
        <v>5</v>
      </c>
      <c r="N290">
        <f t="shared" si="119"/>
        <v>0.44444444444444442</v>
      </c>
      <c r="O290">
        <f>step3_validation[[#This Row],[AI_FAC2]]</f>
        <v>8</v>
      </c>
      <c r="P290">
        <f t="shared" si="120"/>
        <v>0.77777777777777779</v>
      </c>
      <c r="Q290">
        <f>survey_responses[[#This Row],[So với trước đây, tôi thấy cách tính thuế và các bậc thuế trong phương án mới đơn giản, dễ hiểu và dễ thực hiện hơn. - HUMAN-FAC2]]</f>
        <v>6</v>
      </c>
      <c r="R290">
        <f t="shared" si="121"/>
        <v>0.55555555555555558</v>
      </c>
      <c r="S290" s="32">
        <f t="shared" si="122"/>
        <v>0.66666666666666674</v>
      </c>
      <c r="T290" s="32">
        <f t="shared" si="123"/>
        <v>0.5</v>
      </c>
      <c r="U290">
        <f>step3_validation[[#This Row],[AI_TRU1]]</f>
        <v>9</v>
      </c>
      <c r="V290">
        <f t="shared" si="124"/>
        <v>0.88888888888888884</v>
      </c>
      <c r="W290">
        <f>survey_responses[[#This Row],[Tôi tin rằng Nhà nước, cơ quan thuế sẽ thực thi chính sách mới một cách khách quan, công tâm và đối xử bình đẳng với mọi người nộp thuế.  - HUMAN-TRU1]]</f>
        <v>5</v>
      </c>
      <c r="X290">
        <f t="shared" si="125"/>
        <v>0.44444444444444442</v>
      </c>
      <c r="Y290">
        <f>step3_validation[[#This Row],[AI_TRU2]]</f>
        <v>7</v>
      </c>
      <c r="Z290">
        <f t="shared" si="126"/>
        <v>0.66666666666666663</v>
      </c>
      <c r="AA290">
        <f>survey_responses[[#This Row],[Tôi thấy mức thuế tôi phải đóng theo phương án mới là công bằng (người thu nhập như tôi đóng mức này là hợp lý). - HUMAN-TRU2]]</f>
        <v>5</v>
      </c>
      <c r="AB290">
        <f t="shared" si="127"/>
        <v>0.44444444444444442</v>
      </c>
      <c r="AC290">
        <f>step3_validation[[#This Row],[AI_TRU3]]</f>
        <v>8</v>
      </c>
      <c r="AD290">
        <f t="shared" si="128"/>
        <v>0.77777777777777779</v>
      </c>
      <c r="AE290">
        <f>survey_responses[[#This Row],[Tôi tin tưởng số tiền thuế tôi đóng sẽ được Nhà nước sử dụng hiệu quả để cải thiện dịch vụ công (y tế, đường xá...). - HUMAN-TRU3]]</f>
        <v>5</v>
      </c>
      <c r="AF290">
        <f t="shared" si="129"/>
        <v>0.44444444444444442</v>
      </c>
      <c r="AG290">
        <f>step3_validation[[#This Row],[AI_TRU4]]</f>
        <v>9</v>
      </c>
      <c r="AH290">
        <f t="shared" si="130"/>
        <v>0.88888888888888884</v>
      </c>
      <c r="AI290">
        <f>survey_responses[[#This Row],[Tôi thấy Nhà nước đã giải thích rõ ràng, minh bạch về lý do và mục tiêu của việc sửa đổi thuế lần này. - HUMAN-TRU4]]</f>
        <v>5</v>
      </c>
      <c r="AJ290">
        <f t="shared" si="131"/>
        <v>0.44444444444444442</v>
      </c>
      <c r="AK290" s="32">
        <f t="shared" si="132"/>
        <v>0.80555555555555547</v>
      </c>
      <c r="AL290" s="32">
        <f t="shared" si="133"/>
        <v>0.44444444444444442</v>
      </c>
      <c r="AM290" s="7">
        <f t="shared" si="134"/>
        <v>0.7314814814814814</v>
      </c>
      <c r="AN290" s="7">
        <f t="shared" si="135"/>
        <v>0.53703703703703698</v>
      </c>
      <c r="AO290">
        <f>step3_validation[[#This Row],[AI_OUT1]]</f>
        <v>7</v>
      </c>
      <c r="AP290">
        <f t="shared" si="136"/>
        <v>0.66666666666666663</v>
      </c>
      <c r="AQ290">
        <f>survey_responses[[#This Row],[Sau khi xem xét các quyền lợi và nghĩa vụ, bạn có ủng hộ và tuân thủ chính sách mới hiện nay? - HUMAN-OUT1]]</f>
        <v>6</v>
      </c>
      <c r="AR290">
        <f t="shared" si="137"/>
        <v>0.55555555555555558</v>
      </c>
      <c r="AS290" s="32">
        <f t="shared" si="138"/>
        <v>1</v>
      </c>
      <c r="AT290">
        <f t="shared" si="139"/>
        <v>1</v>
      </c>
    </row>
    <row r="291" spans="1:46" x14ac:dyDescent="0.45">
      <c r="A291">
        <f>step3_validation[[#This Row],[AI_ENF1]]</f>
        <v>8</v>
      </c>
      <c r="B291">
        <f t="shared" si="112"/>
        <v>0.77777777777777779</v>
      </c>
      <c r="C291">
        <f>survey_responses[[#This Row],[Tôi tin rằng với các quy định quản lý thuế hiện nay, hành vi gian lận hoặc trốn thuế sẽ dễ dàng bị phát hiện và xử lý nghiêm. - HUMAN-ENF1]]</f>
        <v>8</v>
      </c>
      <c r="D291">
        <f t="shared" si="113"/>
        <v>0.77777777777777779</v>
      </c>
      <c r="E291">
        <f>step3_validation[[#This Row],[AI_ENF2]]</f>
        <v>9</v>
      </c>
      <c r="F291">
        <f t="shared" si="114"/>
        <v>0.88888888888888884</v>
      </c>
      <c r="G291">
        <f>survey_responses[[#This Row],[Tôi tin rằng Nhà nước, cơ quan thuế có đủ khả năng và công nghệ để phát hiện, xử lý nghiêm các hành vi trốn thuế. - HUMAN-ENF2]]</f>
        <v>8</v>
      </c>
      <c r="H291">
        <f t="shared" si="115"/>
        <v>0.77777777777777779</v>
      </c>
      <c r="I291" s="32">
        <f t="shared" si="116"/>
        <v>0.83333333333333326</v>
      </c>
      <c r="J291" s="32">
        <f t="shared" si="117"/>
        <v>0.77777777777777779</v>
      </c>
      <c r="K291">
        <f>step3_validation[[#This Row],[AI_FAC1]]</f>
        <v>8</v>
      </c>
      <c r="L291">
        <f t="shared" si="118"/>
        <v>0.77777777777777779</v>
      </c>
      <c r="M291">
        <f>survey_responses[[#This Row],[Các thủ tục khai báo thuế VÀ/HOẶC quy trình làm việc với cơ quan thuế đơn giản, tiện lợi, nhanh chóng hơn so với trước đây. - HUMAN-FAC1]]</f>
        <v>8</v>
      </c>
      <c r="N291">
        <f t="shared" si="119"/>
        <v>0.77777777777777779</v>
      </c>
      <c r="O291">
        <f>step3_validation[[#This Row],[AI_FAC2]]</f>
        <v>9</v>
      </c>
      <c r="P291">
        <f t="shared" si="120"/>
        <v>0.88888888888888884</v>
      </c>
      <c r="Q291">
        <f>survey_responses[[#This Row],[So với trước đây, tôi thấy cách tính thuế và các bậc thuế trong phương án mới đơn giản, dễ hiểu và dễ thực hiện hơn. - HUMAN-FAC2]]</f>
        <v>8</v>
      </c>
      <c r="R291">
        <f t="shared" si="121"/>
        <v>0.77777777777777779</v>
      </c>
      <c r="S291" s="32">
        <f t="shared" si="122"/>
        <v>0.83333333333333326</v>
      </c>
      <c r="T291" s="32">
        <f t="shared" si="123"/>
        <v>0.77777777777777779</v>
      </c>
      <c r="U291">
        <f>step3_validation[[#This Row],[AI_TRU1]]</f>
        <v>7</v>
      </c>
      <c r="V291">
        <f t="shared" si="124"/>
        <v>0.66666666666666663</v>
      </c>
      <c r="W291">
        <f>survey_responses[[#This Row],[Tôi tin rằng Nhà nước, cơ quan thuế sẽ thực thi chính sách mới một cách khách quan, công tâm và đối xử bình đẳng với mọi người nộp thuế.  - HUMAN-TRU1]]</f>
        <v>8</v>
      </c>
      <c r="X291">
        <f t="shared" si="125"/>
        <v>0.77777777777777779</v>
      </c>
      <c r="Y291">
        <f>step3_validation[[#This Row],[AI_TRU2]]</f>
        <v>6</v>
      </c>
      <c r="Z291">
        <f t="shared" si="126"/>
        <v>0.55555555555555558</v>
      </c>
      <c r="AA291">
        <f>survey_responses[[#This Row],[Tôi thấy mức thuế tôi phải đóng theo phương án mới là công bằng (người thu nhập như tôi đóng mức này là hợp lý). - HUMAN-TRU2]]</f>
        <v>8</v>
      </c>
      <c r="AB291">
        <f t="shared" si="127"/>
        <v>0.77777777777777779</v>
      </c>
      <c r="AC291">
        <f>step3_validation[[#This Row],[AI_TRU3]]</f>
        <v>7</v>
      </c>
      <c r="AD291">
        <f t="shared" si="128"/>
        <v>0.66666666666666663</v>
      </c>
      <c r="AE291">
        <f>survey_responses[[#This Row],[Tôi tin tưởng số tiền thuế tôi đóng sẽ được Nhà nước sử dụng hiệu quả để cải thiện dịch vụ công (y tế, đường xá...). - HUMAN-TRU3]]</f>
        <v>8</v>
      </c>
      <c r="AF291">
        <f t="shared" si="129"/>
        <v>0.77777777777777779</v>
      </c>
      <c r="AG291">
        <f>step3_validation[[#This Row],[AI_TRU4]]</f>
        <v>5</v>
      </c>
      <c r="AH291">
        <f t="shared" si="130"/>
        <v>0.44444444444444442</v>
      </c>
      <c r="AI291">
        <f>survey_responses[[#This Row],[Tôi thấy Nhà nước đã giải thích rõ ràng, minh bạch về lý do và mục tiêu của việc sửa đổi thuế lần này. - HUMAN-TRU4]]</f>
        <v>8</v>
      </c>
      <c r="AJ291">
        <f t="shared" si="131"/>
        <v>0.77777777777777779</v>
      </c>
      <c r="AK291" s="32">
        <f t="shared" si="132"/>
        <v>0.58333333333333326</v>
      </c>
      <c r="AL291" s="32">
        <f t="shared" si="133"/>
        <v>0.77777777777777779</v>
      </c>
      <c r="AM291" s="7">
        <f t="shared" si="134"/>
        <v>0.75</v>
      </c>
      <c r="AN291" s="7">
        <f t="shared" si="135"/>
        <v>0.77777777777777779</v>
      </c>
      <c r="AO291">
        <f>step3_validation[[#This Row],[AI_OUT1]]</f>
        <v>4</v>
      </c>
      <c r="AP291">
        <f t="shared" si="136"/>
        <v>0.33333333333333331</v>
      </c>
      <c r="AQ291">
        <f>survey_responses[[#This Row],[Sau khi xem xét các quyền lợi và nghĩa vụ, bạn có ủng hộ và tuân thủ chính sách mới hiện nay? - HUMAN-OUT1]]</f>
        <v>8</v>
      </c>
      <c r="AR291">
        <f t="shared" si="137"/>
        <v>0.77777777777777779</v>
      </c>
      <c r="AS291" s="32">
        <f t="shared" si="138"/>
        <v>4</v>
      </c>
      <c r="AT291">
        <f t="shared" si="139"/>
        <v>1</v>
      </c>
    </row>
    <row r="292" spans="1:46" x14ac:dyDescent="0.45">
      <c r="A292">
        <f>step3_validation[[#This Row],[AI_ENF1]]</f>
        <v>8</v>
      </c>
      <c r="B292">
        <f t="shared" si="112"/>
        <v>0.77777777777777779</v>
      </c>
      <c r="C292">
        <f>survey_responses[[#This Row],[Tôi tin rằng với các quy định quản lý thuế hiện nay, hành vi gian lận hoặc trốn thuế sẽ dễ dàng bị phát hiện và xử lý nghiêm. - HUMAN-ENF1]]</f>
        <v>9</v>
      </c>
      <c r="D292">
        <f t="shared" si="113"/>
        <v>0.88888888888888884</v>
      </c>
      <c r="E292">
        <f>step3_validation[[#This Row],[AI_ENF2]]</f>
        <v>9</v>
      </c>
      <c r="F292">
        <f t="shared" si="114"/>
        <v>0.88888888888888884</v>
      </c>
      <c r="G292">
        <f>survey_responses[[#This Row],[Tôi tin rằng Nhà nước, cơ quan thuế có đủ khả năng và công nghệ để phát hiện, xử lý nghiêm các hành vi trốn thuế. - HUMAN-ENF2]]</f>
        <v>9</v>
      </c>
      <c r="H292">
        <f t="shared" si="115"/>
        <v>0.88888888888888884</v>
      </c>
      <c r="I292" s="32">
        <f t="shared" si="116"/>
        <v>0.83333333333333326</v>
      </c>
      <c r="J292" s="32">
        <f t="shared" si="117"/>
        <v>0.88888888888888884</v>
      </c>
      <c r="K292">
        <f>step3_validation[[#This Row],[AI_FAC1]]</f>
        <v>7</v>
      </c>
      <c r="L292">
        <f t="shared" si="118"/>
        <v>0.66666666666666663</v>
      </c>
      <c r="M292">
        <f>survey_responses[[#This Row],[Các thủ tục khai báo thuế VÀ/HOẶC quy trình làm việc với cơ quan thuế đơn giản, tiện lợi, nhanh chóng hơn so với trước đây. - HUMAN-FAC1]]</f>
        <v>3</v>
      </c>
      <c r="N292">
        <f t="shared" si="119"/>
        <v>0.22222222222222221</v>
      </c>
      <c r="O292">
        <f>step3_validation[[#This Row],[AI_FAC2]]</f>
        <v>8</v>
      </c>
      <c r="P292">
        <f t="shared" si="120"/>
        <v>0.77777777777777779</v>
      </c>
      <c r="Q292">
        <f>survey_responses[[#This Row],[So với trước đây, tôi thấy cách tính thuế và các bậc thuế trong phương án mới đơn giản, dễ hiểu và dễ thực hiện hơn. - HUMAN-FAC2]]</f>
        <v>10</v>
      </c>
      <c r="R292">
        <f t="shared" si="121"/>
        <v>1</v>
      </c>
      <c r="S292" s="32">
        <f t="shared" si="122"/>
        <v>0.72222222222222221</v>
      </c>
      <c r="T292" s="32">
        <f t="shared" si="123"/>
        <v>0.61111111111111116</v>
      </c>
      <c r="U292">
        <f>step3_validation[[#This Row],[AI_TRU1]]</f>
        <v>9</v>
      </c>
      <c r="V292">
        <f t="shared" si="124"/>
        <v>0.88888888888888884</v>
      </c>
      <c r="W292">
        <f>survey_responses[[#This Row],[Tôi tin rằng Nhà nước, cơ quan thuế sẽ thực thi chính sách mới một cách khách quan, công tâm và đối xử bình đẳng với mọi người nộp thuế.  - HUMAN-TRU1]]</f>
        <v>8</v>
      </c>
      <c r="X292">
        <f t="shared" si="125"/>
        <v>0.77777777777777779</v>
      </c>
      <c r="Y292">
        <f>step3_validation[[#This Row],[AI_TRU2]]</f>
        <v>8</v>
      </c>
      <c r="Z292">
        <f t="shared" si="126"/>
        <v>0.77777777777777779</v>
      </c>
      <c r="AA292">
        <f>survey_responses[[#This Row],[Tôi thấy mức thuế tôi phải đóng theo phương án mới là công bằng (người thu nhập như tôi đóng mức này là hợp lý). - HUMAN-TRU2]]</f>
        <v>8</v>
      </c>
      <c r="AB292">
        <f t="shared" si="127"/>
        <v>0.77777777777777779</v>
      </c>
      <c r="AC292">
        <f>step3_validation[[#This Row],[AI_TRU3]]</f>
        <v>9</v>
      </c>
      <c r="AD292">
        <f t="shared" si="128"/>
        <v>0.88888888888888884</v>
      </c>
      <c r="AE292">
        <f>survey_responses[[#This Row],[Tôi tin tưởng số tiền thuế tôi đóng sẽ được Nhà nước sử dụng hiệu quả để cải thiện dịch vụ công (y tế, đường xá...). - HUMAN-TRU3]]</f>
        <v>6</v>
      </c>
      <c r="AF292">
        <f t="shared" si="129"/>
        <v>0.55555555555555558</v>
      </c>
      <c r="AG292">
        <f>step3_validation[[#This Row],[AI_TRU4]]</f>
        <v>8</v>
      </c>
      <c r="AH292">
        <f t="shared" si="130"/>
        <v>0.77777777777777779</v>
      </c>
      <c r="AI292">
        <f>survey_responses[[#This Row],[Tôi thấy Nhà nước đã giải thích rõ ràng, minh bạch về lý do và mục tiêu của việc sửa đổi thuế lần này. - HUMAN-TRU4]]</f>
        <v>8</v>
      </c>
      <c r="AJ292">
        <f t="shared" si="131"/>
        <v>0.77777777777777779</v>
      </c>
      <c r="AK292" s="32">
        <f t="shared" si="132"/>
        <v>0.83333333333333326</v>
      </c>
      <c r="AL292" s="32">
        <f t="shared" si="133"/>
        <v>0.72222222222222221</v>
      </c>
      <c r="AM292" s="7">
        <f t="shared" si="134"/>
        <v>0.79629629629629617</v>
      </c>
      <c r="AN292" s="7">
        <f t="shared" si="135"/>
        <v>0.74074074074074081</v>
      </c>
      <c r="AO292">
        <f>step3_validation[[#This Row],[AI_OUT1]]</f>
        <v>9</v>
      </c>
      <c r="AP292">
        <f t="shared" si="136"/>
        <v>0.88888888888888884</v>
      </c>
      <c r="AQ292">
        <f>survey_responses[[#This Row],[Sau khi xem xét các quyền lợi và nghĩa vụ, bạn có ủng hộ và tuân thủ chính sách mới hiện nay? - HUMAN-OUT1]]</f>
        <v>8</v>
      </c>
      <c r="AR292">
        <f t="shared" si="137"/>
        <v>0.77777777777777779</v>
      </c>
      <c r="AS292" s="32">
        <f t="shared" si="138"/>
        <v>1</v>
      </c>
      <c r="AT292">
        <f t="shared" si="139"/>
        <v>1</v>
      </c>
    </row>
    <row r="293" spans="1:46" x14ac:dyDescent="0.45">
      <c r="A293">
        <f>step3_validation[[#This Row],[AI_ENF1]]</f>
        <v>7</v>
      </c>
      <c r="B293">
        <f t="shared" si="112"/>
        <v>0.66666666666666663</v>
      </c>
      <c r="C293">
        <f>survey_responses[[#This Row],[Tôi tin rằng với các quy định quản lý thuế hiện nay, hành vi gian lận hoặc trốn thuế sẽ dễ dàng bị phát hiện và xử lý nghiêm. - HUMAN-ENF1]]</f>
        <v>6</v>
      </c>
      <c r="D293">
        <f t="shared" si="113"/>
        <v>0.55555555555555558</v>
      </c>
      <c r="E293">
        <f>step3_validation[[#This Row],[AI_ENF2]]</f>
        <v>8</v>
      </c>
      <c r="F293">
        <f t="shared" si="114"/>
        <v>0.77777777777777779</v>
      </c>
      <c r="G293">
        <f>survey_responses[[#This Row],[Tôi tin rằng Nhà nước, cơ quan thuế có đủ khả năng và công nghệ để phát hiện, xử lý nghiêm các hành vi trốn thuế. - HUMAN-ENF2]]</f>
        <v>6</v>
      </c>
      <c r="H293">
        <f t="shared" si="115"/>
        <v>0.55555555555555558</v>
      </c>
      <c r="I293" s="32">
        <f t="shared" si="116"/>
        <v>0.72222222222222221</v>
      </c>
      <c r="J293" s="32">
        <f t="shared" si="117"/>
        <v>0.55555555555555558</v>
      </c>
      <c r="K293">
        <f>step3_validation[[#This Row],[AI_FAC1]]</f>
        <v>9</v>
      </c>
      <c r="L293">
        <f t="shared" si="118"/>
        <v>0.88888888888888884</v>
      </c>
      <c r="M293">
        <f>survey_responses[[#This Row],[Các thủ tục khai báo thuế VÀ/HOẶC quy trình làm việc với cơ quan thuế đơn giản, tiện lợi, nhanh chóng hơn so với trước đây. - HUMAN-FAC1]]</f>
        <v>1</v>
      </c>
      <c r="N293">
        <f t="shared" si="119"/>
        <v>0</v>
      </c>
      <c r="O293">
        <f>step3_validation[[#This Row],[AI_FAC2]]</f>
        <v>8</v>
      </c>
      <c r="P293">
        <f t="shared" si="120"/>
        <v>0.77777777777777779</v>
      </c>
      <c r="Q293">
        <f>survey_responses[[#This Row],[So với trước đây, tôi thấy cách tính thuế và các bậc thuế trong phương án mới đơn giản, dễ hiểu và dễ thực hiện hơn. - HUMAN-FAC2]]</f>
        <v>6</v>
      </c>
      <c r="R293">
        <f t="shared" si="121"/>
        <v>0.55555555555555558</v>
      </c>
      <c r="S293" s="32">
        <f t="shared" si="122"/>
        <v>0.83333333333333326</v>
      </c>
      <c r="T293" s="32">
        <f t="shared" si="123"/>
        <v>0.27777777777777779</v>
      </c>
      <c r="U293">
        <f>step3_validation[[#This Row],[AI_TRU1]]</f>
        <v>6</v>
      </c>
      <c r="V293">
        <f t="shared" si="124"/>
        <v>0.55555555555555558</v>
      </c>
      <c r="W293">
        <f>survey_responses[[#This Row],[Tôi tin rằng Nhà nước, cơ quan thuế sẽ thực thi chính sách mới một cách khách quan, công tâm và đối xử bình đẳng với mọi người nộp thuế.  - HUMAN-TRU1]]</f>
        <v>5</v>
      </c>
      <c r="X293">
        <f t="shared" si="125"/>
        <v>0.44444444444444442</v>
      </c>
      <c r="Y293">
        <f>step3_validation[[#This Row],[AI_TRU2]]</f>
        <v>7</v>
      </c>
      <c r="Z293">
        <f t="shared" si="126"/>
        <v>0.66666666666666663</v>
      </c>
      <c r="AA293">
        <f>survey_responses[[#This Row],[Tôi thấy mức thuế tôi phải đóng theo phương án mới là công bằng (người thu nhập như tôi đóng mức này là hợp lý). - HUMAN-TRU2]]</f>
        <v>6</v>
      </c>
      <c r="AB293">
        <f t="shared" si="127"/>
        <v>0.55555555555555558</v>
      </c>
      <c r="AC293">
        <f>step3_validation[[#This Row],[AI_TRU3]]</f>
        <v>5</v>
      </c>
      <c r="AD293">
        <f t="shared" si="128"/>
        <v>0.44444444444444442</v>
      </c>
      <c r="AE293">
        <f>survey_responses[[#This Row],[Tôi tin tưởng số tiền thuế tôi đóng sẽ được Nhà nước sử dụng hiệu quả để cải thiện dịch vụ công (y tế, đường xá...). - HUMAN-TRU3]]</f>
        <v>5</v>
      </c>
      <c r="AF293">
        <f t="shared" si="129"/>
        <v>0.44444444444444442</v>
      </c>
      <c r="AG293">
        <f>step3_validation[[#This Row],[AI_TRU4]]</f>
        <v>6</v>
      </c>
      <c r="AH293">
        <f t="shared" si="130"/>
        <v>0.55555555555555558</v>
      </c>
      <c r="AI293">
        <f>survey_responses[[#This Row],[Tôi thấy Nhà nước đã giải thích rõ ràng, minh bạch về lý do và mục tiêu của việc sửa đổi thuế lần này. - HUMAN-TRU4]]</f>
        <v>6</v>
      </c>
      <c r="AJ293">
        <f t="shared" si="131"/>
        <v>0.55555555555555558</v>
      </c>
      <c r="AK293" s="32">
        <f t="shared" si="132"/>
        <v>0.55555555555555558</v>
      </c>
      <c r="AL293" s="32">
        <f t="shared" si="133"/>
        <v>0.5</v>
      </c>
      <c r="AM293" s="7">
        <f t="shared" si="134"/>
        <v>0.70370370370370361</v>
      </c>
      <c r="AN293" s="7">
        <f t="shared" si="135"/>
        <v>0.44444444444444448</v>
      </c>
      <c r="AO293">
        <f>step3_validation[[#This Row],[AI_OUT1]]</f>
        <v>8</v>
      </c>
      <c r="AP293">
        <f t="shared" si="136"/>
        <v>0.77777777777777779</v>
      </c>
      <c r="AQ293">
        <f>survey_responses[[#This Row],[Sau khi xem xét các quyền lợi và nghĩa vụ, bạn có ủng hộ và tuân thủ chính sách mới hiện nay? - HUMAN-OUT1]]</f>
        <v>6</v>
      </c>
      <c r="AR293">
        <f t="shared" si="137"/>
        <v>0.55555555555555558</v>
      </c>
      <c r="AS293" s="32">
        <f t="shared" si="138"/>
        <v>2</v>
      </c>
      <c r="AT293">
        <f t="shared" si="139"/>
        <v>1</v>
      </c>
    </row>
    <row r="294" spans="1:46" x14ac:dyDescent="0.45">
      <c r="A294">
        <f>step3_validation[[#This Row],[AI_ENF1]]</f>
        <v>7</v>
      </c>
      <c r="B294">
        <f t="shared" si="112"/>
        <v>0.66666666666666663</v>
      </c>
      <c r="C294">
        <f>survey_responses[[#This Row],[Tôi tin rằng với các quy định quản lý thuế hiện nay, hành vi gian lận hoặc trốn thuế sẽ dễ dàng bị phát hiện và xử lý nghiêm. - HUMAN-ENF1]]</f>
        <v>8</v>
      </c>
      <c r="D294">
        <f t="shared" si="113"/>
        <v>0.77777777777777779</v>
      </c>
      <c r="E294">
        <f>step3_validation[[#This Row],[AI_ENF2]]</f>
        <v>8</v>
      </c>
      <c r="F294">
        <f t="shared" si="114"/>
        <v>0.77777777777777779</v>
      </c>
      <c r="G294">
        <f>survey_responses[[#This Row],[Tôi tin rằng Nhà nước, cơ quan thuế có đủ khả năng và công nghệ để phát hiện, xử lý nghiêm các hành vi trốn thuế. - HUMAN-ENF2]]</f>
        <v>8</v>
      </c>
      <c r="H294">
        <f t="shared" si="115"/>
        <v>0.77777777777777779</v>
      </c>
      <c r="I294" s="32">
        <f t="shared" si="116"/>
        <v>0.72222222222222221</v>
      </c>
      <c r="J294" s="32">
        <f t="shared" si="117"/>
        <v>0.77777777777777779</v>
      </c>
      <c r="K294">
        <f>step3_validation[[#This Row],[AI_FAC1]]</f>
        <v>9</v>
      </c>
      <c r="L294">
        <f t="shared" si="118"/>
        <v>0.88888888888888884</v>
      </c>
      <c r="M294">
        <f>survey_responses[[#This Row],[Các thủ tục khai báo thuế VÀ/HOẶC quy trình làm việc với cơ quan thuế đơn giản, tiện lợi, nhanh chóng hơn so với trước đây. - HUMAN-FAC1]]</f>
        <v>5</v>
      </c>
      <c r="N294">
        <f t="shared" si="119"/>
        <v>0.44444444444444442</v>
      </c>
      <c r="O294">
        <f>step3_validation[[#This Row],[AI_FAC2]]</f>
        <v>9</v>
      </c>
      <c r="P294">
        <f t="shared" si="120"/>
        <v>0.88888888888888884</v>
      </c>
      <c r="Q294">
        <f>survey_responses[[#This Row],[So với trước đây, tôi thấy cách tính thuế và các bậc thuế trong phương án mới đơn giản, dễ hiểu và dễ thực hiện hơn. - HUMAN-FAC2]]</f>
        <v>8</v>
      </c>
      <c r="R294">
        <f t="shared" si="121"/>
        <v>0.77777777777777779</v>
      </c>
      <c r="S294" s="32">
        <f t="shared" si="122"/>
        <v>0.88888888888888884</v>
      </c>
      <c r="T294" s="32">
        <f t="shared" si="123"/>
        <v>0.61111111111111116</v>
      </c>
      <c r="U294">
        <f>step3_validation[[#This Row],[AI_TRU1]]</f>
        <v>8</v>
      </c>
      <c r="V294">
        <f t="shared" si="124"/>
        <v>0.77777777777777779</v>
      </c>
      <c r="W294">
        <f>survey_responses[[#This Row],[Tôi tin rằng Nhà nước, cơ quan thuế sẽ thực thi chính sách mới một cách khách quan, công tâm và đối xử bình đẳng với mọi người nộp thuế.  - HUMAN-TRU1]]</f>
        <v>5</v>
      </c>
      <c r="X294">
        <f t="shared" si="125"/>
        <v>0.44444444444444442</v>
      </c>
      <c r="Y294">
        <f>step3_validation[[#This Row],[AI_TRU2]]</f>
        <v>7</v>
      </c>
      <c r="Z294">
        <f t="shared" si="126"/>
        <v>0.66666666666666663</v>
      </c>
      <c r="AA294">
        <f>survey_responses[[#This Row],[Tôi thấy mức thuế tôi phải đóng theo phương án mới là công bằng (người thu nhập như tôi đóng mức này là hợp lý). - HUMAN-TRU2]]</f>
        <v>6</v>
      </c>
      <c r="AB294">
        <f t="shared" si="127"/>
        <v>0.55555555555555558</v>
      </c>
      <c r="AC294">
        <f>step3_validation[[#This Row],[AI_TRU3]]</f>
        <v>6</v>
      </c>
      <c r="AD294">
        <f t="shared" si="128"/>
        <v>0.55555555555555558</v>
      </c>
      <c r="AE294">
        <f>survey_responses[[#This Row],[Tôi tin tưởng số tiền thuế tôi đóng sẽ được Nhà nước sử dụng hiệu quả để cải thiện dịch vụ công (y tế, đường xá...). - HUMAN-TRU3]]</f>
        <v>5</v>
      </c>
      <c r="AF294">
        <f t="shared" si="129"/>
        <v>0.44444444444444442</v>
      </c>
      <c r="AG294">
        <f>step3_validation[[#This Row],[AI_TRU4]]</f>
        <v>7</v>
      </c>
      <c r="AH294">
        <f t="shared" si="130"/>
        <v>0.66666666666666663</v>
      </c>
      <c r="AI294">
        <f>survey_responses[[#This Row],[Tôi thấy Nhà nước đã giải thích rõ ràng, minh bạch về lý do và mục tiêu của việc sửa đổi thuế lần này. - HUMAN-TRU4]]</f>
        <v>6</v>
      </c>
      <c r="AJ294">
        <f t="shared" si="131"/>
        <v>0.55555555555555558</v>
      </c>
      <c r="AK294" s="32">
        <f t="shared" si="132"/>
        <v>0.66666666666666663</v>
      </c>
      <c r="AL294" s="32">
        <f t="shared" si="133"/>
        <v>0.5</v>
      </c>
      <c r="AM294" s="7">
        <f t="shared" si="134"/>
        <v>0.75925925925925919</v>
      </c>
      <c r="AN294" s="7">
        <f t="shared" si="135"/>
        <v>0.62962962962962965</v>
      </c>
      <c r="AO294">
        <f>step3_validation[[#This Row],[AI_OUT1]]</f>
        <v>8</v>
      </c>
      <c r="AP294">
        <f t="shared" si="136"/>
        <v>0.77777777777777779</v>
      </c>
      <c r="AQ294">
        <f>survey_responses[[#This Row],[Sau khi xem xét các quyền lợi và nghĩa vụ, bạn có ủng hộ và tuân thủ chính sách mới hiện nay? - HUMAN-OUT1]]</f>
        <v>6</v>
      </c>
      <c r="AR294">
        <f t="shared" si="137"/>
        <v>0.55555555555555558</v>
      </c>
      <c r="AS294" s="32">
        <f t="shared" si="138"/>
        <v>2</v>
      </c>
      <c r="AT294">
        <f t="shared" si="139"/>
        <v>1</v>
      </c>
    </row>
    <row r="295" spans="1:46" x14ac:dyDescent="0.45">
      <c r="A295">
        <f>step3_validation[[#This Row],[AI_ENF1]]</f>
        <v>7</v>
      </c>
      <c r="B295">
        <f t="shared" si="112"/>
        <v>0.66666666666666663</v>
      </c>
      <c r="C295">
        <f>survey_responses[[#This Row],[Tôi tin rằng với các quy định quản lý thuế hiện nay, hành vi gian lận hoặc trốn thuế sẽ dễ dàng bị phát hiện và xử lý nghiêm. - HUMAN-ENF1]]</f>
        <v>6</v>
      </c>
      <c r="D295">
        <f t="shared" si="113"/>
        <v>0.55555555555555558</v>
      </c>
      <c r="E295">
        <f>step3_validation[[#This Row],[AI_ENF2]]</f>
        <v>8</v>
      </c>
      <c r="F295">
        <f t="shared" si="114"/>
        <v>0.77777777777777779</v>
      </c>
      <c r="G295">
        <f>survey_responses[[#This Row],[Tôi tin rằng Nhà nước, cơ quan thuế có đủ khả năng và công nghệ để phát hiện, xử lý nghiêm các hành vi trốn thuế. - HUMAN-ENF2]]</f>
        <v>6</v>
      </c>
      <c r="H295">
        <f t="shared" si="115"/>
        <v>0.55555555555555558</v>
      </c>
      <c r="I295" s="32">
        <f t="shared" si="116"/>
        <v>0.72222222222222221</v>
      </c>
      <c r="J295" s="32">
        <f t="shared" si="117"/>
        <v>0.55555555555555558</v>
      </c>
      <c r="K295">
        <f>step3_validation[[#This Row],[AI_FAC1]]</f>
        <v>9</v>
      </c>
      <c r="L295">
        <f t="shared" si="118"/>
        <v>0.88888888888888884</v>
      </c>
      <c r="M295">
        <f>survey_responses[[#This Row],[Các thủ tục khai báo thuế VÀ/HOẶC quy trình làm việc với cơ quan thuế đơn giản, tiện lợi, nhanh chóng hơn so với trước đây. - HUMAN-FAC1]]</f>
        <v>3</v>
      </c>
      <c r="N295">
        <f t="shared" si="119"/>
        <v>0.22222222222222221</v>
      </c>
      <c r="O295">
        <f>step3_validation[[#This Row],[AI_FAC2]]</f>
        <v>8</v>
      </c>
      <c r="P295">
        <f t="shared" si="120"/>
        <v>0.77777777777777779</v>
      </c>
      <c r="Q295">
        <f>survey_responses[[#This Row],[So với trước đây, tôi thấy cách tính thuế và các bậc thuế trong phương án mới đơn giản, dễ hiểu và dễ thực hiện hơn. - HUMAN-FAC2]]</f>
        <v>7</v>
      </c>
      <c r="R295">
        <f t="shared" si="121"/>
        <v>0.66666666666666663</v>
      </c>
      <c r="S295" s="32">
        <f t="shared" si="122"/>
        <v>0.83333333333333326</v>
      </c>
      <c r="T295" s="32">
        <f t="shared" si="123"/>
        <v>0.44444444444444442</v>
      </c>
      <c r="U295">
        <f>step3_validation[[#This Row],[AI_TRU1]]</f>
        <v>6</v>
      </c>
      <c r="V295">
        <f t="shared" si="124"/>
        <v>0.55555555555555558</v>
      </c>
      <c r="W295">
        <f>survey_responses[[#This Row],[Tôi tin rằng Nhà nước, cơ quan thuế sẽ thực thi chính sách mới một cách khách quan, công tâm và đối xử bình đẳng với mọi người nộp thuế.  - HUMAN-TRU1]]</f>
        <v>5</v>
      </c>
      <c r="X295">
        <f t="shared" si="125"/>
        <v>0.44444444444444442</v>
      </c>
      <c r="Y295">
        <f>step3_validation[[#This Row],[AI_TRU2]]</f>
        <v>7</v>
      </c>
      <c r="Z295">
        <f t="shared" si="126"/>
        <v>0.66666666666666663</v>
      </c>
      <c r="AA295">
        <f>survey_responses[[#This Row],[Tôi thấy mức thuế tôi phải đóng theo phương án mới là công bằng (người thu nhập như tôi đóng mức này là hợp lý). - HUMAN-TRU2]]</f>
        <v>6</v>
      </c>
      <c r="AB295">
        <f t="shared" si="127"/>
        <v>0.55555555555555558</v>
      </c>
      <c r="AC295">
        <f>step3_validation[[#This Row],[AI_TRU3]]</f>
        <v>5</v>
      </c>
      <c r="AD295">
        <f t="shared" si="128"/>
        <v>0.44444444444444442</v>
      </c>
      <c r="AE295">
        <f>survey_responses[[#This Row],[Tôi tin tưởng số tiền thuế tôi đóng sẽ được Nhà nước sử dụng hiệu quả để cải thiện dịch vụ công (y tế, đường xá...). - HUMAN-TRU3]]</f>
        <v>5</v>
      </c>
      <c r="AF295">
        <f t="shared" si="129"/>
        <v>0.44444444444444442</v>
      </c>
      <c r="AG295">
        <f>step3_validation[[#This Row],[AI_TRU4]]</f>
        <v>6</v>
      </c>
      <c r="AH295">
        <f t="shared" si="130"/>
        <v>0.55555555555555558</v>
      </c>
      <c r="AI295">
        <f>survey_responses[[#This Row],[Tôi thấy Nhà nước đã giải thích rõ ràng, minh bạch về lý do và mục tiêu của việc sửa đổi thuế lần này. - HUMAN-TRU4]]</f>
        <v>5</v>
      </c>
      <c r="AJ295">
        <f t="shared" si="131"/>
        <v>0.44444444444444442</v>
      </c>
      <c r="AK295" s="32">
        <f t="shared" si="132"/>
        <v>0.55555555555555558</v>
      </c>
      <c r="AL295" s="32">
        <f t="shared" si="133"/>
        <v>0.47222222222222221</v>
      </c>
      <c r="AM295" s="7">
        <f t="shared" si="134"/>
        <v>0.70370370370370361</v>
      </c>
      <c r="AN295" s="7">
        <f t="shared" si="135"/>
        <v>0.49074074074074076</v>
      </c>
      <c r="AO295">
        <f>step3_validation[[#This Row],[AI_OUT1]]</f>
        <v>7</v>
      </c>
      <c r="AP295">
        <f t="shared" si="136"/>
        <v>0.66666666666666663</v>
      </c>
      <c r="AQ295">
        <f>survey_responses[[#This Row],[Sau khi xem xét các quyền lợi và nghĩa vụ, bạn có ủng hộ và tuân thủ chính sách mới hiện nay? - HUMAN-OUT1]]</f>
        <v>6</v>
      </c>
      <c r="AR295">
        <f t="shared" si="137"/>
        <v>0.55555555555555558</v>
      </c>
      <c r="AS295" s="32">
        <f t="shared" si="138"/>
        <v>1</v>
      </c>
      <c r="AT295">
        <f t="shared" si="139"/>
        <v>1</v>
      </c>
    </row>
    <row r="296" spans="1:46" x14ac:dyDescent="0.45">
      <c r="A296">
        <f>step3_validation[[#This Row],[AI_ENF1]]</f>
        <v>6</v>
      </c>
      <c r="B296">
        <f t="shared" si="112"/>
        <v>0.55555555555555558</v>
      </c>
      <c r="C296">
        <f>survey_responses[[#This Row],[Tôi tin rằng với các quy định quản lý thuế hiện nay, hành vi gian lận hoặc trốn thuế sẽ dễ dàng bị phát hiện và xử lý nghiêm. - HUMAN-ENF1]]</f>
        <v>8</v>
      </c>
      <c r="D296">
        <f t="shared" si="113"/>
        <v>0.77777777777777779</v>
      </c>
      <c r="E296">
        <f>step3_validation[[#This Row],[AI_ENF2]]</f>
        <v>5</v>
      </c>
      <c r="F296">
        <f t="shared" si="114"/>
        <v>0.44444444444444442</v>
      </c>
      <c r="G296">
        <f>survey_responses[[#This Row],[Tôi tin rằng Nhà nước, cơ quan thuế có đủ khả năng và công nghệ để phát hiện, xử lý nghiêm các hành vi trốn thuế. - HUMAN-ENF2]]</f>
        <v>9</v>
      </c>
      <c r="H296">
        <f t="shared" si="115"/>
        <v>0.88888888888888884</v>
      </c>
      <c r="I296" s="32">
        <f t="shared" si="116"/>
        <v>0.5</v>
      </c>
      <c r="J296" s="32">
        <f t="shared" si="117"/>
        <v>0.83333333333333326</v>
      </c>
      <c r="K296">
        <f>step3_validation[[#This Row],[AI_FAC1]]</f>
        <v>8</v>
      </c>
      <c r="L296">
        <f t="shared" si="118"/>
        <v>0.77777777777777779</v>
      </c>
      <c r="M296">
        <f>survey_responses[[#This Row],[Các thủ tục khai báo thuế VÀ/HOẶC quy trình làm việc với cơ quan thuế đơn giản, tiện lợi, nhanh chóng hơn so với trước đây. - HUMAN-FAC1]]</f>
        <v>9</v>
      </c>
      <c r="N296">
        <f t="shared" si="119"/>
        <v>0.88888888888888884</v>
      </c>
      <c r="O296">
        <f>step3_validation[[#This Row],[AI_FAC2]]</f>
        <v>9</v>
      </c>
      <c r="P296">
        <f t="shared" si="120"/>
        <v>0.88888888888888884</v>
      </c>
      <c r="Q296">
        <f>survey_responses[[#This Row],[So với trước đây, tôi thấy cách tính thuế và các bậc thuế trong phương án mới đơn giản, dễ hiểu và dễ thực hiện hơn. - HUMAN-FAC2]]</f>
        <v>10</v>
      </c>
      <c r="R296">
        <f t="shared" si="121"/>
        <v>1</v>
      </c>
      <c r="S296" s="32">
        <f t="shared" si="122"/>
        <v>0.83333333333333326</v>
      </c>
      <c r="T296" s="32">
        <f t="shared" si="123"/>
        <v>0.94444444444444442</v>
      </c>
      <c r="U296">
        <f>step3_validation[[#This Row],[AI_TRU1]]</f>
        <v>8</v>
      </c>
      <c r="V296">
        <f t="shared" si="124"/>
        <v>0.77777777777777779</v>
      </c>
      <c r="W296">
        <f>survey_responses[[#This Row],[Tôi tin rằng Nhà nước, cơ quan thuế sẽ thực thi chính sách mới một cách khách quan, công tâm và đối xử bình đẳng với mọi người nộp thuế.  - HUMAN-TRU1]]</f>
        <v>8</v>
      </c>
      <c r="X296">
        <f t="shared" si="125"/>
        <v>0.77777777777777779</v>
      </c>
      <c r="Y296">
        <f>step3_validation[[#This Row],[AI_TRU2]]</f>
        <v>7</v>
      </c>
      <c r="Z296">
        <f t="shared" si="126"/>
        <v>0.66666666666666663</v>
      </c>
      <c r="AA296">
        <f>survey_responses[[#This Row],[Tôi thấy mức thuế tôi phải đóng theo phương án mới là công bằng (người thu nhập như tôi đóng mức này là hợp lý). - HUMAN-TRU2]]</f>
        <v>8</v>
      </c>
      <c r="AB296">
        <f t="shared" si="127"/>
        <v>0.77777777777777779</v>
      </c>
      <c r="AC296">
        <f>step3_validation[[#This Row],[AI_TRU3]]</f>
        <v>8</v>
      </c>
      <c r="AD296">
        <f t="shared" si="128"/>
        <v>0.77777777777777779</v>
      </c>
      <c r="AE296">
        <f>survey_responses[[#This Row],[Tôi tin tưởng số tiền thuế tôi đóng sẽ được Nhà nước sử dụng hiệu quả để cải thiện dịch vụ công (y tế, đường xá...). - HUMAN-TRU3]]</f>
        <v>9</v>
      </c>
      <c r="AF296">
        <f t="shared" si="129"/>
        <v>0.88888888888888884</v>
      </c>
      <c r="AG296">
        <f>step3_validation[[#This Row],[AI_TRU4]]</f>
        <v>7</v>
      </c>
      <c r="AH296">
        <f t="shared" si="130"/>
        <v>0.66666666666666663</v>
      </c>
      <c r="AI296">
        <f>survey_responses[[#This Row],[Tôi thấy Nhà nước đã giải thích rõ ràng, minh bạch về lý do và mục tiêu của việc sửa đổi thuế lần này. - HUMAN-TRU4]]</f>
        <v>10</v>
      </c>
      <c r="AJ296">
        <f t="shared" si="131"/>
        <v>1</v>
      </c>
      <c r="AK296" s="32">
        <f t="shared" si="132"/>
        <v>0.72222222222222221</v>
      </c>
      <c r="AL296" s="32">
        <f t="shared" si="133"/>
        <v>0.86111111111111116</v>
      </c>
      <c r="AM296" s="7">
        <f t="shared" si="134"/>
        <v>0.68518518518518512</v>
      </c>
      <c r="AN296" s="7">
        <f t="shared" si="135"/>
        <v>0.87962962962962965</v>
      </c>
      <c r="AO296">
        <f>step3_validation[[#This Row],[AI_OUT1]]</f>
        <v>8</v>
      </c>
      <c r="AP296">
        <f t="shared" si="136"/>
        <v>0.77777777777777779</v>
      </c>
      <c r="AQ296">
        <f>survey_responses[[#This Row],[Sau khi xem xét các quyền lợi và nghĩa vụ, bạn có ủng hộ và tuân thủ chính sách mới hiện nay? - HUMAN-OUT1]]</f>
        <v>10</v>
      </c>
      <c r="AR296">
        <f t="shared" si="137"/>
        <v>1</v>
      </c>
      <c r="AS296" s="32">
        <f t="shared" si="138"/>
        <v>2</v>
      </c>
      <c r="AT296">
        <f t="shared" si="139"/>
        <v>1</v>
      </c>
    </row>
    <row r="297" spans="1:46" x14ac:dyDescent="0.45">
      <c r="A297">
        <f>step3_validation[[#This Row],[AI_ENF1]]</f>
        <v>5</v>
      </c>
      <c r="B297">
        <f t="shared" si="112"/>
        <v>0.44444444444444442</v>
      </c>
      <c r="C297">
        <f>survey_responses[[#This Row],[Tôi tin rằng với các quy định quản lý thuế hiện nay, hành vi gian lận hoặc trốn thuế sẽ dễ dàng bị phát hiện và xử lý nghiêm. - HUMAN-ENF1]]</f>
        <v>7</v>
      </c>
      <c r="D297">
        <f t="shared" si="113"/>
        <v>0.66666666666666663</v>
      </c>
      <c r="E297">
        <f>step3_validation[[#This Row],[AI_ENF2]]</f>
        <v>6</v>
      </c>
      <c r="F297">
        <f t="shared" si="114"/>
        <v>0.55555555555555558</v>
      </c>
      <c r="G297">
        <f>survey_responses[[#This Row],[Tôi tin rằng Nhà nước, cơ quan thuế có đủ khả năng và công nghệ để phát hiện, xử lý nghiêm các hành vi trốn thuế. - HUMAN-ENF2]]</f>
        <v>7</v>
      </c>
      <c r="H297">
        <f t="shared" si="115"/>
        <v>0.66666666666666663</v>
      </c>
      <c r="I297" s="32">
        <f t="shared" si="116"/>
        <v>0.5</v>
      </c>
      <c r="J297" s="32">
        <f t="shared" si="117"/>
        <v>0.66666666666666663</v>
      </c>
      <c r="K297">
        <f>step3_validation[[#This Row],[AI_FAC1]]</f>
        <v>7</v>
      </c>
      <c r="L297">
        <f t="shared" si="118"/>
        <v>0.66666666666666663</v>
      </c>
      <c r="M297">
        <f>survey_responses[[#This Row],[Các thủ tục khai báo thuế VÀ/HOẶC quy trình làm việc với cơ quan thuế đơn giản, tiện lợi, nhanh chóng hơn so với trước đây. - HUMAN-FAC1]]</f>
        <v>6</v>
      </c>
      <c r="N297">
        <f t="shared" si="119"/>
        <v>0.55555555555555558</v>
      </c>
      <c r="O297">
        <f>step3_validation[[#This Row],[AI_FAC2]]</f>
        <v>8</v>
      </c>
      <c r="P297">
        <f t="shared" si="120"/>
        <v>0.77777777777777779</v>
      </c>
      <c r="Q297">
        <f>survey_responses[[#This Row],[So với trước đây, tôi thấy cách tính thuế và các bậc thuế trong phương án mới đơn giản, dễ hiểu và dễ thực hiện hơn. - HUMAN-FAC2]]</f>
        <v>7</v>
      </c>
      <c r="R297">
        <f t="shared" si="121"/>
        <v>0.66666666666666663</v>
      </c>
      <c r="S297" s="32">
        <f t="shared" si="122"/>
        <v>0.72222222222222221</v>
      </c>
      <c r="T297" s="32">
        <f t="shared" si="123"/>
        <v>0.61111111111111116</v>
      </c>
      <c r="U297">
        <f>step3_validation[[#This Row],[AI_TRU1]]</f>
        <v>9</v>
      </c>
      <c r="V297">
        <f t="shared" si="124"/>
        <v>0.88888888888888884</v>
      </c>
      <c r="W297">
        <f>survey_responses[[#This Row],[Tôi tin rằng Nhà nước, cơ quan thuế sẽ thực thi chính sách mới một cách khách quan, công tâm và đối xử bình đẳng với mọi người nộp thuế.  - HUMAN-TRU1]]</f>
        <v>7</v>
      </c>
      <c r="X297">
        <f t="shared" si="125"/>
        <v>0.66666666666666663</v>
      </c>
      <c r="Y297">
        <f>step3_validation[[#This Row],[AI_TRU2]]</f>
        <v>7</v>
      </c>
      <c r="Z297">
        <f t="shared" si="126"/>
        <v>0.66666666666666663</v>
      </c>
      <c r="AA297">
        <f>survey_responses[[#This Row],[Tôi thấy mức thuế tôi phải đóng theo phương án mới là công bằng (người thu nhập như tôi đóng mức này là hợp lý). - HUMAN-TRU2]]</f>
        <v>1</v>
      </c>
      <c r="AB297">
        <f t="shared" si="127"/>
        <v>0</v>
      </c>
      <c r="AC297">
        <f>step3_validation[[#This Row],[AI_TRU3]]</f>
        <v>8</v>
      </c>
      <c r="AD297">
        <f t="shared" si="128"/>
        <v>0.77777777777777779</v>
      </c>
      <c r="AE297">
        <f>survey_responses[[#This Row],[Tôi tin tưởng số tiền thuế tôi đóng sẽ được Nhà nước sử dụng hiệu quả để cải thiện dịch vụ công (y tế, đường xá...). - HUMAN-TRU3]]</f>
        <v>5</v>
      </c>
      <c r="AF297">
        <f t="shared" si="129"/>
        <v>0.44444444444444442</v>
      </c>
      <c r="AG297">
        <f>step3_validation[[#This Row],[AI_TRU4]]</f>
        <v>7</v>
      </c>
      <c r="AH297">
        <f t="shared" si="130"/>
        <v>0.66666666666666663</v>
      </c>
      <c r="AI297">
        <f>survey_responses[[#This Row],[Tôi thấy Nhà nước đã giải thích rõ ràng, minh bạch về lý do và mục tiêu của việc sửa đổi thuế lần này. - HUMAN-TRU4]]</f>
        <v>7</v>
      </c>
      <c r="AJ297">
        <f t="shared" si="131"/>
        <v>0.66666666666666663</v>
      </c>
      <c r="AK297" s="32">
        <f t="shared" si="132"/>
        <v>0.74999999999999989</v>
      </c>
      <c r="AL297" s="32">
        <f t="shared" si="133"/>
        <v>0.44444444444444442</v>
      </c>
      <c r="AM297" s="7">
        <f t="shared" si="134"/>
        <v>0.65740740740740744</v>
      </c>
      <c r="AN297" s="7">
        <f t="shared" si="135"/>
        <v>0.57407407407407407</v>
      </c>
      <c r="AO297">
        <f>step3_validation[[#This Row],[AI_OUT1]]</f>
        <v>8</v>
      </c>
      <c r="AP297">
        <f t="shared" si="136"/>
        <v>0.77777777777777779</v>
      </c>
      <c r="AQ297">
        <f>survey_responses[[#This Row],[Sau khi xem xét các quyền lợi và nghĩa vụ, bạn có ủng hộ và tuân thủ chính sách mới hiện nay? - HUMAN-OUT1]]</f>
        <v>7</v>
      </c>
      <c r="AR297">
        <f t="shared" si="137"/>
        <v>0.66666666666666663</v>
      </c>
      <c r="AS297" s="32">
        <f t="shared" si="138"/>
        <v>1</v>
      </c>
      <c r="AT297">
        <f t="shared" si="139"/>
        <v>1</v>
      </c>
    </row>
    <row r="298" spans="1:46" x14ac:dyDescent="0.45">
      <c r="A298">
        <f>step3_validation[[#This Row],[AI_ENF1]]</f>
        <v>6</v>
      </c>
      <c r="B298">
        <f t="shared" si="112"/>
        <v>0.55555555555555558</v>
      </c>
      <c r="C298">
        <f>survey_responses[[#This Row],[Tôi tin rằng với các quy định quản lý thuế hiện nay, hành vi gian lận hoặc trốn thuế sẽ dễ dàng bị phát hiện và xử lý nghiêm. - HUMAN-ENF1]]</f>
        <v>5</v>
      </c>
      <c r="D298">
        <f t="shared" si="113"/>
        <v>0.44444444444444442</v>
      </c>
      <c r="E298">
        <f>step3_validation[[#This Row],[AI_ENF2]]</f>
        <v>5</v>
      </c>
      <c r="F298">
        <f t="shared" si="114"/>
        <v>0.44444444444444442</v>
      </c>
      <c r="G298">
        <f>survey_responses[[#This Row],[Tôi tin rằng Nhà nước, cơ quan thuế có đủ khả năng và công nghệ để phát hiện, xử lý nghiêm các hành vi trốn thuế. - HUMAN-ENF2]]</f>
        <v>10</v>
      </c>
      <c r="H298">
        <f t="shared" si="115"/>
        <v>1</v>
      </c>
      <c r="I298" s="32">
        <f t="shared" si="116"/>
        <v>0.5</v>
      </c>
      <c r="J298" s="32">
        <f t="shared" si="117"/>
        <v>0.72222222222222221</v>
      </c>
      <c r="K298">
        <f>step3_validation[[#This Row],[AI_FAC1]]</f>
        <v>7</v>
      </c>
      <c r="L298">
        <f t="shared" si="118"/>
        <v>0.66666666666666663</v>
      </c>
      <c r="M298">
        <f>survey_responses[[#This Row],[Các thủ tục khai báo thuế VÀ/HOẶC quy trình làm việc với cơ quan thuế đơn giản, tiện lợi, nhanh chóng hơn so với trước đây. - HUMAN-FAC1]]</f>
        <v>5</v>
      </c>
      <c r="N298">
        <f t="shared" si="119"/>
        <v>0.44444444444444442</v>
      </c>
      <c r="O298">
        <f>step3_validation[[#This Row],[AI_FAC2]]</f>
        <v>6</v>
      </c>
      <c r="P298">
        <f t="shared" si="120"/>
        <v>0.55555555555555558</v>
      </c>
      <c r="Q298">
        <f>survey_responses[[#This Row],[So với trước đây, tôi thấy cách tính thuế và các bậc thuế trong phương án mới đơn giản, dễ hiểu và dễ thực hiện hơn. - HUMAN-FAC2]]</f>
        <v>5</v>
      </c>
      <c r="R298">
        <f t="shared" si="121"/>
        <v>0.44444444444444442</v>
      </c>
      <c r="S298" s="32">
        <f t="shared" si="122"/>
        <v>0.61111111111111116</v>
      </c>
      <c r="T298" s="32">
        <f t="shared" si="123"/>
        <v>0.44444444444444442</v>
      </c>
      <c r="U298">
        <f>step3_validation[[#This Row],[AI_TRU1]]</f>
        <v>4</v>
      </c>
      <c r="V298">
        <f t="shared" si="124"/>
        <v>0.33333333333333331</v>
      </c>
      <c r="W298">
        <f>survey_responses[[#This Row],[Tôi tin rằng Nhà nước, cơ quan thuế sẽ thực thi chính sách mới một cách khách quan, công tâm và đối xử bình đẳng với mọi người nộp thuế.  - HUMAN-TRU1]]</f>
        <v>2</v>
      </c>
      <c r="X298">
        <f t="shared" si="125"/>
        <v>0.1111111111111111</v>
      </c>
      <c r="Y298">
        <f>step3_validation[[#This Row],[AI_TRU2]]</f>
        <v>3</v>
      </c>
      <c r="Z298">
        <f t="shared" si="126"/>
        <v>0.22222222222222221</v>
      </c>
      <c r="AA298">
        <f>survey_responses[[#This Row],[Tôi thấy mức thuế tôi phải đóng theo phương án mới là công bằng (người thu nhập như tôi đóng mức này là hợp lý). - HUMAN-TRU2]]</f>
        <v>3</v>
      </c>
      <c r="AB298">
        <f t="shared" si="127"/>
        <v>0.22222222222222221</v>
      </c>
      <c r="AC298">
        <f>step3_validation[[#This Row],[AI_TRU3]]</f>
        <v>4</v>
      </c>
      <c r="AD298">
        <f t="shared" si="128"/>
        <v>0.33333333333333331</v>
      </c>
      <c r="AE298">
        <f>survey_responses[[#This Row],[Tôi tin tưởng số tiền thuế tôi đóng sẽ được Nhà nước sử dụng hiệu quả để cải thiện dịch vụ công (y tế, đường xá...). - HUMAN-TRU3]]</f>
        <v>2</v>
      </c>
      <c r="AF298">
        <f t="shared" si="129"/>
        <v>0.1111111111111111</v>
      </c>
      <c r="AG298">
        <f>step3_validation[[#This Row],[AI_TRU4]]</f>
        <v>5</v>
      </c>
      <c r="AH298">
        <f t="shared" si="130"/>
        <v>0.44444444444444442</v>
      </c>
      <c r="AI298">
        <f>survey_responses[[#This Row],[Tôi thấy Nhà nước đã giải thích rõ ràng, minh bạch về lý do và mục tiêu của việc sửa đổi thuế lần này. - HUMAN-TRU4]]</f>
        <v>5</v>
      </c>
      <c r="AJ298">
        <f t="shared" si="131"/>
        <v>0.44444444444444442</v>
      </c>
      <c r="AK298" s="32">
        <f t="shared" si="132"/>
        <v>0.33333333333333331</v>
      </c>
      <c r="AL298" s="32">
        <f t="shared" si="133"/>
        <v>0.22222222222222221</v>
      </c>
      <c r="AM298" s="7">
        <f t="shared" si="134"/>
        <v>0.48148148148148145</v>
      </c>
      <c r="AN298" s="7">
        <f t="shared" si="135"/>
        <v>0.46296296296296297</v>
      </c>
      <c r="AO298">
        <f>step3_validation[[#This Row],[AI_OUT1]]</f>
        <v>6</v>
      </c>
      <c r="AP298">
        <f t="shared" si="136"/>
        <v>0.55555555555555558</v>
      </c>
      <c r="AQ298">
        <f>survey_responses[[#This Row],[Sau khi xem xét các quyền lợi và nghĩa vụ, bạn có ủng hộ và tuân thủ chính sách mới hiện nay? - HUMAN-OUT1]]</f>
        <v>5</v>
      </c>
      <c r="AR298">
        <f t="shared" si="137"/>
        <v>0.44444444444444442</v>
      </c>
      <c r="AS298" s="32">
        <f t="shared" si="138"/>
        <v>1</v>
      </c>
      <c r="AT298">
        <f t="shared" si="139"/>
        <v>0</v>
      </c>
    </row>
    <row r="299" spans="1:46" x14ac:dyDescent="0.45">
      <c r="A299">
        <f>step3_validation[[#This Row],[AI_ENF1]]</f>
        <v>6</v>
      </c>
      <c r="B299">
        <f t="shared" si="112"/>
        <v>0.55555555555555558</v>
      </c>
      <c r="C299">
        <f>survey_responses[[#This Row],[Tôi tin rằng với các quy định quản lý thuế hiện nay, hành vi gian lận hoặc trốn thuế sẽ dễ dàng bị phát hiện và xử lý nghiêm. - HUMAN-ENF1]]</f>
        <v>5</v>
      </c>
      <c r="D299">
        <f t="shared" si="113"/>
        <v>0.44444444444444442</v>
      </c>
      <c r="E299">
        <f>step3_validation[[#This Row],[AI_ENF2]]</f>
        <v>6</v>
      </c>
      <c r="F299">
        <f t="shared" si="114"/>
        <v>0.55555555555555558</v>
      </c>
      <c r="G299">
        <f>survey_responses[[#This Row],[Tôi tin rằng Nhà nước, cơ quan thuế có đủ khả năng và công nghệ để phát hiện, xử lý nghiêm các hành vi trốn thuế. - HUMAN-ENF2]]</f>
        <v>5</v>
      </c>
      <c r="H299">
        <f t="shared" si="115"/>
        <v>0.44444444444444442</v>
      </c>
      <c r="I299" s="32">
        <f t="shared" si="116"/>
        <v>0.55555555555555558</v>
      </c>
      <c r="J299" s="32">
        <f t="shared" si="117"/>
        <v>0.44444444444444442</v>
      </c>
      <c r="K299">
        <f>step3_validation[[#This Row],[AI_FAC1]]</f>
        <v>8</v>
      </c>
      <c r="L299">
        <f t="shared" si="118"/>
        <v>0.77777777777777779</v>
      </c>
      <c r="M299">
        <f>survey_responses[[#This Row],[Các thủ tục khai báo thuế VÀ/HOẶC quy trình làm việc với cơ quan thuế đơn giản, tiện lợi, nhanh chóng hơn so với trước đây. - HUMAN-FAC1]]</f>
        <v>5</v>
      </c>
      <c r="N299">
        <f t="shared" si="119"/>
        <v>0.44444444444444442</v>
      </c>
      <c r="O299">
        <f>step3_validation[[#This Row],[AI_FAC2]]</f>
        <v>7</v>
      </c>
      <c r="P299">
        <f t="shared" si="120"/>
        <v>0.66666666666666663</v>
      </c>
      <c r="Q299">
        <f>survey_responses[[#This Row],[So với trước đây, tôi thấy cách tính thuế và các bậc thuế trong phương án mới đơn giản, dễ hiểu và dễ thực hiện hơn. - HUMAN-FAC2]]</f>
        <v>10</v>
      </c>
      <c r="R299">
        <f t="shared" si="121"/>
        <v>1</v>
      </c>
      <c r="S299" s="32">
        <f t="shared" si="122"/>
        <v>0.72222222222222221</v>
      </c>
      <c r="T299" s="32">
        <f t="shared" si="123"/>
        <v>0.72222222222222221</v>
      </c>
      <c r="U299">
        <f>step3_validation[[#This Row],[AI_TRU1]]</f>
        <v>8</v>
      </c>
      <c r="V299">
        <f t="shared" si="124"/>
        <v>0.77777777777777779</v>
      </c>
      <c r="W299">
        <f>survey_responses[[#This Row],[Tôi tin rằng Nhà nước, cơ quan thuế sẽ thực thi chính sách mới một cách khách quan, công tâm và đối xử bình đẳng với mọi người nộp thuế.  - HUMAN-TRU1]]</f>
        <v>10</v>
      </c>
      <c r="X299">
        <f t="shared" si="125"/>
        <v>1</v>
      </c>
      <c r="Y299">
        <f>step3_validation[[#This Row],[AI_TRU2]]</f>
        <v>7</v>
      </c>
      <c r="Z299">
        <f t="shared" si="126"/>
        <v>0.66666666666666663</v>
      </c>
      <c r="AA299">
        <f>survey_responses[[#This Row],[Tôi thấy mức thuế tôi phải đóng theo phương án mới là công bằng (người thu nhập như tôi đóng mức này là hợp lý). - HUMAN-TRU2]]</f>
        <v>5</v>
      </c>
      <c r="AB299">
        <f t="shared" si="127"/>
        <v>0.44444444444444442</v>
      </c>
      <c r="AC299">
        <f>step3_validation[[#This Row],[AI_TRU3]]</f>
        <v>6</v>
      </c>
      <c r="AD299">
        <f t="shared" si="128"/>
        <v>0.55555555555555558</v>
      </c>
      <c r="AE299">
        <f>survey_responses[[#This Row],[Tôi tin tưởng số tiền thuế tôi đóng sẽ được Nhà nước sử dụng hiệu quả để cải thiện dịch vụ công (y tế, đường xá...). - HUMAN-TRU3]]</f>
        <v>5</v>
      </c>
      <c r="AF299">
        <f t="shared" si="129"/>
        <v>0.44444444444444442</v>
      </c>
      <c r="AG299">
        <f>step3_validation[[#This Row],[AI_TRU4]]</f>
        <v>5</v>
      </c>
      <c r="AH299">
        <f t="shared" si="130"/>
        <v>0.44444444444444442</v>
      </c>
      <c r="AI299">
        <f>survey_responses[[#This Row],[Tôi thấy Nhà nước đã giải thích rõ ràng, minh bạch về lý do và mục tiêu của việc sửa đổi thuế lần này. - HUMAN-TRU4]]</f>
        <v>5</v>
      </c>
      <c r="AJ299">
        <f t="shared" si="131"/>
        <v>0.44444444444444442</v>
      </c>
      <c r="AK299" s="32">
        <f t="shared" si="132"/>
        <v>0.61111111111111116</v>
      </c>
      <c r="AL299" s="32">
        <f t="shared" si="133"/>
        <v>0.58333333333333326</v>
      </c>
      <c r="AM299" s="7">
        <f t="shared" si="134"/>
        <v>0.62962962962962965</v>
      </c>
      <c r="AN299" s="7">
        <f t="shared" si="135"/>
        <v>0.58333333333333326</v>
      </c>
      <c r="AO299">
        <f>step3_validation[[#This Row],[AI_OUT1]]</f>
        <v>7</v>
      </c>
      <c r="AP299">
        <f t="shared" si="136"/>
        <v>0.66666666666666663</v>
      </c>
      <c r="AQ299">
        <f>survey_responses[[#This Row],[Sau khi xem xét các quyền lợi và nghĩa vụ, bạn có ủng hộ và tuân thủ chính sách mới hiện nay? - HUMAN-OUT1]]</f>
        <v>5</v>
      </c>
      <c r="AR299">
        <f t="shared" si="137"/>
        <v>0.44444444444444442</v>
      </c>
      <c r="AS299" s="32">
        <f t="shared" si="138"/>
        <v>2</v>
      </c>
      <c r="AT299">
        <f t="shared" si="139"/>
        <v>0</v>
      </c>
    </row>
    <row r="300" spans="1:46" x14ac:dyDescent="0.45">
      <c r="A300">
        <f>step3_validation[[#This Row],[AI_ENF1]]</f>
        <v>8</v>
      </c>
      <c r="B300">
        <f t="shared" si="112"/>
        <v>0.77777777777777779</v>
      </c>
      <c r="C300">
        <f>survey_responses[[#This Row],[Tôi tin rằng với các quy định quản lý thuế hiện nay, hành vi gian lận hoặc trốn thuế sẽ dễ dàng bị phát hiện và xử lý nghiêm. - HUMAN-ENF1]]</f>
        <v>10</v>
      </c>
      <c r="D300">
        <f t="shared" si="113"/>
        <v>1</v>
      </c>
      <c r="E300">
        <f>step3_validation[[#This Row],[AI_ENF2]]</f>
        <v>8</v>
      </c>
      <c r="F300">
        <f t="shared" si="114"/>
        <v>0.77777777777777779</v>
      </c>
      <c r="G300">
        <f>survey_responses[[#This Row],[Tôi tin rằng Nhà nước, cơ quan thuế có đủ khả năng và công nghệ để phát hiện, xử lý nghiêm các hành vi trốn thuế. - HUMAN-ENF2]]</f>
        <v>10</v>
      </c>
      <c r="H300">
        <f t="shared" si="115"/>
        <v>1</v>
      </c>
      <c r="I300" s="32">
        <f t="shared" si="116"/>
        <v>0.77777777777777779</v>
      </c>
      <c r="J300" s="32">
        <f t="shared" si="117"/>
        <v>1</v>
      </c>
      <c r="K300">
        <f>step3_validation[[#This Row],[AI_FAC1]]</f>
        <v>9</v>
      </c>
      <c r="L300">
        <f t="shared" si="118"/>
        <v>0.88888888888888884</v>
      </c>
      <c r="M300">
        <f>survey_responses[[#This Row],[Các thủ tục khai báo thuế VÀ/HOẶC quy trình làm việc với cơ quan thuế đơn giản, tiện lợi, nhanh chóng hơn so với trước đây. - HUMAN-FAC1]]</f>
        <v>10</v>
      </c>
      <c r="N300">
        <f t="shared" si="119"/>
        <v>1</v>
      </c>
      <c r="O300">
        <f>step3_validation[[#This Row],[AI_FAC2]]</f>
        <v>8</v>
      </c>
      <c r="P300">
        <f t="shared" si="120"/>
        <v>0.77777777777777779</v>
      </c>
      <c r="Q300">
        <f>survey_responses[[#This Row],[So với trước đây, tôi thấy cách tính thuế và các bậc thuế trong phương án mới đơn giản, dễ hiểu và dễ thực hiện hơn. - HUMAN-FAC2]]</f>
        <v>10</v>
      </c>
      <c r="R300">
        <f t="shared" si="121"/>
        <v>1</v>
      </c>
      <c r="S300" s="32">
        <f t="shared" si="122"/>
        <v>0.83333333333333326</v>
      </c>
      <c r="T300" s="32">
        <f t="shared" si="123"/>
        <v>1</v>
      </c>
      <c r="U300">
        <f>step3_validation[[#This Row],[AI_TRU1]]</f>
        <v>7</v>
      </c>
      <c r="V300">
        <f t="shared" si="124"/>
        <v>0.66666666666666663</v>
      </c>
      <c r="W300">
        <f>survey_responses[[#This Row],[Tôi tin rằng Nhà nước, cơ quan thuế sẽ thực thi chính sách mới một cách khách quan, công tâm và đối xử bình đẳng với mọi người nộp thuế.  - HUMAN-TRU1]]</f>
        <v>10</v>
      </c>
      <c r="X300">
        <f t="shared" si="125"/>
        <v>1</v>
      </c>
      <c r="Y300">
        <f>step3_validation[[#This Row],[AI_TRU2]]</f>
        <v>5</v>
      </c>
      <c r="Z300">
        <f t="shared" si="126"/>
        <v>0.44444444444444442</v>
      </c>
      <c r="AA300">
        <f>survey_responses[[#This Row],[Tôi thấy mức thuế tôi phải đóng theo phương án mới là công bằng (người thu nhập như tôi đóng mức này là hợp lý). - HUMAN-TRU2]]</f>
        <v>10</v>
      </c>
      <c r="AB300">
        <f t="shared" si="127"/>
        <v>1</v>
      </c>
      <c r="AC300">
        <f>step3_validation[[#This Row],[AI_TRU3]]</f>
        <v>6</v>
      </c>
      <c r="AD300">
        <f t="shared" si="128"/>
        <v>0.55555555555555558</v>
      </c>
      <c r="AE300">
        <f>survey_responses[[#This Row],[Tôi tin tưởng số tiền thuế tôi đóng sẽ được Nhà nước sử dụng hiệu quả để cải thiện dịch vụ công (y tế, đường xá...). - HUMAN-TRU3]]</f>
        <v>10</v>
      </c>
      <c r="AF300">
        <f t="shared" si="129"/>
        <v>1</v>
      </c>
      <c r="AG300">
        <f>step3_validation[[#This Row],[AI_TRU4]]</f>
        <v>5</v>
      </c>
      <c r="AH300">
        <f t="shared" si="130"/>
        <v>0.44444444444444442</v>
      </c>
      <c r="AI300">
        <f>survey_responses[[#This Row],[Tôi thấy Nhà nước đã giải thích rõ ràng, minh bạch về lý do và mục tiêu của việc sửa đổi thuế lần này. - HUMAN-TRU4]]</f>
        <v>10</v>
      </c>
      <c r="AJ300">
        <f t="shared" si="131"/>
        <v>1</v>
      </c>
      <c r="AK300" s="32">
        <f t="shared" si="132"/>
        <v>0.52777777777777779</v>
      </c>
      <c r="AL300" s="32">
        <f t="shared" si="133"/>
        <v>1</v>
      </c>
      <c r="AM300" s="7">
        <f t="shared" si="134"/>
        <v>0.71296296296296291</v>
      </c>
      <c r="AN300" s="7">
        <f t="shared" si="135"/>
        <v>1</v>
      </c>
      <c r="AO300">
        <f>step3_validation[[#This Row],[AI_OUT1]]</f>
        <v>7</v>
      </c>
      <c r="AP300">
        <f t="shared" si="136"/>
        <v>0.66666666666666663</v>
      </c>
      <c r="AQ300">
        <f>survey_responses[[#This Row],[Sau khi xem xét các quyền lợi và nghĩa vụ, bạn có ủng hộ và tuân thủ chính sách mới hiện nay? - HUMAN-OUT1]]</f>
        <v>10</v>
      </c>
      <c r="AR300">
        <f t="shared" si="137"/>
        <v>1</v>
      </c>
      <c r="AS300" s="32">
        <f t="shared" si="138"/>
        <v>3</v>
      </c>
      <c r="AT300">
        <f t="shared" si="139"/>
        <v>1</v>
      </c>
    </row>
    <row r="301" spans="1:46" x14ac:dyDescent="0.45">
      <c r="A301">
        <f>step3_validation[[#This Row],[AI_ENF1]]</f>
        <v>7</v>
      </c>
      <c r="B301">
        <f t="shared" si="112"/>
        <v>0.66666666666666663</v>
      </c>
      <c r="C301">
        <f>survey_responses[[#This Row],[Tôi tin rằng với các quy định quản lý thuế hiện nay, hành vi gian lận hoặc trốn thuế sẽ dễ dàng bị phát hiện và xử lý nghiêm. - HUMAN-ENF1]]</f>
        <v>9</v>
      </c>
      <c r="D301">
        <f t="shared" si="113"/>
        <v>0.88888888888888884</v>
      </c>
      <c r="E301">
        <f>step3_validation[[#This Row],[AI_ENF2]]</f>
        <v>8</v>
      </c>
      <c r="F301">
        <f t="shared" si="114"/>
        <v>0.77777777777777779</v>
      </c>
      <c r="G301">
        <f>survey_responses[[#This Row],[Tôi tin rằng Nhà nước, cơ quan thuế có đủ khả năng và công nghệ để phát hiện, xử lý nghiêm các hành vi trốn thuế. - HUMAN-ENF2]]</f>
        <v>9</v>
      </c>
      <c r="H301">
        <f t="shared" si="115"/>
        <v>0.88888888888888884</v>
      </c>
      <c r="I301" s="32">
        <f t="shared" si="116"/>
        <v>0.72222222222222221</v>
      </c>
      <c r="J301" s="32">
        <f t="shared" si="117"/>
        <v>0.88888888888888884</v>
      </c>
      <c r="K301">
        <f>step3_validation[[#This Row],[AI_FAC1]]</f>
        <v>6</v>
      </c>
      <c r="L301">
        <f t="shared" si="118"/>
        <v>0.55555555555555558</v>
      </c>
      <c r="M301">
        <f>survey_responses[[#This Row],[Các thủ tục khai báo thuế VÀ/HOẶC quy trình làm việc với cơ quan thuế đơn giản, tiện lợi, nhanh chóng hơn so với trước đây. - HUMAN-FAC1]]</f>
        <v>8</v>
      </c>
      <c r="N301">
        <f t="shared" si="119"/>
        <v>0.77777777777777779</v>
      </c>
      <c r="O301">
        <f>step3_validation[[#This Row],[AI_FAC2]]</f>
        <v>8</v>
      </c>
      <c r="P301">
        <f t="shared" si="120"/>
        <v>0.77777777777777779</v>
      </c>
      <c r="Q301">
        <f>survey_responses[[#This Row],[So với trước đây, tôi thấy cách tính thuế và các bậc thuế trong phương án mới đơn giản, dễ hiểu và dễ thực hiện hơn. - HUMAN-FAC2]]</f>
        <v>10</v>
      </c>
      <c r="R301">
        <f t="shared" si="121"/>
        <v>1</v>
      </c>
      <c r="S301" s="32">
        <f t="shared" si="122"/>
        <v>0.66666666666666674</v>
      </c>
      <c r="T301" s="32">
        <f t="shared" si="123"/>
        <v>0.88888888888888884</v>
      </c>
      <c r="U301">
        <f>step3_validation[[#This Row],[AI_TRU1]]</f>
        <v>7</v>
      </c>
      <c r="V301">
        <f t="shared" si="124"/>
        <v>0.66666666666666663</v>
      </c>
      <c r="W301">
        <f>survey_responses[[#This Row],[Tôi tin rằng Nhà nước, cơ quan thuế sẽ thực thi chính sách mới một cách khách quan, công tâm và đối xử bình đẳng với mọi người nộp thuế.  - HUMAN-TRU1]]</f>
        <v>8</v>
      </c>
      <c r="X301">
        <f t="shared" si="125"/>
        <v>0.77777777777777779</v>
      </c>
      <c r="Y301">
        <f>step3_validation[[#This Row],[AI_TRU2]]</f>
        <v>8</v>
      </c>
      <c r="Z301">
        <f t="shared" si="126"/>
        <v>0.77777777777777779</v>
      </c>
      <c r="AA301">
        <f>survey_responses[[#This Row],[Tôi thấy mức thuế tôi phải đóng theo phương án mới là công bằng (người thu nhập như tôi đóng mức này là hợp lý). - HUMAN-TRU2]]</f>
        <v>8</v>
      </c>
      <c r="AB301">
        <f t="shared" si="127"/>
        <v>0.77777777777777779</v>
      </c>
      <c r="AC301">
        <f>step3_validation[[#This Row],[AI_TRU3]]</f>
        <v>7</v>
      </c>
      <c r="AD301">
        <f t="shared" si="128"/>
        <v>0.66666666666666663</v>
      </c>
      <c r="AE301">
        <f>survey_responses[[#This Row],[Tôi tin tưởng số tiền thuế tôi đóng sẽ được Nhà nước sử dụng hiệu quả để cải thiện dịch vụ công (y tế, đường xá...). - HUMAN-TRU3]]</f>
        <v>10</v>
      </c>
      <c r="AF301">
        <f t="shared" si="129"/>
        <v>1</v>
      </c>
      <c r="AG301">
        <f>step3_validation[[#This Row],[AI_TRU4]]</f>
        <v>6</v>
      </c>
      <c r="AH301">
        <f t="shared" si="130"/>
        <v>0.55555555555555558</v>
      </c>
      <c r="AI301">
        <f>survey_responses[[#This Row],[Tôi thấy Nhà nước đã giải thích rõ ràng, minh bạch về lý do và mục tiêu của việc sửa đổi thuế lần này. - HUMAN-TRU4]]</f>
        <v>9</v>
      </c>
      <c r="AJ301">
        <f t="shared" si="131"/>
        <v>0.88888888888888884</v>
      </c>
      <c r="AK301" s="32">
        <f t="shared" si="132"/>
        <v>0.66666666666666674</v>
      </c>
      <c r="AL301" s="32">
        <f t="shared" si="133"/>
        <v>0.86111111111111105</v>
      </c>
      <c r="AM301" s="7">
        <f t="shared" si="134"/>
        <v>0.68518518518518512</v>
      </c>
      <c r="AN301" s="7">
        <f t="shared" si="135"/>
        <v>0.87962962962962965</v>
      </c>
      <c r="AO301">
        <f>step3_validation[[#This Row],[AI_OUT1]]</f>
        <v>7</v>
      </c>
      <c r="AP301">
        <f t="shared" si="136"/>
        <v>0.66666666666666663</v>
      </c>
      <c r="AQ301">
        <f>survey_responses[[#This Row],[Sau khi xem xét các quyền lợi và nghĩa vụ, bạn có ủng hộ và tuân thủ chính sách mới hiện nay? - HUMAN-OUT1]]</f>
        <v>9</v>
      </c>
      <c r="AR301">
        <f t="shared" si="137"/>
        <v>0.88888888888888884</v>
      </c>
      <c r="AS301" s="32">
        <f t="shared" si="138"/>
        <v>2</v>
      </c>
      <c r="AT301">
        <f t="shared" si="139"/>
        <v>1</v>
      </c>
    </row>
    <row r="302" spans="1:46" x14ac:dyDescent="0.45">
      <c r="A302">
        <f>step3_validation[[#This Row],[AI_ENF1]]</f>
        <v>9</v>
      </c>
      <c r="B302">
        <f t="shared" si="112"/>
        <v>0.88888888888888884</v>
      </c>
      <c r="C302">
        <f>survey_responses[[#This Row],[Tôi tin rằng với các quy định quản lý thuế hiện nay, hành vi gian lận hoặc trốn thuế sẽ dễ dàng bị phát hiện và xử lý nghiêm. - HUMAN-ENF1]]</f>
        <v>8</v>
      </c>
      <c r="D302">
        <f t="shared" si="113"/>
        <v>0.77777777777777779</v>
      </c>
      <c r="E302">
        <f>step3_validation[[#This Row],[AI_ENF2]]</f>
        <v>8</v>
      </c>
      <c r="F302">
        <f t="shared" si="114"/>
        <v>0.77777777777777779</v>
      </c>
      <c r="G302">
        <f>survey_responses[[#This Row],[Tôi tin rằng Nhà nước, cơ quan thuế có đủ khả năng và công nghệ để phát hiện, xử lý nghiêm các hành vi trốn thuế. - HUMAN-ENF2]]</f>
        <v>7</v>
      </c>
      <c r="H302">
        <f t="shared" si="115"/>
        <v>0.66666666666666663</v>
      </c>
      <c r="I302" s="32">
        <f t="shared" si="116"/>
        <v>0.83333333333333326</v>
      </c>
      <c r="J302" s="32">
        <f t="shared" si="117"/>
        <v>0.72222222222222221</v>
      </c>
      <c r="K302">
        <f>step3_validation[[#This Row],[AI_FAC1]]</f>
        <v>7</v>
      </c>
      <c r="L302">
        <f t="shared" si="118"/>
        <v>0.66666666666666663</v>
      </c>
      <c r="M302">
        <f>survey_responses[[#This Row],[Các thủ tục khai báo thuế VÀ/HOẶC quy trình làm việc với cơ quan thuế đơn giản, tiện lợi, nhanh chóng hơn so với trước đây. - HUMAN-FAC1]]</f>
        <v>9</v>
      </c>
      <c r="N302">
        <f t="shared" si="119"/>
        <v>0.88888888888888884</v>
      </c>
      <c r="O302">
        <f>step3_validation[[#This Row],[AI_FAC2]]</f>
        <v>8</v>
      </c>
      <c r="P302">
        <f t="shared" si="120"/>
        <v>0.77777777777777779</v>
      </c>
      <c r="Q302">
        <f>survey_responses[[#This Row],[So với trước đây, tôi thấy cách tính thuế và các bậc thuế trong phương án mới đơn giản, dễ hiểu và dễ thực hiện hơn. - HUMAN-FAC2]]</f>
        <v>5</v>
      </c>
      <c r="R302">
        <f t="shared" si="121"/>
        <v>0.44444444444444442</v>
      </c>
      <c r="S302" s="32">
        <f t="shared" si="122"/>
        <v>0.72222222222222221</v>
      </c>
      <c r="T302" s="32">
        <f t="shared" si="123"/>
        <v>0.66666666666666663</v>
      </c>
      <c r="U302">
        <f>step3_validation[[#This Row],[AI_TRU1]]</f>
        <v>7</v>
      </c>
      <c r="V302">
        <f t="shared" si="124"/>
        <v>0.66666666666666663</v>
      </c>
      <c r="W302">
        <f>survey_responses[[#This Row],[Tôi tin rằng Nhà nước, cơ quan thuế sẽ thực thi chính sách mới một cách khách quan, công tâm và đối xử bình đẳng với mọi người nộp thuế.  - HUMAN-TRU1]]</f>
        <v>7</v>
      </c>
      <c r="X302">
        <f t="shared" si="125"/>
        <v>0.66666666666666663</v>
      </c>
      <c r="Y302">
        <f>step3_validation[[#This Row],[AI_TRU2]]</f>
        <v>8</v>
      </c>
      <c r="Z302">
        <f t="shared" si="126"/>
        <v>0.77777777777777779</v>
      </c>
      <c r="AA302">
        <f>survey_responses[[#This Row],[Tôi thấy mức thuế tôi phải đóng theo phương án mới là công bằng (người thu nhập như tôi đóng mức này là hợp lý). - HUMAN-TRU2]]</f>
        <v>7</v>
      </c>
      <c r="AB302">
        <f t="shared" si="127"/>
        <v>0.66666666666666663</v>
      </c>
      <c r="AC302">
        <f>step3_validation[[#This Row],[AI_TRU3]]</f>
        <v>7</v>
      </c>
      <c r="AD302">
        <f t="shared" si="128"/>
        <v>0.66666666666666663</v>
      </c>
      <c r="AE302">
        <f>survey_responses[[#This Row],[Tôi tin tưởng số tiền thuế tôi đóng sẽ được Nhà nước sử dụng hiệu quả để cải thiện dịch vụ công (y tế, đường xá...). - HUMAN-TRU3]]</f>
        <v>7</v>
      </c>
      <c r="AF302">
        <f t="shared" si="129"/>
        <v>0.66666666666666663</v>
      </c>
      <c r="AG302">
        <f>step3_validation[[#This Row],[AI_TRU4]]</f>
        <v>6</v>
      </c>
      <c r="AH302">
        <f t="shared" si="130"/>
        <v>0.55555555555555558</v>
      </c>
      <c r="AI302">
        <f>survey_responses[[#This Row],[Tôi thấy Nhà nước đã giải thích rõ ràng, minh bạch về lý do và mục tiêu của việc sửa đổi thuế lần này. - HUMAN-TRU4]]</f>
        <v>6</v>
      </c>
      <c r="AJ302">
        <f t="shared" si="131"/>
        <v>0.55555555555555558</v>
      </c>
      <c r="AK302" s="32">
        <f t="shared" si="132"/>
        <v>0.66666666666666674</v>
      </c>
      <c r="AL302" s="32">
        <f t="shared" si="133"/>
        <v>0.63888888888888884</v>
      </c>
      <c r="AM302" s="7">
        <f t="shared" si="134"/>
        <v>0.74074074074074081</v>
      </c>
      <c r="AN302" s="7">
        <f t="shared" si="135"/>
        <v>0.67592592592592593</v>
      </c>
      <c r="AO302">
        <f>step3_validation[[#This Row],[AI_OUT1]]</f>
        <v>7</v>
      </c>
      <c r="AP302">
        <f t="shared" si="136"/>
        <v>0.66666666666666663</v>
      </c>
      <c r="AQ302">
        <f>survey_responses[[#This Row],[Sau khi xem xét các quyền lợi và nghĩa vụ, bạn có ủng hộ và tuân thủ chính sách mới hiện nay? - HUMAN-OUT1]]</f>
        <v>7</v>
      </c>
      <c r="AR302">
        <f t="shared" si="137"/>
        <v>0.66666666666666663</v>
      </c>
      <c r="AS302" s="32">
        <f t="shared" si="138"/>
        <v>0</v>
      </c>
      <c r="AT302">
        <f t="shared" si="139"/>
        <v>1</v>
      </c>
    </row>
    <row r="303" spans="1:46" x14ac:dyDescent="0.45">
      <c r="A303">
        <f>step3_validation[[#This Row],[AI_ENF1]]</f>
        <v>6</v>
      </c>
      <c r="B303">
        <f t="shared" si="112"/>
        <v>0.55555555555555558</v>
      </c>
      <c r="C303">
        <f>survey_responses[[#This Row],[Tôi tin rằng với các quy định quản lý thuế hiện nay, hành vi gian lận hoặc trốn thuế sẽ dễ dàng bị phát hiện và xử lý nghiêm. - HUMAN-ENF1]]</f>
        <v>7</v>
      </c>
      <c r="D303">
        <f t="shared" si="113"/>
        <v>0.66666666666666663</v>
      </c>
      <c r="E303">
        <f>step3_validation[[#This Row],[AI_ENF2]]</f>
        <v>7</v>
      </c>
      <c r="F303">
        <f t="shared" si="114"/>
        <v>0.66666666666666663</v>
      </c>
      <c r="G303">
        <f>survey_responses[[#This Row],[Tôi tin rằng Nhà nước, cơ quan thuế có đủ khả năng và công nghệ để phát hiện, xử lý nghiêm các hành vi trốn thuế. - HUMAN-ENF2]]</f>
        <v>7</v>
      </c>
      <c r="H303">
        <f t="shared" si="115"/>
        <v>0.66666666666666663</v>
      </c>
      <c r="I303" s="32">
        <f t="shared" si="116"/>
        <v>0.61111111111111116</v>
      </c>
      <c r="J303" s="32">
        <f t="shared" si="117"/>
        <v>0.66666666666666663</v>
      </c>
      <c r="K303">
        <f>step3_validation[[#This Row],[AI_FAC1]]</f>
        <v>5</v>
      </c>
      <c r="L303">
        <f t="shared" si="118"/>
        <v>0.44444444444444442</v>
      </c>
      <c r="M303">
        <f>survey_responses[[#This Row],[Các thủ tục khai báo thuế VÀ/HOẶC quy trình làm việc với cơ quan thuế đơn giản, tiện lợi, nhanh chóng hơn so với trước đây. - HUMAN-FAC1]]</f>
        <v>4</v>
      </c>
      <c r="N303">
        <f t="shared" si="119"/>
        <v>0.33333333333333331</v>
      </c>
      <c r="O303">
        <f>step3_validation[[#This Row],[AI_FAC2]]</f>
        <v>8</v>
      </c>
      <c r="P303">
        <f t="shared" si="120"/>
        <v>0.77777777777777779</v>
      </c>
      <c r="Q303">
        <f>survey_responses[[#This Row],[So với trước đây, tôi thấy cách tính thuế và các bậc thuế trong phương án mới đơn giản, dễ hiểu và dễ thực hiện hơn. - HUMAN-FAC2]]</f>
        <v>8</v>
      </c>
      <c r="R303">
        <f t="shared" si="121"/>
        <v>0.77777777777777779</v>
      </c>
      <c r="S303" s="32">
        <f t="shared" si="122"/>
        <v>0.61111111111111116</v>
      </c>
      <c r="T303" s="32">
        <f t="shared" si="123"/>
        <v>0.55555555555555558</v>
      </c>
      <c r="U303">
        <f>step3_validation[[#This Row],[AI_TRU1]]</f>
        <v>6</v>
      </c>
      <c r="V303">
        <f t="shared" si="124"/>
        <v>0.55555555555555558</v>
      </c>
      <c r="W303">
        <f>survey_responses[[#This Row],[Tôi tin rằng Nhà nước, cơ quan thuế sẽ thực thi chính sách mới một cách khách quan, công tâm và đối xử bình đẳng với mọi người nộp thuế.  - HUMAN-TRU1]]</f>
        <v>7</v>
      </c>
      <c r="X303">
        <f t="shared" si="125"/>
        <v>0.66666666666666663</v>
      </c>
      <c r="Y303">
        <f>step3_validation[[#This Row],[AI_TRU2]]</f>
        <v>8</v>
      </c>
      <c r="Z303">
        <f t="shared" si="126"/>
        <v>0.77777777777777779</v>
      </c>
      <c r="AA303">
        <f>survey_responses[[#This Row],[Tôi thấy mức thuế tôi phải đóng theo phương án mới là công bằng (người thu nhập như tôi đóng mức này là hợp lý). - HUMAN-TRU2]]</f>
        <v>7</v>
      </c>
      <c r="AB303">
        <f t="shared" si="127"/>
        <v>0.66666666666666663</v>
      </c>
      <c r="AC303">
        <f>step3_validation[[#This Row],[AI_TRU3]]</f>
        <v>6</v>
      </c>
      <c r="AD303">
        <f t="shared" si="128"/>
        <v>0.55555555555555558</v>
      </c>
      <c r="AE303">
        <f>survey_responses[[#This Row],[Tôi tin tưởng số tiền thuế tôi đóng sẽ được Nhà nước sử dụng hiệu quả để cải thiện dịch vụ công (y tế, đường xá...). - HUMAN-TRU3]]</f>
        <v>5</v>
      </c>
      <c r="AF303">
        <f t="shared" si="129"/>
        <v>0.44444444444444442</v>
      </c>
      <c r="AG303">
        <f>step3_validation[[#This Row],[AI_TRU4]]</f>
        <v>7</v>
      </c>
      <c r="AH303">
        <f t="shared" si="130"/>
        <v>0.66666666666666663</v>
      </c>
      <c r="AI303">
        <f>survey_responses[[#This Row],[Tôi thấy Nhà nước đã giải thích rõ ràng, minh bạch về lý do và mục tiêu của việc sửa đổi thuế lần này. - HUMAN-TRU4]]</f>
        <v>5</v>
      </c>
      <c r="AJ303">
        <f t="shared" si="131"/>
        <v>0.44444444444444442</v>
      </c>
      <c r="AK303" s="32">
        <f t="shared" si="132"/>
        <v>0.63888888888888895</v>
      </c>
      <c r="AL303" s="32">
        <f t="shared" si="133"/>
        <v>0.55555555555555558</v>
      </c>
      <c r="AM303" s="7">
        <f t="shared" si="134"/>
        <v>0.62037037037037035</v>
      </c>
      <c r="AN303" s="7">
        <f t="shared" si="135"/>
        <v>0.59259259259259267</v>
      </c>
      <c r="AO303">
        <f>step3_validation[[#This Row],[AI_OUT1]]</f>
        <v>6</v>
      </c>
      <c r="AP303">
        <f t="shared" si="136"/>
        <v>0.55555555555555558</v>
      </c>
      <c r="AQ303">
        <f>survey_responses[[#This Row],[Sau khi xem xét các quyền lợi và nghĩa vụ, bạn có ủng hộ và tuân thủ chính sách mới hiện nay? - HUMAN-OUT1]]</f>
        <v>7</v>
      </c>
      <c r="AR303">
        <f t="shared" si="137"/>
        <v>0.66666666666666663</v>
      </c>
      <c r="AS303" s="32">
        <f t="shared" si="138"/>
        <v>1</v>
      </c>
      <c r="AT303">
        <f t="shared" si="139"/>
        <v>1</v>
      </c>
    </row>
    <row r="304" spans="1:46" x14ac:dyDescent="0.45">
      <c r="A304">
        <f>step3_validation[[#This Row],[AI_ENF1]]</f>
        <v>7</v>
      </c>
      <c r="B304">
        <f t="shared" si="112"/>
        <v>0.66666666666666663</v>
      </c>
      <c r="C304">
        <f>survey_responses[[#This Row],[Tôi tin rằng với các quy định quản lý thuế hiện nay, hành vi gian lận hoặc trốn thuế sẽ dễ dàng bị phát hiện và xử lý nghiêm. - HUMAN-ENF1]]</f>
        <v>6</v>
      </c>
      <c r="D304">
        <f t="shared" si="113"/>
        <v>0.55555555555555558</v>
      </c>
      <c r="E304">
        <f>step3_validation[[#This Row],[AI_ENF2]]</f>
        <v>6</v>
      </c>
      <c r="F304">
        <f t="shared" si="114"/>
        <v>0.55555555555555558</v>
      </c>
      <c r="G304">
        <f>survey_responses[[#This Row],[Tôi tin rằng Nhà nước, cơ quan thuế có đủ khả năng và công nghệ để phát hiện, xử lý nghiêm các hành vi trốn thuế. - HUMAN-ENF2]]</f>
        <v>10</v>
      </c>
      <c r="H304">
        <f t="shared" si="115"/>
        <v>1</v>
      </c>
      <c r="I304" s="32">
        <f t="shared" si="116"/>
        <v>0.61111111111111116</v>
      </c>
      <c r="J304" s="32">
        <f t="shared" si="117"/>
        <v>0.77777777777777779</v>
      </c>
      <c r="K304">
        <f>step3_validation[[#This Row],[AI_FAC1]]</f>
        <v>8</v>
      </c>
      <c r="L304">
        <f t="shared" si="118"/>
        <v>0.77777777777777779</v>
      </c>
      <c r="M304">
        <f>survey_responses[[#This Row],[Các thủ tục khai báo thuế VÀ/HOẶC quy trình làm việc với cơ quan thuế đơn giản, tiện lợi, nhanh chóng hơn so với trước đây. - HUMAN-FAC1]]</f>
        <v>5</v>
      </c>
      <c r="N304">
        <f t="shared" si="119"/>
        <v>0.44444444444444442</v>
      </c>
      <c r="O304">
        <f>step3_validation[[#This Row],[AI_FAC2]]</f>
        <v>5</v>
      </c>
      <c r="P304">
        <f t="shared" si="120"/>
        <v>0.44444444444444442</v>
      </c>
      <c r="Q304">
        <f>survey_responses[[#This Row],[So với trước đây, tôi thấy cách tính thuế và các bậc thuế trong phương án mới đơn giản, dễ hiểu và dễ thực hiện hơn. - HUMAN-FAC2]]</f>
        <v>4</v>
      </c>
      <c r="R304">
        <f t="shared" si="121"/>
        <v>0.33333333333333331</v>
      </c>
      <c r="S304" s="32">
        <f t="shared" si="122"/>
        <v>0.61111111111111116</v>
      </c>
      <c r="T304" s="32">
        <f t="shared" si="123"/>
        <v>0.38888888888888884</v>
      </c>
      <c r="U304">
        <f>step3_validation[[#This Row],[AI_TRU1]]</f>
        <v>7</v>
      </c>
      <c r="V304">
        <f t="shared" si="124"/>
        <v>0.66666666666666663</v>
      </c>
      <c r="W304">
        <f>survey_responses[[#This Row],[Tôi tin rằng Nhà nước, cơ quan thuế sẽ thực thi chính sách mới một cách khách quan, công tâm và đối xử bình đẳng với mọi người nộp thuế.  - HUMAN-TRU1]]</f>
        <v>3</v>
      </c>
      <c r="X304">
        <f t="shared" si="125"/>
        <v>0.22222222222222221</v>
      </c>
      <c r="Y304">
        <f>step3_validation[[#This Row],[AI_TRU2]]</f>
        <v>6</v>
      </c>
      <c r="Z304">
        <f t="shared" si="126"/>
        <v>0.55555555555555558</v>
      </c>
      <c r="AA304">
        <f>survey_responses[[#This Row],[Tôi thấy mức thuế tôi phải đóng theo phương án mới là công bằng (người thu nhập như tôi đóng mức này là hợp lý). - HUMAN-TRU2]]</f>
        <v>7</v>
      </c>
      <c r="AB304">
        <f t="shared" si="127"/>
        <v>0.66666666666666663</v>
      </c>
      <c r="AC304">
        <f>step3_validation[[#This Row],[AI_TRU3]]</f>
        <v>7</v>
      </c>
      <c r="AD304">
        <f t="shared" si="128"/>
        <v>0.66666666666666663</v>
      </c>
      <c r="AE304">
        <f>survey_responses[[#This Row],[Tôi tin tưởng số tiền thuế tôi đóng sẽ được Nhà nước sử dụng hiệu quả để cải thiện dịch vụ công (y tế, đường xá...). - HUMAN-TRU3]]</f>
        <v>4</v>
      </c>
      <c r="AF304">
        <f t="shared" si="129"/>
        <v>0.33333333333333331</v>
      </c>
      <c r="AG304">
        <f>step3_validation[[#This Row],[AI_TRU4]]</f>
        <v>6</v>
      </c>
      <c r="AH304">
        <f t="shared" si="130"/>
        <v>0.55555555555555558</v>
      </c>
      <c r="AI304">
        <f>survey_responses[[#This Row],[Tôi thấy Nhà nước đã giải thích rõ ràng, minh bạch về lý do và mục tiêu của việc sửa đổi thuế lần này. - HUMAN-TRU4]]</f>
        <v>4</v>
      </c>
      <c r="AJ304">
        <f t="shared" si="131"/>
        <v>0.33333333333333331</v>
      </c>
      <c r="AK304" s="32">
        <f t="shared" si="132"/>
        <v>0.61111111111111116</v>
      </c>
      <c r="AL304" s="32">
        <f t="shared" si="133"/>
        <v>0.38888888888888884</v>
      </c>
      <c r="AM304" s="7">
        <f t="shared" si="134"/>
        <v>0.61111111111111116</v>
      </c>
      <c r="AN304" s="7">
        <f t="shared" si="135"/>
        <v>0.51851851851851849</v>
      </c>
      <c r="AO304">
        <f>step3_validation[[#This Row],[AI_OUT1]]</f>
        <v>7</v>
      </c>
      <c r="AP304">
        <f t="shared" si="136"/>
        <v>0.66666666666666663</v>
      </c>
      <c r="AQ304">
        <f>survey_responses[[#This Row],[Sau khi xem xét các quyền lợi và nghĩa vụ, bạn có ủng hộ và tuân thủ chính sách mới hiện nay? - HUMAN-OUT1]]</f>
        <v>5</v>
      </c>
      <c r="AR304">
        <f t="shared" si="137"/>
        <v>0.44444444444444442</v>
      </c>
      <c r="AS304" s="32">
        <f t="shared" si="138"/>
        <v>2</v>
      </c>
      <c r="AT304">
        <f t="shared" si="139"/>
        <v>0</v>
      </c>
    </row>
    <row r="305" spans="1:46" x14ac:dyDescent="0.45">
      <c r="A305">
        <f>step3_validation[[#This Row],[AI_ENF1]]</f>
        <v>8</v>
      </c>
      <c r="B305">
        <f t="shared" si="112"/>
        <v>0.77777777777777779</v>
      </c>
      <c r="C305">
        <f>survey_responses[[#This Row],[Tôi tin rằng với các quy định quản lý thuế hiện nay, hành vi gian lận hoặc trốn thuế sẽ dễ dàng bị phát hiện và xử lý nghiêm. - HUMAN-ENF1]]</f>
        <v>10</v>
      </c>
      <c r="D305">
        <f t="shared" si="113"/>
        <v>1</v>
      </c>
      <c r="E305">
        <f>step3_validation[[#This Row],[AI_ENF2]]</f>
        <v>7</v>
      </c>
      <c r="F305">
        <f t="shared" si="114"/>
        <v>0.66666666666666663</v>
      </c>
      <c r="G305">
        <f>survey_responses[[#This Row],[Tôi tin rằng Nhà nước, cơ quan thuế có đủ khả năng và công nghệ để phát hiện, xử lý nghiêm các hành vi trốn thuế. - HUMAN-ENF2]]</f>
        <v>10</v>
      </c>
      <c r="H305">
        <f t="shared" si="115"/>
        <v>1</v>
      </c>
      <c r="I305" s="32">
        <f t="shared" si="116"/>
        <v>0.72222222222222221</v>
      </c>
      <c r="J305" s="32">
        <f t="shared" si="117"/>
        <v>1</v>
      </c>
      <c r="K305">
        <f>step3_validation[[#This Row],[AI_FAC1]]</f>
        <v>6</v>
      </c>
      <c r="L305">
        <f t="shared" si="118"/>
        <v>0.55555555555555558</v>
      </c>
      <c r="M305">
        <f>survey_responses[[#This Row],[Các thủ tục khai báo thuế VÀ/HOẶC quy trình làm việc với cơ quan thuế đơn giản, tiện lợi, nhanh chóng hơn so với trước đây. - HUMAN-FAC1]]</f>
        <v>10</v>
      </c>
      <c r="N305">
        <f t="shared" si="119"/>
        <v>1</v>
      </c>
      <c r="O305">
        <f>step3_validation[[#This Row],[AI_FAC2]]</f>
        <v>7</v>
      </c>
      <c r="P305">
        <f t="shared" si="120"/>
        <v>0.66666666666666663</v>
      </c>
      <c r="Q305">
        <f>survey_responses[[#This Row],[So với trước đây, tôi thấy cách tính thuế và các bậc thuế trong phương án mới đơn giản, dễ hiểu và dễ thực hiện hơn. - HUMAN-FAC2]]</f>
        <v>10</v>
      </c>
      <c r="R305">
        <f t="shared" si="121"/>
        <v>1</v>
      </c>
      <c r="S305" s="32">
        <f t="shared" si="122"/>
        <v>0.61111111111111116</v>
      </c>
      <c r="T305" s="32">
        <f t="shared" si="123"/>
        <v>1</v>
      </c>
      <c r="U305">
        <f>step3_validation[[#This Row],[AI_TRU1]]</f>
        <v>8</v>
      </c>
      <c r="V305">
        <f t="shared" si="124"/>
        <v>0.77777777777777779</v>
      </c>
      <c r="W305">
        <f>survey_responses[[#This Row],[Tôi tin rằng Nhà nước, cơ quan thuế sẽ thực thi chính sách mới một cách khách quan, công tâm và đối xử bình đẳng với mọi người nộp thuế.  - HUMAN-TRU1]]</f>
        <v>10</v>
      </c>
      <c r="X305">
        <f t="shared" si="125"/>
        <v>1</v>
      </c>
      <c r="Y305">
        <f>step3_validation[[#This Row],[AI_TRU2]]</f>
        <v>7</v>
      </c>
      <c r="Z305">
        <f t="shared" si="126"/>
        <v>0.66666666666666663</v>
      </c>
      <c r="AA305">
        <f>survey_responses[[#This Row],[Tôi thấy mức thuế tôi phải đóng theo phương án mới là công bằng (người thu nhập như tôi đóng mức này là hợp lý). - HUMAN-TRU2]]</f>
        <v>10</v>
      </c>
      <c r="AB305">
        <f t="shared" si="127"/>
        <v>1</v>
      </c>
      <c r="AC305">
        <f>step3_validation[[#This Row],[AI_TRU3]]</f>
        <v>6</v>
      </c>
      <c r="AD305">
        <f t="shared" si="128"/>
        <v>0.55555555555555558</v>
      </c>
      <c r="AE305">
        <f>survey_responses[[#This Row],[Tôi tin tưởng số tiền thuế tôi đóng sẽ được Nhà nước sử dụng hiệu quả để cải thiện dịch vụ công (y tế, đường xá...). - HUMAN-TRU3]]</f>
        <v>10</v>
      </c>
      <c r="AF305">
        <f t="shared" si="129"/>
        <v>1</v>
      </c>
      <c r="AG305">
        <f>step3_validation[[#This Row],[AI_TRU4]]</f>
        <v>5</v>
      </c>
      <c r="AH305">
        <f t="shared" si="130"/>
        <v>0.44444444444444442</v>
      </c>
      <c r="AI305">
        <f>survey_responses[[#This Row],[Tôi thấy Nhà nước đã giải thích rõ ràng, minh bạch về lý do và mục tiêu của việc sửa đổi thuế lần này. - HUMAN-TRU4]]</f>
        <v>10</v>
      </c>
      <c r="AJ305">
        <f t="shared" si="131"/>
        <v>1</v>
      </c>
      <c r="AK305" s="32">
        <f t="shared" si="132"/>
        <v>0.61111111111111116</v>
      </c>
      <c r="AL305" s="32">
        <f t="shared" si="133"/>
        <v>1</v>
      </c>
      <c r="AM305" s="7">
        <f t="shared" si="134"/>
        <v>0.64814814814814825</v>
      </c>
      <c r="AN305" s="7">
        <f t="shared" si="135"/>
        <v>1</v>
      </c>
      <c r="AO305">
        <f>step3_validation[[#This Row],[AI_OUT1]]</f>
        <v>7</v>
      </c>
      <c r="AP305">
        <f t="shared" si="136"/>
        <v>0.66666666666666663</v>
      </c>
      <c r="AQ305">
        <f>survey_responses[[#This Row],[Sau khi xem xét các quyền lợi và nghĩa vụ, bạn có ủng hộ và tuân thủ chính sách mới hiện nay? - HUMAN-OUT1]]</f>
        <v>10</v>
      </c>
      <c r="AR305">
        <f t="shared" si="137"/>
        <v>1</v>
      </c>
      <c r="AS305" s="32">
        <f t="shared" si="138"/>
        <v>3</v>
      </c>
      <c r="AT305">
        <f t="shared" si="139"/>
        <v>1</v>
      </c>
    </row>
    <row r="306" spans="1:46" x14ac:dyDescent="0.45">
      <c r="A306">
        <f>step3_validation[[#This Row],[AI_ENF1]]</f>
        <v>7</v>
      </c>
      <c r="B306">
        <f t="shared" si="112"/>
        <v>0.66666666666666663</v>
      </c>
      <c r="C306">
        <f>survey_responses[[#This Row],[Tôi tin rằng với các quy định quản lý thuế hiện nay, hành vi gian lận hoặc trốn thuế sẽ dễ dàng bị phát hiện và xử lý nghiêm. - HUMAN-ENF1]]</f>
        <v>7</v>
      </c>
      <c r="D306">
        <f t="shared" si="113"/>
        <v>0.66666666666666663</v>
      </c>
      <c r="E306">
        <f>step3_validation[[#This Row],[AI_ENF2]]</f>
        <v>8</v>
      </c>
      <c r="F306">
        <f t="shared" si="114"/>
        <v>0.77777777777777779</v>
      </c>
      <c r="G306">
        <f>survey_responses[[#This Row],[Tôi tin rằng Nhà nước, cơ quan thuế có đủ khả năng và công nghệ để phát hiện, xử lý nghiêm các hành vi trốn thuế. - HUMAN-ENF2]]</f>
        <v>9</v>
      </c>
      <c r="H306">
        <f t="shared" si="115"/>
        <v>0.88888888888888884</v>
      </c>
      <c r="I306" s="32">
        <f t="shared" si="116"/>
        <v>0.72222222222222221</v>
      </c>
      <c r="J306" s="32">
        <f t="shared" si="117"/>
        <v>0.77777777777777768</v>
      </c>
      <c r="K306">
        <f>step3_validation[[#This Row],[AI_FAC1]]</f>
        <v>6</v>
      </c>
      <c r="L306">
        <f t="shared" si="118"/>
        <v>0.55555555555555558</v>
      </c>
      <c r="M306">
        <f>survey_responses[[#This Row],[Các thủ tục khai báo thuế VÀ/HOẶC quy trình làm việc với cơ quan thuế đơn giản, tiện lợi, nhanh chóng hơn so với trước đây. - HUMAN-FAC1]]</f>
        <v>8</v>
      </c>
      <c r="N306">
        <f t="shared" si="119"/>
        <v>0.77777777777777779</v>
      </c>
      <c r="O306">
        <f>step3_validation[[#This Row],[AI_FAC2]]</f>
        <v>9</v>
      </c>
      <c r="P306">
        <f t="shared" si="120"/>
        <v>0.88888888888888884</v>
      </c>
      <c r="Q306">
        <f>survey_responses[[#This Row],[So với trước đây, tôi thấy cách tính thuế và các bậc thuế trong phương án mới đơn giản, dễ hiểu và dễ thực hiện hơn. - HUMAN-FAC2]]</f>
        <v>6</v>
      </c>
      <c r="R306">
        <f t="shared" si="121"/>
        <v>0.55555555555555558</v>
      </c>
      <c r="S306" s="32">
        <f t="shared" si="122"/>
        <v>0.72222222222222221</v>
      </c>
      <c r="T306" s="32">
        <f t="shared" si="123"/>
        <v>0.66666666666666674</v>
      </c>
      <c r="U306">
        <f>step3_validation[[#This Row],[AI_TRU1]]</f>
        <v>7</v>
      </c>
      <c r="V306">
        <f t="shared" si="124"/>
        <v>0.66666666666666663</v>
      </c>
      <c r="W306">
        <f>survey_responses[[#This Row],[Tôi tin rằng Nhà nước, cơ quan thuế sẽ thực thi chính sách mới một cách khách quan, công tâm và đối xử bình đẳng với mọi người nộp thuế.  - HUMAN-TRU1]]</f>
        <v>5</v>
      </c>
      <c r="X306">
        <f t="shared" si="125"/>
        <v>0.44444444444444442</v>
      </c>
      <c r="Y306">
        <f>step3_validation[[#This Row],[AI_TRU2]]</f>
        <v>8</v>
      </c>
      <c r="Z306">
        <f t="shared" si="126"/>
        <v>0.77777777777777779</v>
      </c>
      <c r="AA306">
        <f>survey_responses[[#This Row],[Tôi thấy mức thuế tôi phải đóng theo phương án mới là công bằng (người thu nhập như tôi đóng mức này là hợp lý). - HUMAN-TRU2]]</f>
        <v>3</v>
      </c>
      <c r="AB306">
        <f t="shared" si="127"/>
        <v>0.22222222222222221</v>
      </c>
      <c r="AC306">
        <f>step3_validation[[#This Row],[AI_TRU3]]</f>
        <v>6</v>
      </c>
      <c r="AD306">
        <f t="shared" si="128"/>
        <v>0.55555555555555558</v>
      </c>
      <c r="AE306">
        <f>survey_responses[[#This Row],[Tôi tin tưởng số tiền thuế tôi đóng sẽ được Nhà nước sử dụng hiệu quả để cải thiện dịch vụ công (y tế, đường xá...). - HUMAN-TRU3]]</f>
        <v>9</v>
      </c>
      <c r="AF306">
        <f t="shared" si="129"/>
        <v>0.88888888888888884</v>
      </c>
      <c r="AG306">
        <f>step3_validation[[#This Row],[AI_TRU4]]</f>
        <v>5</v>
      </c>
      <c r="AH306">
        <f t="shared" si="130"/>
        <v>0.44444444444444442</v>
      </c>
      <c r="AI306">
        <f>survey_responses[[#This Row],[Tôi thấy Nhà nước đã giải thích rõ ràng, minh bạch về lý do và mục tiêu của việc sửa đổi thuế lần này. - HUMAN-TRU4]]</f>
        <v>3</v>
      </c>
      <c r="AJ306">
        <f t="shared" si="131"/>
        <v>0.22222222222222221</v>
      </c>
      <c r="AK306" s="32">
        <f t="shared" si="132"/>
        <v>0.61111111111111116</v>
      </c>
      <c r="AL306" s="32">
        <f t="shared" si="133"/>
        <v>0.44444444444444442</v>
      </c>
      <c r="AM306" s="7">
        <f t="shared" si="134"/>
        <v>0.68518518518518512</v>
      </c>
      <c r="AN306" s="7">
        <f t="shared" si="135"/>
        <v>0.62962962962962965</v>
      </c>
      <c r="AO306">
        <f>step3_validation[[#This Row],[AI_OUT1]]</f>
        <v>7</v>
      </c>
      <c r="AP306">
        <f t="shared" si="136"/>
        <v>0.66666666666666663</v>
      </c>
      <c r="AQ306">
        <f>survey_responses[[#This Row],[Sau khi xem xét các quyền lợi và nghĩa vụ, bạn có ủng hộ và tuân thủ chính sách mới hiện nay? - HUMAN-OUT1]]</f>
        <v>4</v>
      </c>
      <c r="AR306">
        <f t="shared" si="137"/>
        <v>0.33333333333333331</v>
      </c>
      <c r="AS306" s="32">
        <f t="shared" si="138"/>
        <v>3</v>
      </c>
      <c r="AT306">
        <f t="shared" si="139"/>
        <v>0</v>
      </c>
    </row>
    <row r="307" spans="1:46" x14ac:dyDescent="0.45">
      <c r="A307">
        <f>step3_validation[[#This Row],[AI_ENF1]]</f>
        <v>7</v>
      </c>
      <c r="B307">
        <f t="shared" si="112"/>
        <v>0.66666666666666663</v>
      </c>
      <c r="C307">
        <f>survey_responses[[#This Row],[Tôi tin rằng với các quy định quản lý thuế hiện nay, hành vi gian lận hoặc trốn thuế sẽ dễ dàng bị phát hiện và xử lý nghiêm. - HUMAN-ENF1]]</f>
        <v>3</v>
      </c>
      <c r="D307">
        <f t="shared" si="113"/>
        <v>0.22222222222222221</v>
      </c>
      <c r="E307">
        <f>step3_validation[[#This Row],[AI_ENF2]]</f>
        <v>8</v>
      </c>
      <c r="F307">
        <f t="shared" si="114"/>
        <v>0.77777777777777779</v>
      </c>
      <c r="G307">
        <f>survey_responses[[#This Row],[Tôi tin rằng Nhà nước, cơ quan thuế có đủ khả năng và công nghệ để phát hiện, xử lý nghiêm các hành vi trốn thuế. - HUMAN-ENF2]]</f>
        <v>8</v>
      </c>
      <c r="H307">
        <f t="shared" si="115"/>
        <v>0.77777777777777779</v>
      </c>
      <c r="I307" s="32">
        <f t="shared" si="116"/>
        <v>0.72222222222222221</v>
      </c>
      <c r="J307" s="32">
        <f t="shared" si="117"/>
        <v>0.5</v>
      </c>
      <c r="K307">
        <f>step3_validation[[#This Row],[AI_FAC1]]</f>
        <v>7</v>
      </c>
      <c r="L307">
        <f t="shared" si="118"/>
        <v>0.66666666666666663</v>
      </c>
      <c r="M307">
        <f>survey_responses[[#This Row],[Các thủ tục khai báo thuế VÀ/HOẶC quy trình làm việc với cơ quan thuế đơn giản, tiện lợi, nhanh chóng hơn so với trước đây. - HUMAN-FAC1]]</f>
        <v>8</v>
      </c>
      <c r="N307">
        <f t="shared" si="119"/>
        <v>0.77777777777777779</v>
      </c>
      <c r="O307">
        <f>step3_validation[[#This Row],[AI_FAC2]]</f>
        <v>9</v>
      </c>
      <c r="P307">
        <f t="shared" si="120"/>
        <v>0.88888888888888884</v>
      </c>
      <c r="Q307">
        <f>survey_responses[[#This Row],[So với trước đây, tôi thấy cách tính thuế và các bậc thuế trong phương án mới đơn giản, dễ hiểu và dễ thực hiện hơn. - HUMAN-FAC2]]</f>
        <v>4</v>
      </c>
      <c r="R307">
        <f t="shared" si="121"/>
        <v>0.33333333333333331</v>
      </c>
      <c r="S307" s="32">
        <f t="shared" si="122"/>
        <v>0.77777777777777768</v>
      </c>
      <c r="T307" s="32">
        <f t="shared" si="123"/>
        <v>0.55555555555555558</v>
      </c>
      <c r="U307">
        <f>step3_validation[[#This Row],[AI_TRU1]]</f>
        <v>8</v>
      </c>
      <c r="V307">
        <f t="shared" si="124"/>
        <v>0.77777777777777779</v>
      </c>
      <c r="W307">
        <f>survey_responses[[#This Row],[Tôi tin rằng Nhà nước, cơ quan thuế sẽ thực thi chính sách mới một cách khách quan, công tâm và đối xử bình đẳng với mọi người nộp thuế.  - HUMAN-TRU1]]</f>
        <v>4</v>
      </c>
      <c r="X307">
        <f t="shared" si="125"/>
        <v>0.33333333333333331</v>
      </c>
      <c r="Y307">
        <f>step3_validation[[#This Row],[AI_TRU2]]</f>
        <v>8</v>
      </c>
      <c r="Z307">
        <f t="shared" si="126"/>
        <v>0.77777777777777779</v>
      </c>
      <c r="AA307">
        <f>survey_responses[[#This Row],[Tôi thấy mức thuế tôi phải đóng theo phương án mới là công bằng (người thu nhập như tôi đóng mức này là hợp lý). - HUMAN-TRU2]]</f>
        <v>3</v>
      </c>
      <c r="AB307">
        <f t="shared" si="127"/>
        <v>0.22222222222222221</v>
      </c>
      <c r="AC307">
        <f>step3_validation[[#This Row],[AI_TRU3]]</f>
        <v>7</v>
      </c>
      <c r="AD307">
        <f t="shared" si="128"/>
        <v>0.66666666666666663</v>
      </c>
      <c r="AE307">
        <f>survey_responses[[#This Row],[Tôi tin tưởng số tiền thuế tôi đóng sẽ được Nhà nước sử dụng hiệu quả để cải thiện dịch vụ công (y tế, đường xá...). - HUMAN-TRU3]]</f>
        <v>7</v>
      </c>
      <c r="AF307">
        <f t="shared" si="129"/>
        <v>0.66666666666666663</v>
      </c>
      <c r="AG307">
        <f>step3_validation[[#This Row],[AI_TRU4]]</f>
        <v>6</v>
      </c>
      <c r="AH307">
        <f t="shared" si="130"/>
        <v>0.55555555555555558</v>
      </c>
      <c r="AI307">
        <f>survey_responses[[#This Row],[Tôi thấy Nhà nước đã giải thích rõ ràng, minh bạch về lý do và mục tiêu của việc sửa đổi thuế lần này. - HUMAN-TRU4]]</f>
        <v>5</v>
      </c>
      <c r="AJ307">
        <f t="shared" si="131"/>
        <v>0.44444444444444442</v>
      </c>
      <c r="AK307" s="32">
        <f t="shared" si="132"/>
        <v>0.69444444444444442</v>
      </c>
      <c r="AL307" s="32">
        <f t="shared" si="133"/>
        <v>0.41666666666666669</v>
      </c>
      <c r="AM307" s="7">
        <f t="shared" si="134"/>
        <v>0.73148148148148151</v>
      </c>
      <c r="AN307" s="7">
        <f t="shared" si="135"/>
        <v>0.49074074074074076</v>
      </c>
      <c r="AO307">
        <f>step3_validation[[#This Row],[AI_OUT1]]</f>
        <v>7</v>
      </c>
      <c r="AP307">
        <f t="shared" si="136"/>
        <v>0.66666666666666663</v>
      </c>
      <c r="AQ307">
        <f>survey_responses[[#This Row],[Sau khi xem xét các quyền lợi và nghĩa vụ, bạn có ủng hộ và tuân thủ chính sách mới hiện nay? - HUMAN-OUT1]]</f>
        <v>5</v>
      </c>
      <c r="AR307">
        <f t="shared" si="137"/>
        <v>0.44444444444444442</v>
      </c>
      <c r="AS307" s="32">
        <f t="shared" si="138"/>
        <v>2</v>
      </c>
      <c r="AT307">
        <f t="shared" si="139"/>
        <v>0</v>
      </c>
    </row>
    <row r="308" spans="1:46" x14ac:dyDescent="0.45">
      <c r="A308">
        <f>step3_validation[[#This Row],[AI_ENF1]]</f>
        <v>7</v>
      </c>
      <c r="B308">
        <f t="shared" si="112"/>
        <v>0.66666666666666663</v>
      </c>
      <c r="C308">
        <f>survey_responses[[#This Row],[Tôi tin rằng với các quy định quản lý thuế hiện nay, hành vi gian lận hoặc trốn thuế sẽ dễ dàng bị phát hiện và xử lý nghiêm. - HUMAN-ENF1]]</f>
        <v>2</v>
      </c>
      <c r="D308">
        <f t="shared" si="113"/>
        <v>0.1111111111111111</v>
      </c>
      <c r="E308">
        <f>step3_validation[[#This Row],[AI_ENF2]]</f>
        <v>6</v>
      </c>
      <c r="F308">
        <f t="shared" si="114"/>
        <v>0.55555555555555558</v>
      </c>
      <c r="G308">
        <f>survey_responses[[#This Row],[Tôi tin rằng Nhà nước, cơ quan thuế có đủ khả năng và công nghệ để phát hiện, xử lý nghiêm các hành vi trốn thuế. - HUMAN-ENF2]]</f>
        <v>2</v>
      </c>
      <c r="H308">
        <f t="shared" si="115"/>
        <v>0.1111111111111111</v>
      </c>
      <c r="I308" s="32">
        <f t="shared" si="116"/>
        <v>0.61111111111111116</v>
      </c>
      <c r="J308" s="32">
        <f t="shared" si="117"/>
        <v>0.1111111111111111</v>
      </c>
      <c r="K308">
        <f>step3_validation[[#This Row],[AI_FAC1]]</f>
        <v>8</v>
      </c>
      <c r="L308">
        <f t="shared" si="118"/>
        <v>0.77777777777777779</v>
      </c>
      <c r="M308">
        <f>survey_responses[[#This Row],[Các thủ tục khai báo thuế VÀ/HOẶC quy trình làm việc với cơ quan thuế đơn giản, tiện lợi, nhanh chóng hơn so với trước đây. - HUMAN-FAC1]]</f>
        <v>2</v>
      </c>
      <c r="N308">
        <f t="shared" si="119"/>
        <v>0.1111111111111111</v>
      </c>
      <c r="O308">
        <f>step3_validation[[#This Row],[AI_FAC2]]</f>
        <v>7</v>
      </c>
      <c r="P308">
        <f t="shared" si="120"/>
        <v>0.66666666666666663</v>
      </c>
      <c r="Q308">
        <f>survey_responses[[#This Row],[So với trước đây, tôi thấy cách tính thuế và các bậc thuế trong phương án mới đơn giản, dễ hiểu và dễ thực hiện hơn. - HUMAN-FAC2]]</f>
        <v>1</v>
      </c>
      <c r="R308">
        <f t="shared" si="121"/>
        <v>0</v>
      </c>
      <c r="S308" s="32">
        <f t="shared" si="122"/>
        <v>0.72222222222222221</v>
      </c>
      <c r="T308" s="32">
        <f t="shared" si="123"/>
        <v>5.5555555555555552E-2</v>
      </c>
      <c r="U308">
        <f>step3_validation[[#This Row],[AI_TRU1]]</f>
        <v>5</v>
      </c>
      <c r="V308">
        <f t="shared" si="124"/>
        <v>0.44444444444444442</v>
      </c>
      <c r="W308">
        <f>survey_responses[[#This Row],[Tôi tin rằng Nhà nước, cơ quan thuế sẽ thực thi chính sách mới một cách khách quan, công tâm và đối xử bình đẳng với mọi người nộp thuế.  - HUMAN-TRU1]]</f>
        <v>2</v>
      </c>
      <c r="X308">
        <f t="shared" si="125"/>
        <v>0.1111111111111111</v>
      </c>
      <c r="Y308">
        <f>step3_validation[[#This Row],[AI_TRU2]]</f>
        <v>6</v>
      </c>
      <c r="Z308">
        <f t="shared" si="126"/>
        <v>0.55555555555555558</v>
      </c>
      <c r="AA308">
        <f>survey_responses[[#This Row],[Tôi thấy mức thuế tôi phải đóng theo phương án mới là công bằng (người thu nhập như tôi đóng mức này là hợp lý). - HUMAN-TRU2]]</f>
        <v>2</v>
      </c>
      <c r="AB308">
        <f t="shared" si="127"/>
        <v>0.1111111111111111</v>
      </c>
      <c r="AC308">
        <f>step3_validation[[#This Row],[AI_TRU3]]</f>
        <v>4</v>
      </c>
      <c r="AD308">
        <f t="shared" si="128"/>
        <v>0.33333333333333331</v>
      </c>
      <c r="AE308">
        <f>survey_responses[[#This Row],[Tôi tin tưởng số tiền thuế tôi đóng sẽ được Nhà nước sử dụng hiệu quả để cải thiện dịch vụ công (y tế, đường xá...). - HUMAN-TRU3]]</f>
        <v>2</v>
      </c>
      <c r="AF308">
        <f t="shared" si="129"/>
        <v>0.1111111111111111</v>
      </c>
      <c r="AG308">
        <f>step3_validation[[#This Row],[AI_TRU4]]</f>
        <v>6</v>
      </c>
      <c r="AH308">
        <f t="shared" si="130"/>
        <v>0.55555555555555558</v>
      </c>
      <c r="AI308">
        <f>survey_responses[[#This Row],[Tôi thấy Nhà nước đã giải thích rõ ràng, minh bạch về lý do và mục tiêu của việc sửa đổi thuế lần này. - HUMAN-TRU4]]</f>
        <v>2</v>
      </c>
      <c r="AJ308">
        <f t="shared" si="131"/>
        <v>0.1111111111111111</v>
      </c>
      <c r="AK308" s="32">
        <f t="shared" si="132"/>
        <v>0.47222222222222221</v>
      </c>
      <c r="AL308" s="32">
        <f t="shared" si="133"/>
        <v>0.1111111111111111</v>
      </c>
      <c r="AM308" s="7">
        <f t="shared" si="134"/>
        <v>0.60185185185185197</v>
      </c>
      <c r="AN308" s="7">
        <f t="shared" si="135"/>
        <v>9.2592592592592601E-2</v>
      </c>
      <c r="AO308">
        <f>step3_validation[[#This Row],[AI_OUT1]]</f>
        <v>5</v>
      </c>
      <c r="AP308">
        <f t="shared" si="136"/>
        <v>0.44444444444444442</v>
      </c>
      <c r="AQ308">
        <f>survey_responses[[#This Row],[Sau khi xem xét các quyền lợi và nghĩa vụ, bạn có ủng hộ và tuân thủ chính sách mới hiện nay? - HUMAN-OUT1]]</f>
        <v>2</v>
      </c>
      <c r="AR308">
        <f t="shared" si="137"/>
        <v>0.1111111111111111</v>
      </c>
      <c r="AS308" s="32">
        <f t="shared" si="138"/>
        <v>3</v>
      </c>
      <c r="AT308">
        <f t="shared" si="139"/>
        <v>0</v>
      </c>
    </row>
    <row r="309" spans="1:46" x14ac:dyDescent="0.45">
      <c r="A309">
        <f>step3_validation[[#This Row],[AI_ENF1]]</f>
        <v>7</v>
      </c>
      <c r="B309">
        <f t="shared" si="112"/>
        <v>0.66666666666666663</v>
      </c>
      <c r="C309">
        <f>survey_responses[[#This Row],[Tôi tin rằng với các quy định quản lý thuế hiện nay, hành vi gian lận hoặc trốn thuế sẽ dễ dàng bị phát hiện và xử lý nghiêm. - HUMAN-ENF1]]</f>
        <v>10</v>
      </c>
      <c r="D309">
        <f t="shared" si="113"/>
        <v>1</v>
      </c>
      <c r="E309">
        <f>step3_validation[[#This Row],[AI_ENF2]]</f>
        <v>6</v>
      </c>
      <c r="F309">
        <f t="shared" si="114"/>
        <v>0.55555555555555558</v>
      </c>
      <c r="G309">
        <f>survey_responses[[#This Row],[Tôi tin rằng Nhà nước, cơ quan thuế có đủ khả năng và công nghệ để phát hiện, xử lý nghiêm các hành vi trốn thuế. - HUMAN-ENF2]]</f>
        <v>8</v>
      </c>
      <c r="H309">
        <f t="shared" si="115"/>
        <v>0.77777777777777779</v>
      </c>
      <c r="I309" s="32">
        <f t="shared" si="116"/>
        <v>0.61111111111111116</v>
      </c>
      <c r="J309" s="32">
        <f t="shared" si="117"/>
        <v>0.88888888888888884</v>
      </c>
      <c r="K309">
        <f>step3_validation[[#This Row],[AI_FAC1]]</f>
        <v>5</v>
      </c>
      <c r="L309">
        <f t="shared" si="118"/>
        <v>0.44444444444444442</v>
      </c>
      <c r="M309">
        <f>survey_responses[[#This Row],[Các thủ tục khai báo thuế VÀ/HOẶC quy trình làm việc với cơ quan thuế đơn giản, tiện lợi, nhanh chóng hơn so với trước đây. - HUMAN-FAC1]]</f>
        <v>8</v>
      </c>
      <c r="N309">
        <f t="shared" si="119"/>
        <v>0.77777777777777779</v>
      </c>
      <c r="O309">
        <f>step3_validation[[#This Row],[AI_FAC2]]</f>
        <v>4</v>
      </c>
      <c r="P309">
        <f t="shared" si="120"/>
        <v>0.33333333333333331</v>
      </c>
      <c r="Q309">
        <f>survey_responses[[#This Row],[So với trước đây, tôi thấy cách tính thuế và các bậc thuế trong phương án mới đơn giản, dễ hiểu và dễ thực hiện hơn. - HUMAN-FAC2]]</f>
        <v>8</v>
      </c>
      <c r="R309">
        <f t="shared" si="121"/>
        <v>0.77777777777777779</v>
      </c>
      <c r="S309" s="32">
        <f t="shared" si="122"/>
        <v>0.38888888888888884</v>
      </c>
      <c r="T309" s="32">
        <f t="shared" si="123"/>
        <v>0.77777777777777779</v>
      </c>
      <c r="U309">
        <f>step3_validation[[#This Row],[AI_TRU1]]</f>
        <v>7</v>
      </c>
      <c r="V309">
        <f t="shared" si="124"/>
        <v>0.66666666666666663</v>
      </c>
      <c r="W309">
        <f>survey_responses[[#This Row],[Tôi tin rằng Nhà nước, cơ quan thuế sẽ thực thi chính sách mới một cách khách quan, công tâm và đối xử bình đẳng với mọi người nộp thuế.  - HUMAN-TRU1]]</f>
        <v>10</v>
      </c>
      <c r="X309">
        <f t="shared" si="125"/>
        <v>1</v>
      </c>
      <c r="Y309">
        <f>step3_validation[[#This Row],[AI_TRU2]]</f>
        <v>6</v>
      </c>
      <c r="Z309">
        <f t="shared" si="126"/>
        <v>0.55555555555555558</v>
      </c>
      <c r="AA309">
        <f>survey_responses[[#This Row],[Tôi thấy mức thuế tôi phải đóng theo phương án mới là công bằng (người thu nhập như tôi đóng mức này là hợp lý). - HUMAN-TRU2]]</f>
        <v>10</v>
      </c>
      <c r="AB309">
        <f t="shared" si="127"/>
        <v>1</v>
      </c>
      <c r="AC309">
        <f>step3_validation[[#This Row],[AI_TRU3]]</f>
        <v>5</v>
      </c>
      <c r="AD309">
        <f t="shared" si="128"/>
        <v>0.44444444444444442</v>
      </c>
      <c r="AE309">
        <f>survey_responses[[#This Row],[Tôi tin tưởng số tiền thuế tôi đóng sẽ được Nhà nước sử dụng hiệu quả để cải thiện dịch vụ công (y tế, đường xá...). - HUMAN-TRU3]]</f>
        <v>6</v>
      </c>
      <c r="AF309">
        <f t="shared" si="129"/>
        <v>0.55555555555555558</v>
      </c>
      <c r="AG309">
        <f>step3_validation[[#This Row],[AI_TRU4]]</f>
        <v>6</v>
      </c>
      <c r="AH309">
        <f t="shared" si="130"/>
        <v>0.55555555555555558</v>
      </c>
      <c r="AI309">
        <f>survey_responses[[#This Row],[Tôi thấy Nhà nước đã giải thích rõ ràng, minh bạch về lý do và mục tiêu của việc sửa đổi thuế lần này. - HUMAN-TRU4]]</f>
        <v>8</v>
      </c>
      <c r="AJ309">
        <f t="shared" si="131"/>
        <v>0.77777777777777779</v>
      </c>
      <c r="AK309" s="32">
        <f t="shared" si="132"/>
        <v>0.55555555555555558</v>
      </c>
      <c r="AL309" s="32">
        <f t="shared" si="133"/>
        <v>0.83333333333333326</v>
      </c>
      <c r="AM309" s="7">
        <f t="shared" si="134"/>
        <v>0.51851851851851849</v>
      </c>
      <c r="AN309" s="7">
        <f t="shared" si="135"/>
        <v>0.83333333333333337</v>
      </c>
      <c r="AO309">
        <f>step3_validation[[#This Row],[AI_OUT1]]</f>
        <v>7</v>
      </c>
      <c r="AP309">
        <f t="shared" si="136"/>
        <v>0.66666666666666663</v>
      </c>
      <c r="AQ309">
        <f>survey_responses[[#This Row],[Sau khi xem xét các quyền lợi và nghĩa vụ, bạn có ủng hộ và tuân thủ chính sách mới hiện nay? - HUMAN-OUT1]]</f>
        <v>8</v>
      </c>
      <c r="AR309">
        <f t="shared" si="137"/>
        <v>0.77777777777777779</v>
      </c>
      <c r="AS309" s="32">
        <f t="shared" si="138"/>
        <v>1</v>
      </c>
      <c r="AT309">
        <f t="shared" si="139"/>
        <v>1</v>
      </c>
    </row>
    <row r="310" spans="1:46" x14ac:dyDescent="0.45">
      <c r="A310">
        <f>step3_validation[[#This Row],[AI_ENF1]]</f>
        <v>7</v>
      </c>
      <c r="B310">
        <f t="shared" si="112"/>
        <v>0.66666666666666663</v>
      </c>
      <c r="C310">
        <f>survey_responses[[#This Row],[Tôi tin rằng với các quy định quản lý thuế hiện nay, hành vi gian lận hoặc trốn thuế sẽ dễ dàng bị phát hiện và xử lý nghiêm. - HUMAN-ENF1]]</f>
        <v>10</v>
      </c>
      <c r="D310">
        <f t="shared" si="113"/>
        <v>1</v>
      </c>
      <c r="E310">
        <f>step3_validation[[#This Row],[AI_ENF2]]</f>
        <v>6</v>
      </c>
      <c r="F310">
        <f t="shared" si="114"/>
        <v>0.55555555555555558</v>
      </c>
      <c r="G310">
        <f>survey_responses[[#This Row],[Tôi tin rằng Nhà nước, cơ quan thuế có đủ khả năng và công nghệ để phát hiện, xử lý nghiêm các hành vi trốn thuế. - HUMAN-ENF2]]</f>
        <v>10</v>
      </c>
      <c r="H310">
        <f t="shared" si="115"/>
        <v>1</v>
      </c>
      <c r="I310" s="32">
        <f t="shared" si="116"/>
        <v>0.61111111111111116</v>
      </c>
      <c r="J310" s="32">
        <f t="shared" si="117"/>
        <v>1</v>
      </c>
      <c r="K310">
        <f>step3_validation[[#This Row],[AI_FAC1]]</f>
        <v>8</v>
      </c>
      <c r="L310">
        <f t="shared" si="118"/>
        <v>0.77777777777777779</v>
      </c>
      <c r="M310">
        <f>survey_responses[[#This Row],[Các thủ tục khai báo thuế VÀ/HOẶC quy trình làm việc với cơ quan thuế đơn giản, tiện lợi, nhanh chóng hơn so với trước đây. - HUMAN-FAC1]]</f>
        <v>10</v>
      </c>
      <c r="N310">
        <f t="shared" si="119"/>
        <v>1</v>
      </c>
      <c r="O310">
        <f>step3_validation[[#This Row],[AI_FAC2]]</f>
        <v>9</v>
      </c>
      <c r="P310">
        <f t="shared" si="120"/>
        <v>0.88888888888888884</v>
      </c>
      <c r="Q310">
        <f>survey_responses[[#This Row],[So với trước đây, tôi thấy cách tính thuế và các bậc thuế trong phương án mới đơn giản, dễ hiểu và dễ thực hiện hơn. - HUMAN-FAC2]]</f>
        <v>10</v>
      </c>
      <c r="R310">
        <f t="shared" si="121"/>
        <v>1</v>
      </c>
      <c r="S310" s="32">
        <f t="shared" si="122"/>
        <v>0.83333333333333326</v>
      </c>
      <c r="T310" s="32">
        <f t="shared" si="123"/>
        <v>1</v>
      </c>
      <c r="U310">
        <f>step3_validation[[#This Row],[AI_TRU1]]</f>
        <v>6</v>
      </c>
      <c r="V310">
        <f t="shared" si="124"/>
        <v>0.55555555555555558</v>
      </c>
      <c r="W310">
        <f>survey_responses[[#This Row],[Tôi tin rằng Nhà nước, cơ quan thuế sẽ thực thi chính sách mới một cách khách quan, công tâm và đối xử bình đẳng với mọi người nộp thuế.  - HUMAN-TRU1]]</f>
        <v>10</v>
      </c>
      <c r="X310">
        <f t="shared" si="125"/>
        <v>1</v>
      </c>
      <c r="Y310">
        <f>step3_validation[[#This Row],[AI_TRU2]]</f>
        <v>7</v>
      </c>
      <c r="Z310">
        <f t="shared" si="126"/>
        <v>0.66666666666666663</v>
      </c>
      <c r="AA310">
        <f>survey_responses[[#This Row],[Tôi thấy mức thuế tôi phải đóng theo phương án mới là công bằng (người thu nhập như tôi đóng mức này là hợp lý). - HUMAN-TRU2]]</f>
        <v>9</v>
      </c>
      <c r="AB310">
        <f t="shared" si="127"/>
        <v>0.88888888888888884</v>
      </c>
      <c r="AC310">
        <f>step3_validation[[#This Row],[AI_TRU3]]</f>
        <v>6</v>
      </c>
      <c r="AD310">
        <f t="shared" si="128"/>
        <v>0.55555555555555558</v>
      </c>
      <c r="AE310">
        <f>survey_responses[[#This Row],[Tôi tin tưởng số tiền thuế tôi đóng sẽ được Nhà nước sử dụng hiệu quả để cải thiện dịch vụ công (y tế, đường xá...). - HUMAN-TRU3]]</f>
        <v>9</v>
      </c>
      <c r="AF310">
        <f t="shared" si="129"/>
        <v>0.88888888888888884</v>
      </c>
      <c r="AG310">
        <f>step3_validation[[#This Row],[AI_TRU4]]</f>
        <v>5</v>
      </c>
      <c r="AH310">
        <f t="shared" si="130"/>
        <v>0.44444444444444442</v>
      </c>
      <c r="AI310">
        <f>survey_responses[[#This Row],[Tôi thấy Nhà nước đã giải thích rõ ràng, minh bạch về lý do và mục tiêu của việc sửa đổi thuế lần này. - HUMAN-TRU4]]</f>
        <v>10</v>
      </c>
      <c r="AJ310">
        <f t="shared" si="131"/>
        <v>1</v>
      </c>
      <c r="AK310" s="32">
        <f t="shared" si="132"/>
        <v>0.55555555555555558</v>
      </c>
      <c r="AL310" s="32">
        <f t="shared" si="133"/>
        <v>0.94444444444444442</v>
      </c>
      <c r="AM310" s="7">
        <f t="shared" si="134"/>
        <v>0.66666666666666663</v>
      </c>
      <c r="AN310" s="7">
        <f t="shared" si="135"/>
        <v>0.98148148148148151</v>
      </c>
      <c r="AO310">
        <f>step3_validation[[#This Row],[AI_OUT1]]</f>
        <v>6</v>
      </c>
      <c r="AP310">
        <f t="shared" si="136"/>
        <v>0.55555555555555558</v>
      </c>
      <c r="AQ310">
        <f>survey_responses[[#This Row],[Sau khi xem xét các quyền lợi và nghĩa vụ, bạn có ủng hộ và tuân thủ chính sách mới hiện nay? - HUMAN-OUT1]]</f>
        <v>10</v>
      </c>
      <c r="AR310">
        <f t="shared" si="137"/>
        <v>1</v>
      </c>
      <c r="AS310" s="32">
        <f t="shared" si="138"/>
        <v>4</v>
      </c>
      <c r="AT310">
        <f t="shared" si="139"/>
        <v>1</v>
      </c>
    </row>
    <row r="311" spans="1:46" x14ac:dyDescent="0.45">
      <c r="A311">
        <f>step3_validation[[#This Row],[AI_ENF1]]</f>
        <v>7</v>
      </c>
      <c r="B311">
        <f t="shared" si="112"/>
        <v>0.66666666666666663</v>
      </c>
      <c r="C311">
        <f>survey_responses[[#This Row],[Tôi tin rằng với các quy định quản lý thuế hiện nay, hành vi gian lận hoặc trốn thuế sẽ dễ dàng bị phát hiện và xử lý nghiêm. - HUMAN-ENF1]]</f>
        <v>7</v>
      </c>
      <c r="D311">
        <f t="shared" si="113"/>
        <v>0.66666666666666663</v>
      </c>
      <c r="E311">
        <f>step3_validation[[#This Row],[AI_ENF2]]</f>
        <v>8</v>
      </c>
      <c r="F311">
        <f t="shared" si="114"/>
        <v>0.77777777777777779</v>
      </c>
      <c r="G311">
        <f>survey_responses[[#This Row],[Tôi tin rằng Nhà nước, cơ quan thuế có đủ khả năng và công nghệ để phát hiện, xử lý nghiêm các hành vi trốn thuế. - HUMAN-ENF2]]</f>
        <v>7</v>
      </c>
      <c r="H311">
        <f t="shared" si="115"/>
        <v>0.66666666666666663</v>
      </c>
      <c r="I311" s="32">
        <f t="shared" si="116"/>
        <v>0.72222222222222221</v>
      </c>
      <c r="J311" s="32">
        <f t="shared" si="117"/>
        <v>0.66666666666666663</v>
      </c>
      <c r="K311">
        <f>step3_validation[[#This Row],[AI_FAC1]]</f>
        <v>9</v>
      </c>
      <c r="L311">
        <f t="shared" si="118"/>
        <v>0.88888888888888884</v>
      </c>
      <c r="M311">
        <f>survey_responses[[#This Row],[Các thủ tục khai báo thuế VÀ/HOẶC quy trình làm việc với cơ quan thuế đơn giản, tiện lợi, nhanh chóng hơn so với trước đây. - HUMAN-FAC1]]</f>
        <v>5</v>
      </c>
      <c r="N311">
        <f t="shared" si="119"/>
        <v>0.44444444444444442</v>
      </c>
      <c r="O311">
        <f>step3_validation[[#This Row],[AI_FAC2]]</f>
        <v>7</v>
      </c>
      <c r="P311">
        <f t="shared" si="120"/>
        <v>0.66666666666666663</v>
      </c>
      <c r="Q311">
        <f>survey_responses[[#This Row],[So với trước đây, tôi thấy cách tính thuế và các bậc thuế trong phương án mới đơn giản, dễ hiểu và dễ thực hiện hơn. - HUMAN-FAC2]]</f>
        <v>8</v>
      </c>
      <c r="R311">
        <f t="shared" si="121"/>
        <v>0.77777777777777779</v>
      </c>
      <c r="S311" s="32">
        <f t="shared" si="122"/>
        <v>0.77777777777777768</v>
      </c>
      <c r="T311" s="32">
        <f t="shared" si="123"/>
        <v>0.61111111111111116</v>
      </c>
      <c r="U311">
        <f>step3_validation[[#This Row],[AI_TRU1]]</f>
        <v>8</v>
      </c>
      <c r="V311">
        <f t="shared" si="124"/>
        <v>0.77777777777777779</v>
      </c>
      <c r="W311">
        <f>survey_responses[[#This Row],[Tôi tin rằng Nhà nước, cơ quan thuế sẽ thực thi chính sách mới một cách khách quan, công tâm và đối xử bình đẳng với mọi người nộp thuế.  - HUMAN-TRU1]]</f>
        <v>8</v>
      </c>
      <c r="X311">
        <f t="shared" si="125"/>
        <v>0.77777777777777779</v>
      </c>
      <c r="Y311">
        <f>step3_validation[[#This Row],[AI_TRU2]]</f>
        <v>6</v>
      </c>
      <c r="Z311">
        <f t="shared" si="126"/>
        <v>0.55555555555555558</v>
      </c>
      <c r="AA311">
        <f>survey_responses[[#This Row],[Tôi thấy mức thuế tôi phải đóng theo phương án mới là công bằng (người thu nhập như tôi đóng mức này là hợp lý). - HUMAN-TRU2]]</f>
        <v>9</v>
      </c>
      <c r="AB311">
        <f t="shared" si="127"/>
        <v>0.88888888888888884</v>
      </c>
      <c r="AC311">
        <f>step3_validation[[#This Row],[AI_TRU3]]</f>
        <v>7</v>
      </c>
      <c r="AD311">
        <f t="shared" si="128"/>
        <v>0.66666666666666663</v>
      </c>
      <c r="AE311">
        <f>survey_responses[[#This Row],[Tôi tin tưởng số tiền thuế tôi đóng sẽ được Nhà nước sử dụng hiệu quả để cải thiện dịch vụ công (y tế, đường xá...). - HUMAN-TRU3]]</f>
        <v>9</v>
      </c>
      <c r="AF311">
        <f t="shared" si="129"/>
        <v>0.88888888888888884</v>
      </c>
      <c r="AG311">
        <f>step3_validation[[#This Row],[AI_TRU4]]</f>
        <v>5</v>
      </c>
      <c r="AH311">
        <f t="shared" si="130"/>
        <v>0.44444444444444442</v>
      </c>
      <c r="AI311">
        <f>survey_responses[[#This Row],[Tôi thấy Nhà nước đã giải thích rõ ràng, minh bạch về lý do và mục tiêu của việc sửa đổi thuế lần này. - HUMAN-TRU4]]</f>
        <v>9</v>
      </c>
      <c r="AJ311">
        <f t="shared" si="131"/>
        <v>0.88888888888888884</v>
      </c>
      <c r="AK311" s="32">
        <f t="shared" si="132"/>
        <v>0.61111111111111116</v>
      </c>
      <c r="AL311" s="32">
        <f t="shared" si="133"/>
        <v>0.86111111111111105</v>
      </c>
      <c r="AM311" s="7">
        <f t="shared" si="134"/>
        <v>0.70370370370370372</v>
      </c>
      <c r="AN311" s="7">
        <f t="shared" si="135"/>
        <v>0.71296296296296291</v>
      </c>
      <c r="AO311">
        <f>step3_validation[[#This Row],[AI_OUT1]]</f>
        <v>8</v>
      </c>
      <c r="AP311">
        <f t="shared" si="136"/>
        <v>0.77777777777777779</v>
      </c>
      <c r="AQ311">
        <f>survey_responses[[#This Row],[Sau khi xem xét các quyền lợi và nghĩa vụ, bạn có ủng hộ và tuân thủ chính sách mới hiện nay? - HUMAN-OUT1]]</f>
        <v>10</v>
      </c>
      <c r="AR311">
        <f t="shared" si="137"/>
        <v>1</v>
      </c>
      <c r="AS311" s="32">
        <f t="shared" si="138"/>
        <v>2</v>
      </c>
      <c r="AT311">
        <f t="shared" si="139"/>
        <v>1</v>
      </c>
    </row>
    <row r="312" spans="1:46" x14ac:dyDescent="0.45">
      <c r="A312">
        <f>step3_validation[[#This Row],[AI_ENF1]]</f>
        <v>6</v>
      </c>
      <c r="B312">
        <f t="shared" si="112"/>
        <v>0.55555555555555558</v>
      </c>
      <c r="C312">
        <f>survey_responses[[#This Row],[Tôi tin rằng với các quy định quản lý thuế hiện nay, hành vi gian lận hoặc trốn thuế sẽ dễ dàng bị phát hiện và xử lý nghiêm. - HUMAN-ENF1]]</f>
        <v>6</v>
      </c>
      <c r="D312">
        <f t="shared" si="113"/>
        <v>0.55555555555555558</v>
      </c>
      <c r="E312">
        <f>step3_validation[[#This Row],[AI_ENF2]]</f>
        <v>7</v>
      </c>
      <c r="F312">
        <f t="shared" si="114"/>
        <v>0.66666666666666663</v>
      </c>
      <c r="G312">
        <f>survey_responses[[#This Row],[Tôi tin rằng Nhà nước, cơ quan thuế có đủ khả năng và công nghệ để phát hiện, xử lý nghiêm các hành vi trốn thuế. - HUMAN-ENF2]]</f>
        <v>5</v>
      </c>
      <c r="H312">
        <f t="shared" si="115"/>
        <v>0.44444444444444442</v>
      </c>
      <c r="I312" s="32">
        <f t="shared" si="116"/>
        <v>0.61111111111111116</v>
      </c>
      <c r="J312" s="32">
        <f t="shared" si="117"/>
        <v>0.5</v>
      </c>
      <c r="K312">
        <f>step3_validation[[#This Row],[AI_FAC1]]</f>
        <v>8</v>
      </c>
      <c r="L312">
        <f t="shared" si="118"/>
        <v>0.77777777777777779</v>
      </c>
      <c r="M312">
        <f>survey_responses[[#This Row],[Các thủ tục khai báo thuế VÀ/HOẶC quy trình làm việc với cơ quan thuế đơn giản, tiện lợi, nhanh chóng hơn so với trước đây. - HUMAN-FAC1]]</f>
        <v>4</v>
      </c>
      <c r="N312">
        <f t="shared" si="119"/>
        <v>0.33333333333333331</v>
      </c>
      <c r="O312">
        <f>step3_validation[[#This Row],[AI_FAC2]]</f>
        <v>9</v>
      </c>
      <c r="P312">
        <f t="shared" si="120"/>
        <v>0.88888888888888884</v>
      </c>
      <c r="Q312">
        <f>survey_responses[[#This Row],[So với trước đây, tôi thấy cách tính thuế và các bậc thuế trong phương án mới đơn giản, dễ hiểu và dễ thực hiện hơn. - HUMAN-FAC2]]</f>
        <v>7</v>
      </c>
      <c r="R312">
        <f t="shared" si="121"/>
        <v>0.66666666666666663</v>
      </c>
      <c r="S312" s="32">
        <f t="shared" si="122"/>
        <v>0.83333333333333326</v>
      </c>
      <c r="T312" s="32">
        <f t="shared" si="123"/>
        <v>0.5</v>
      </c>
      <c r="U312">
        <f>step3_validation[[#This Row],[AI_TRU1]]</f>
        <v>8</v>
      </c>
      <c r="V312">
        <f t="shared" si="124"/>
        <v>0.77777777777777779</v>
      </c>
      <c r="W312">
        <f>survey_responses[[#This Row],[Tôi tin rằng Nhà nước, cơ quan thuế sẽ thực thi chính sách mới một cách khách quan, công tâm và đối xử bình đẳng với mọi người nộp thuế.  - HUMAN-TRU1]]</f>
        <v>5</v>
      </c>
      <c r="X312">
        <f t="shared" si="125"/>
        <v>0.44444444444444442</v>
      </c>
      <c r="Y312">
        <f>step3_validation[[#This Row],[AI_TRU2]]</f>
        <v>7</v>
      </c>
      <c r="Z312">
        <f t="shared" si="126"/>
        <v>0.66666666666666663</v>
      </c>
      <c r="AA312">
        <f>survey_responses[[#This Row],[Tôi thấy mức thuế tôi phải đóng theo phương án mới là công bằng (người thu nhập như tôi đóng mức này là hợp lý). - HUMAN-TRU2]]</f>
        <v>6</v>
      </c>
      <c r="AB312">
        <f t="shared" si="127"/>
        <v>0.55555555555555558</v>
      </c>
      <c r="AC312">
        <f>step3_validation[[#This Row],[AI_TRU3]]</f>
        <v>7</v>
      </c>
      <c r="AD312">
        <f t="shared" si="128"/>
        <v>0.66666666666666663</v>
      </c>
      <c r="AE312">
        <f>survey_responses[[#This Row],[Tôi tin tưởng số tiền thuế tôi đóng sẽ được Nhà nước sử dụng hiệu quả để cải thiện dịch vụ công (y tế, đường xá...). - HUMAN-TRU3]]</f>
        <v>6</v>
      </c>
      <c r="AF312">
        <f t="shared" si="129"/>
        <v>0.55555555555555558</v>
      </c>
      <c r="AG312">
        <f>step3_validation[[#This Row],[AI_TRU4]]</f>
        <v>6</v>
      </c>
      <c r="AH312">
        <f t="shared" si="130"/>
        <v>0.55555555555555558</v>
      </c>
      <c r="AI312">
        <f>survey_responses[[#This Row],[Tôi thấy Nhà nước đã giải thích rõ ràng, minh bạch về lý do và mục tiêu của việc sửa đổi thuế lần này. - HUMAN-TRU4]]</f>
        <v>7</v>
      </c>
      <c r="AJ312">
        <f t="shared" si="131"/>
        <v>0.66666666666666663</v>
      </c>
      <c r="AK312" s="32">
        <f t="shared" si="132"/>
        <v>0.66666666666666674</v>
      </c>
      <c r="AL312" s="32">
        <f t="shared" si="133"/>
        <v>0.55555555555555558</v>
      </c>
      <c r="AM312" s="7">
        <f t="shared" si="134"/>
        <v>0.70370370370370372</v>
      </c>
      <c r="AN312" s="7">
        <f t="shared" si="135"/>
        <v>0.51851851851851849</v>
      </c>
      <c r="AO312">
        <f>step3_validation[[#This Row],[AI_OUT1]]</f>
        <v>8</v>
      </c>
      <c r="AP312">
        <f t="shared" si="136"/>
        <v>0.77777777777777779</v>
      </c>
      <c r="AQ312">
        <f>survey_responses[[#This Row],[Sau khi xem xét các quyền lợi và nghĩa vụ, bạn có ủng hộ và tuân thủ chính sách mới hiện nay? - HUMAN-OUT1]]</f>
        <v>7</v>
      </c>
      <c r="AR312">
        <f t="shared" si="137"/>
        <v>0.66666666666666663</v>
      </c>
      <c r="AS312" s="32">
        <f t="shared" si="138"/>
        <v>1</v>
      </c>
      <c r="AT312">
        <f t="shared" si="139"/>
        <v>1</v>
      </c>
    </row>
    <row r="313" spans="1:46" x14ac:dyDescent="0.45">
      <c r="A313">
        <f>step3_validation[[#This Row],[AI_ENF1]]</f>
        <v>8</v>
      </c>
      <c r="B313">
        <f t="shared" si="112"/>
        <v>0.77777777777777779</v>
      </c>
      <c r="C313">
        <f>survey_responses[[#This Row],[Tôi tin rằng với các quy định quản lý thuế hiện nay, hành vi gian lận hoặc trốn thuế sẽ dễ dàng bị phát hiện và xử lý nghiêm. - HUMAN-ENF1]]</f>
        <v>8</v>
      </c>
      <c r="D313">
        <f t="shared" si="113"/>
        <v>0.77777777777777779</v>
      </c>
      <c r="E313">
        <f>step3_validation[[#This Row],[AI_ENF2]]</f>
        <v>7</v>
      </c>
      <c r="F313">
        <f t="shared" si="114"/>
        <v>0.66666666666666663</v>
      </c>
      <c r="G313">
        <f>survey_responses[[#This Row],[Tôi tin rằng Nhà nước, cơ quan thuế có đủ khả năng và công nghệ để phát hiện, xử lý nghiêm các hành vi trốn thuế. - HUMAN-ENF2]]</f>
        <v>9</v>
      </c>
      <c r="H313">
        <f t="shared" si="115"/>
        <v>0.88888888888888884</v>
      </c>
      <c r="I313" s="32">
        <f t="shared" si="116"/>
        <v>0.72222222222222221</v>
      </c>
      <c r="J313" s="32">
        <f t="shared" si="117"/>
        <v>0.83333333333333326</v>
      </c>
      <c r="K313">
        <f>step3_validation[[#This Row],[AI_FAC1]]</f>
        <v>6</v>
      </c>
      <c r="L313">
        <f t="shared" si="118"/>
        <v>0.55555555555555558</v>
      </c>
      <c r="M313">
        <f>survey_responses[[#This Row],[Các thủ tục khai báo thuế VÀ/HOẶC quy trình làm việc với cơ quan thuế đơn giản, tiện lợi, nhanh chóng hơn so với trước đây. - HUMAN-FAC1]]</f>
        <v>10</v>
      </c>
      <c r="N313">
        <f t="shared" si="119"/>
        <v>1</v>
      </c>
      <c r="O313">
        <f>step3_validation[[#This Row],[AI_FAC2]]</f>
        <v>8</v>
      </c>
      <c r="P313">
        <f t="shared" si="120"/>
        <v>0.77777777777777779</v>
      </c>
      <c r="Q313">
        <f>survey_responses[[#This Row],[So với trước đây, tôi thấy cách tính thuế và các bậc thuế trong phương án mới đơn giản, dễ hiểu và dễ thực hiện hơn. - HUMAN-FAC2]]</f>
        <v>10</v>
      </c>
      <c r="R313">
        <f t="shared" si="121"/>
        <v>1</v>
      </c>
      <c r="S313" s="32">
        <f t="shared" si="122"/>
        <v>0.66666666666666674</v>
      </c>
      <c r="T313" s="32">
        <f t="shared" si="123"/>
        <v>1</v>
      </c>
      <c r="U313">
        <f>step3_validation[[#This Row],[AI_TRU1]]</f>
        <v>7</v>
      </c>
      <c r="V313">
        <f t="shared" si="124"/>
        <v>0.66666666666666663</v>
      </c>
      <c r="W313">
        <f>survey_responses[[#This Row],[Tôi tin rằng Nhà nước, cơ quan thuế sẽ thực thi chính sách mới một cách khách quan, công tâm và đối xử bình đẳng với mọi người nộp thuế.  - HUMAN-TRU1]]</f>
        <v>8</v>
      </c>
      <c r="X313">
        <f t="shared" si="125"/>
        <v>0.77777777777777779</v>
      </c>
      <c r="Y313">
        <f>step3_validation[[#This Row],[AI_TRU2]]</f>
        <v>6</v>
      </c>
      <c r="Z313">
        <f t="shared" si="126"/>
        <v>0.55555555555555558</v>
      </c>
      <c r="AA313">
        <f>survey_responses[[#This Row],[Tôi thấy mức thuế tôi phải đóng theo phương án mới là công bằng (người thu nhập như tôi đóng mức này là hợp lý). - HUMAN-TRU2]]</f>
        <v>9</v>
      </c>
      <c r="AB313">
        <f t="shared" si="127"/>
        <v>0.88888888888888884</v>
      </c>
      <c r="AC313">
        <f>step3_validation[[#This Row],[AI_TRU3]]</f>
        <v>5</v>
      </c>
      <c r="AD313">
        <f t="shared" si="128"/>
        <v>0.44444444444444442</v>
      </c>
      <c r="AE313">
        <f>survey_responses[[#This Row],[Tôi tin tưởng số tiền thuế tôi đóng sẽ được Nhà nước sử dụng hiệu quả để cải thiện dịch vụ công (y tế, đường xá...). - HUMAN-TRU3]]</f>
        <v>8</v>
      </c>
      <c r="AF313">
        <f t="shared" si="129"/>
        <v>0.77777777777777779</v>
      </c>
      <c r="AG313">
        <f>step3_validation[[#This Row],[AI_TRU4]]</f>
        <v>6</v>
      </c>
      <c r="AH313">
        <f t="shared" si="130"/>
        <v>0.55555555555555558</v>
      </c>
      <c r="AI313">
        <f>survey_responses[[#This Row],[Tôi thấy Nhà nước đã giải thích rõ ràng, minh bạch về lý do và mục tiêu của việc sửa đổi thuế lần này. - HUMAN-TRU4]]</f>
        <v>8</v>
      </c>
      <c r="AJ313">
        <f t="shared" si="131"/>
        <v>0.77777777777777779</v>
      </c>
      <c r="AK313" s="32">
        <f t="shared" si="132"/>
        <v>0.55555555555555558</v>
      </c>
      <c r="AL313" s="32">
        <f t="shared" si="133"/>
        <v>0.80555555555555547</v>
      </c>
      <c r="AM313" s="7">
        <f t="shared" si="134"/>
        <v>0.64814814814814814</v>
      </c>
      <c r="AN313" s="7">
        <f t="shared" si="135"/>
        <v>0.87962962962962965</v>
      </c>
      <c r="AO313">
        <f>step3_validation[[#This Row],[AI_OUT1]]</f>
        <v>7</v>
      </c>
      <c r="AP313">
        <f t="shared" si="136"/>
        <v>0.66666666666666663</v>
      </c>
      <c r="AQ313">
        <f>survey_responses[[#This Row],[Sau khi xem xét các quyền lợi và nghĩa vụ, bạn có ủng hộ và tuân thủ chính sách mới hiện nay? - HUMAN-OUT1]]</f>
        <v>10</v>
      </c>
      <c r="AR313">
        <f t="shared" si="137"/>
        <v>1</v>
      </c>
      <c r="AS313" s="32">
        <f t="shared" si="138"/>
        <v>3</v>
      </c>
      <c r="AT313">
        <f t="shared" si="139"/>
        <v>1</v>
      </c>
    </row>
    <row r="314" spans="1:46" x14ac:dyDescent="0.45">
      <c r="A314">
        <f>step3_validation[[#This Row],[AI_ENF1]]</f>
        <v>8</v>
      </c>
      <c r="B314">
        <f t="shared" si="112"/>
        <v>0.77777777777777779</v>
      </c>
      <c r="C314">
        <f>survey_responses[[#This Row],[Tôi tin rằng với các quy định quản lý thuế hiện nay, hành vi gian lận hoặc trốn thuế sẽ dễ dàng bị phát hiện và xử lý nghiêm. - HUMAN-ENF1]]</f>
        <v>6</v>
      </c>
      <c r="D314">
        <f t="shared" si="113"/>
        <v>0.55555555555555558</v>
      </c>
      <c r="E314">
        <f>step3_validation[[#This Row],[AI_ENF2]]</f>
        <v>7</v>
      </c>
      <c r="F314">
        <f t="shared" si="114"/>
        <v>0.66666666666666663</v>
      </c>
      <c r="G314">
        <f>survey_responses[[#This Row],[Tôi tin rằng Nhà nước, cơ quan thuế có đủ khả năng và công nghệ để phát hiện, xử lý nghiêm các hành vi trốn thuế. - HUMAN-ENF2]]</f>
        <v>6</v>
      </c>
      <c r="H314">
        <f t="shared" si="115"/>
        <v>0.55555555555555558</v>
      </c>
      <c r="I314" s="32">
        <f t="shared" si="116"/>
        <v>0.72222222222222221</v>
      </c>
      <c r="J314" s="32">
        <f t="shared" si="117"/>
        <v>0.55555555555555558</v>
      </c>
      <c r="K314">
        <f>step3_validation[[#This Row],[AI_FAC1]]</f>
        <v>9</v>
      </c>
      <c r="L314">
        <f t="shared" si="118"/>
        <v>0.88888888888888884</v>
      </c>
      <c r="M314">
        <f>survey_responses[[#This Row],[Các thủ tục khai báo thuế VÀ/HOẶC quy trình làm việc với cơ quan thuế đơn giản, tiện lợi, nhanh chóng hơn so với trước đây. - HUMAN-FAC1]]</f>
        <v>7</v>
      </c>
      <c r="N314">
        <f t="shared" si="119"/>
        <v>0.66666666666666663</v>
      </c>
      <c r="O314">
        <f>step3_validation[[#This Row],[AI_FAC2]]</f>
        <v>8</v>
      </c>
      <c r="P314">
        <f t="shared" si="120"/>
        <v>0.77777777777777779</v>
      </c>
      <c r="Q314">
        <f>survey_responses[[#This Row],[So với trước đây, tôi thấy cách tính thuế và các bậc thuế trong phương án mới đơn giản, dễ hiểu và dễ thực hiện hơn. - HUMAN-FAC2]]</f>
        <v>7</v>
      </c>
      <c r="R314">
        <f t="shared" si="121"/>
        <v>0.66666666666666663</v>
      </c>
      <c r="S314" s="32">
        <f t="shared" si="122"/>
        <v>0.83333333333333326</v>
      </c>
      <c r="T314" s="32">
        <f t="shared" si="123"/>
        <v>0.66666666666666663</v>
      </c>
      <c r="U314">
        <f>step3_validation[[#This Row],[AI_TRU1]]</f>
        <v>7</v>
      </c>
      <c r="V314">
        <f t="shared" si="124"/>
        <v>0.66666666666666663</v>
      </c>
      <c r="W314">
        <f>survey_responses[[#This Row],[Tôi tin rằng Nhà nước, cơ quan thuế sẽ thực thi chính sách mới một cách khách quan, công tâm và đối xử bình đẳng với mọi người nộp thuế.  - HUMAN-TRU1]]</f>
        <v>7</v>
      </c>
      <c r="X314">
        <f t="shared" si="125"/>
        <v>0.66666666666666663</v>
      </c>
      <c r="Y314">
        <f>step3_validation[[#This Row],[AI_TRU2]]</f>
        <v>8</v>
      </c>
      <c r="Z314">
        <f t="shared" si="126"/>
        <v>0.77777777777777779</v>
      </c>
      <c r="AA314">
        <f>survey_responses[[#This Row],[Tôi thấy mức thuế tôi phải đóng theo phương án mới là công bằng (người thu nhập như tôi đóng mức này là hợp lý). - HUMAN-TRU2]]</f>
        <v>8</v>
      </c>
      <c r="AB314">
        <f t="shared" si="127"/>
        <v>0.77777777777777779</v>
      </c>
      <c r="AC314">
        <f>step3_validation[[#This Row],[AI_TRU3]]</f>
        <v>7</v>
      </c>
      <c r="AD314">
        <f t="shared" si="128"/>
        <v>0.66666666666666663</v>
      </c>
      <c r="AE314">
        <f>survey_responses[[#This Row],[Tôi tin tưởng số tiền thuế tôi đóng sẽ được Nhà nước sử dụng hiệu quả để cải thiện dịch vụ công (y tế, đường xá...). - HUMAN-TRU3]]</f>
        <v>5</v>
      </c>
      <c r="AF314">
        <f t="shared" si="129"/>
        <v>0.44444444444444442</v>
      </c>
      <c r="AG314">
        <f>step3_validation[[#This Row],[AI_TRU4]]</f>
        <v>6</v>
      </c>
      <c r="AH314">
        <f t="shared" si="130"/>
        <v>0.55555555555555558</v>
      </c>
      <c r="AI314">
        <f>survey_responses[[#This Row],[Tôi thấy Nhà nước đã giải thích rõ ràng, minh bạch về lý do và mục tiêu của việc sửa đổi thuế lần này. - HUMAN-TRU4]]</f>
        <v>5</v>
      </c>
      <c r="AJ314">
        <f t="shared" si="131"/>
        <v>0.44444444444444442</v>
      </c>
      <c r="AK314" s="32">
        <f t="shared" si="132"/>
        <v>0.66666666666666674</v>
      </c>
      <c r="AL314" s="32">
        <f t="shared" si="133"/>
        <v>0.58333333333333326</v>
      </c>
      <c r="AM314" s="7">
        <f t="shared" si="134"/>
        <v>0.74074074074074081</v>
      </c>
      <c r="AN314" s="7">
        <f t="shared" si="135"/>
        <v>0.60185185185185186</v>
      </c>
      <c r="AO314">
        <f>step3_validation[[#This Row],[AI_OUT1]]</f>
        <v>8</v>
      </c>
      <c r="AP314">
        <f t="shared" si="136"/>
        <v>0.77777777777777779</v>
      </c>
      <c r="AQ314">
        <f>survey_responses[[#This Row],[Sau khi xem xét các quyền lợi và nghĩa vụ, bạn có ủng hộ và tuân thủ chính sách mới hiện nay? - HUMAN-OUT1]]</f>
        <v>8</v>
      </c>
      <c r="AR314">
        <f t="shared" si="137"/>
        <v>0.77777777777777779</v>
      </c>
      <c r="AS314" s="32">
        <f t="shared" si="138"/>
        <v>0</v>
      </c>
      <c r="AT314">
        <f t="shared" si="139"/>
        <v>1</v>
      </c>
    </row>
    <row r="315" spans="1:46" x14ac:dyDescent="0.45">
      <c r="A315">
        <f>step3_validation[[#This Row],[AI_ENF1]]</f>
        <v>7</v>
      </c>
      <c r="B315">
        <f t="shared" si="112"/>
        <v>0.66666666666666663</v>
      </c>
      <c r="C315">
        <f>survey_responses[[#This Row],[Tôi tin rằng với các quy định quản lý thuế hiện nay, hành vi gian lận hoặc trốn thuế sẽ dễ dàng bị phát hiện và xử lý nghiêm. - HUMAN-ENF1]]</f>
        <v>7</v>
      </c>
      <c r="D315">
        <f t="shared" si="113"/>
        <v>0.66666666666666663</v>
      </c>
      <c r="E315">
        <f>step3_validation[[#This Row],[AI_ENF2]]</f>
        <v>8</v>
      </c>
      <c r="F315">
        <f t="shared" si="114"/>
        <v>0.77777777777777779</v>
      </c>
      <c r="G315">
        <f>survey_responses[[#This Row],[Tôi tin rằng Nhà nước, cơ quan thuế có đủ khả năng và công nghệ để phát hiện, xử lý nghiêm các hành vi trốn thuế. - HUMAN-ENF2]]</f>
        <v>8</v>
      </c>
      <c r="H315">
        <f t="shared" si="115"/>
        <v>0.77777777777777779</v>
      </c>
      <c r="I315" s="32">
        <f t="shared" si="116"/>
        <v>0.72222222222222221</v>
      </c>
      <c r="J315" s="32">
        <f t="shared" si="117"/>
        <v>0.72222222222222221</v>
      </c>
      <c r="K315">
        <f>step3_validation[[#This Row],[AI_FAC1]]</f>
        <v>6</v>
      </c>
      <c r="L315">
        <f t="shared" si="118"/>
        <v>0.55555555555555558</v>
      </c>
      <c r="M315">
        <f>survey_responses[[#This Row],[Các thủ tục khai báo thuế VÀ/HOẶC quy trình làm việc với cơ quan thuế đơn giản, tiện lợi, nhanh chóng hơn so với trước đây. - HUMAN-FAC1]]</f>
        <v>8</v>
      </c>
      <c r="N315">
        <f t="shared" si="119"/>
        <v>0.77777777777777779</v>
      </c>
      <c r="O315">
        <f>step3_validation[[#This Row],[AI_FAC2]]</f>
        <v>8</v>
      </c>
      <c r="P315">
        <f t="shared" si="120"/>
        <v>0.77777777777777779</v>
      </c>
      <c r="Q315">
        <f>survey_responses[[#This Row],[So với trước đây, tôi thấy cách tính thuế và các bậc thuế trong phương án mới đơn giản, dễ hiểu và dễ thực hiện hơn. - HUMAN-FAC2]]</f>
        <v>8</v>
      </c>
      <c r="R315">
        <f t="shared" si="121"/>
        <v>0.77777777777777779</v>
      </c>
      <c r="S315" s="32">
        <f t="shared" si="122"/>
        <v>0.66666666666666674</v>
      </c>
      <c r="T315" s="32">
        <f t="shared" si="123"/>
        <v>0.77777777777777779</v>
      </c>
      <c r="U315">
        <f>step3_validation[[#This Row],[AI_TRU1]]</f>
        <v>7</v>
      </c>
      <c r="V315">
        <f t="shared" si="124"/>
        <v>0.66666666666666663</v>
      </c>
      <c r="W315">
        <f>survey_responses[[#This Row],[Tôi tin rằng Nhà nước, cơ quan thuế sẽ thực thi chính sách mới một cách khách quan, công tâm và đối xử bình đẳng với mọi người nộp thuế.  - HUMAN-TRU1]]</f>
        <v>5</v>
      </c>
      <c r="X315">
        <f t="shared" si="125"/>
        <v>0.44444444444444442</v>
      </c>
      <c r="Y315">
        <f>step3_validation[[#This Row],[AI_TRU2]]</f>
        <v>8</v>
      </c>
      <c r="Z315">
        <f t="shared" si="126"/>
        <v>0.77777777777777779</v>
      </c>
      <c r="AA315">
        <f>survey_responses[[#This Row],[Tôi thấy mức thuế tôi phải đóng theo phương án mới là công bằng (người thu nhập như tôi đóng mức này là hợp lý). - HUMAN-TRU2]]</f>
        <v>8</v>
      </c>
      <c r="AB315">
        <f t="shared" si="127"/>
        <v>0.77777777777777779</v>
      </c>
      <c r="AC315">
        <f>step3_validation[[#This Row],[AI_TRU3]]</f>
        <v>7</v>
      </c>
      <c r="AD315">
        <f t="shared" si="128"/>
        <v>0.66666666666666663</v>
      </c>
      <c r="AE315">
        <f>survey_responses[[#This Row],[Tôi tin tưởng số tiền thuế tôi đóng sẽ được Nhà nước sử dụng hiệu quả để cải thiện dịch vụ công (y tế, đường xá...). - HUMAN-TRU3]]</f>
        <v>6</v>
      </c>
      <c r="AF315">
        <f t="shared" si="129"/>
        <v>0.55555555555555558</v>
      </c>
      <c r="AG315">
        <f>step3_validation[[#This Row],[AI_TRU4]]</f>
        <v>6</v>
      </c>
      <c r="AH315">
        <f t="shared" si="130"/>
        <v>0.55555555555555558</v>
      </c>
      <c r="AI315">
        <f>survey_responses[[#This Row],[Tôi thấy Nhà nước đã giải thích rõ ràng, minh bạch về lý do và mục tiêu của việc sửa đổi thuế lần này. - HUMAN-TRU4]]</f>
        <v>6</v>
      </c>
      <c r="AJ315">
        <f t="shared" si="131"/>
        <v>0.55555555555555558</v>
      </c>
      <c r="AK315" s="32">
        <f t="shared" si="132"/>
        <v>0.66666666666666674</v>
      </c>
      <c r="AL315" s="32">
        <f t="shared" si="133"/>
        <v>0.58333333333333337</v>
      </c>
      <c r="AM315" s="7">
        <f t="shared" si="134"/>
        <v>0.68518518518518512</v>
      </c>
      <c r="AN315" s="7">
        <f t="shared" si="135"/>
        <v>0.69444444444444453</v>
      </c>
      <c r="AO315">
        <f>step3_validation[[#This Row],[AI_OUT1]]</f>
        <v>8</v>
      </c>
      <c r="AP315">
        <f t="shared" si="136"/>
        <v>0.77777777777777779</v>
      </c>
      <c r="AQ315">
        <f>survey_responses[[#This Row],[Sau khi xem xét các quyền lợi và nghĩa vụ, bạn có ủng hộ và tuân thủ chính sách mới hiện nay? - HUMAN-OUT1]]</f>
        <v>8</v>
      </c>
      <c r="AR315">
        <f t="shared" si="137"/>
        <v>0.77777777777777779</v>
      </c>
      <c r="AS315" s="32">
        <f t="shared" si="138"/>
        <v>0</v>
      </c>
      <c r="AT315">
        <f t="shared" si="139"/>
        <v>1</v>
      </c>
    </row>
    <row r="316" spans="1:46" x14ac:dyDescent="0.45">
      <c r="A316">
        <f>step3_validation[[#This Row],[AI_ENF1]]</f>
        <v>5</v>
      </c>
      <c r="B316">
        <f t="shared" si="112"/>
        <v>0.44444444444444442</v>
      </c>
      <c r="C316">
        <f>survey_responses[[#This Row],[Tôi tin rằng với các quy định quản lý thuế hiện nay, hành vi gian lận hoặc trốn thuế sẽ dễ dàng bị phát hiện và xử lý nghiêm. - HUMAN-ENF1]]</f>
        <v>4</v>
      </c>
      <c r="D316">
        <f t="shared" si="113"/>
        <v>0.33333333333333331</v>
      </c>
      <c r="E316">
        <f>step3_validation[[#This Row],[AI_ENF2]]</f>
        <v>6</v>
      </c>
      <c r="F316">
        <f t="shared" si="114"/>
        <v>0.55555555555555558</v>
      </c>
      <c r="G316">
        <f>survey_responses[[#This Row],[Tôi tin rằng Nhà nước, cơ quan thuế có đủ khả năng và công nghệ để phát hiện, xử lý nghiêm các hành vi trốn thuế. - HUMAN-ENF2]]</f>
        <v>5</v>
      </c>
      <c r="H316">
        <f t="shared" si="115"/>
        <v>0.44444444444444442</v>
      </c>
      <c r="I316" s="32">
        <f t="shared" si="116"/>
        <v>0.5</v>
      </c>
      <c r="J316" s="32">
        <f t="shared" si="117"/>
        <v>0.38888888888888884</v>
      </c>
      <c r="K316">
        <f>step3_validation[[#This Row],[AI_FAC1]]</f>
        <v>7</v>
      </c>
      <c r="L316">
        <f t="shared" si="118"/>
        <v>0.66666666666666663</v>
      </c>
      <c r="M316">
        <f>survey_responses[[#This Row],[Các thủ tục khai báo thuế VÀ/HOẶC quy trình làm việc với cơ quan thuế đơn giản, tiện lợi, nhanh chóng hơn so với trước đây. - HUMAN-FAC1]]</f>
        <v>5</v>
      </c>
      <c r="N316">
        <f t="shared" si="119"/>
        <v>0.44444444444444442</v>
      </c>
      <c r="O316">
        <f>step3_validation[[#This Row],[AI_FAC2]]</f>
        <v>8</v>
      </c>
      <c r="P316">
        <f t="shared" si="120"/>
        <v>0.77777777777777779</v>
      </c>
      <c r="Q316">
        <f>survey_responses[[#This Row],[So với trước đây, tôi thấy cách tính thuế và các bậc thuế trong phương án mới đơn giản, dễ hiểu và dễ thực hiện hơn. - HUMAN-FAC2]]</f>
        <v>7</v>
      </c>
      <c r="R316">
        <f t="shared" si="121"/>
        <v>0.66666666666666663</v>
      </c>
      <c r="S316" s="32">
        <f t="shared" si="122"/>
        <v>0.72222222222222221</v>
      </c>
      <c r="T316" s="32">
        <f t="shared" si="123"/>
        <v>0.55555555555555558</v>
      </c>
      <c r="U316">
        <f>step3_validation[[#This Row],[AI_TRU1]]</f>
        <v>4</v>
      </c>
      <c r="V316">
        <f t="shared" si="124"/>
        <v>0.33333333333333331</v>
      </c>
      <c r="W316">
        <f>survey_responses[[#This Row],[Tôi tin rằng Nhà nước, cơ quan thuế sẽ thực thi chính sách mới một cách khách quan, công tâm và đối xử bình đẳng với mọi người nộp thuế.  - HUMAN-TRU1]]</f>
        <v>5</v>
      </c>
      <c r="X316">
        <f t="shared" si="125"/>
        <v>0.44444444444444442</v>
      </c>
      <c r="Y316">
        <f>step3_validation[[#This Row],[AI_TRU2]]</f>
        <v>6</v>
      </c>
      <c r="Z316">
        <f t="shared" si="126"/>
        <v>0.55555555555555558</v>
      </c>
      <c r="AA316">
        <f>survey_responses[[#This Row],[Tôi thấy mức thuế tôi phải đóng theo phương án mới là công bằng (người thu nhập như tôi đóng mức này là hợp lý). - HUMAN-TRU2]]</f>
        <v>8</v>
      </c>
      <c r="AB316">
        <f t="shared" si="127"/>
        <v>0.77777777777777779</v>
      </c>
      <c r="AC316">
        <f>step3_validation[[#This Row],[AI_TRU3]]</f>
        <v>4</v>
      </c>
      <c r="AD316">
        <f t="shared" si="128"/>
        <v>0.33333333333333331</v>
      </c>
      <c r="AE316">
        <f>survey_responses[[#This Row],[Tôi tin tưởng số tiền thuế tôi đóng sẽ được Nhà nước sử dụng hiệu quả để cải thiện dịch vụ công (y tế, đường xá...). - HUMAN-TRU3]]</f>
        <v>5</v>
      </c>
      <c r="AF316">
        <f t="shared" si="129"/>
        <v>0.44444444444444442</v>
      </c>
      <c r="AG316">
        <f>step3_validation[[#This Row],[AI_TRU4]]</f>
        <v>5</v>
      </c>
      <c r="AH316">
        <f t="shared" si="130"/>
        <v>0.44444444444444442</v>
      </c>
      <c r="AI316">
        <f>survey_responses[[#This Row],[Tôi thấy Nhà nước đã giải thích rõ ràng, minh bạch về lý do và mục tiêu của việc sửa đổi thuế lần này. - HUMAN-TRU4]]</f>
        <v>6</v>
      </c>
      <c r="AJ316">
        <f t="shared" si="131"/>
        <v>0.55555555555555558</v>
      </c>
      <c r="AK316" s="32">
        <f t="shared" si="132"/>
        <v>0.41666666666666663</v>
      </c>
      <c r="AL316" s="32">
        <f t="shared" si="133"/>
        <v>0.55555555555555558</v>
      </c>
      <c r="AM316" s="7">
        <f t="shared" si="134"/>
        <v>0.54629629629629628</v>
      </c>
      <c r="AN316" s="7">
        <f t="shared" si="135"/>
        <v>0.5</v>
      </c>
      <c r="AO316">
        <f>step3_validation[[#This Row],[AI_OUT1]]</f>
        <v>6</v>
      </c>
      <c r="AP316">
        <f t="shared" si="136"/>
        <v>0.55555555555555558</v>
      </c>
      <c r="AQ316">
        <f>survey_responses[[#This Row],[Sau khi xem xét các quyền lợi và nghĩa vụ, bạn có ủng hộ và tuân thủ chính sách mới hiện nay? - HUMAN-OUT1]]</f>
        <v>8</v>
      </c>
      <c r="AR316">
        <f t="shared" si="137"/>
        <v>0.77777777777777779</v>
      </c>
      <c r="AS316" s="32">
        <f t="shared" si="138"/>
        <v>2</v>
      </c>
      <c r="AT316">
        <f t="shared" si="139"/>
        <v>1</v>
      </c>
    </row>
    <row r="317" spans="1:46" x14ac:dyDescent="0.45">
      <c r="A317">
        <f>step3_validation[[#This Row],[AI_ENF1]]</f>
        <v>7</v>
      </c>
      <c r="B317">
        <f t="shared" si="112"/>
        <v>0.66666666666666663</v>
      </c>
      <c r="C317">
        <f>survey_responses[[#This Row],[Tôi tin rằng với các quy định quản lý thuế hiện nay, hành vi gian lận hoặc trốn thuế sẽ dễ dàng bị phát hiện và xử lý nghiêm. - HUMAN-ENF1]]</f>
        <v>6</v>
      </c>
      <c r="D317">
        <f t="shared" si="113"/>
        <v>0.55555555555555558</v>
      </c>
      <c r="E317">
        <f>step3_validation[[#This Row],[AI_ENF2]]</f>
        <v>8</v>
      </c>
      <c r="F317">
        <f t="shared" si="114"/>
        <v>0.77777777777777779</v>
      </c>
      <c r="G317">
        <f>survey_responses[[#This Row],[Tôi tin rằng Nhà nước, cơ quan thuế có đủ khả năng và công nghệ để phát hiện, xử lý nghiêm các hành vi trốn thuế. - HUMAN-ENF2]]</f>
        <v>8</v>
      </c>
      <c r="H317">
        <f t="shared" si="115"/>
        <v>0.77777777777777779</v>
      </c>
      <c r="I317" s="32">
        <f t="shared" si="116"/>
        <v>0.72222222222222221</v>
      </c>
      <c r="J317" s="32">
        <f t="shared" si="117"/>
        <v>0.66666666666666674</v>
      </c>
      <c r="K317">
        <f>step3_validation[[#This Row],[AI_FAC1]]</f>
        <v>9</v>
      </c>
      <c r="L317">
        <f t="shared" si="118"/>
        <v>0.88888888888888884</v>
      </c>
      <c r="M317">
        <f>survey_responses[[#This Row],[Các thủ tục khai báo thuế VÀ/HOẶC quy trình làm việc với cơ quan thuế đơn giản, tiện lợi, nhanh chóng hơn so với trước đây. - HUMAN-FAC1]]</f>
        <v>5</v>
      </c>
      <c r="N317">
        <f t="shared" si="119"/>
        <v>0.44444444444444442</v>
      </c>
      <c r="O317">
        <f>step3_validation[[#This Row],[AI_FAC2]]</f>
        <v>8</v>
      </c>
      <c r="P317">
        <f t="shared" si="120"/>
        <v>0.77777777777777779</v>
      </c>
      <c r="Q317">
        <f>survey_responses[[#This Row],[So với trước đây, tôi thấy cách tính thuế và các bậc thuế trong phương án mới đơn giản, dễ hiểu và dễ thực hiện hơn. - HUMAN-FAC2]]</f>
        <v>6</v>
      </c>
      <c r="R317">
        <f t="shared" si="121"/>
        <v>0.55555555555555558</v>
      </c>
      <c r="S317" s="32">
        <f t="shared" si="122"/>
        <v>0.83333333333333326</v>
      </c>
      <c r="T317" s="32">
        <f t="shared" si="123"/>
        <v>0.5</v>
      </c>
      <c r="U317">
        <f>step3_validation[[#This Row],[AI_TRU1]]</f>
        <v>9</v>
      </c>
      <c r="V317">
        <f t="shared" si="124"/>
        <v>0.88888888888888884</v>
      </c>
      <c r="W317">
        <f>survey_responses[[#This Row],[Tôi tin rằng Nhà nước, cơ quan thuế sẽ thực thi chính sách mới một cách khách quan, công tâm và đối xử bình đẳng với mọi người nộp thuế.  - HUMAN-TRU1]]</f>
        <v>6</v>
      </c>
      <c r="X317">
        <f t="shared" si="125"/>
        <v>0.55555555555555558</v>
      </c>
      <c r="Y317">
        <f>step3_validation[[#This Row],[AI_TRU2]]</f>
        <v>8</v>
      </c>
      <c r="Z317">
        <f t="shared" si="126"/>
        <v>0.77777777777777779</v>
      </c>
      <c r="AA317">
        <f>survey_responses[[#This Row],[Tôi thấy mức thuế tôi phải đóng theo phương án mới là công bằng (người thu nhập như tôi đóng mức này là hợp lý). - HUMAN-TRU2]]</f>
        <v>7</v>
      </c>
      <c r="AB317">
        <f t="shared" si="127"/>
        <v>0.66666666666666663</v>
      </c>
      <c r="AC317">
        <f>step3_validation[[#This Row],[AI_TRU3]]</f>
        <v>9</v>
      </c>
      <c r="AD317">
        <f t="shared" si="128"/>
        <v>0.88888888888888884</v>
      </c>
      <c r="AE317">
        <f>survey_responses[[#This Row],[Tôi tin tưởng số tiền thuế tôi đóng sẽ được Nhà nước sử dụng hiệu quả để cải thiện dịch vụ công (y tế, đường xá...). - HUMAN-TRU3]]</f>
        <v>6</v>
      </c>
      <c r="AF317">
        <f t="shared" si="129"/>
        <v>0.55555555555555558</v>
      </c>
      <c r="AG317">
        <f>step3_validation[[#This Row],[AI_TRU4]]</f>
        <v>5</v>
      </c>
      <c r="AH317">
        <f t="shared" si="130"/>
        <v>0.44444444444444442</v>
      </c>
      <c r="AI317">
        <f>survey_responses[[#This Row],[Tôi thấy Nhà nước đã giải thích rõ ràng, minh bạch về lý do và mục tiêu của việc sửa đổi thuế lần này. - HUMAN-TRU4]]</f>
        <v>7</v>
      </c>
      <c r="AJ317">
        <f t="shared" si="131"/>
        <v>0.66666666666666663</v>
      </c>
      <c r="AK317" s="32">
        <f t="shared" si="132"/>
        <v>0.75</v>
      </c>
      <c r="AL317" s="32">
        <f t="shared" si="133"/>
        <v>0.61111111111111116</v>
      </c>
      <c r="AM317" s="7">
        <f t="shared" si="134"/>
        <v>0.76851851851851849</v>
      </c>
      <c r="AN317" s="7">
        <f t="shared" si="135"/>
        <v>0.59259259259259267</v>
      </c>
      <c r="AO317">
        <f>step3_validation[[#This Row],[AI_OUT1]]</f>
        <v>8</v>
      </c>
      <c r="AP317">
        <f t="shared" si="136"/>
        <v>0.77777777777777779</v>
      </c>
      <c r="AQ317">
        <f>survey_responses[[#This Row],[Sau khi xem xét các quyền lợi và nghĩa vụ, bạn có ủng hộ và tuân thủ chính sách mới hiện nay? - HUMAN-OUT1]]</f>
        <v>7</v>
      </c>
      <c r="AR317">
        <f t="shared" si="137"/>
        <v>0.66666666666666663</v>
      </c>
      <c r="AS317" s="32">
        <f t="shared" si="138"/>
        <v>1</v>
      </c>
      <c r="AT317">
        <f t="shared" si="139"/>
        <v>1</v>
      </c>
    </row>
    <row r="318" spans="1:46" x14ac:dyDescent="0.45">
      <c r="A318">
        <f>step3_validation[[#This Row],[AI_ENF1]]</f>
        <v>7</v>
      </c>
      <c r="B318">
        <f t="shared" si="112"/>
        <v>0.66666666666666663</v>
      </c>
      <c r="C318">
        <f>survey_responses[[#This Row],[Tôi tin rằng với các quy định quản lý thuế hiện nay, hành vi gian lận hoặc trốn thuế sẽ dễ dàng bị phát hiện và xử lý nghiêm. - HUMAN-ENF1]]</f>
        <v>7</v>
      </c>
      <c r="D318">
        <f t="shared" si="113"/>
        <v>0.66666666666666663</v>
      </c>
      <c r="E318">
        <f>step3_validation[[#This Row],[AI_ENF2]]</f>
        <v>8</v>
      </c>
      <c r="F318">
        <f t="shared" si="114"/>
        <v>0.77777777777777779</v>
      </c>
      <c r="G318">
        <f>survey_responses[[#This Row],[Tôi tin rằng Nhà nước, cơ quan thuế có đủ khả năng và công nghệ để phát hiện, xử lý nghiêm các hành vi trốn thuế. - HUMAN-ENF2]]</f>
        <v>7</v>
      </c>
      <c r="H318">
        <f t="shared" si="115"/>
        <v>0.66666666666666663</v>
      </c>
      <c r="I318" s="32">
        <f t="shared" si="116"/>
        <v>0.72222222222222221</v>
      </c>
      <c r="J318" s="32">
        <f t="shared" si="117"/>
        <v>0.66666666666666663</v>
      </c>
      <c r="K318">
        <f>step3_validation[[#This Row],[AI_FAC1]]</f>
        <v>6</v>
      </c>
      <c r="L318">
        <f t="shared" si="118"/>
        <v>0.55555555555555558</v>
      </c>
      <c r="M318">
        <f>survey_responses[[#This Row],[Các thủ tục khai báo thuế VÀ/HOẶC quy trình làm việc với cơ quan thuế đơn giản, tiện lợi, nhanh chóng hơn so với trước đây. - HUMAN-FAC1]]</f>
        <v>5</v>
      </c>
      <c r="N318">
        <f t="shared" si="119"/>
        <v>0.44444444444444442</v>
      </c>
      <c r="O318">
        <f>step3_validation[[#This Row],[AI_FAC2]]</f>
        <v>7</v>
      </c>
      <c r="P318">
        <f t="shared" si="120"/>
        <v>0.66666666666666663</v>
      </c>
      <c r="Q318">
        <f>survey_responses[[#This Row],[So với trước đây, tôi thấy cách tính thuế và các bậc thuế trong phương án mới đơn giản, dễ hiểu và dễ thực hiện hơn. - HUMAN-FAC2]]</f>
        <v>8</v>
      </c>
      <c r="R318">
        <f t="shared" si="121"/>
        <v>0.77777777777777779</v>
      </c>
      <c r="S318" s="32">
        <f t="shared" si="122"/>
        <v>0.61111111111111116</v>
      </c>
      <c r="T318" s="32">
        <f t="shared" si="123"/>
        <v>0.61111111111111116</v>
      </c>
      <c r="U318">
        <f>step3_validation[[#This Row],[AI_TRU1]]</f>
        <v>8</v>
      </c>
      <c r="V318">
        <f t="shared" si="124"/>
        <v>0.77777777777777779</v>
      </c>
      <c r="W318">
        <f>survey_responses[[#This Row],[Tôi tin rằng Nhà nước, cơ quan thuế sẽ thực thi chính sách mới một cách khách quan, công tâm và đối xử bình đẳng với mọi người nộp thuế.  - HUMAN-TRU1]]</f>
        <v>5</v>
      </c>
      <c r="X318">
        <f t="shared" si="125"/>
        <v>0.44444444444444442</v>
      </c>
      <c r="Y318">
        <f>step3_validation[[#This Row],[AI_TRU2]]</f>
        <v>7</v>
      </c>
      <c r="Z318">
        <f t="shared" si="126"/>
        <v>0.66666666666666663</v>
      </c>
      <c r="AA318">
        <f>survey_responses[[#This Row],[Tôi thấy mức thuế tôi phải đóng theo phương án mới là công bằng (người thu nhập như tôi đóng mức này là hợp lý). - HUMAN-TRU2]]</f>
        <v>8</v>
      </c>
      <c r="AB318">
        <f t="shared" si="127"/>
        <v>0.77777777777777779</v>
      </c>
      <c r="AC318">
        <f>step3_validation[[#This Row],[AI_TRU3]]</f>
        <v>6</v>
      </c>
      <c r="AD318">
        <f t="shared" si="128"/>
        <v>0.55555555555555558</v>
      </c>
      <c r="AE318">
        <f>survey_responses[[#This Row],[Tôi tin tưởng số tiền thuế tôi đóng sẽ được Nhà nước sử dụng hiệu quả để cải thiện dịch vụ công (y tế, đường xá...). - HUMAN-TRU3]]</f>
        <v>5</v>
      </c>
      <c r="AF318">
        <f t="shared" si="129"/>
        <v>0.44444444444444442</v>
      </c>
      <c r="AG318">
        <f>step3_validation[[#This Row],[AI_TRU4]]</f>
        <v>7</v>
      </c>
      <c r="AH318">
        <f t="shared" si="130"/>
        <v>0.66666666666666663</v>
      </c>
      <c r="AI318">
        <f>survey_responses[[#This Row],[Tôi thấy Nhà nước đã giải thích rõ ràng, minh bạch về lý do và mục tiêu của việc sửa đổi thuế lần này. - HUMAN-TRU4]]</f>
        <v>7</v>
      </c>
      <c r="AJ318">
        <f t="shared" si="131"/>
        <v>0.66666666666666663</v>
      </c>
      <c r="AK318" s="32">
        <f t="shared" si="132"/>
        <v>0.66666666666666663</v>
      </c>
      <c r="AL318" s="32">
        <f t="shared" si="133"/>
        <v>0.58333333333333337</v>
      </c>
      <c r="AM318" s="7">
        <f t="shared" si="134"/>
        <v>0.66666666666666663</v>
      </c>
      <c r="AN318" s="7">
        <f t="shared" si="135"/>
        <v>0.62037037037037035</v>
      </c>
      <c r="AO318">
        <f>step3_validation[[#This Row],[AI_OUT1]]</f>
        <v>8</v>
      </c>
      <c r="AP318">
        <f t="shared" si="136"/>
        <v>0.77777777777777779</v>
      </c>
      <c r="AQ318">
        <f>survey_responses[[#This Row],[Sau khi xem xét các quyền lợi và nghĩa vụ, bạn có ủng hộ và tuân thủ chính sách mới hiện nay? - HUMAN-OUT1]]</f>
        <v>8</v>
      </c>
      <c r="AR318">
        <f t="shared" si="137"/>
        <v>0.77777777777777779</v>
      </c>
      <c r="AS318" s="32">
        <f t="shared" si="138"/>
        <v>0</v>
      </c>
      <c r="AT318">
        <f t="shared" si="139"/>
        <v>1</v>
      </c>
    </row>
    <row r="319" spans="1:46" x14ac:dyDescent="0.45">
      <c r="A319">
        <f>step3_validation[[#This Row],[AI_ENF1]]</f>
        <v>7</v>
      </c>
      <c r="B319">
        <f t="shared" si="112"/>
        <v>0.66666666666666663</v>
      </c>
      <c r="C319">
        <f>survey_responses[[#This Row],[Tôi tin rằng với các quy định quản lý thuế hiện nay, hành vi gian lận hoặc trốn thuế sẽ dễ dàng bị phát hiện và xử lý nghiêm. - HUMAN-ENF1]]</f>
        <v>4</v>
      </c>
      <c r="D319">
        <f t="shared" si="113"/>
        <v>0.33333333333333331</v>
      </c>
      <c r="E319">
        <f>step3_validation[[#This Row],[AI_ENF2]]</f>
        <v>6</v>
      </c>
      <c r="F319">
        <f t="shared" si="114"/>
        <v>0.55555555555555558</v>
      </c>
      <c r="G319">
        <f>survey_responses[[#This Row],[Tôi tin rằng Nhà nước, cơ quan thuế có đủ khả năng và công nghệ để phát hiện, xử lý nghiêm các hành vi trốn thuế. - HUMAN-ENF2]]</f>
        <v>4</v>
      </c>
      <c r="H319">
        <f t="shared" si="115"/>
        <v>0.33333333333333331</v>
      </c>
      <c r="I319" s="32">
        <f t="shared" si="116"/>
        <v>0.61111111111111116</v>
      </c>
      <c r="J319" s="32">
        <f t="shared" si="117"/>
        <v>0.33333333333333331</v>
      </c>
      <c r="K319">
        <f>step3_validation[[#This Row],[AI_FAC1]]</f>
        <v>8</v>
      </c>
      <c r="L319">
        <f t="shared" si="118"/>
        <v>0.77777777777777779</v>
      </c>
      <c r="M319">
        <f>survey_responses[[#This Row],[Các thủ tục khai báo thuế VÀ/HOẶC quy trình làm việc với cơ quan thuế đơn giản, tiện lợi, nhanh chóng hơn so với trước đây. - HUMAN-FAC1]]</f>
        <v>6</v>
      </c>
      <c r="N319">
        <f t="shared" si="119"/>
        <v>0.55555555555555558</v>
      </c>
      <c r="O319">
        <f>step3_validation[[#This Row],[AI_FAC2]]</f>
        <v>9</v>
      </c>
      <c r="P319">
        <f t="shared" si="120"/>
        <v>0.88888888888888884</v>
      </c>
      <c r="Q319">
        <f>survey_responses[[#This Row],[So với trước đây, tôi thấy cách tính thuế và các bậc thuế trong phương án mới đơn giản, dễ hiểu và dễ thực hiện hơn. - HUMAN-FAC2]]</f>
        <v>7</v>
      </c>
      <c r="R319">
        <f t="shared" si="121"/>
        <v>0.66666666666666663</v>
      </c>
      <c r="S319" s="32">
        <f t="shared" si="122"/>
        <v>0.83333333333333326</v>
      </c>
      <c r="T319" s="32">
        <f t="shared" si="123"/>
        <v>0.61111111111111116</v>
      </c>
      <c r="U319">
        <f>step3_validation[[#This Row],[AI_TRU1]]</f>
        <v>8</v>
      </c>
      <c r="V319">
        <f t="shared" si="124"/>
        <v>0.77777777777777779</v>
      </c>
      <c r="W319">
        <f>survey_responses[[#This Row],[Tôi tin rằng Nhà nước, cơ quan thuế sẽ thực thi chính sách mới một cách khách quan, công tâm và đối xử bình đẳng với mọi người nộp thuế.  - HUMAN-TRU1]]</f>
        <v>5</v>
      </c>
      <c r="X319">
        <f t="shared" si="125"/>
        <v>0.44444444444444442</v>
      </c>
      <c r="Y319">
        <f>step3_validation[[#This Row],[AI_TRU2]]</f>
        <v>7</v>
      </c>
      <c r="Z319">
        <f t="shared" si="126"/>
        <v>0.66666666666666663</v>
      </c>
      <c r="AA319">
        <f>survey_responses[[#This Row],[Tôi thấy mức thuế tôi phải đóng theo phương án mới là công bằng (người thu nhập như tôi đóng mức này là hợp lý). - HUMAN-TRU2]]</f>
        <v>8</v>
      </c>
      <c r="AB319">
        <f t="shared" si="127"/>
        <v>0.77777777777777779</v>
      </c>
      <c r="AC319">
        <f>step3_validation[[#This Row],[AI_TRU3]]</f>
        <v>8</v>
      </c>
      <c r="AD319">
        <f t="shared" si="128"/>
        <v>0.77777777777777779</v>
      </c>
      <c r="AE319">
        <f>survey_responses[[#This Row],[Tôi tin tưởng số tiền thuế tôi đóng sẽ được Nhà nước sử dụng hiệu quả để cải thiện dịch vụ công (y tế, đường xá...). - HUMAN-TRU3]]</f>
        <v>5</v>
      </c>
      <c r="AF319">
        <f t="shared" si="129"/>
        <v>0.44444444444444442</v>
      </c>
      <c r="AG319">
        <f>step3_validation[[#This Row],[AI_TRU4]]</f>
        <v>5</v>
      </c>
      <c r="AH319">
        <f t="shared" si="130"/>
        <v>0.44444444444444442</v>
      </c>
      <c r="AI319">
        <f>survey_responses[[#This Row],[Tôi thấy Nhà nước đã giải thích rõ ràng, minh bạch về lý do và mục tiêu của việc sửa đổi thuế lần này. - HUMAN-TRU4]]</f>
        <v>5</v>
      </c>
      <c r="AJ319">
        <f t="shared" si="131"/>
        <v>0.44444444444444442</v>
      </c>
      <c r="AK319" s="32">
        <f t="shared" si="132"/>
        <v>0.66666666666666674</v>
      </c>
      <c r="AL319" s="32">
        <f t="shared" si="133"/>
        <v>0.52777777777777779</v>
      </c>
      <c r="AM319" s="7">
        <f t="shared" si="134"/>
        <v>0.70370370370370372</v>
      </c>
      <c r="AN319" s="7">
        <f t="shared" si="135"/>
        <v>0.49074074074074076</v>
      </c>
      <c r="AO319">
        <f>step3_validation[[#This Row],[AI_OUT1]]</f>
        <v>7</v>
      </c>
      <c r="AP319">
        <f t="shared" si="136"/>
        <v>0.66666666666666663</v>
      </c>
      <c r="AQ319">
        <f>survey_responses[[#This Row],[Sau khi xem xét các quyền lợi và nghĩa vụ, bạn có ủng hộ và tuân thủ chính sách mới hiện nay? - HUMAN-OUT1]]</f>
        <v>8</v>
      </c>
      <c r="AR319">
        <f t="shared" si="137"/>
        <v>0.77777777777777779</v>
      </c>
      <c r="AS319" s="32">
        <f t="shared" si="138"/>
        <v>1</v>
      </c>
      <c r="AT319">
        <f t="shared" si="139"/>
        <v>1</v>
      </c>
    </row>
    <row r="320" spans="1:46" x14ac:dyDescent="0.45">
      <c r="A320">
        <f>step3_validation[[#This Row],[AI_ENF1]]</f>
        <v>6</v>
      </c>
      <c r="B320">
        <f t="shared" si="112"/>
        <v>0.55555555555555558</v>
      </c>
      <c r="C320">
        <f>survey_responses[[#This Row],[Tôi tin rằng với các quy định quản lý thuế hiện nay, hành vi gian lận hoặc trốn thuế sẽ dễ dàng bị phát hiện và xử lý nghiêm. - HUMAN-ENF1]]</f>
        <v>8</v>
      </c>
      <c r="D320">
        <f t="shared" si="113"/>
        <v>0.77777777777777779</v>
      </c>
      <c r="E320">
        <f>step3_validation[[#This Row],[AI_ENF2]]</f>
        <v>7</v>
      </c>
      <c r="F320">
        <f t="shared" si="114"/>
        <v>0.66666666666666663</v>
      </c>
      <c r="G320">
        <f>survey_responses[[#This Row],[Tôi tin rằng Nhà nước, cơ quan thuế có đủ khả năng và công nghệ để phát hiện, xử lý nghiêm các hành vi trốn thuế. - HUMAN-ENF2]]</f>
        <v>8</v>
      </c>
      <c r="H320">
        <f t="shared" si="115"/>
        <v>0.77777777777777779</v>
      </c>
      <c r="I320" s="32">
        <f t="shared" si="116"/>
        <v>0.61111111111111116</v>
      </c>
      <c r="J320" s="32">
        <f t="shared" si="117"/>
        <v>0.77777777777777779</v>
      </c>
      <c r="K320">
        <f>step3_validation[[#This Row],[AI_FAC1]]</f>
        <v>8</v>
      </c>
      <c r="L320">
        <f t="shared" si="118"/>
        <v>0.77777777777777779</v>
      </c>
      <c r="M320">
        <f>survey_responses[[#This Row],[Các thủ tục khai báo thuế VÀ/HOẶC quy trình làm việc với cơ quan thuế đơn giản, tiện lợi, nhanh chóng hơn so với trước đây. - HUMAN-FAC1]]</f>
        <v>10</v>
      </c>
      <c r="N320">
        <f t="shared" si="119"/>
        <v>1</v>
      </c>
      <c r="O320">
        <f>step3_validation[[#This Row],[AI_FAC2]]</f>
        <v>7</v>
      </c>
      <c r="P320">
        <f t="shared" si="120"/>
        <v>0.66666666666666663</v>
      </c>
      <c r="Q320">
        <f>survey_responses[[#This Row],[So với trước đây, tôi thấy cách tính thuế và các bậc thuế trong phương án mới đơn giản, dễ hiểu và dễ thực hiện hơn. - HUMAN-FAC2]]</f>
        <v>10</v>
      </c>
      <c r="R320">
        <f t="shared" si="121"/>
        <v>1</v>
      </c>
      <c r="S320" s="32">
        <f t="shared" si="122"/>
        <v>0.72222222222222221</v>
      </c>
      <c r="T320" s="32">
        <f t="shared" si="123"/>
        <v>1</v>
      </c>
      <c r="U320">
        <f>step3_validation[[#This Row],[AI_TRU1]]</f>
        <v>6</v>
      </c>
      <c r="V320">
        <f t="shared" si="124"/>
        <v>0.55555555555555558</v>
      </c>
      <c r="W320">
        <f>survey_responses[[#This Row],[Tôi tin rằng Nhà nước, cơ quan thuế sẽ thực thi chính sách mới một cách khách quan, công tâm và đối xử bình đẳng với mọi người nộp thuế.  - HUMAN-TRU1]]</f>
        <v>9</v>
      </c>
      <c r="X320">
        <f t="shared" si="125"/>
        <v>0.88888888888888884</v>
      </c>
      <c r="Y320">
        <f>step3_validation[[#This Row],[AI_TRU2]]</f>
        <v>5</v>
      </c>
      <c r="Z320">
        <f t="shared" si="126"/>
        <v>0.44444444444444442</v>
      </c>
      <c r="AA320">
        <f>survey_responses[[#This Row],[Tôi thấy mức thuế tôi phải đóng theo phương án mới là công bằng (người thu nhập như tôi đóng mức này là hợp lý). - HUMAN-TRU2]]</f>
        <v>10</v>
      </c>
      <c r="AB320">
        <f t="shared" si="127"/>
        <v>1</v>
      </c>
      <c r="AC320">
        <f>step3_validation[[#This Row],[AI_TRU3]]</f>
        <v>6</v>
      </c>
      <c r="AD320">
        <f t="shared" si="128"/>
        <v>0.55555555555555558</v>
      </c>
      <c r="AE320">
        <f>survey_responses[[#This Row],[Tôi tin tưởng số tiền thuế tôi đóng sẽ được Nhà nước sử dụng hiệu quả để cải thiện dịch vụ công (y tế, đường xá...). - HUMAN-TRU3]]</f>
        <v>8</v>
      </c>
      <c r="AF320">
        <f t="shared" si="129"/>
        <v>0.77777777777777779</v>
      </c>
      <c r="AG320">
        <f>step3_validation[[#This Row],[AI_TRU4]]</f>
        <v>5</v>
      </c>
      <c r="AH320">
        <f t="shared" si="130"/>
        <v>0.44444444444444442</v>
      </c>
      <c r="AI320">
        <f>survey_responses[[#This Row],[Tôi thấy Nhà nước đã giải thích rõ ràng, minh bạch về lý do và mục tiêu của việc sửa đổi thuế lần này. - HUMAN-TRU4]]</f>
        <v>8</v>
      </c>
      <c r="AJ320">
        <f t="shared" si="131"/>
        <v>0.77777777777777779</v>
      </c>
      <c r="AK320" s="32">
        <f t="shared" si="132"/>
        <v>0.5</v>
      </c>
      <c r="AL320" s="32">
        <f t="shared" si="133"/>
        <v>0.86111111111111105</v>
      </c>
      <c r="AM320" s="7">
        <f t="shared" si="134"/>
        <v>0.61111111111111116</v>
      </c>
      <c r="AN320" s="7">
        <f t="shared" si="135"/>
        <v>0.87962962962962965</v>
      </c>
      <c r="AO320">
        <f>step3_validation[[#This Row],[AI_OUT1]]</f>
        <v>6</v>
      </c>
      <c r="AP320">
        <f t="shared" si="136"/>
        <v>0.55555555555555558</v>
      </c>
      <c r="AQ320">
        <f>survey_responses[[#This Row],[Sau khi xem xét các quyền lợi và nghĩa vụ, bạn có ủng hộ và tuân thủ chính sách mới hiện nay? - HUMAN-OUT1]]</f>
        <v>10</v>
      </c>
      <c r="AR320">
        <f t="shared" si="137"/>
        <v>1</v>
      </c>
      <c r="AS320" s="32">
        <f t="shared" si="138"/>
        <v>4</v>
      </c>
      <c r="AT320">
        <f t="shared" si="139"/>
        <v>1</v>
      </c>
    </row>
    <row r="321" spans="1:46" x14ac:dyDescent="0.45">
      <c r="A321">
        <f>step3_validation[[#This Row],[AI_ENF1]]</f>
        <v>7</v>
      </c>
      <c r="B321">
        <f t="shared" si="112"/>
        <v>0.66666666666666663</v>
      </c>
      <c r="C321">
        <f>survey_responses[[#This Row],[Tôi tin rằng với các quy định quản lý thuế hiện nay, hành vi gian lận hoặc trốn thuế sẽ dễ dàng bị phát hiện và xử lý nghiêm. - HUMAN-ENF1]]</f>
        <v>5</v>
      </c>
      <c r="D321">
        <f t="shared" si="113"/>
        <v>0.44444444444444442</v>
      </c>
      <c r="E321">
        <f>step3_validation[[#This Row],[AI_ENF2]]</f>
        <v>8</v>
      </c>
      <c r="F321">
        <f t="shared" si="114"/>
        <v>0.77777777777777779</v>
      </c>
      <c r="G321">
        <f>survey_responses[[#This Row],[Tôi tin rằng Nhà nước, cơ quan thuế có đủ khả năng và công nghệ để phát hiện, xử lý nghiêm các hành vi trốn thuế. - HUMAN-ENF2]]</f>
        <v>7</v>
      </c>
      <c r="H321">
        <f t="shared" si="115"/>
        <v>0.66666666666666663</v>
      </c>
      <c r="I321" s="32">
        <f t="shared" si="116"/>
        <v>0.72222222222222221</v>
      </c>
      <c r="J321" s="32">
        <f t="shared" si="117"/>
        <v>0.55555555555555558</v>
      </c>
      <c r="K321">
        <f>step3_validation[[#This Row],[AI_FAC1]]</f>
        <v>9</v>
      </c>
      <c r="L321">
        <f t="shared" si="118"/>
        <v>0.88888888888888884</v>
      </c>
      <c r="M321">
        <f>survey_responses[[#This Row],[Các thủ tục khai báo thuế VÀ/HOẶC quy trình làm việc với cơ quan thuế đơn giản, tiện lợi, nhanh chóng hơn so với trước đây. - HUMAN-FAC1]]</f>
        <v>7</v>
      </c>
      <c r="N321">
        <f t="shared" si="119"/>
        <v>0.66666666666666663</v>
      </c>
      <c r="O321">
        <f>step3_validation[[#This Row],[AI_FAC2]]</f>
        <v>7</v>
      </c>
      <c r="P321">
        <f t="shared" si="120"/>
        <v>0.66666666666666663</v>
      </c>
      <c r="Q321">
        <f>survey_responses[[#This Row],[So với trước đây, tôi thấy cách tính thuế và các bậc thuế trong phương án mới đơn giản, dễ hiểu và dễ thực hiện hơn. - HUMAN-FAC2]]</f>
        <v>9</v>
      </c>
      <c r="R321">
        <f t="shared" si="121"/>
        <v>0.88888888888888884</v>
      </c>
      <c r="S321" s="32">
        <f t="shared" si="122"/>
        <v>0.77777777777777768</v>
      </c>
      <c r="T321" s="32">
        <f t="shared" si="123"/>
        <v>0.77777777777777768</v>
      </c>
      <c r="U321">
        <f>step3_validation[[#This Row],[AI_TRU1]]</f>
        <v>6</v>
      </c>
      <c r="V321">
        <f t="shared" si="124"/>
        <v>0.55555555555555558</v>
      </c>
      <c r="W321">
        <f>survey_responses[[#This Row],[Tôi tin rằng Nhà nước, cơ quan thuế sẽ thực thi chính sách mới một cách khách quan, công tâm và đối xử bình đẳng với mọi người nộp thuế.  - HUMAN-TRU1]]</f>
        <v>5</v>
      </c>
      <c r="X321">
        <f t="shared" si="125"/>
        <v>0.44444444444444442</v>
      </c>
      <c r="Y321">
        <f>step3_validation[[#This Row],[AI_TRU2]]</f>
        <v>7</v>
      </c>
      <c r="Z321">
        <f t="shared" si="126"/>
        <v>0.66666666666666663</v>
      </c>
      <c r="AA321">
        <f>survey_responses[[#This Row],[Tôi thấy mức thuế tôi phải đóng theo phương án mới là công bằng (người thu nhập như tôi đóng mức này là hợp lý). - HUMAN-TRU2]]</f>
        <v>6</v>
      </c>
      <c r="AB321">
        <f t="shared" si="127"/>
        <v>0.55555555555555558</v>
      </c>
      <c r="AC321">
        <f>step3_validation[[#This Row],[AI_TRU3]]</f>
        <v>8</v>
      </c>
      <c r="AD321">
        <f t="shared" si="128"/>
        <v>0.77777777777777779</v>
      </c>
      <c r="AE321">
        <f>survey_responses[[#This Row],[Tôi tin tưởng số tiền thuế tôi đóng sẽ được Nhà nước sử dụng hiệu quả để cải thiện dịch vụ công (y tế, đường xá...). - HUMAN-TRU3]]</f>
        <v>5</v>
      </c>
      <c r="AF321">
        <f t="shared" si="129"/>
        <v>0.44444444444444442</v>
      </c>
      <c r="AG321">
        <f>step3_validation[[#This Row],[AI_TRU4]]</f>
        <v>6</v>
      </c>
      <c r="AH321">
        <f t="shared" si="130"/>
        <v>0.55555555555555558</v>
      </c>
      <c r="AI321">
        <f>survey_responses[[#This Row],[Tôi thấy Nhà nước đã giải thích rõ ràng, minh bạch về lý do và mục tiêu của việc sửa đổi thuế lần này. - HUMAN-TRU4]]</f>
        <v>7</v>
      </c>
      <c r="AJ321">
        <f t="shared" si="131"/>
        <v>0.66666666666666663</v>
      </c>
      <c r="AK321" s="32">
        <f t="shared" si="132"/>
        <v>0.63888888888888884</v>
      </c>
      <c r="AL321" s="32">
        <f t="shared" si="133"/>
        <v>0.52777777777777779</v>
      </c>
      <c r="AM321" s="7">
        <f t="shared" si="134"/>
        <v>0.71296296296296291</v>
      </c>
      <c r="AN321" s="7">
        <f t="shared" si="135"/>
        <v>0.62037037037037035</v>
      </c>
      <c r="AO321">
        <f>step3_validation[[#This Row],[AI_OUT1]]</f>
        <v>7</v>
      </c>
      <c r="AP321">
        <f t="shared" si="136"/>
        <v>0.66666666666666663</v>
      </c>
      <c r="AQ321">
        <f>survey_responses[[#This Row],[Sau khi xem xét các quyền lợi và nghĩa vụ, bạn có ủng hộ và tuân thủ chính sách mới hiện nay? - HUMAN-OUT1]]</f>
        <v>7</v>
      </c>
      <c r="AR321">
        <f t="shared" si="137"/>
        <v>0.66666666666666663</v>
      </c>
      <c r="AS321" s="32">
        <f t="shared" si="138"/>
        <v>0</v>
      </c>
      <c r="AT321">
        <f t="shared" si="139"/>
        <v>1</v>
      </c>
    </row>
    <row r="322" spans="1:46" x14ac:dyDescent="0.45">
      <c r="A322">
        <f>step3_validation[[#This Row],[AI_ENF1]]</f>
        <v>7</v>
      </c>
      <c r="B322">
        <f t="shared" si="112"/>
        <v>0.66666666666666663</v>
      </c>
      <c r="C322">
        <f>survey_responses[[#This Row],[Tôi tin rằng với các quy định quản lý thuế hiện nay, hành vi gian lận hoặc trốn thuế sẽ dễ dàng bị phát hiện và xử lý nghiêm. - HUMAN-ENF1]]</f>
        <v>8</v>
      </c>
      <c r="D322">
        <f t="shared" si="113"/>
        <v>0.77777777777777779</v>
      </c>
      <c r="E322">
        <f>step3_validation[[#This Row],[AI_ENF2]]</f>
        <v>6</v>
      </c>
      <c r="F322">
        <f t="shared" si="114"/>
        <v>0.55555555555555558</v>
      </c>
      <c r="G322">
        <f>survey_responses[[#This Row],[Tôi tin rằng Nhà nước, cơ quan thuế có đủ khả năng và công nghệ để phát hiện, xử lý nghiêm các hành vi trốn thuế. - HUMAN-ENF2]]</f>
        <v>8</v>
      </c>
      <c r="H322">
        <f t="shared" si="115"/>
        <v>0.77777777777777779</v>
      </c>
      <c r="I322" s="32">
        <f t="shared" si="116"/>
        <v>0.61111111111111116</v>
      </c>
      <c r="J322" s="32">
        <f t="shared" si="117"/>
        <v>0.77777777777777779</v>
      </c>
      <c r="K322">
        <f>step3_validation[[#This Row],[AI_FAC1]]</f>
        <v>8</v>
      </c>
      <c r="L322">
        <f t="shared" si="118"/>
        <v>0.77777777777777779</v>
      </c>
      <c r="M322">
        <f>survey_responses[[#This Row],[Các thủ tục khai báo thuế VÀ/HOẶC quy trình làm việc với cơ quan thuế đơn giản, tiện lợi, nhanh chóng hơn so với trước đây. - HUMAN-FAC1]]</f>
        <v>7</v>
      </c>
      <c r="N322">
        <f t="shared" si="119"/>
        <v>0.66666666666666663</v>
      </c>
      <c r="O322">
        <f>step3_validation[[#This Row],[AI_FAC2]]</f>
        <v>5</v>
      </c>
      <c r="P322">
        <f t="shared" si="120"/>
        <v>0.44444444444444442</v>
      </c>
      <c r="Q322">
        <f>survey_responses[[#This Row],[So với trước đây, tôi thấy cách tính thuế và các bậc thuế trong phương án mới đơn giản, dễ hiểu và dễ thực hiện hơn. - HUMAN-FAC2]]</f>
        <v>9</v>
      </c>
      <c r="R322">
        <f t="shared" si="121"/>
        <v>0.88888888888888884</v>
      </c>
      <c r="S322" s="32">
        <f t="shared" si="122"/>
        <v>0.61111111111111116</v>
      </c>
      <c r="T322" s="32">
        <f t="shared" si="123"/>
        <v>0.77777777777777768</v>
      </c>
      <c r="U322">
        <f>step3_validation[[#This Row],[AI_TRU1]]</f>
        <v>6</v>
      </c>
      <c r="V322">
        <f t="shared" si="124"/>
        <v>0.55555555555555558</v>
      </c>
      <c r="W322">
        <f>survey_responses[[#This Row],[Tôi tin rằng Nhà nước, cơ quan thuế sẽ thực thi chính sách mới một cách khách quan, công tâm và đối xử bình đẳng với mọi người nộp thuế.  - HUMAN-TRU1]]</f>
        <v>9</v>
      </c>
      <c r="X322">
        <f t="shared" si="125"/>
        <v>0.88888888888888884</v>
      </c>
      <c r="Y322">
        <f>step3_validation[[#This Row],[AI_TRU2]]</f>
        <v>4</v>
      </c>
      <c r="Z322">
        <f t="shared" si="126"/>
        <v>0.33333333333333331</v>
      </c>
      <c r="AA322">
        <f>survey_responses[[#This Row],[Tôi thấy mức thuế tôi phải đóng theo phương án mới là công bằng (người thu nhập như tôi đóng mức này là hợp lý). - HUMAN-TRU2]]</f>
        <v>9</v>
      </c>
      <c r="AB322">
        <f t="shared" si="127"/>
        <v>0.88888888888888884</v>
      </c>
      <c r="AC322">
        <f>step3_validation[[#This Row],[AI_TRU3]]</f>
        <v>5</v>
      </c>
      <c r="AD322">
        <f t="shared" si="128"/>
        <v>0.44444444444444442</v>
      </c>
      <c r="AE322">
        <f>survey_responses[[#This Row],[Tôi tin tưởng số tiền thuế tôi đóng sẽ được Nhà nước sử dụng hiệu quả để cải thiện dịch vụ công (y tế, đường xá...). - HUMAN-TRU3]]</f>
        <v>7</v>
      </c>
      <c r="AF322">
        <f t="shared" si="129"/>
        <v>0.66666666666666663</v>
      </c>
      <c r="AG322">
        <f>step3_validation[[#This Row],[AI_TRU4]]</f>
        <v>6</v>
      </c>
      <c r="AH322">
        <f t="shared" si="130"/>
        <v>0.55555555555555558</v>
      </c>
      <c r="AI322">
        <f>survey_responses[[#This Row],[Tôi thấy Nhà nước đã giải thích rõ ràng, minh bạch về lý do và mục tiêu của việc sửa đổi thuế lần này. - HUMAN-TRU4]]</f>
        <v>9</v>
      </c>
      <c r="AJ322">
        <f t="shared" si="131"/>
        <v>0.88888888888888884</v>
      </c>
      <c r="AK322" s="32">
        <f t="shared" si="132"/>
        <v>0.47222222222222221</v>
      </c>
      <c r="AL322" s="32">
        <f t="shared" si="133"/>
        <v>0.83333333333333326</v>
      </c>
      <c r="AM322" s="7">
        <f t="shared" si="134"/>
        <v>0.56481481481481488</v>
      </c>
      <c r="AN322" s="7">
        <f t="shared" si="135"/>
        <v>0.79629629629629617</v>
      </c>
      <c r="AO322">
        <f>step3_validation[[#This Row],[AI_OUT1]]</f>
        <v>7</v>
      </c>
      <c r="AP322">
        <f t="shared" si="136"/>
        <v>0.66666666666666663</v>
      </c>
      <c r="AQ322">
        <f>survey_responses[[#This Row],[Sau khi xem xét các quyền lợi và nghĩa vụ, bạn có ủng hộ và tuân thủ chính sách mới hiện nay? - HUMAN-OUT1]]</f>
        <v>9</v>
      </c>
      <c r="AR322">
        <f t="shared" si="137"/>
        <v>0.88888888888888884</v>
      </c>
      <c r="AS322" s="32">
        <f t="shared" si="138"/>
        <v>2</v>
      </c>
      <c r="AT322">
        <f t="shared" si="139"/>
        <v>1</v>
      </c>
    </row>
    <row r="323" spans="1:46" x14ac:dyDescent="0.45">
      <c r="A323">
        <f>step3_validation[[#This Row],[AI_ENF1]]</f>
        <v>8</v>
      </c>
      <c r="B323">
        <f t="shared" ref="B323:B386" si="140">(A323-1)/9</f>
        <v>0.77777777777777779</v>
      </c>
      <c r="C323">
        <f>survey_responses[[#This Row],[Tôi tin rằng với các quy định quản lý thuế hiện nay, hành vi gian lận hoặc trốn thuế sẽ dễ dàng bị phát hiện và xử lý nghiêm. - HUMAN-ENF1]]</f>
        <v>5</v>
      </c>
      <c r="D323">
        <f t="shared" ref="D323:D386" si="141">(C323-1)/9</f>
        <v>0.44444444444444442</v>
      </c>
      <c r="E323">
        <f>step3_validation[[#This Row],[AI_ENF2]]</f>
        <v>7</v>
      </c>
      <c r="F323">
        <f t="shared" ref="F323:F386" si="142">(E323-1)/9</f>
        <v>0.66666666666666663</v>
      </c>
      <c r="G323">
        <f>survey_responses[[#This Row],[Tôi tin rằng Nhà nước, cơ quan thuế có đủ khả năng và công nghệ để phát hiện, xử lý nghiêm các hành vi trốn thuế. - HUMAN-ENF2]]</f>
        <v>5</v>
      </c>
      <c r="H323">
        <f t="shared" ref="H323:H386" si="143">(G323-1)/9</f>
        <v>0.44444444444444442</v>
      </c>
      <c r="I323" s="32">
        <f t="shared" ref="I323:I386" si="144">AVERAGE(B323,F323)</f>
        <v>0.72222222222222221</v>
      </c>
      <c r="J323" s="32">
        <f t="shared" ref="J323:J386" si="145">AVERAGE(D323,H323)</f>
        <v>0.44444444444444442</v>
      </c>
      <c r="K323">
        <f>step3_validation[[#This Row],[AI_FAC1]]</f>
        <v>9</v>
      </c>
      <c r="L323">
        <f t="shared" ref="L323:L386" si="146">(K323-1)/9</f>
        <v>0.88888888888888884</v>
      </c>
      <c r="M323">
        <f>survey_responses[[#This Row],[Các thủ tục khai báo thuế VÀ/HOẶC quy trình làm việc với cơ quan thuế đơn giản, tiện lợi, nhanh chóng hơn so với trước đây. - HUMAN-FAC1]]</f>
        <v>5</v>
      </c>
      <c r="N323">
        <f t="shared" ref="N323:N386" si="147">(M323-1)/9</f>
        <v>0.44444444444444442</v>
      </c>
      <c r="O323">
        <f>step3_validation[[#This Row],[AI_FAC2]]</f>
        <v>8</v>
      </c>
      <c r="P323">
        <f t="shared" ref="P323:P386" si="148">(O323-1)/9</f>
        <v>0.77777777777777779</v>
      </c>
      <c r="Q323">
        <f>survey_responses[[#This Row],[So với trước đây, tôi thấy cách tính thuế và các bậc thuế trong phương án mới đơn giản, dễ hiểu và dễ thực hiện hơn. - HUMAN-FAC2]]</f>
        <v>7</v>
      </c>
      <c r="R323">
        <f t="shared" ref="R323:R386" si="149">(Q323-1)/9</f>
        <v>0.66666666666666663</v>
      </c>
      <c r="S323" s="32">
        <f t="shared" ref="S323:S386" si="150">AVERAGE(L323,P323)</f>
        <v>0.83333333333333326</v>
      </c>
      <c r="T323" s="32">
        <f t="shared" ref="T323:T386" si="151">AVERAGE(N323,R323)</f>
        <v>0.55555555555555558</v>
      </c>
      <c r="U323">
        <f>step3_validation[[#This Row],[AI_TRU1]]</f>
        <v>9</v>
      </c>
      <c r="V323">
        <f t="shared" ref="V323:V386" si="152">(U323-1)/9</f>
        <v>0.88888888888888884</v>
      </c>
      <c r="W323">
        <f>survey_responses[[#This Row],[Tôi tin rằng Nhà nước, cơ quan thuế sẽ thực thi chính sách mới một cách khách quan, công tâm và đối xử bình đẳng với mọi người nộp thuế.  - HUMAN-TRU1]]</f>
        <v>5</v>
      </c>
      <c r="X323">
        <f t="shared" ref="X323:X386" si="153">(W323-1)/9</f>
        <v>0.44444444444444442</v>
      </c>
      <c r="Y323">
        <f>step3_validation[[#This Row],[AI_TRU2]]</f>
        <v>8</v>
      </c>
      <c r="Z323">
        <f t="shared" ref="Z323:Z386" si="154">(Y323-1)/9</f>
        <v>0.77777777777777779</v>
      </c>
      <c r="AA323">
        <f>survey_responses[[#This Row],[Tôi thấy mức thuế tôi phải đóng theo phương án mới là công bằng (người thu nhập như tôi đóng mức này là hợp lý). - HUMAN-TRU2]]</f>
        <v>7</v>
      </c>
      <c r="AB323">
        <f t="shared" ref="AB323:AB386" si="155">(AA323-1)/9</f>
        <v>0.66666666666666663</v>
      </c>
      <c r="AC323">
        <f>step3_validation[[#This Row],[AI_TRU3]]</f>
        <v>9</v>
      </c>
      <c r="AD323">
        <f t="shared" ref="AD323:AD386" si="156">(AC323-1)/9</f>
        <v>0.88888888888888884</v>
      </c>
      <c r="AE323">
        <f>survey_responses[[#This Row],[Tôi tin tưởng số tiền thuế tôi đóng sẽ được Nhà nước sử dụng hiệu quả để cải thiện dịch vụ công (y tế, đường xá...). - HUMAN-TRU3]]</f>
        <v>5</v>
      </c>
      <c r="AF323">
        <f t="shared" ref="AF323:AF386" si="157">(AE323-1)/9</f>
        <v>0.44444444444444442</v>
      </c>
      <c r="AG323">
        <f>step3_validation[[#This Row],[AI_TRU4]]</f>
        <v>7</v>
      </c>
      <c r="AH323">
        <f t="shared" ref="AH323:AH386" si="158">(AG323-1)/9</f>
        <v>0.66666666666666663</v>
      </c>
      <c r="AI323">
        <f>survey_responses[[#This Row],[Tôi thấy Nhà nước đã giải thích rõ ràng, minh bạch về lý do và mục tiêu của việc sửa đổi thuế lần này. - HUMAN-TRU4]]</f>
        <v>5</v>
      </c>
      <c r="AJ323">
        <f t="shared" ref="AJ323:AJ386" si="159">(AI323-1)/9</f>
        <v>0.44444444444444442</v>
      </c>
      <c r="AK323" s="32">
        <f t="shared" ref="AK323:AK386" si="160">AVERAGE(V323,Z323,AD323,AH323)</f>
        <v>0.80555555555555547</v>
      </c>
      <c r="AL323" s="32">
        <f t="shared" ref="AL323:AL386" si="161">AVERAGE(X323,AB323,AF323,AJ323)</f>
        <v>0.5</v>
      </c>
      <c r="AM323" s="7">
        <f t="shared" ref="AM323:AM386" si="162">(I323+S323+AK323)/3</f>
        <v>0.78703703703703687</v>
      </c>
      <c r="AN323" s="7">
        <f t="shared" ref="AN323:AN386" si="163">(J323+T323+AL323)/3</f>
        <v>0.5</v>
      </c>
      <c r="AO323">
        <f>step3_validation[[#This Row],[AI_OUT1]]</f>
        <v>9</v>
      </c>
      <c r="AP323">
        <f t="shared" ref="AP323:AP386" si="164">(AO323-1)/9</f>
        <v>0.88888888888888884</v>
      </c>
      <c r="AQ323">
        <f>survey_responses[[#This Row],[Sau khi xem xét các quyền lợi và nghĩa vụ, bạn có ủng hộ và tuân thủ chính sách mới hiện nay? - HUMAN-OUT1]]</f>
        <v>7</v>
      </c>
      <c r="AR323">
        <f t="shared" ref="AR323:AR386" si="165">(AQ323-1)/9</f>
        <v>0.66666666666666663</v>
      </c>
      <c r="AS323" s="32">
        <f t="shared" ref="AS323:AS386" si="166">ABS(AQ323-AO323)</f>
        <v>2</v>
      </c>
      <c r="AT323">
        <f t="shared" ref="AT323:AT386" si="167">IF(AQ323&gt;=6,1,0)</f>
        <v>1</v>
      </c>
    </row>
    <row r="324" spans="1:46" x14ac:dyDescent="0.45">
      <c r="A324">
        <f>step3_validation[[#This Row],[AI_ENF1]]</f>
        <v>6</v>
      </c>
      <c r="B324">
        <f t="shared" si="140"/>
        <v>0.55555555555555558</v>
      </c>
      <c r="C324">
        <f>survey_responses[[#This Row],[Tôi tin rằng với các quy định quản lý thuế hiện nay, hành vi gian lận hoặc trốn thuế sẽ dễ dàng bị phát hiện và xử lý nghiêm. - HUMAN-ENF1]]</f>
        <v>7</v>
      </c>
      <c r="D324">
        <f t="shared" si="141"/>
        <v>0.66666666666666663</v>
      </c>
      <c r="E324">
        <f>step3_validation[[#This Row],[AI_ENF2]]</f>
        <v>7</v>
      </c>
      <c r="F324">
        <f t="shared" si="142"/>
        <v>0.66666666666666663</v>
      </c>
      <c r="G324">
        <f>survey_responses[[#This Row],[Tôi tin rằng Nhà nước, cơ quan thuế có đủ khả năng và công nghệ để phát hiện, xử lý nghiêm các hành vi trốn thuế. - HUMAN-ENF2]]</f>
        <v>7</v>
      </c>
      <c r="H324">
        <f t="shared" si="143"/>
        <v>0.66666666666666663</v>
      </c>
      <c r="I324" s="32">
        <f t="shared" si="144"/>
        <v>0.61111111111111116</v>
      </c>
      <c r="J324" s="32">
        <f t="shared" si="145"/>
        <v>0.66666666666666663</v>
      </c>
      <c r="K324">
        <f>step3_validation[[#This Row],[AI_FAC1]]</f>
        <v>8</v>
      </c>
      <c r="L324">
        <f t="shared" si="146"/>
        <v>0.77777777777777779</v>
      </c>
      <c r="M324">
        <f>survey_responses[[#This Row],[Các thủ tục khai báo thuế VÀ/HOẶC quy trình làm việc với cơ quan thuế đơn giản, tiện lợi, nhanh chóng hơn so với trước đây. - HUMAN-FAC1]]</f>
        <v>8</v>
      </c>
      <c r="N324">
        <f t="shared" si="147"/>
        <v>0.77777777777777779</v>
      </c>
      <c r="O324">
        <f>step3_validation[[#This Row],[AI_FAC2]]</f>
        <v>9</v>
      </c>
      <c r="P324">
        <f t="shared" si="148"/>
        <v>0.88888888888888884</v>
      </c>
      <c r="Q324">
        <f>survey_responses[[#This Row],[So với trước đây, tôi thấy cách tính thuế và các bậc thuế trong phương án mới đơn giản, dễ hiểu và dễ thực hiện hơn. - HUMAN-FAC2]]</f>
        <v>8</v>
      </c>
      <c r="R324">
        <f t="shared" si="149"/>
        <v>0.77777777777777779</v>
      </c>
      <c r="S324" s="32">
        <f t="shared" si="150"/>
        <v>0.83333333333333326</v>
      </c>
      <c r="T324" s="32">
        <f t="shared" si="151"/>
        <v>0.77777777777777779</v>
      </c>
      <c r="U324">
        <f>step3_validation[[#This Row],[AI_TRU1]]</f>
        <v>6</v>
      </c>
      <c r="V324">
        <f t="shared" si="152"/>
        <v>0.55555555555555558</v>
      </c>
      <c r="W324">
        <f>survey_responses[[#This Row],[Tôi tin rằng Nhà nước, cơ quan thuế sẽ thực thi chính sách mới một cách khách quan, công tâm và đối xử bình đẳng với mọi người nộp thuế.  - HUMAN-TRU1]]</f>
        <v>6</v>
      </c>
      <c r="X324">
        <f t="shared" si="153"/>
        <v>0.55555555555555558</v>
      </c>
      <c r="Y324">
        <f>step3_validation[[#This Row],[AI_TRU2]]</f>
        <v>7</v>
      </c>
      <c r="Z324">
        <f t="shared" si="154"/>
        <v>0.66666666666666663</v>
      </c>
      <c r="AA324">
        <f>survey_responses[[#This Row],[Tôi thấy mức thuế tôi phải đóng theo phương án mới là công bằng (người thu nhập như tôi đóng mức này là hợp lý). - HUMAN-TRU2]]</f>
        <v>7</v>
      </c>
      <c r="AB324">
        <f t="shared" si="155"/>
        <v>0.66666666666666663</v>
      </c>
      <c r="AC324">
        <f>step3_validation[[#This Row],[AI_TRU3]]</f>
        <v>6</v>
      </c>
      <c r="AD324">
        <f t="shared" si="156"/>
        <v>0.55555555555555558</v>
      </c>
      <c r="AE324">
        <f>survey_responses[[#This Row],[Tôi tin tưởng số tiền thuế tôi đóng sẽ được Nhà nước sử dụng hiệu quả để cải thiện dịch vụ công (y tế, đường xá...). - HUMAN-TRU3]]</f>
        <v>6</v>
      </c>
      <c r="AF324">
        <f t="shared" si="157"/>
        <v>0.55555555555555558</v>
      </c>
      <c r="AG324">
        <f>step3_validation[[#This Row],[AI_TRU4]]</f>
        <v>5</v>
      </c>
      <c r="AH324">
        <f t="shared" si="158"/>
        <v>0.44444444444444442</v>
      </c>
      <c r="AI324">
        <f>survey_responses[[#This Row],[Tôi thấy Nhà nước đã giải thích rõ ràng, minh bạch về lý do và mục tiêu của việc sửa đổi thuế lần này. - HUMAN-TRU4]]</f>
        <v>7</v>
      </c>
      <c r="AJ324">
        <f t="shared" si="159"/>
        <v>0.66666666666666663</v>
      </c>
      <c r="AK324" s="32">
        <f t="shared" si="160"/>
        <v>0.55555555555555558</v>
      </c>
      <c r="AL324" s="32">
        <f t="shared" si="161"/>
        <v>0.61111111111111116</v>
      </c>
      <c r="AM324" s="7">
        <f t="shared" si="162"/>
        <v>0.66666666666666663</v>
      </c>
      <c r="AN324" s="7">
        <f t="shared" si="163"/>
        <v>0.68518518518518512</v>
      </c>
      <c r="AO324">
        <f>step3_validation[[#This Row],[AI_OUT1]]</f>
        <v>7</v>
      </c>
      <c r="AP324">
        <f t="shared" si="164"/>
        <v>0.66666666666666663</v>
      </c>
      <c r="AQ324">
        <f>survey_responses[[#This Row],[Sau khi xem xét các quyền lợi và nghĩa vụ, bạn có ủng hộ và tuân thủ chính sách mới hiện nay? - HUMAN-OUT1]]</f>
        <v>7</v>
      </c>
      <c r="AR324">
        <f t="shared" si="165"/>
        <v>0.66666666666666663</v>
      </c>
      <c r="AS324" s="32">
        <f t="shared" si="166"/>
        <v>0</v>
      </c>
      <c r="AT324">
        <f t="shared" si="167"/>
        <v>1</v>
      </c>
    </row>
    <row r="325" spans="1:46" x14ac:dyDescent="0.45">
      <c r="A325">
        <f>step3_validation[[#This Row],[AI_ENF1]]</f>
        <v>7</v>
      </c>
      <c r="B325">
        <f t="shared" si="140"/>
        <v>0.66666666666666663</v>
      </c>
      <c r="C325">
        <f>survey_responses[[#This Row],[Tôi tin rằng với các quy định quản lý thuế hiện nay, hành vi gian lận hoặc trốn thuế sẽ dễ dàng bị phát hiện và xử lý nghiêm. - HUMAN-ENF1]]</f>
        <v>7</v>
      </c>
      <c r="D325">
        <f t="shared" si="141"/>
        <v>0.66666666666666663</v>
      </c>
      <c r="E325">
        <f>step3_validation[[#This Row],[AI_ENF2]]</f>
        <v>8</v>
      </c>
      <c r="F325">
        <f t="shared" si="142"/>
        <v>0.77777777777777779</v>
      </c>
      <c r="G325">
        <f>survey_responses[[#This Row],[Tôi tin rằng Nhà nước, cơ quan thuế có đủ khả năng và công nghệ để phát hiện, xử lý nghiêm các hành vi trốn thuế. - HUMAN-ENF2]]</f>
        <v>7</v>
      </c>
      <c r="H325">
        <f t="shared" si="143"/>
        <v>0.66666666666666663</v>
      </c>
      <c r="I325" s="32">
        <f t="shared" si="144"/>
        <v>0.72222222222222221</v>
      </c>
      <c r="J325" s="32">
        <f t="shared" si="145"/>
        <v>0.66666666666666663</v>
      </c>
      <c r="K325">
        <f>step3_validation[[#This Row],[AI_FAC1]]</f>
        <v>6</v>
      </c>
      <c r="L325">
        <f t="shared" si="146"/>
        <v>0.55555555555555558</v>
      </c>
      <c r="M325">
        <f>survey_responses[[#This Row],[Các thủ tục khai báo thuế VÀ/HOẶC quy trình làm việc với cơ quan thuế đơn giản, tiện lợi, nhanh chóng hơn so với trước đây. - HUMAN-FAC1]]</f>
        <v>5</v>
      </c>
      <c r="N325">
        <f t="shared" si="147"/>
        <v>0.44444444444444442</v>
      </c>
      <c r="O325">
        <f>step3_validation[[#This Row],[AI_FAC2]]</f>
        <v>7</v>
      </c>
      <c r="P325">
        <f t="shared" si="148"/>
        <v>0.66666666666666663</v>
      </c>
      <c r="Q325">
        <f>survey_responses[[#This Row],[So với trước đây, tôi thấy cách tính thuế và các bậc thuế trong phương án mới đơn giản, dễ hiểu và dễ thực hiện hơn. - HUMAN-FAC2]]</f>
        <v>7</v>
      </c>
      <c r="R325">
        <f t="shared" si="149"/>
        <v>0.66666666666666663</v>
      </c>
      <c r="S325" s="32">
        <f t="shared" si="150"/>
        <v>0.61111111111111116</v>
      </c>
      <c r="T325" s="32">
        <f t="shared" si="151"/>
        <v>0.55555555555555558</v>
      </c>
      <c r="U325">
        <f>step3_validation[[#This Row],[AI_TRU1]]</f>
        <v>6</v>
      </c>
      <c r="V325">
        <f t="shared" si="152"/>
        <v>0.55555555555555558</v>
      </c>
      <c r="W325">
        <f>survey_responses[[#This Row],[Tôi tin rằng Nhà nước, cơ quan thuế sẽ thực thi chính sách mới một cách khách quan, công tâm và đối xử bình đẳng với mọi người nộp thuế.  - HUMAN-TRU1]]</f>
        <v>7</v>
      </c>
      <c r="X325">
        <f t="shared" si="153"/>
        <v>0.66666666666666663</v>
      </c>
      <c r="Y325">
        <f>step3_validation[[#This Row],[AI_TRU2]]</f>
        <v>8</v>
      </c>
      <c r="Z325">
        <f t="shared" si="154"/>
        <v>0.77777777777777779</v>
      </c>
      <c r="AA325">
        <f>survey_responses[[#This Row],[Tôi thấy mức thuế tôi phải đóng theo phương án mới là công bằng (người thu nhập như tôi đóng mức này là hợp lý). - HUMAN-TRU2]]</f>
        <v>7</v>
      </c>
      <c r="AB325">
        <f t="shared" si="155"/>
        <v>0.66666666666666663</v>
      </c>
      <c r="AC325">
        <f>step3_validation[[#This Row],[AI_TRU3]]</f>
        <v>7</v>
      </c>
      <c r="AD325">
        <f t="shared" si="156"/>
        <v>0.66666666666666663</v>
      </c>
      <c r="AE325">
        <f>survey_responses[[#This Row],[Tôi tin tưởng số tiền thuế tôi đóng sẽ được Nhà nước sử dụng hiệu quả để cải thiện dịch vụ công (y tế, đường xá...). - HUMAN-TRU3]]</f>
        <v>5</v>
      </c>
      <c r="AF325">
        <f t="shared" si="157"/>
        <v>0.44444444444444442</v>
      </c>
      <c r="AG325">
        <f>step3_validation[[#This Row],[AI_TRU4]]</f>
        <v>6</v>
      </c>
      <c r="AH325">
        <f t="shared" si="158"/>
        <v>0.55555555555555558</v>
      </c>
      <c r="AI325">
        <f>survey_responses[[#This Row],[Tôi thấy Nhà nước đã giải thích rõ ràng, minh bạch về lý do và mục tiêu của việc sửa đổi thuế lần này. - HUMAN-TRU4]]</f>
        <v>5</v>
      </c>
      <c r="AJ325">
        <f t="shared" si="159"/>
        <v>0.44444444444444442</v>
      </c>
      <c r="AK325" s="32">
        <f t="shared" si="160"/>
        <v>0.63888888888888884</v>
      </c>
      <c r="AL325" s="32">
        <f t="shared" si="161"/>
        <v>0.55555555555555558</v>
      </c>
      <c r="AM325" s="7">
        <f t="shared" si="162"/>
        <v>0.65740740740740744</v>
      </c>
      <c r="AN325" s="7">
        <f t="shared" si="163"/>
        <v>0.59259259259259267</v>
      </c>
      <c r="AO325">
        <f>step3_validation[[#This Row],[AI_OUT1]]</f>
        <v>8</v>
      </c>
      <c r="AP325">
        <f t="shared" si="164"/>
        <v>0.77777777777777779</v>
      </c>
      <c r="AQ325">
        <f>survey_responses[[#This Row],[Sau khi xem xét các quyền lợi và nghĩa vụ, bạn có ủng hộ và tuân thủ chính sách mới hiện nay? - HUMAN-OUT1]]</f>
        <v>8</v>
      </c>
      <c r="AR325">
        <f t="shared" si="165"/>
        <v>0.77777777777777779</v>
      </c>
      <c r="AS325" s="32">
        <f t="shared" si="166"/>
        <v>0</v>
      </c>
      <c r="AT325">
        <f t="shared" si="167"/>
        <v>1</v>
      </c>
    </row>
    <row r="326" spans="1:46" x14ac:dyDescent="0.45">
      <c r="A326">
        <f>step3_validation[[#This Row],[AI_ENF1]]</f>
        <v>6</v>
      </c>
      <c r="B326">
        <f t="shared" si="140"/>
        <v>0.55555555555555558</v>
      </c>
      <c r="C326">
        <f>survey_responses[[#This Row],[Tôi tin rằng với các quy định quản lý thuế hiện nay, hành vi gian lận hoặc trốn thuế sẽ dễ dàng bị phát hiện và xử lý nghiêm. - HUMAN-ENF1]]</f>
        <v>2</v>
      </c>
      <c r="D326">
        <f t="shared" si="141"/>
        <v>0.1111111111111111</v>
      </c>
      <c r="E326">
        <f>step3_validation[[#This Row],[AI_ENF2]]</f>
        <v>5</v>
      </c>
      <c r="F326">
        <f t="shared" si="142"/>
        <v>0.44444444444444442</v>
      </c>
      <c r="G326">
        <f>survey_responses[[#This Row],[Tôi tin rằng Nhà nước, cơ quan thuế có đủ khả năng và công nghệ để phát hiện, xử lý nghiêm các hành vi trốn thuế. - HUMAN-ENF2]]</f>
        <v>2</v>
      </c>
      <c r="H326">
        <f t="shared" si="143"/>
        <v>0.1111111111111111</v>
      </c>
      <c r="I326" s="32">
        <f t="shared" si="144"/>
        <v>0.5</v>
      </c>
      <c r="J326" s="32">
        <f t="shared" si="145"/>
        <v>0.1111111111111111</v>
      </c>
      <c r="K326">
        <f>step3_validation[[#This Row],[AI_FAC1]]</f>
        <v>7</v>
      </c>
      <c r="L326">
        <f t="shared" si="146"/>
        <v>0.66666666666666663</v>
      </c>
      <c r="M326">
        <f>survey_responses[[#This Row],[Các thủ tục khai báo thuế VÀ/HOẶC quy trình làm việc với cơ quan thuế đơn giản, tiện lợi, nhanh chóng hơn so với trước đây. - HUMAN-FAC1]]</f>
        <v>6</v>
      </c>
      <c r="N326">
        <f t="shared" si="147"/>
        <v>0.55555555555555558</v>
      </c>
      <c r="O326">
        <f>step3_validation[[#This Row],[AI_FAC2]]</f>
        <v>9</v>
      </c>
      <c r="P326">
        <f t="shared" si="148"/>
        <v>0.88888888888888884</v>
      </c>
      <c r="Q326">
        <f>survey_responses[[#This Row],[So với trước đây, tôi thấy cách tính thuế và các bậc thuế trong phương án mới đơn giản, dễ hiểu và dễ thực hiện hơn. - HUMAN-FAC2]]</f>
        <v>7</v>
      </c>
      <c r="R326">
        <f t="shared" si="149"/>
        <v>0.66666666666666663</v>
      </c>
      <c r="S326" s="32">
        <f t="shared" si="150"/>
        <v>0.77777777777777768</v>
      </c>
      <c r="T326" s="32">
        <f t="shared" si="151"/>
        <v>0.61111111111111116</v>
      </c>
      <c r="U326">
        <f>step3_validation[[#This Row],[AI_TRU1]]</f>
        <v>7</v>
      </c>
      <c r="V326">
        <f t="shared" si="152"/>
        <v>0.66666666666666663</v>
      </c>
      <c r="W326">
        <f>survey_responses[[#This Row],[Tôi tin rằng Nhà nước, cơ quan thuế sẽ thực thi chính sách mới một cách khách quan, công tâm và đối xử bình đẳng với mọi người nộp thuế.  - HUMAN-TRU1]]</f>
        <v>2</v>
      </c>
      <c r="X326">
        <f t="shared" si="153"/>
        <v>0.1111111111111111</v>
      </c>
      <c r="Y326">
        <f>step3_validation[[#This Row],[AI_TRU2]]</f>
        <v>6</v>
      </c>
      <c r="Z326">
        <f t="shared" si="154"/>
        <v>0.55555555555555558</v>
      </c>
      <c r="AA326">
        <f>survey_responses[[#This Row],[Tôi thấy mức thuế tôi phải đóng theo phương án mới là công bằng (người thu nhập như tôi đóng mức này là hợp lý). - HUMAN-TRU2]]</f>
        <v>5</v>
      </c>
      <c r="AB326">
        <f t="shared" si="155"/>
        <v>0.44444444444444442</v>
      </c>
      <c r="AC326">
        <f>step3_validation[[#This Row],[AI_TRU3]]</f>
        <v>5</v>
      </c>
      <c r="AD326">
        <f t="shared" si="156"/>
        <v>0.44444444444444442</v>
      </c>
      <c r="AE326">
        <f>survey_responses[[#This Row],[Tôi tin tưởng số tiền thuế tôi đóng sẽ được Nhà nước sử dụng hiệu quả để cải thiện dịch vụ công (y tế, đường xá...). - HUMAN-TRU3]]</f>
        <v>5</v>
      </c>
      <c r="AF326">
        <f t="shared" si="157"/>
        <v>0.44444444444444442</v>
      </c>
      <c r="AG326">
        <f>step3_validation[[#This Row],[AI_TRU4]]</f>
        <v>4</v>
      </c>
      <c r="AH326">
        <f t="shared" si="158"/>
        <v>0.33333333333333331</v>
      </c>
      <c r="AI326">
        <f>survey_responses[[#This Row],[Tôi thấy Nhà nước đã giải thích rõ ràng, minh bạch về lý do và mục tiêu của việc sửa đổi thuế lần này. - HUMAN-TRU4]]</f>
        <v>6</v>
      </c>
      <c r="AJ326">
        <f t="shared" si="159"/>
        <v>0.55555555555555558</v>
      </c>
      <c r="AK326" s="32">
        <f t="shared" si="160"/>
        <v>0.5</v>
      </c>
      <c r="AL326" s="32">
        <f t="shared" si="161"/>
        <v>0.3888888888888889</v>
      </c>
      <c r="AM326" s="7">
        <f t="shared" si="162"/>
        <v>0.59259259259259256</v>
      </c>
      <c r="AN326" s="7">
        <f t="shared" si="163"/>
        <v>0.37037037037037041</v>
      </c>
      <c r="AO326">
        <f>step3_validation[[#This Row],[AI_OUT1]]</f>
        <v>7</v>
      </c>
      <c r="AP326">
        <f t="shared" si="164"/>
        <v>0.66666666666666663</v>
      </c>
      <c r="AQ326">
        <f>survey_responses[[#This Row],[Sau khi xem xét các quyền lợi và nghĩa vụ, bạn có ủng hộ và tuân thủ chính sách mới hiện nay? - HUMAN-OUT1]]</f>
        <v>5</v>
      </c>
      <c r="AR326">
        <f t="shared" si="165"/>
        <v>0.44444444444444442</v>
      </c>
      <c r="AS326" s="32">
        <f t="shared" si="166"/>
        <v>2</v>
      </c>
      <c r="AT326">
        <f t="shared" si="167"/>
        <v>0</v>
      </c>
    </row>
    <row r="327" spans="1:46" x14ac:dyDescent="0.45">
      <c r="A327">
        <f>step3_validation[[#This Row],[AI_ENF1]]</f>
        <v>7</v>
      </c>
      <c r="B327">
        <f t="shared" si="140"/>
        <v>0.66666666666666663</v>
      </c>
      <c r="C327">
        <f>survey_responses[[#This Row],[Tôi tin rằng với các quy định quản lý thuế hiện nay, hành vi gian lận hoặc trốn thuế sẽ dễ dàng bị phát hiện và xử lý nghiêm. - HUMAN-ENF1]]</f>
        <v>8</v>
      </c>
      <c r="D327">
        <f t="shared" si="141"/>
        <v>0.77777777777777779</v>
      </c>
      <c r="E327">
        <f>step3_validation[[#This Row],[AI_ENF2]]</f>
        <v>8</v>
      </c>
      <c r="F327">
        <f t="shared" si="142"/>
        <v>0.77777777777777779</v>
      </c>
      <c r="G327">
        <f>survey_responses[[#This Row],[Tôi tin rằng Nhà nước, cơ quan thuế có đủ khả năng và công nghệ để phát hiện, xử lý nghiêm các hành vi trốn thuế. - HUMAN-ENF2]]</f>
        <v>9</v>
      </c>
      <c r="H327">
        <f t="shared" si="143"/>
        <v>0.88888888888888884</v>
      </c>
      <c r="I327" s="32">
        <f t="shared" si="144"/>
        <v>0.72222222222222221</v>
      </c>
      <c r="J327" s="32">
        <f t="shared" si="145"/>
        <v>0.83333333333333326</v>
      </c>
      <c r="K327">
        <f>step3_validation[[#This Row],[AI_FAC1]]</f>
        <v>6</v>
      </c>
      <c r="L327">
        <f t="shared" si="146"/>
        <v>0.55555555555555558</v>
      </c>
      <c r="M327">
        <f>survey_responses[[#This Row],[Các thủ tục khai báo thuế VÀ/HOẶC quy trình làm việc với cơ quan thuế đơn giản, tiện lợi, nhanh chóng hơn so với trước đây. - HUMAN-FAC1]]</f>
        <v>9</v>
      </c>
      <c r="N327">
        <f t="shared" si="147"/>
        <v>0.88888888888888884</v>
      </c>
      <c r="O327">
        <f>step3_validation[[#This Row],[AI_FAC2]]</f>
        <v>9</v>
      </c>
      <c r="P327">
        <f t="shared" si="148"/>
        <v>0.88888888888888884</v>
      </c>
      <c r="Q327">
        <f>survey_responses[[#This Row],[So với trước đây, tôi thấy cách tính thuế và các bậc thuế trong phương án mới đơn giản, dễ hiểu và dễ thực hiện hơn. - HUMAN-FAC2]]</f>
        <v>10</v>
      </c>
      <c r="R327">
        <f t="shared" si="149"/>
        <v>1</v>
      </c>
      <c r="S327" s="32">
        <f t="shared" si="150"/>
        <v>0.72222222222222221</v>
      </c>
      <c r="T327" s="32">
        <f t="shared" si="151"/>
        <v>0.94444444444444442</v>
      </c>
      <c r="U327">
        <f>step3_validation[[#This Row],[AI_TRU1]]</f>
        <v>7</v>
      </c>
      <c r="V327">
        <f t="shared" si="152"/>
        <v>0.66666666666666663</v>
      </c>
      <c r="W327">
        <f>survey_responses[[#This Row],[Tôi tin rằng Nhà nước, cơ quan thuế sẽ thực thi chính sách mới một cách khách quan, công tâm và đối xử bình đẳng với mọi người nộp thuế.  - HUMAN-TRU1]]</f>
        <v>8</v>
      </c>
      <c r="X327">
        <f t="shared" si="153"/>
        <v>0.77777777777777779</v>
      </c>
      <c r="Y327">
        <f>step3_validation[[#This Row],[AI_TRU2]]</f>
        <v>8</v>
      </c>
      <c r="Z327">
        <f t="shared" si="154"/>
        <v>0.77777777777777779</v>
      </c>
      <c r="AA327">
        <f>survey_responses[[#This Row],[Tôi thấy mức thuế tôi phải đóng theo phương án mới là công bằng (người thu nhập như tôi đóng mức này là hợp lý). - HUMAN-TRU2]]</f>
        <v>10</v>
      </c>
      <c r="AB327">
        <f t="shared" si="155"/>
        <v>1</v>
      </c>
      <c r="AC327">
        <f>step3_validation[[#This Row],[AI_TRU3]]</f>
        <v>6</v>
      </c>
      <c r="AD327">
        <f t="shared" si="156"/>
        <v>0.55555555555555558</v>
      </c>
      <c r="AE327">
        <f>survey_responses[[#This Row],[Tôi tin tưởng số tiền thuế tôi đóng sẽ được Nhà nước sử dụng hiệu quả để cải thiện dịch vụ công (y tế, đường xá...). - HUMAN-TRU3]]</f>
        <v>9</v>
      </c>
      <c r="AF327">
        <f t="shared" si="157"/>
        <v>0.88888888888888884</v>
      </c>
      <c r="AG327">
        <f>step3_validation[[#This Row],[AI_TRU4]]</f>
        <v>7</v>
      </c>
      <c r="AH327">
        <f t="shared" si="158"/>
        <v>0.66666666666666663</v>
      </c>
      <c r="AI327">
        <f>survey_responses[[#This Row],[Tôi thấy Nhà nước đã giải thích rõ ràng, minh bạch về lý do và mục tiêu của việc sửa đổi thuế lần này. - HUMAN-TRU4]]</f>
        <v>9</v>
      </c>
      <c r="AJ327">
        <f t="shared" si="159"/>
        <v>0.88888888888888884</v>
      </c>
      <c r="AK327" s="32">
        <f t="shared" si="160"/>
        <v>0.66666666666666663</v>
      </c>
      <c r="AL327" s="32">
        <f t="shared" si="161"/>
        <v>0.88888888888888884</v>
      </c>
      <c r="AM327" s="7">
        <f t="shared" si="162"/>
        <v>0.70370370370370372</v>
      </c>
      <c r="AN327" s="7">
        <f t="shared" si="163"/>
        <v>0.88888888888888884</v>
      </c>
      <c r="AO327">
        <f>step3_validation[[#This Row],[AI_OUT1]]</f>
        <v>6</v>
      </c>
      <c r="AP327">
        <f t="shared" si="164"/>
        <v>0.55555555555555558</v>
      </c>
      <c r="AQ327">
        <f>survey_responses[[#This Row],[Sau khi xem xét các quyền lợi và nghĩa vụ, bạn có ủng hộ và tuân thủ chính sách mới hiện nay? - HUMAN-OUT1]]</f>
        <v>10</v>
      </c>
      <c r="AR327">
        <f t="shared" si="165"/>
        <v>1</v>
      </c>
      <c r="AS327" s="32">
        <f t="shared" si="166"/>
        <v>4</v>
      </c>
      <c r="AT327">
        <f t="shared" si="167"/>
        <v>1</v>
      </c>
    </row>
    <row r="328" spans="1:46" x14ac:dyDescent="0.45">
      <c r="A328">
        <f>step3_validation[[#This Row],[AI_ENF1]]</f>
        <v>8</v>
      </c>
      <c r="B328">
        <f t="shared" si="140"/>
        <v>0.77777777777777779</v>
      </c>
      <c r="C328">
        <f>survey_responses[[#This Row],[Tôi tin rằng với các quy định quản lý thuế hiện nay, hành vi gian lận hoặc trốn thuế sẽ dễ dàng bị phát hiện và xử lý nghiêm. - HUMAN-ENF1]]</f>
        <v>7</v>
      </c>
      <c r="D328">
        <f t="shared" si="141"/>
        <v>0.66666666666666663</v>
      </c>
      <c r="E328">
        <f>step3_validation[[#This Row],[AI_ENF2]]</f>
        <v>7</v>
      </c>
      <c r="F328">
        <f t="shared" si="142"/>
        <v>0.66666666666666663</v>
      </c>
      <c r="G328">
        <f>survey_responses[[#This Row],[Tôi tin rằng Nhà nước, cơ quan thuế có đủ khả năng và công nghệ để phát hiện, xử lý nghiêm các hành vi trốn thuế. - HUMAN-ENF2]]</f>
        <v>7</v>
      </c>
      <c r="H328">
        <f t="shared" si="143"/>
        <v>0.66666666666666663</v>
      </c>
      <c r="I328" s="32">
        <f t="shared" si="144"/>
        <v>0.72222222222222221</v>
      </c>
      <c r="J328" s="32">
        <f t="shared" si="145"/>
        <v>0.66666666666666663</v>
      </c>
      <c r="K328">
        <f>step3_validation[[#This Row],[AI_FAC1]]</f>
        <v>6</v>
      </c>
      <c r="L328">
        <f t="shared" si="146"/>
        <v>0.55555555555555558</v>
      </c>
      <c r="M328">
        <f>survey_responses[[#This Row],[Các thủ tục khai báo thuế VÀ/HOẶC quy trình làm việc với cơ quan thuế đơn giản, tiện lợi, nhanh chóng hơn so với trước đây. - HUMAN-FAC1]]</f>
        <v>7</v>
      </c>
      <c r="N328">
        <f t="shared" si="147"/>
        <v>0.66666666666666663</v>
      </c>
      <c r="O328">
        <f>step3_validation[[#This Row],[AI_FAC2]]</f>
        <v>8</v>
      </c>
      <c r="P328">
        <f t="shared" si="148"/>
        <v>0.77777777777777779</v>
      </c>
      <c r="Q328">
        <f>survey_responses[[#This Row],[So với trước đây, tôi thấy cách tính thuế và các bậc thuế trong phương án mới đơn giản, dễ hiểu và dễ thực hiện hơn. - HUMAN-FAC2]]</f>
        <v>9</v>
      </c>
      <c r="R328">
        <f t="shared" si="149"/>
        <v>0.88888888888888884</v>
      </c>
      <c r="S328" s="32">
        <f t="shared" si="150"/>
        <v>0.66666666666666674</v>
      </c>
      <c r="T328" s="32">
        <f t="shared" si="151"/>
        <v>0.77777777777777768</v>
      </c>
      <c r="U328">
        <f>step3_validation[[#This Row],[AI_TRU1]]</f>
        <v>7</v>
      </c>
      <c r="V328">
        <f t="shared" si="152"/>
        <v>0.66666666666666663</v>
      </c>
      <c r="W328">
        <f>survey_responses[[#This Row],[Tôi tin rằng Nhà nước, cơ quan thuế sẽ thực thi chính sách mới một cách khách quan, công tâm và đối xử bình đẳng với mọi người nộp thuế.  - HUMAN-TRU1]]</f>
        <v>7</v>
      </c>
      <c r="X328">
        <f t="shared" si="153"/>
        <v>0.66666666666666663</v>
      </c>
      <c r="Y328">
        <f>step3_validation[[#This Row],[AI_TRU2]]</f>
        <v>6</v>
      </c>
      <c r="Z328">
        <f t="shared" si="154"/>
        <v>0.55555555555555558</v>
      </c>
      <c r="AA328">
        <f>survey_responses[[#This Row],[Tôi thấy mức thuế tôi phải đóng theo phương án mới là công bằng (người thu nhập như tôi đóng mức này là hợp lý). - HUMAN-TRU2]]</f>
        <v>8</v>
      </c>
      <c r="AB328">
        <f t="shared" si="155"/>
        <v>0.77777777777777779</v>
      </c>
      <c r="AC328">
        <f>step3_validation[[#This Row],[AI_TRU3]]</f>
        <v>6</v>
      </c>
      <c r="AD328">
        <f t="shared" si="156"/>
        <v>0.55555555555555558</v>
      </c>
      <c r="AE328">
        <f>survey_responses[[#This Row],[Tôi tin tưởng số tiền thuế tôi đóng sẽ được Nhà nước sử dụng hiệu quả để cải thiện dịch vụ công (y tế, đường xá...). - HUMAN-TRU3]]</f>
        <v>5</v>
      </c>
      <c r="AF328">
        <f t="shared" si="157"/>
        <v>0.44444444444444442</v>
      </c>
      <c r="AG328">
        <f>step3_validation[[#This Row],[AI_TRU4]]</f>
        <v>7</v>
      </c>
      <c r="AH328">
        <f t="shared" si="158"/>
        <v>0.66666666666666663</v>
      </c>
      <c r="AI328">
        <f>survey_responses[[#This Row],[Tôi thấy Nhà nước đã giải thích rõ ràng, minh bạch về lý do và mục tiêu của việc sửa đổi thuế lần này. - HUMAN-TRU4]]</f>
        <v>7</v>
      </c>
      <c r="AJ328">
        <f t="shared" si="159"/>
        <v>0.66666666666666663</v>
      </c>
      <c r="AK328" s="32">
        <f t="shared" si="160"/>
        <v>0.61111111111111116</v>
      </c>
      <c r="AL328" s="32">
        <f t="shared" si="161"/>
        <v>0.63888888888888884</v>
      </c>
      <c r="AM328" s="7">
        <f t="shared" si="162"/>
        <v>0.66666666666666663</v>
      </c>
      <c r="AN328" s="7">
        <f t="shared" si="163"/>
        <v>0.69444444444444431</v>
      </c>
      <c r="AO328">
        <f>step3_validation[[#This Row],[AI_OUT1]]</f>
        <v>5</v>
      </c>
      <c r="AP328">
        <f t="shared" si="164"/>
        <v>0.44444444444444442</v>
      </c>
      <c r="AQ328">
        <f>survey_responses[[#This Row],[Sau khi xem xét các quyền lợi và nghĩa vụ, bạn có ủng hộ và tuân thủ chính sách mới hiện nay? - HUMAN-OUT1]]</f>
        <v>8</v>
      </c>
      <c r="AR328">
        <f t="shared" si="165"/>
        <v>0.77777777777777779</v>
      </c>
      <c r="AS328" s="32">
        <f t="shared" si="166"/>
        <v>3</v>
      </c>
      <c r="AT328">
        <f t="shared" si="167"/>
        <v>1</v>
      </c>
    </row>
    <row r="329" spans="1:46" x14ac:dyDescent="0.45">
      <c r="A329">
        <f>step3_validation[[#This Row],[AI_ENF1]]</f>
        <v>7</v>
      </c>
      <c r="B329">
        <f t="shared" si="140"/>
        <v>0.66666666666666663</v>
      </c>
      <c r="C329">
        <f>survey_responses[[#This Row],[Tôi tin rằng với các quy định quản lý thuế hiện nay, hành vi gian lận hoặc trốn thuế sẽ dễ dàng bị phát hiện và xử lý nghiêm. - HUMAN-ENF1]]</f>
        <v>7</v>
      </c>
      <c r="D329">
        <f t="shared" si="141"/>
        <v>0.66666666666666663</v>
      </c>
      <c r="E329">
        <f>step3_validation[[#This Row],[AI_ENF2]]</f>
        <v>8</v>
      </c>
      <c r="F329">
        <f t="shared" si="142"/>
        <v>0.77777777777777779</v>
      </c>
      <c r="G329">
        <f>survey_responses[[#This Row],[Tôi tin rằng Nhà nước, cơ quan thuế có đủ khả năng và công nghệ để phát hiện, xử lý nghiêm các hành vi trốn thuế. - HUMAN-ENF2]]</f>
        <v>8</v>
      </c>
      <c r="H329">
        <f t="shared" si="143"/>
        <v>0.77777777777777779</v>
      </c>
      <c r="I329" s="32">
        <f t="shared" si="144"/>
        <v>0.72222222222222221</v>
      </c>
      <c r="J329" s="32">
        <f t="shared" si="145"/>
        <v>0.72222222222222221</v>
      </c>
      <c r="K329">
        <f>step3_validation[[#This Row],[AI_FAC1]]</f>
        <v>9</v>
      </c>
      <c r="L329">
        <f t="shared" si="146"/>
        <v>0.88888888888888884</v>
      </c>
      <c r="M329">
        <f>survey_responses[[#This Row],[Các thủ tục khai báo thuế VÀ/HOẶC quy trình làm việc với cơ quan thuế đơn giản, tiện lợi, nhanh chóng hơn so với trước đây. - HUMAN-FAC1]]</f>
        <v>9</v>
      </c>
      <c r="N329">
        <f t="shared" si="147"/>
        <v>0.88888888888888884</v>
      </c>
      <c r="O329">
        <f>step3_validation[[#This Row],[AI_FAC2]]</f>
        <v>8</v>
      </c>
      <c r="P329">
        <f t="shared" si="148"/>
        <v>0.77777777777777779</v>
      </c>
      <c r="Q329">
        <f>survey_responses[[#This Row],[So với trước đây, tôi thấy cách tính thuế và các bậc thuế trong phương án mới đơn giản, dễ hiểu và dễ thực hiện hơn. - HUMAN-FAC2]]</f>
        <v>9</v>
      </c>
      <c r="R329">
        <f t="shared" si="149"/>
        <v>0.88888888888888884</v>
      </c>
      <c r="S329" s="32">
        <f t="shared" si="150"/>
        <v>0.83333333333333326</v>
      </c>
      <c r="T329" s="32">
        <f t="shared" si="151"/>
        <v>0.88888888888888884</v>
      </c>
      <c r="U329">
        <f>step3_validation[[#This Row],[AI_TRU1]]</f>
        <v>7</v>
      </c>
      <c r="V329">
        <f t="shared" si="152"/>
        <v>0.66666666666666663</v>
      </c>
      <c r="W329">
        <f>survey_responses[[#This Row],[Tôi tin rằng Nhà nước, cơ quan thuế sẽ thực thi chính sách mới một cách khách quan, công tâm và đối xử bình đẳng với mọi người nộp thuế.  - HUMAN-TRU1]]</f>
        <v>9</v>
      </c>
      <c r="X329">
        <f t="shared" si="153"/>
        <v>0.88888888888888884</v>
      </c>
      <c r="Y329">
        <f>step3_validation[[#This Row],[AI_TRU2]]</f>
        <v>6</v>
      </c>
      <c r="Z329">
        <f t="shared" si="154"/>
        <v>0.55555555555555558</v>
      </c>
      <c r="AA329">
        <f>survey_responses[[#This Row],[Tôi thấy mức thuế tôi phải đóng theo phương án mới là công bằng (người thu nhập như tôi đóng mức này là hợp lý). - HUMAN-TRU2]]</f>
        <v>8</v>
      </c>
      <c r="AB329">
        <f t="shared" si="155"/>
        <v>0.77777777777777779</v>
      </c>
      <c r="AC329">
        <f>step3_validation[[#This Row],[AI_TRU3]]</f>
        <v>7</v>
      </c>
      <c r="AD329">
        <f t="shared" si="156"/>
        <v>0.66666666666666663</v>
      </c>
      <c r="AE329">
        <f>survey_responses[[#This Row],[Tôi tin tưởng số tiền thuế tôi đóng sẽ được Nhà nước sử dụng hiệu quả để cải thiện dịch vụ công (y tế, đường xá...). - HUMAN-TRU3]]</f>
        <v>7</v>
      </c>
      <c r="AF329">
        <f t="shared" si="157"/>
        <v>0.66666666666666663</v>
      </c>
      <c r="AG329">
        <f>step3_validation[[#This Row],[AI_TRU4]]</f>
        <v>5</v>
      </c>
      <c r="AH329">
        <f t="shared" si="158"/>
        <v>0.44444444444444442</v>
      </c>
      <c r="AI329">
        <f>survey_responses[[#This Row],[Tôi thấy Nhà nước đã giải thích rõ ràng, minh bạch về lý do và mục tiêu của việc sửa đổi thuế lần này. - HUMAN-TRU4]]</f>
        <v>7</v>
      </c>
      <c r="AJ329">
        <f t="shared" si="159"/>
        <v>0.66666666666666663</v>
      </c>
      <c r="AK329" s="32">
        <f t="shared" si="160"/>
        <v>0.58333333333333326</v>
      </c>
      <c r="AL329" s="32">
        <f t="shared" si="161"/>
        <v>0.74999999999999989</v>
      </c>
      <c r="AM329" s="7">
        <f t="shared" si="162"/>
        <v>0.7129629629629628</v>
      </c>
      <c r="AN329" s="7">
        <f t="shared" si="163"/>
        <v>0.78703703703703709</v>
      </c>
      <c r="AO329">
        <f>step3_validation[[#This Row],[AI_OUT1]]</f>
        <v>8</v>
      </c>
      <c r="AP329">
        <f t="shared" si="164"/>
        <v>0.77777777777777779</v>
      </c>
      <c r="AQ329">
        <f>survey_responses[[#This Row],[Sau khi xem xét các quyền lợi và nghĩa vụ, bạn có ủng hộ và tuân thủ chính sách mới hiện nay? - HUMAN-OUT1]]</f>
        <v>9</v>
      </c>
      <c r="AR329">
        <f t="shared" si="165"/>
        <v>0.88888888888888884</v>
      </c>
      <c r="AS329" s="32">
        <f t="shared" si="166"/>
        <v>1</v>
      </c>
      <c r="AT329">
        <f t="shared" si="167"/>
        <v>1</v>
      </c>
    </row>
    <row r="330" spans="1:46" x14ac:dyDescent="0.45">
      <c r="A330">
        <f>step3_validation[[#This Row],[AI_ENF1]]</f>
        <v>5</v>
      </c>
      <c r="B330">
        <f t="shared" si="140"/>
        <v>0.44444444444444442</v>
      </c>
      <c r="C330">
        <f>survey_responses[[#This Row],[Tôi tin rằng với các quy định quản lý thuế hiện nay, hành vi gian lận hoặc trốn thuế sẽ dễ dàng bị phát hiện và xử lý nghiêm. - HUMAN-ENF1]]</f>
        <v>7</v>
      </c>
      <c r="D330">
        <f t="shared" si="141"/>
        <v>0.66666666666666663</v>
      </c>
      <c r="E330">
        <f>step3_validation[[#This Row],[AI_ENF2]]</f>
        <v>6</v>
      </c>
      <c r="F330">
        <f t="shared" si="142"/>
        <v>0.55555555555555558</v>
      </c>
      <c r="G330">
        <f>survey_responses[[#This Row],[Tôi tin rằng Nhà nước, cơ quan thuế có đủ khả năng và công nghệ để phát hiện, xử lý nghiêm các hành vi trốn thuế. - HUMAN-ENF2]]</f>
        <v>7</v>
      </c>
      <c r="H330">
        <f t="shared" si="143"/>
        <v>0.66666666666666663</v>
      </c>
      <c r="I330" s="32">
        <f t="shared" si="144"/>
        <v>0.5</v>
      </c>
      <c r="J330" s="32">
        <f t="shared" si="145"/>
        <v>0.66666666666666663</v>
      </c>
      <c r="K330">
        <f>step3_validation[[#This Row],[AI_FAC1]]</f>
        <v>8</v>
      </c>
      <c r="L330">
        <f t="shared" si="146"/>
        <v>0.77777777777777779</v>
      </c>
      <c r="M330">
        <f>survey_responses[[#This Row],[Các thủ tục khai báo thuế VÀ/HOẶC quy trình làm việc với cơ quan thuế đơn giản, tiện lợi, nhanh chóng hơn so với trước đây. - HUMAN-FAC1]]</f>
        <v>9</v>
      </c>
      <c r="N330">
        <f t="shared" si="147"/>
        <v>0.88888888888888884</v>
      </c>
      <c r="O330">
        <f>step3_validation[[#This Row],[AI_FAC2]]</f>
        <v>9</v>
      </c>
      <c r="P330">
        <f t="shared" si="148"/>
        <v>0.88888888888888884</v>
      </c>
      <c r="Q330">
        <f>survey_responses[[#This Row],[So với trước đây, tôi thấy cách tính thuế và các bậc thuế trong phương án mới đơn giản, dễ hiểu và dễ thực hiện hơn. - HUMAN-FAC2]]</f>
        <v>9</v>
      </c>
      <c r="R330">
        <f t="shared" si="149"/>
        <v>0.88888888888888884</v>
      </c>
      <c r="S330" s="32">
        <f t="shared" si="150"/>
        <v>0.83333333333333326</v>
      </c>
      <c r="T330" s="32">
        <f t="shared" si="151"/>
        <v>0.88888888888888884</v>
      </c>
      <c r="U330">
        <f>step3_validation[[#This Row],[AI_TRU1]]</f>
        <v>7</v>
      </c>
      <c r="V330">
        <f t="shared" si="152"/>
        <v>0.66666666666666663</v>
      </c>
      <c r="W330">
        <f>survey_responses[[#This Row],[Tôi tin rằng Nhà nước, cơ quan thuế sẽ thực thi chính sách mới một cách khách quan, công tâm và đối xử bình đẳng với mọi người nộp thuế.  - HUMAN-TRU1]]</f>
        <v>9</v>
      </c>
      <c r="X330">
        <f t="shared" si="153"/>
        <v>0.88888888888888884</v>
      </c>
      <c r="Y330">
        <f>step3_validation[[#This Row],[AI_TRU2]]</f>
        <v>6</v>
      </c>
      <c r="Z330">
        <f t="shared" si="154"/>
        <v>0.55555555555555558</v>
      </c>
      <c r="AA330">
        <f>survey_responses[[#This Row],[Tôi thấy mức thuế tôi phải đóng theo phương án mới là công bằng (người thu nhập như tôi đóng mức này là hợp lý). - HUMAN-TRU2]]</f>
        <v>9</v>
      </c>
      <c r="AB330">
        <f t="shared" si="155"/>
        <v>0.88888888888888884</v>
      </c>
      <c r="AC330">
        <f>step3_validation[[#This Row],[AI_TRU3]]</f>
        <v>5</v>
      </c>
      <c r="AD330">
        <f t="shared" si="156"/>
        <v>0.44444444444444442</v>
      </c>
      <c r="AE330">
        <f>survey_responses[[#This Row],[Tôi tin tưởng số tiền thuế tôi đóng sẽ được Nhà nước sử dụng hiệu quả để cải thiện dịch vụ công (y tế, đường xá...). - HUMAN-TRU3]]</f>
        <v>5</v>
      </c>
      <c r="AF330">
        <f t="shared" si="157"/>
        <v>0.44444444444444442</v>
      </c>
      <c r="AG330">
        <f>step3_validation[[#This Row],[AI_TRU4]]</f>
        <v>6</v>
      </c>
      <c r="AH330">
        <f t="shared" si="158"/>
        <v>0.55555555555555558</v>
      </c>
      <c r="AI330">
        <f>survey_responses[[#This Row],[Tôi thấy Nhà nước đã giải thích rõ ràng, minh bạch về lý do và mục tiêu của việc sửa đổi thuế lần này. - HUMAN-TRU4]]</f>
        <v>6</v>
      </c>
      <c r="AJ330">
        <f t="shared" si="159"/>
        <v>0.55555555555555558</v>
      </c>
      <c r="AK330" s="32">
        <f t="shared" si="160"/>
        <v>0.55555555555555558</v>
      </c>
      <c r="AL330" s="32">
        <f t="shared" si="161"/>
        <v>0.69444444444444442</v>
      </c>
      <c r="AM330" s="7">
        <f t="shared" si="162"/>
        <v>0.62962962962962965</v>
      </c>
      <c r="AN330" s="7">
        <f t="shared" si="163"/>
        <v>0.75</v>
      </c>
      <c r="AO330">
        <f>step3_validation[[#This Row],[AI_OUT1]]</f>
        <v>4</v>
      </c>
      <c r="AP330">
        <f t="shared" si="164"/>
        <v>0.33333333333333331</v>
      </c>
      <c r="AQ330">
        <f>survey_responses[[#This Row],[Sau khi xem xét các quyền lợi và nghĩa vụ, bạn có ủng hộ và tuân thủ chính sách mới hiện nay? - HUMAN-OUT1]]</f>
        <v>9</v>
      </c>
      <c r="AR330">
        <f t="shared" si="165"/>
        <v>0.88888888888888884</v>
      </c>
      <c r="AS330" s="32">
        <f t="shared" si="166"/>
        <v>5</v>
      </c>
      <c r="AT330">
        <f t="shared" si="167"/>
        <v>1</v>
      </c>
    </row>
    <row r="331" spans="1:46" x14ac:dyDescent="0.45">
      <c r="A331">
        <f>step3_validation[[#This Row],[AI_ENF1]]</f>
        <v>7</v>
      </c>
      <c r="B331">
        <f t="shared" si="140"/>
        <v>0.66666666666666663</v>
      </c>
      <c r="C331">
        <f>survey_responses[[#This Row],[Tôi tin rằng với các quy định quản lý thuế hiện nay, hành vi gian lận hoặc trốn thuế sẽ dễ dàng bị phát hiện và xử lý nghiêm. - HUMAN-ENF1]]</f>
        <v>3</v>
      </c>
      <c r="D331">
        <f t="shared" si="141"/>
        <v>0.22222222222222221</v>
      </c>
      <c r="E331">
        <f>step3_validation[[#This Row],[AI_ENF2]]</f>
        <v>7</v>
      </c>
      <c r="F331">
        <f t="shared" si="142"/>
        <v>0.66666666666666663</v>
      </c>
      <c r="G331">
        <f>survey_responses[[#This Row],[Tôi tin rằng Nhà nước, cơ quan thuế có đủ khả năng và công nghệ để phát hiện, xử lý nghiêm các hành vi trốn thuế. - HUMAN-ENF2]]</f>
        <v>3</v>
      </c>
      <c r="H331">
        <f t="shared" si="143"/>
        <v>0.22222222222222221</v>
      </c>
      <c r="I331" s="32">
        <f t="shared" si="144"/>
        <v>0.66666666666666663</v>
      </c>
      <c r="J331" s="32">
        <f t="shared" si="145"/>
        <v>0.22222222222222221</v>
      </c>
      <c r="K331">
        <f>step3_validation[[#This Row],[AI_FAC1]]</f>
        <v>6</v>
      </c>
      <c r="L331">
        <f t="shared" si="146"/>
        <v>0.55555555555555558</v>
      </c>
      <c r="M331">
        <f>survey_responses[[#This Row],[Các thủ tục khai báo thuế VÀ/HOẶC quy trình làm việc với cơ quan thuế đơn giản, tiện lợi, nhanh chóng hơn so với trước đây. - HUMAN-FAC1]]</f>
        <v>5</v>
      </c>
      <c r="N331">
        <f t="shared" si="147"/>
        <v>0.44444444444444442</v>
      </c>
      <c r="O331">
        <f>step3_validation[[#This Row],[AI_FAC2]]</f>
        <v>6</v>
      </c>
      <c r="P331">
        <f t="shared" si="148"/>
        <v>0.55555555555555558</v>
      </c>
      <c r="Q331">
        <f>survey_responses[[#This Row],[So với trước đây, tôi thấy cách tính thuế và các bậc thuế trong phương án mới đơn giản, dễ hiểu và dễ thực hiện hơn. - HUMAN-FAC2]]</f>
        <v>6</v>
      </c>
      <c r="R331">
        <f t="shared" si="149"/>
        <v>0.55555555555555558</v>
      </c>
      <c r="S331" s="32">
        <f t="shared" si="150"/>
        <v>0.55555555555555558</v>
      </c>
      <c r="T331" s="32">
        <f t="shared" si="151"/>
        <v>0.5</v>
      </c>
      <c r="U331">
        <f>step3_validation[[#This Row],[AI_TRU1]]</f>
        <v>7</v>
      </c>
      <c r="V331">
        <f t="shared" si="152"/>
        <v>0.66666666666666663</v>
      </c>
      <c r="W331">
        <f>survey_responses[[#This Row],[Tôi tin rằng Nhà nước, cơ quan thuế sẽ thực thi chính sách mới một cách khách quan, công tâm và đối xử bình đẳng với mọi người nộp thuế.  - HUMAN-TRU1]]</f>
        <v>4</v>
      </c>
      <c r="X331">
        <f t="shared" si="153"/>
        <v>0.33333333333333331</v>
      </c>
      <c r="Y331">
        <f>step3_validation[[#This Row],[AI_TRU2]]</f>
        <v>7</v>
      </c>
      <c r="Z331">
        <f t="shared" si="154"/>
        <v>0.66666666666666663</v>
      </c>
      <c r="AA331">
        <f>survey_responses[[#This Row],[Tôi thấy mức thuế tôi phải đóng theo phương án mới là công bằng (người thu nhập như tôi đóng mức này là hợp lý). - HUMAN-TRU2]]</f>
        <v>5</v>
      </c>
      <c r="AB331">
        <f t="shared" si="155"/>
        <v>0.44444444444444442</v>
      </c>
      <c r="AC331">
        <f>step3_validation[[#This Row],[AI_TRU3]]</f>
        <v>6</v>
      </c>
      <c r="AD331">
        <f t="shared" si="156"/>
        <v>0.55555555555555558</v>
      </c>
      <c r="AE331">
        <f>survey_responses[[#This Row],[Tôi tin tưởng số tiền thuế tôi đóng sẽ được Nhà nước sử dụng hiệu quả để cải thiện dịch vụ công (y tế, đường xá...). - HUMAN-TRU3]]</f>
        <v>5</v>
      </c>
      <c r="AF331">
        <f t="shared" si="157"/>
        <v>0.44444444444444442</v>
      </c>
      <c r="AG331">
        <f>step3_validation[[#This Row],[AI_TRU4]]</f>
        <v>6</v>
      </c>
      <c r="AH331">
        <f t="shared" si="158"/>
        <v>0.55555555555555558</v>
      </c>
      <c r="AI331">
        <f>survey_responses[[#This Row],[Tôi thấy Nhà nước đã giải thích rõ ràng, minh bạch về lý do và mục tiêu của việc sửa đổi thuế lần này. - HUMAN-TRU4]]</f>
        <v>5</v>
      </c>
      <c r="AJ331">
        <f t="shared" si="159"/>
        <v>0.44444444444444442</v>
      </c>
      <c r="AK331" s="32">
        <f t="shared" si="160"/>
        <v>0.61111111111111116</v>
      </c>
      <c r="AL331" s="32">
        <f t="shared" si="161"/>
        <v>0.41666666666666663</v>
      </c>
      <c r="AM331" s="7">
        <f t="shared" si="162"/>
        <v>0.61111111111111116</v>
      </c>
      <c r="AN331" s="7">
        <f t="shared" si="163"/>
        <v>0.37962962962962959</v>
      </c>
      <c r="AO331">
        <f>step3_validation[[#This Row],[AI_OUT1]]</f>
        <v>7</v>
      </c>
      <c r="AP331">
        <f t="shared" si="164"/>
        <v>0.66666666666666663</v>
      </c>
      <c r="AQ331">
        <f>survey_responses[[#This Row],[Sau khi xem xét các quyền lợi và nghĩa vụ, bạn có ủng hộ và tuân thủ chính sách mới hiện nay? - HUMAN-OUT1]]</f>
        <v>5</v>
      </c>
      <c r="AR331">
        <f t="shared" si="165"/>
        <v>0.44444444444444442</v>
      </c>
      <c r="AS331" s="32">
        <f t="shared" si="166"/>
        <v>2</v>
      </c>
      <c r="AT331">
        <f t="shared" si="167"/>
        <v>0</v>
      </c>
    </row>
    <row r="332" spans="1:46" x14ac:dyDescent="0.45">
      <c r="A332">
        <f>step3_validation[[#This Row],[AI_ENF1]]</f>
        <v>7</v>
      </c>
      <c r="B332">
        <f t="shared" si="140"/>
        <v>0.66666666666666663</v>
      </c>
      <c r="C332">
        <f>survey_responses[[#This Row],[Tôi tin rằng với các quy định quản lý thuế hiện nay, hành vi gian lận hoặc trốn thuế sẽ dễ dàng bị phát hiện và xử lý nghiêm. - HUMAN-ENF1]]</f>
        <v>4</v>
      </c>
      <c r="D332">
        <f t="shared" si="141"/>
        <v>0.33333333333333331</v>
      </c>
      <c r="E332">
        <f>step3_validation[[#This Row],[AI_ENF2]]</f>
        <v>6</v>
      </c>
      <c r="F332">
        <f t="shared" si="142"/>
        <v>0.55555555555555558</v>
      </c>
      <c r="G332">
        <f>survey_responses[[#This Row],[Tôi tin rằng Nhà nước, cơ quan thuế có đủ khả năng và công nghệ để phát hiện, xử lý nghiêm các hành vi trốn thuế. - HUMAN-ENF2]]</f>
        <v>4</v>
      </c>
      <c r="H332">
        <f t="shared" si="143"/>
        <v>0.33333333333333331</v>
      </c>
      <c r="I332" s="32">
        <f t="shared" si="144"/>
        <v>0.61111111111111116</v>
      </c>
      <c r="J332" s="32">
        <f t="shared" si="145"/>
        <v>0.33333333333333331</v>
      </c>
      <c r="K332">
        <f>step3_validation[[#This Row],[AI_FAC1]]</f>
        <v>8</v>
      </c>
      <c r="L332">
        <f t="shared" si="146"/>
        <v>0.77777777777777779</v>
      </c>
      <c r="M332">
        <f>survey_responses[[#This Row],[Các thủ tục khai báo thuế VÀ/HOẶC quy trình làm việc với cơ quan thuế đơn giản, tiện lợi, nhanh chóng hơn so với trước đây. - HUMAN-FAC1]]</f>
        <v>5</v>
      </c>
      <c r="N332">
        <f t="shared" si="147"/>
        <v>0.44444444444444442</v>
      </c>
      <c r="O332">
        <f>step3_validation[[#This Row],[AI_FAC2]]</f>
        <v>9</v>
      </c>
      <c r="P332">
        <f t="shared" si="148"/>
        <v>0.88888888888888884</v>
      </c>
      <c r="Q332">
        <f>survey_responses[[#This Row],[So với trước đây, tôi thấy cách tính thuế và các bậc thuế trong phương án mới đơn giản, dễ hiểu và dễ thực hiện hơn. - HUMAN-FAC2]]</f>
        <v>6</v>
      </c>
      <c r="R332">
        <f t="shared" si="149"/>
        <v>0.55555555555555558</v>
      </c>
      <c r="S332" s="32">
        <f t="shared" si="150"/>
        <v>0.83333333333333326</v>
      </c>
      <c r="T332" s="32">
        <f t="shared" si="151"/>
        <v>0.5</v>
      </c>
      <c r="U332">
        <f>step3_validation[[#This Row],[AI_TRU1]]</f>
        <v>7</v>
      </c>
      <c r="V332">
        <f t="shared" si="152"/>
        <v>0.66666666666666663</v>
      </c>
      <c r="W332">
        <f>survey_responses[[#This Row],[Tôi tin rằng Nhà nước, cơ quan thuế sẽ thực thi chính sách mới một cách khách quan, công tâm và đối xử bình đẳng với mọi người nộp thuế.  - HUMAN-TRU1]]</f>
        <v>4</v>
      </c>
      <c r="X332">
        <f t="shared" si="153"/>
        <v>0.33333333333333331</v>
      </c>
      <c r="Y332">
        <f>step3_validation[[#This Row],[AI_TRU2]]</f>
        <v>6</v>
      </c>
      <c r="Z332">
        <f t="shared" si="154"/>
        <v>0.55555555555555558</v>
      </c>
      <c r="AA332">
        <f>survey_responses[[#This Row],[Tôi thấy mức thuế tôi phải đóng theo phương án mới là công bằng (người thu nhập như tôi đóng mức này là hợp lý). - HUMAN-TRU2]]</f>
        <v>5</v>
      </c>
      <c r="AB332">
        <f t="shared" si="155"/>
        <v>0.44444444444444442</v>
      </c>
      <c r="AC332">
        <f>step3_validation[[#This Row],[AI_TRU3]]</f>
        <v>5</v>
      </c>
      <c r="AD332">
        <f t="shared" si="156"/>
        <v>0.44444444444444442</v>
      </c>
      <c r="AE332">
        <f>survey_responses[[#This Row],[Tôi tin tưởng số tiền thuế tôi đóng sẽ được Nhà nước sử dụng hiệu quả để cải thiện dịch vụ công (y tế, đường xá...). - HUMAN-TRU3]]</f>
        <v>3</v>
      </c>
      <c r="AF332">
        <f t="shared" si="157"/>
        <v>0.22222222222222221</v>
      </c>
      <c r="AG332">
        <f>step3_validation[[#This Row],[AI_TRU4]]</f>
        <v>4</v>
      </c>
      <c r="AH332">
        <f t="shared" si="158"/>
        <v>0.33333333333333331</v>
      </c>
      <c r="AI332">
        <f>survey_responses[[#This Row],[Tôi thấy Nhà nước đã giải thích rõ ràng, minh bạch về lý do và mục tiêu của việc sửa đổi thuế lần này. - HUMAN-TRU4]]</f>
        <v>4</v>
      </c>
      <c r="AJ332">
        <f t="shared" si="159"/>
        <v>0.33333333333333331</v>
      </c>
      <c r="AK332" s="32">
        <f t="shared" si="160"/>
        <v>0.5</v>
      </c>
      <c r="AL332" s="32">
        <f t="shared" si="161"/>
        <v>0.33333333333333331</v>
      </c>
      <c r="AM332" s="7">
        <f t="shared" si="162"/>
        <v>0.64814814814814814</v>
      </c>
      <c r="AN332" s="7">
        <f t="shared" si="163"/>
        <v>0.38888888888888884</v>
      </c>
      <c r="AO332">
        <f>step3_validation[[#This Row],[AI_OUT1]]</f>
        <v>5</v>
      </c>
      <c r="AP332">
        <f t="shared" si="164"/>
        <v>0.44444444444444442</v>
      </c>
      <c r="AQ332">
        <f>survey_responses[[#This Row],[Sau khi xem xét các quyền lợi và nghĩa vụ, bạn có ủng hộ và tuân thủ chính sách mới hiện nay? - HUMAN-OUT1]]</f>
        <v>5</v>
      </c>
      <c r="AR332">
        <f t="shared" si="165"/>
        <v>0.44444444444444442</v>
      </c>
      <c r="AS332" s="32">
        <f t="shared" si="166"/>
        <v>0</v>
      </c>
      <c r="AT332">
        <f t="shared" si="167"/>
        <v>0</v>
      </c>
    </row>
    <row r="333" spans="1:46" x14ac:dyDescent="0.45">
      <c r="A333">
        <f>step3_validation[[#This Row],[AI_ENF1]]</f>
        <v>5</v>
      </c>
      <c r="B333">
        <f t="shared" si="140"/>
        <v>0.44444444444444442</v>
      </c>
      <c r="C333">
        <f>survey_responses[[#This Row],[Tôi tin rằng với các quy định quản lý thuế hiện nay, hành vi gian lận hoặc trốn thuế sẽ dễ dàng bị phát hiện và xử lý nghiêm. - HUMAN-ENF1]]</f>
        <v>7</v>
      </c>
      <c r="D333">
        <f t="shared" si="141"/>
        <v>0.66666666666666663</v>
      </c>
      <c r="E333">
        <f>step3_validation[[#This Row],[AI_ENF2]]</f>
        <v>6</v>
      </c>
      <c r="F333">
        <f t="shared" si="142"/>
        <v>0.55555555555555558</v>
      </c>
      <c r="G333">
        <f>survey_responses[[#This Row],[Tôi tin rằng Nhà nước, cơ quan thuế có đủ khả năng và công nghệ để phát hiện, xử lý nghiêm các hành vi trốn thuế. - HUMAN-ENF2]]</f>
        <v>7</v>
      </c>
      <c r="H333">
        <f t="shared" si="143"/>
        <v>0.66666666666666663</v>
      </c>
      <c r="I333" s="32">
        <f t="shared" si="144"/>
        <v>0.5</v>
      </c>
      <c r="J333" s="32">
        <f t="shared" si="145"/>
        <v>0.66666666666666663</v>
      </c>
      <c r="K333">
        <f>step3_validation[[#This Row],[AI_FAC1]]</f>
        <v>8</v>
      </c>
      <c r="L333">
        <f t="shared" si="146"/>
        <v>0.77777777777777779</v>
      </c>
      <c r="M333">
        <f>survey_responses[[#This Row],[Các thủ tục khai báo thuế VÀ/HOẶC quy trình làm việc với cơ quan thuế đơn giản, tiện lợi, nhanh chóng hơn so với trước đây. - HUMAN-FAC1]]</f>
        <v>9</v>
      </c>
      <c r="N333">
        <f t="shared" si="147"/>
        <v>0.88888888888888884</v>
      </c>
      <c r="O333">
        <f>step3_validation[[#This Row],[AI_FAC2]]</f>
        <v>7</v>
      </c>
      <c r="P333">
        <f t="shared" si="148"/>
        <v>0.66666666666666663</v>
      </c>
      <c r="Q333">
        <f>survey_responses[[#This Row],[So với trước đây, tôi thấy cách tính thuế và các bậc thuế trong phương án mới đơn giản, dễ hiểu và dễ thực hiện hơn. - HUMAN-FAC2]]</f>
        <v>9</v>
      </c>
      <c r="R333">
        <f t="shared" si="149"/>
        <v>0.88888888888888884</v>
      </c>
      <c r="S333" s="32">
        <f t="shared" si="150"/>
        <v>0.72222222222222221</v>
      </c>
      <c r="T333" s="32">
        <f t="shared" si="151"/>
        <v>0.88888888888888884</v>
      </c>
      <c r="U333">
        <f>step3_validation[[#This Row],[AI_TRU1]]</f>
        <v>6</v>
      </c>
      <c r="V333">
        <f t="shared" si="152"/>
        <v>0.55555555555555558</v>
      </c>
      <c r="W333">
        <f>survey_responses[[#This Row],[Tôi tin rằng Nhà nước, cơ quan thuế sẽ thực thi chính sách mới một cách khách quan, công tâm và đối xử bình đẳng với mọi người nộp thuế.  - HUMAN-TRU1]]</f>
        <v>8</v>
      </c>
      <c r="X333">
        <f t="shared" si="153"/>
        <v>0.77777777777777779</v>
      </c>
      <c r="Y333">
        <f>step3_validation[[#This Row],[AI_TRU2]]</f>
        <v>7</v>
      </c>
      <c r="Z333">
        <f t="shared" si="154"/>
        <v>0.66666666666666663</v>
      </c>
      <c r="AA333">
        <f>survey_responses[[#This Row],[Tôi thấy mức thuế tôi phải đóng theo phương án mới là công bằng (người thu nhập như tôi đóng mức này là hợp lý). - HUMAN-TRU2]]</f>
        <v>9</v>
      </c>
      <c r="AB333">
        <f t="shared" si="155"/>
        <v>0.88888888888888884</v>
      </c>
      <c r="AC333">
        <f>step3_validation[[#This Row],[AI_TRU3]]</f>
        <v>6</v>
      </c>
      <c r="AD333">
        <f t="shared" si="156"/>
        <v>0.55555555555555558</v>
      </c>
      <c r="AE333">
        <f>survey_responses[[#This Row],[Tôi tin tưởng số tiền thuế tôi đóng sẽ được Nhà nước sử dụng hiệu quả để cải thiện dịch vụ công (y tế, đường xá...). - HUMAN-TRU3]]</f>
        <v>7</v>
      </c>
      <c r="AF333">
        <f t="shared" si="157"/>
        <v>0.66666666666666663</v>
      </c>
      <c r="AG333">
        <f>step3_validation[[#This Row],[AI_TRU4]]</f>
        <v>5</v>
      </c>
      <c r="AH333">
        <f t="shared" si="158"/>
        <v>0.44444444444444442</v>
      </c>
      <c r="AI333">
        <f>survey_responses[[#This Row],[Tôi thấy Nhà nước đã giải thích rõ ràng, minh bạch về lý do và mục tiêu của việc sửa đổi thuế lần này. - HUMAN-TRU4]]</f>
        <v>9</v>
      </c>
      <c r="AJ333">
        <f t="shared" si="159"/>
        <v>0.88888888888888884</v>
      </c>
      <c r="AK333" s="32">
        <f t="shared" si="160"/>
        <v>0.55555555555555558</v>
      </c>
      <c r="AL333" s="32">
        <f t="shared" si="161"/>
        <v>0.80555555555555547</v>
      </c>
      <c r="AM333" s="7">
        <f t="shared" si="162"/>
        <v>0.59259259259259267</v>
      </c>
      <c r="AN333" s="7">
        <f t="shared" si="163"/>
        <v>0.78703703703703687</v>
      </c>
      <c r="AO333">
        <f>step3_validation[[#This Row],[AI_OUT1]]</f>
        <v>7</v>
      </c>
      <c r="AP333">
        <f t="shared" si="164"/>
        <v>0.66666666666666663</v>
      </c>
      <c r="AQ333">
        <f>survey_responses[[#This Row],[Sau khi xem xét các quyền lợi và nghĩa vụ, bạn có ủng hộ và tuân thủ chính sách mới hiện nay? - HUMAN-OUT1]]</f>
        <v>9</v>
      </c>
      <c r="AR333">
        <f t="shared" si="165"/>
        <v>0.88888888888888884</v>
      </c>
      <c r="AS333" s="32">
        <f t="shared" si="166"/>
        <v>2</v>
      </c>
      <c r="AT333">
        <f t="shared" si="167"/>
        <v>1</v>
      </c>
    </row>
    <row r="334" spans="1:46" x14ac:dyDescent="0.45">
      <c r="A334">
        <f>step3_validation[[#This Row],[AI_ENF1]]</f>
        <v>7</v>
      </c>
      <c r="B334">
        <f t="shared" si="140"/>
        <v>0.66666666666666663</v>
      </c>
      <c r="C334">
        <f>survey_responses[[#This Row],[Tôi tin rằng với các quy định quản lý thuế hiện nay, hành vi gian lận hoặc trốn thuế sẽ dễ dàng bị phát hiện và xử lý nghiêm. - HUMAN-ENF1]]</f>
        <v>6</v>
      </c>
      <c r="D334">
        <f t="shared" si="141"/>
        <v>0.55555555555555558</v>
      </c>
      <c r="E334">
        <f>step3_validation[[#This Row],[AI_ENF2]]</f>
        <v>8</v>
      </c>
      <c r="F334">
        <f t="shared" si="142"/>
        <v>0.77777777777777779</v>
      </c>
      <c r="G334">
        <f>survey_responses[[#This Row],[Tôi tin rằng Nhà nước, cơ quan thuế có đủ khả năng và công nghệ để phát hiện, xử lý nghiêm các hành vi trốn thuế. - HUMAN-ENF2]]</f>
        <v>6</v>
      </c>
      <c r="H334">
        <f t="shared" si="143"/>
        <v>0.55555555555555558</v>
      </c>
      <c r="I334" s="32">
        <f t="shared" si="144"/>
        <v>0.72222222222222221</v>
      </c>
      <c r="J334" s="32">
        <f t="shared" si="145"/>
        <v>0.55555555555555558</v>
      </c>
      <c r="K334">
        <f>step3_validation[[#This Row],[AI_FAC1]]</f>
        <v>6</v>
      </c>
      <c r="L334">
        <f t="shared" si="146"/>
        <v>0.55555555555555558</v>
      </c>
      <c r="M334">
        <f>survey_responses[[#This Row],[Các thủ tục khai báo thuế VÀ/HOẶC quy trình làm việc với cơ quan thuế đơn giản, tiện lợi, nhanh chóng hơn so với trước đây. - HUMAN-FAC1]]</f>
        <v>8</v>
      </c>
      <c r="N334">
        <f t="shared" si="147"/>
        <v>0.77777777777777779</v>
      </c>
      <c r="O334">
        <f>step3_validation[[#This Row],[AI_FAC2]]</f>
        <v>5</v>
      </c>
      <c r="P334">
        <f t="shared" si="148"/>
        <v>0.44444444444444442</v>
      </c>
      <c r="Q334">
        <f>survey_responses[[#This Row],[So với trước đây, tôi thấy cách tính thuế và các bậc thuế trong phương án mới đơn giản, dễ hiểu và dễ thực hiện hơn. - HUMAN-FAC2]]</f>
        <v>8</v>
      </c>
      <c r="R334">
        <f t="shared" si="149"/>
        <v>0.77777777777777779</v>
      </c>
      <c r="S334" s="32">
        <f t="shared" si="150"/>
        <v>0.5</v>
      </c>
      <c r="T334" s="32">
        <f t="shared" si="151"/>
        <v>0.77777777777777779</v>
      </c>
      <c r="U334">
        <f>step3_validation[[#This Row],[AI_TRU1]]</f>
        <v>7</v>
      </c>
      <c r="V334">
        <f t="shared" si="152"/>
        <v>0.66666666666666663</v>
      </c>
      <c r="W334">
        <f>survey_responses[[#This Row],[Tôi tin rằng Nhà nước, cơ quan thuế sẽ thực thi chính sách mới một cách khách quan, công tâm và đối xử bình đẳng với mọi người nộp thuế.  - HUMAN-TRU1]]</f>
        <v>6</v>
      </c>
      <c r="X334">
        <f t="shared" si="153"/>
        <v>0.55555555555555558</v>
      </c>
      <c r="Y334">
        <f>step3_validation[[#This Row],[AI_TRU2]]</f>
        <v>6</v>
      </c>
      <c r="Z334">
        <f t="shared" si="154"/>
        <v>0.55555555555555558</v>
      </c>
      <c r="AA334">
        <f>survey_responses[[#This Row],[Tôi thấy mức thuế tôi phải đóng theo phương án mới là công bằng (người thu nhập như tôi đóng mức này là hợp lý). - HUMAN-TRU2]]</f>
        <v>7</v>
      </c>
      <c r="AB334">
        <f t="shared" si="155"/>
        <v>0.66666666666666663</v>
      </c>
      <c r="AC334">
        <f>step3_validation[[#This Row],[AI_TRU3]]</f>
        <v>7</v>
      </c>
      <c r="AD334">
        <f t="shared" si="156"/>
        <v>0.66666666666666663</v>
      </c>
      <c r="AE334">
        <f>survey_responses[[#This Row],[Tôi tin tưởng số tiền thuế tôi đóng sẽ được Nhà nước sử dụng hiệu quả để cải thiện dịch vụ công (y tế, đường xá...). - HUMAN-TRU3]]</f>
        <v>6</v>
      </c>
      <c r="AF334">
        <f t="shared" si="157"/>
        <v>0.55555555555555558</v>
      </c>
      <c r="AG334">
        <f>step3_validation[[#This Row],[AI_TRU4]]</f>
        <v>5</v>
      </c>
      <c r="AH334">
        <f t="shared" si="158"/>
        <v>0.44444444444444442</v>
      </c>
      <c r="AI334">
        <f>survey_responses[[#This Row],[Tôi thấy Nhà nước đã giải thích rõ ràng, minh bạch về lý do và mục tiêu của việc sửa đổi thuế lần này. - HUMAN-TRU4]]</f>
        <v>7</v>
      </c>
      <c r="AJ334">
        <f t="shared" si="159"/>
        <v>0.66666666666666663</v>
      </c>
      <c r="AK334" s="32">
        <f t="shared" si="160"/>
        <v>0.58333333333333326</v>
      </c>
      <c r="AL334" s="32">
        <f t="shared" si="161"/>
        <v>0.61111111111111116</v>
      </c>
      <c r="AM334" s="7">
        <f t="shared" si="162"/>
        <v>0.60185185185185186</v>
      </c>
      <c r="AN334" s="7">
        <f t="shared" si="163"/>
        <v>0.64814814814814825</v>
      </c>
      <c r="AO334">
        <f>step3_validation[[#This Row],[AI_OUT1]]</f>
        <v>6</v>
      </c>
      <c r="AP334">
        <f t="shared" si="164"/>
        <v>0.55555555555555558</v>
      </c>
      <c r="AQ334">
        <f>survey_responses[[#This Row],[Sau khi xem xét các quyền lợi và nghĩa vụ, bạn có ủng hộ và tuân thủ chính sách mới hiện nay? - HUMAN-OUT1]]</f>
        <v>7</v>
      </c>
      <c r="AR334">
        <f t="shared" si="165"/>
        <v>0.66666666666666663</v>
      </c>
      <c r="AS334" s="32">
        <f t="shared" si="166"/>
        <v>1</v>
      </c>
      <c r="AT334">
        <f t="shared" si="167"/>
        <v>1</v>
      </c>
    </row>
    <row r="335" spans="1:46" x14ac:dyDescent="0.45">
      <c r="A335">
        <f>step3_validation[[#This Row],[AI_ENF1]]</f>
        <v>7</v>
      </c>
      <c r="B335">
        <f t="shared" si="140"/>
        <v>0.66666666666666663</v>
      </c>
      <c r="C335">
        <f>survey_responses[[#This Row],[Tôi tin rằng với các quy định quản lý thuế hiện nay, hành vi gian lận hoặc trốn thuế sẽ dễ dàng bị phát hiện và xử lý nghiêm. - HUMAN-ENF1]]</f>
        <v>2</v>
      </c>
      <c r="D335">
        <f t="shared" si="141"/>
        <v>0.1111111111111111</v>
      </c>
      <c r="E335">
        <f>step3_validation[[#This Row],[AI_ENF2]]</f>
        <v>8</v>
      </c>
      <c r="F335">
        <f t="shared" si="142"/>
        <v>0.77777777777777779</v>
      </c>
      <c r="G335">
        <f>survey_responses[[#This Row],[Tôi tin rằng Nhà nước, cơ quan thuế có đủ khả năng và công nghệ để phát hiện, xử lý nghiêm các hành vi trốn thuế. - HUMAN-ENF2]]</f>
        <v>2</v>
      </c>
      <c r="H335">
        <f t="shared" si="143"/>
        <v>0.1111111111111111</v>
      </c>
      <c r="I335" s="32">
        <f t="shared" si="144"/>
        <v>0.72222222222222221</v>
      </c>
      <c r="J335" s="32">
        <f t="shared" si="145"/>
        <v>0.1111111111111111</v>
      </c>
      <c r="K335">
        <f>step3_validation[[#This Row],[AI_FAC1]]</f>
        <v>9</v>
      </c>
      <c r="L335">
        <f t="shared" si="146"/>
        <v>0.88888888888888884</v>
      </c>
      <c r="M335">
        <f>survey_responses[[#This Row],[Các thủ tục khai báo thuế VÀ/HOẶC quy trình làm việc với cơ quan thuế đơn giản, tiện lợi, nhanh chóng hơn so với trước đây. - HUMAN-FAC1]]</f>
        <v>3</v>
      </c>
      <c r="N335">
        <f t="shared" si="147"/>
        <v>0.22222222222222221</v>
      </c>
      <c r="O335">
        <f>step3_validation[[#This Row],[AI_FAC2]]</f>
        <v>8</v>
      </c>
      <c r="P335">
        <f t="shared" si="148"/>
        <v>0.77777777777777779</v>
      </c>
      <c r="Q335">
        <f>survey_responses[[#This Row],[So với trước đây, tôi thấy cách tính thuế và các bậc thuế trong phương án mới đơn giản, dễ hiểu và dễ thực hiện hơn. - HUMAN-FAC2]]</f>
        <v>5</v>
      </c>
      <c r="R335">
        <f t="shared" si="149"/>
        <v>0.44444444444444442</v>
      </c>
      <c r="S335" s="32">
        <f t="shared" si="150"/>
        <v>0.83333333333333326</v>
      </c>
      <c r="T335" s="32">
        <f t="shared" si="151"/>
        <v>0.33333333333333331</v>
      </c>
      <c r="U335">
        <f>step3_validation[[#This Row],[AI_TRU1]]</f>
        <v>7</v>
      </c>
      <c r="V335">
        <f t="shared" si="152"/>
        <v>0.66666666666666663</v>
      </c>
      <c r="W335">
        <f>survey_responses[[#This Row],[Tôi tin rằng Nhà nước, cơ quan thuế sẽ thực thi chính sách mới một cách khách quan, công tâm và đối xử bình đẳng với mọi người nộp thuế.  - HUMAN-TRU1]]</f>
        <v>1</v>
      </c>
      <c r="X335">
        <f t="shared" si="153"/>
        <v>0</v>
      </c>
      <c r="Y335">
        <f>step3_validation[[#This Row],[AI_TRU2]]</f>
        <v>6</v>
      </c>
      <c r="Z335">
        <f t="shared" si="154"/>
        <v>0.55555555555555558</v>
      </c>
      <c r="AA335">
        <f>survey_responses[[#This Row],[Tôi thấy mức thuế tôi phải đóng theo phương án mới là công bằng (người thu nhập như tôi đóng mức này là hợp lý). - HUMAN-TRU2]]</f>
        <v>1</v>
      </c>
      <c r="AB335">
        <f t="shared" si="155"/>
        <v>0</v>
      </c>
      <c r="AC335">
        <f>step3_validation[[#This Row],[AI_TRU3]]</f>
        <v>7</v>
      </c>
      <c r="AD335">
        <f t="shared" si="156"/>
        <v>0.66666666666666663</v>
      </c>
      <c r="AE335">
        <f>survey_responses[[#This Row],[Tôi tin tưởng số tiền thuế tôi đóng sẽ được Nhà nước sử dụng hiệu quả để cải thiện dịch vụ công (y tế, đường xá...). - HUMAN-TRU3]]</f>
        <v>1</v>
      </c>
      <c r="AF335">
        <f t="shared" si="157"/>
        <v>0</v>
      </c>
      <c r="AG335">
        <f>step3_validation[[#This Row],[AI_TRU4]]</f>
        <v>5</v>
      </c>
      <c r="AH335">
        <f t="shared" si="158"/>
        <v>0.44444444444444442</v>
      </c>
      <c r="AI335">
        <f>survey_responses[[#This Row],[Tôi thấy Nhà nước đã giải thích rõ ràng, minh bạch về lý do và mục tiêu của việc sửa đổi thuế lần này. - HUMAN-TRU4]]</f>
        <v>3</v>
      </c>
      <c r="AJ335">
        <f t="shared" si="159"/>
        <v>0.22222222222222221</v>
      </c>
      <c r="AK335" s="32">
        <f t="shared" si="160"/>
        <v>0.58333333333333326</v>
      </c>
      <c r="AL335" s="32">
        <f t="shared" si="161"/>
        <v>5.5555555555555552E-2</v>
      </c>
      <c r="AM335" s="7">
        <f t="shared" si="162"/>
        <v>0.7129629629629628</v>
      </c>
      <c r="AN335" s="7">
        <f t="shared" si="163"/>
        <v>0.16666666666666666</v>
      </c>
      <c r="AO335">
        <f>step3_validation[[#This Row],[AI_OUT1]]</f>
        <v>6</v>
      </c>
      <c r="AP335">
        <f t="shared" si="164"/>
        <v>0.55555555555555558</v>
      </c>
      <c r="AQ335">
        <f>survey_responses[[#This Row],[Sau khi xem xét các quyền lợi và nghĩa vụ, bạn có ủng hộ và tuân thủ chính sách mới hiện nay? - HUMAN-OUT1]]</f>
        <v>1</v>
      </c>
      <c r="AR335">
        <f t="shared" si="165"/>
        <v>0</v>
      </c>
      <c r="AS335" s="32">
        <f t="shared" si="166"/>
        <v>5</v>
      </c>
      <c r="AT335">
        <f t="shared" si="167"/>
        <v>0</v>
      </c>
    </row>
    <row r="336" spans="1:46" x14ac:dyDescent="0.45">
      <c r="A336">
        <f>step3_validation[[#This Row],[AI_ENF1]]</f>
        <v>7</v>
      </c>
      <c r="B336">
        <f t="shared" si="140"/>
        <v>0.66666666666666663</v>
      </c>
      <c r="C336">
        <f>survey_responses[[#This Row],[Tôi tin rằng với các quy định quản lý thuế hiện nay, hành vi gian lận hoặc trốn thuế sẽ dễ dàng bị phát hiện và xử lý nghiêm. - HUMAN-ENF1]]</f>
        <v>7</v>
      </c>
      <c r="D336">
        <f t="shared" si="141"/>
        <v>0.66666666666666663</v>
      </c>
      <c r="E336">
        <f>step3_validation[[#This Row],[AI_ENF2]]</f>
        <v>6</v>
      </c>
      <c r="F336">
        <f t="shared" si="142"/>
        <v>0.55555555555555558</v>
      </c>
      <c r="G336">
        <f>survey_responses[[#This Row],[Tôi tin rằng Nhà nước, cơ quan thuế có đủ khả năng và công nghệ để phát hiện, xử lý nghiêm các hành vi trốn thuế. - HUMAN-ENF2]]</f>
        <v>7</v>
      </c>
      <c r="H336">
        <f t="shared" si="143"/>
        <v>0.66666666666666663</v>
      </c>
      <c r="I336" s="32">
        <f t="shared" si="144"/>
        <v>0.61111111111111116</v>
      </c>
      <c r="J336" s="32">
        <f t="shared" si="145"/>
        <v>0.66666666666666663</v>
      </c>
      <c r="K336">
        <f>step3_validation[[#This Row],[AI_FAC1]]</f>
        <v>8</v>
      </c>
      <c r="L336">
        <f t="shared" si="146"/>
        <v>0.77777777777777779</v>
      </c>
      <c r="M336">
        <f>survey_responses[[#This Row],[Các thủ tục khai báo thuế VÀ/HOẶC quy trình làm việc với cơ quan thuế đơn giản, tiện lợi, nhanh chóng hơn so với trước đây. - HUMAN-FAC1]]</f>
        <v>8</v>
      </c>
      <c r="N336">
        <f t="shared" si="147"/>
        <v>0.77777777777777779</v>
      </c>
      <c r="O336">
        <f>step3_validation[[#This Row],[AI_FAC2]]</f>
        <v>7</v>
      </c>
      <c r="P336">
        <f t="shared" si="148"/>
        <v>0.66666666666666663</v>
      </c>
      <c r="Q336">
        <f>survey_responses[[#This Row],[So với trước đây, tôi thấy cách tính thuế và các bậc thuế trong phương án mới đơn giản, dễ hiểu và dễ thực hiện hơn. - HUMAN-FAC2]]</f>
        <v>10</v>
      </c>
      <c r="R336">
        <f t="shared" si="149"/>
        <v>1</v>
      </c>
      <c r="S336" s="32">
        <f t="shared" si="150"/>
        <v>0.72222222222222221</v>
      </c>
      <c r="T336" s="32">
        <f t="shared" si="151"/>
        <v>0.88888888888888884</v>
      </c>
      <c r="U336">
        <f>step3_validation[[#This Row],[AI_TRU1]]</f>
        <v>9</v>
      </c>
      <c r="V336">
        <f t="shared" si="152"/>
        <v>0.88888888888888884</v>
      </c>
      <c r="W336">
        <f>survey_responses[[#This Row],[Tôi tin rằng Nhà nước, cơ quan thuế sẽ thực thi chính sách mới một cách khách quan, công tâm và đối xử bình đẳng với mọi người nộp thuế.  - HUMAN-TRU1]]</f>
        <v>9</v>
      </c>
      <c r="X336">
        <f t="shared" si="153"/>
        <v>0.88888888888888884</v>
      </c>
      <c r="Y336">
        <f>step3_validation[[#This Row],[AI_TRU2]]</f>
        <v>8</v>
      </c>
      <c r="Z336">
        <f t="shared" si="154"/>
        <v>0.77777777777777779</v>
      </c>
      <c r="AA336">
        <f>survey_responses[[#This Row],[Tôi thấy mức thuế tôi phải đóng theo phương án mới là công bằng (người thu nhập như tôi đóng mức này là hợp lý). - HUMAN-TRU2]]</f>
        <v>10</v>
      </c>
      <c r="AB336">
        <f t="shared" si="155"/>
        <v>1</v>
      </c>
      <c r="AC336">
        <f>step3_validation[[#This Row],[AI_TRU3]]</f>
        <v>9</v>
      </c>
      <c r="AD336">
        <f t="shared" si="156"/>
        <v>0.88888888888888884</v>
      </c>
      <c r="AE336">
        <f>survey_responses[[#This Row],[Tôi tin tưởng số tiền thuế tôi đóng sẽ được Nhà nước sử dụng hiệu quả để cải thiện dịch vụ công (y tế, đường xá...). - HUMAN-TRU3]]</f>
        <v>8</v>
      </c>
      <c r="AF336">
        <f t="shared" si="157"/>
        <v>0.77777777777777779</v>
      </c>
      <c r="AG336">
        <f>step3_validation[[#This Row],[AI_TRU4]]</f>
        <v>8</v>
      </c>
      <c r="AH336">
        <f t="shared" si="158"/>
        <v>0.77777777777777779</v>
      </c>
      <c r="AI336">
        <f>survey_responses[[#This Row],[Tôi thấy Nhà nước đã giải thích rõ ràng, minh bạch về lý do và mục tiêu của việc sửa đổi thuế lần này. - HUMAN-TRU4]]</f>
        <v>8</v>
      </c>
      <c r="AJ336">
        <f t="shared" si="159"/>
        <v>0.77777777777777779</v>
      </c>
      <c r="AK336" s="32">
        <f t="shared" si="160"/>
        <v>0.83333333333333326</v>
      </c>
      <c r="AL336" s="32">
        <f t="shared" si="161"/>
        <v>0.86111111111111105</v>
      </c>
      <c r="AM336" s="7">
        <f t="shared" si="162"/>
        <v>0.72222222222222232</v>
      </c>
      <c r="AN336" s="7">
        <f t="shared" si="163"/>
        <v>0.80555555555555547</v>
      </c>
      <c r="AO336">
        <f>step3_validation[[#This Row],[AI_OUT1]]</f>
        <v>9</v>
      </c>
      <c r="AP336">
        <f t="shared" si="164"/>
        <v>0.88888888888888884</v>
      </c>
      <c r="AQ336">
        <f>survey_responses[[#This Row],[Sau khi xem xét các quyền lợi và nghĩa vụ, bạn có ủng hộ và tuân thủ chính sách mới hiện nay? - HUMAN-OUT1]]</f>
        <v>10</v>
      </c>
      <c r="AR336">
        <f t="shared" si="165"/>
        <v>1</v>
      </c>
      <c r="AS336" s="32">
        <f t="shared" si="166"/>
        <v>1</v>
      </c>
      <c r="AT336">
        <f t="shared" si="167"/>
        <v>1</v>
      </c>
    </row>
    <row r="337" spans="1:46" x14ac:dyDescent="0.45">
      <c r="A337">
        <f>step3_validation[[#This Row],[AI_ENF1]]</f>
        <v>7</v>
      </c>
      <c r="B337">
        <f t="shared" si="140"/>
        <v>0.66666666666666663</v>
      </c>
      <c r="C337">
        <f>survey_responses[[#This Row],[Tôi tin rằng với các quy định quản lý thuế hiện nay, hành vi gian lận hoặc trốn thuế sẽ dễ dàng bị phát hiện và xử lý nghiêm. - HUMAN-ENF1]]</f>
        <v>4</v>
      </c>
      <c r="D337">
        <f t="shared" si="141"/>
        <v>0.33333333333333331</v>
      </c>
      <c r="E337">
        <f>step3_validation[[#This Row],[AI_ENF2]]</f>
        <v>8</v>
      </c>
      <c r="F337">
        <f t="shared" si="142"/>
        <v>0.77777777777777779</v>
      </c>
      <c r="G337">
        <f>survey_responses[[#This Row],[Tôi tin rằng Nhà nước, cơ quan thuế có đủ khả năng và công nghệ để phát hiện, xử lý nghiêm các hành vi trốn thuế. - HUMAN-ENF2]]</f>
        <v>5</v>
      </c>
      <c r="H337">
        <f t="shared" si="143"/>
        <v>0.44444444444444442</v>
      </c>
      <c r="I337" s="32">
        <f t="shared" si="144"/>
        <v>0.72222222222222221</v>
      </c>
      <c r="J337" s="32">
        <f t="shared" si="145"/>
        <v>0.38888888888888884</v>
      </c>
      <c r="K337">
        <f>step3_validation[[#This Row],[AI_FAC1]]</f>
        <v>6</v>
      </c>
      <c r="L337">
        <f t="shared" si="146"/>
        <v>0.55555555555555558</v>
      </c>
      <c r="M337">
        <f>survey_responses[[#This Row],[Các thủ tục khai báo thuế VÀ/HOẶC quy trình làm việc với cơ quan thuế đơn giản, tiện lợi, nhanh chóng hơn so với trước đây. - HUMAN-FAC1]]</f>
        <v>5</v>
      </c>
      <c r="N337">
        <f t="shared" si="147"/>
        <v>0.44444444444444442</v>
      </c>
      <c r="O337">
        <f>step3_validation[[#This Row],[AI_FAC2]]</f>
        <v>7</v>
      </c>
      <c r="P337">
        <f t="shared" si="148"/>
        <v>0.66666666666666663</v>
      </c>
      <c r="Q337">
        <f>survey_responses[[#This Row],[So với trước đây, tôi thấy cách tính thuế và các bậc thuế trong phương án mới đơn giản, dễ hiểu và dễ thực hiện hơn. - HUMAN-FAC2]]</f>
        <v>6</v>
      </c>
      <c r="R337">
        <f t="shared" si="149"/>
        <v>0.55555555555555558</v>
      </c>
      <c r="S337" s="32">
        <f t="shared" si="150"/>
        <v>0.61111111111111116</v>
      </c>
      <c r="T337" s="32">
        <f t="shared" si="151"/>
        <v>0.5</v>
      </c>
      <c r="U337">
        <f>step3_validation[[#This Row],[AI_TRU1]]</f>
        <v>6</v>
      </c>
      <c r="V337">
        <f t="shared" si="152"/>
        <v>0.55555555555555558</v>
      </c>
      <c r="W337">
        <f>survey_responses[[#This Row],[Tôi tin rằng Nhà nước, cơ quan thuế sẽ thực thi chính sách mới một cách khách quan, công tâm và đối xử bình đẳng với mọi người nộp thuế.  - HUMAN-TRU1]]</f>
        <v>5</v>
      </c>
      <c r="X337">
        <f t="shared" si="153"/>
        <v>0.44444444444444442</v>
      </c>
      <c r="Y337">
        <f>step3_validation[[#This Row],[AI_TRU2]]</f>
        <v>5</v>
      </c>
      <c r="Z337">
        <f t="shared" si="154"/>
        <v>0.44444444444444442</v>
      </c>
      <c r="AA337">
        <f>survey_responses[[#This Row],[Tôi thấy mức thuế tôi phải đóng theo phương án mới là công bằng (người thu nhập như tôi đóng mức này là hợp lý). - HUMAN-TRU2]]</f>
        <v>6</v>
      </c>
      <c r="AB337">
        <f t="shared" si="155"/>
        <v>0.55555555555555558</v>
      </c>
      <c r="AC337">
        <f>step3_validation[[#This Row],[AI_TRU3]]</f>
        <v>6</v>
      </c>
      <c r="AD337">
        <f t="shared" si="156"/>
        <v>0.55555555555555558</v>
      </c>
      <c r="AE337">
        <f>survey_responses[[#This Row],[Tôi tin tưởng số tiền thuế tôi đóng sẽ được Nhà nước sử dụng hiệu quả để cải thiện dịch vụ công (y tế, đường xá...). - HUMAN-TRU3]]</f>
        <v>5</v>
      </c>
      <c r="AF337">
        <f t="shared" si="157"/>
        <v>0.44444444444444442</v>
      </c>
      <c r="AG337">
        <f>step3_validation[[#This Row],[AI_TRU4]]</f>
        <v>6</v>
      </c>
      <c r="AH337">
        <f t="shared" si="158"/>
        <v>0.55555555555555558</v>
      </c>
      <c r="AI337">
        <f>survey_responses[[#This Row],[Tôi thấy Nhà nước đã giải thích rõ ràng, minh bạch về lý do và mục tiêu của việc sửa đổi thuế lần này. - HUMAN-TRU4]]</f>
        <v>5</v>
      </c>
      <c r="AJ337">
        <f t="shared" si="159"/>
        <v>0.44444444444444442</v>
      </c>
      <c r="AK337" s="32">
        <f t="shared" si="160"/>
        <v>0.52777777777777779</v>
      </c>
      <c r="AL337" s="32">
        <f t="shared" si="161"/>
        <v>0.47222222222222221</v>
      </c>
      <c r="AM337" s="7">
        <f t="shared" si="162"/>
        <v>0.62037037037037035</v>
      </c>
      <c r="AN337" s="7">
        <f t="shared" si="163"/>
        <v>0.45370370370370372</v>
      </c>
      <c r="AO337">
        <f>step3_validation[[#This Row],[AI_OUT1]]</f>
        <v>7</v>
      </c>
      <c r="AP337">
        <f t="shared" si="164"/>
        <v>0.66666666666666663</v>
      </c>
      <c r="AQ337">
        <f>survey_responses[[#This Row],[Sau khi xem xét các quyền lợi và nghĩa vụ, bạn có ủng hộ và tuân thủ chính sách mới hiện nay? - HUMAN-OUT1]]</f>
        <v>6</v>
      </c>
      <c r="AR337">
        <f t="shared" si="165"/>
        <v>0.55555555555555558</v>
      </c>
      <c r="AS337" s="32">
        <f t="shared" si="166"/>
        <v>1</v>
      </c>
      <c r="AT337">
        <f t="shared" si="167"/>
        <v>1</v>
      </c>
    </row>
    <row r="338" spans="1:46" x14ac:dyDescent="0.45">
      <c r="A338">
        <f>step3_validation[[#This Row],[AI_ENF1]]</f>
        <v>8</v>
      </c>
      <c r="B338">
        <f t="shared" si="140"/>
        <v>0.77777777777777779</v>
      </c>
      <c r="C338">
        <f>survey_responses[[#This Row],[Tôi tin rằng với các quy định quản lý thuế hiện nay, hành vi gian lận hoặc trốn thuế sẽ dễ dàng bị phát hiện và xử lý nghiêm. - HUMAN-ENF1]]</f>
        <v>7</v>
      </c>
      <c r="D338">
        <f t="shared" si="141"/>
        <v>0.66666666666666663</v>
      </c>
      <c r="E338">
        <f>step3_validation[[#This Row],[AI_ENF2]]</f>
        <v>9</v>
      </c>
      <c r="F338">
        <f t="shared" si="142"/>
        <v>0.88888888888888884</v>
      </c>
      <c r="G338">
        <f>survey_responses[[#This Row],[Tôi tin rằng Nhà nước, cơ quan thuế có đủ khả năng và công nghệ để phát hiện, xử lý nghiêm các hành vi trốn thuế. - HUMAN-ENF2]]</f>
        <v>8</v>
      </c>
      <c r="H338">
        <f t="shared" si="143"/>
        <v>0.77777777777777779</v>
      </c>
      <c r="I338" s="32">
        <f t="shared" si="144"/>
        <v>0.83333333333333326</v>
      </c>
      <c r="J338" s="32">
        <f t="shared" si="145"/>
        <v>0.72222222222222221</v>
      </c>
      <c r="K338">
        <f>step3_validation[[#This Row],[AI_FAC1]]</f>
        <v>7</v>
      </c>
      <c r="L338">
        <f t="shared" si="146"/>
        <v>0.66666666666666663</v>
      </c>
      <c r="M338">
        <f>survey_responses[[#This Row],[Các thủ tục khai báo thuế VÀ/HOẶC quy trình làm việc với cơ quan thuế đơn giản, tiện lợi, nhanh chóng hơn so với trước đây. - HUMAN-FAC1]]</f>
        <v>7</v>
      </c>
      <c r="N338">
        <f t="shared" si="147"/>
        <v>0.66666666666666663</v>
      </c>
      <c r="O338">
        <f>step3_validation[[#This Row],[AI_FAC2]]</f>
        <v>8</v>
      </c>
      <c r="P338">
        <f t="shared" si="148"/>
        <v>0.77777777777777779</v>
      </c>
      <c r="Q338">
        <f>survey_responses[[#This Row],[So với trước đây, tôi thấy cách tính thuế và các bậc thuế trong phương án mới đơn giản, dễ hiểu và dễ thực hiện hơn. - HUMAN-FAC2]]</f>
        <v>7</v>
      </c>
      <c r="R338">
        <f t="shared" si="149"/>
        <v>0.66666666666666663</v>
      </c>
      <c r="S338" s="32">
        <f t="shared" si="150"/>
        <v>0.72222222222222221</v>
      </c>
      <c r="T338" s="32">
        <f t="shared" si="151"/>
        <v>0.66666666666666663</v>
      </c>
      <c r="U338">
        <f>step3_validation[[#This Row],[AI_TRU1]]</f>
        <v>7</v>
      </c>
      <c r="V338">
        <f t="shared" si="152"/>
        <v>0.66666666666666663</v>
      </c>
      <c r="W338">
        <f>survey_responses[[#This Row],[Tôi tin rằng Nhà nước, cơ quan thuế sẽ thực thi chính sách mới một cách khách quan, công tâm và đối xử bình đẳng với mọi người nộp thuế.  - HUMAN-TRU1]]</f>
        <v>6</v>
      </c>
      <c r="X338">
        <f t="shared" si="153"/>
        <v>0.55555555555555558</v>
      </c>
      <c r="Y338">
        <f>step3_validation[[#This Row],[AI_TRU2]]</f>
        <v>8</v>
      </c>
      <c r="Z338">
        <f t="shared" si="154"/>
        <v>0.77777777777777779</v>
      </c>
      <c r="AA338">
        <f>survey_responses[[#This Row],[Tôi thấy mức thuế tôi phải đóng theo phương án mới là công bằng (người thu nhập như tôi đóng mức này là hợp lý). - HUMAN-TRU2]]</f>
        <v>8</v>
      </c>
      <c r="AB338">
        <f t="shared" si="155"/>
        <v>0.77777777777777779</v>
      </c>
      <c r="AC338">
        <f>step3_validation[[#This Row],[AI_TRU3]]</f>
        <v>7</v>
      </c>
      <c r="AD338">
        <f t="shared" si="156"/>
        <v>0.66666666666666663</v>
      </c>
      <c r="AE338">
        <f>survey_responses[[#This Row],[Tôi tin tưởng số tiền thuế tôi đóng sẽ được Nhà nước sử dụng hiệu quả để cải thiện dịch vụ công (y tế, đường xá...). - HUMAN-TRU3]]</f>
        <v>6</v>
      </c>
      <c r="AF338">
        <f t="shared" si="157"/>
        <v>0.55555555555555558</v>
      </c>
      <c r="AG338">
        <f>step3_validation[[#This Row],[AI_TRU4]]</f>
        <v>6</v>
      </c>
      <c r="AH338">
        <f t="shared" si="158"/>
        <v>0.55555555555555558</v>
      </c>
      <c r="AI338">
        <f>survey_responses[[#This Row],[Tôi thấy Nhà nước đã giải thích rõ ràng, minh bạch về lý do và mục tiêu của việc sửa đổi thuế lần này. - HUMAN-TRU4]]</f>
        <v>8</v>
      </c>
      <c r="AJ338">
        <f t="shared" si="159"/>
        <v>0.77777777777777779</v>
      </c>
      <c r="AK338" s="32">
        <f t="shared" si="160"/>
        <v>0.66666666666666674</v>
      </c>
      <c r="AL338" s="32">
        <f t="shared" si="161"/>
        <v>0.66666666666666674</v>
      </c>
      <c r="AM338" s="7">
        <f t="shared" si="162"/>
        <v>0.74074074074074081</v>
      </c>
      <c r="AN338" s="7">
        <f t="shared" si="163"/>
        <v>0.68518518518518512</v>
      </c>
      <c r="AO338">
        <f>step3_validation[[#This Row],[AI_OUT1]]</f>
        <v>7</v>
      </c>
      <c r="AP338">
        <f t="shared" si="164"/>
        <v>0.66666666666666663</v>
      </c>
      <c r="AQ338">
        <f>survey_responses[[#This Row],[Sau khi xem xét các quyền lợi và nghĩa vụ, bạn có ủng hộ và tuân thủ chính sách mới hiện nay? - HUMAN-OUT1]]</f>
        <v>8</v>
      </c>
      <c r="AR338">
        <f t="shared" si="165"/>
        <v>0.77777777777777779</v>
      </c>
      <c r="AS338" s="32">
        <f t="shared" si="166"/>
        <v>1</v>
      </c>
      <c r="AT338">
        <f t="shared" si="167"/>
        <v>1</v>
      </c>
    </row>
    <row r="339" spans="1:46" x14ac:dyDescent="0.45">
      <c r="A339">
        <f>step3_validation[[#This Row],[AI_ENF1]]</f>
        <v>7</v>
      </c>
      <c r="B339">
        <f t="shared" si="140"/>
        <v>0.66666666666666663</v>
      </c>
      <c r="C339">
        <f>survey_responses[[#This Row],[Tôi tin rằng với các quy định quản lý thuế hiện nay, hành vi gian lận hoặc trốn thuế sẽ dễ dàng bị phát hiện và xử lý nghiêm. - HUMAN-ENF1]]</f>
        <v>8</v>
      </c>
      <c r="D339">
        <f t="shared" si="141"/>
        <v>0.77777777777777779</v>
      </c>
      <c r="E339">
        <f>step3_validation[[#This Row],[AI_ENF2]]</f>
        <v>8</v>
      </c>
      <c r="F339">
        <f t="shared" si="142"/>
        <v>0.77777777777777779</v>
      </c>
      <c r="G339">
        <f>survey_responses[[#This Row],[Tôi tin rằng Nhà nước, cơ quan thuế có đủ khả năng và công nghệ để phát hiện, xử lý nghiêm các hành vi trốn thuế. - HUMAN-ENF2]]</f>
        <v>8</v>
      </c>
      <c r="H339">
        <f t="shared" si="143"/>
        <v>0.77777777777777779</v>
      </c>
      <c r="I339" s="32">
        <f t="shared" si="144"/>
        <v>0.72222222222222221</v>
      </c>
      <c r="J339" s="32">
        <f t="shared" si="145"/>
        <v>0.77777777777777779</v>
      </c>
      <c r="K339">
        <f>step3_validation[[#This Row],[AI_FAC1]]</f>
        <v>8</v>
      </c>
      <c r="L339">
        <f t="shared" si="146"/>
        <v>0.77777777777777779</v>
      </c>
      <c r="M339">
        <f>survey_responses[[#This Row],[Các thủ tục khai báo thuế VÀ/HOẶC quy trình làm việc với cơ quan thuế đơn giản, tiện lợi, nhanh chóng hơn so với trước đây. - HUMAN-FAC1]]</f>
        <v>9</v>
      </c>
      <c r="N339">
        <f t="shared" si="147"/>
        <v>0.88888888888888884</v>
      </c>
      <c r="O339">
        <f>step3_validation[[#This Row],[AI_FAC2]]</f>
        <v>9</v>
      </c>
      <c r="P339">
        <f t="shared" si="148"/>
        <v>0.88888888888888884</v>
      </c>
      <c r="Q339">
        <f>survey_responses[[#This Row],[So với trước đây, tôi thấy cách tính thuế và các bậc thuế trong phương án mới đơn giản, dễ hiểu và dễ thực hiện hơn. - HUMAN-FAC2]]</f>
        <v>9</v>
      </c>
      <c r="R339">
        <f t="shared" si="149"/>
        <v>0.88888888888888884</v>
      </c>
      <c r="S339" s="32">
        <f t="shared" si="150"/>
        <v>0.83333333333333326</v>
      </c>
      <c r="T339" s="32">
        <f t="shared" si="151"/>
        <v>0.88888888888888884</v>
      </c>
      <c r="U339">
        <f>step3_validation[[#This Row],[AI_TRU1]]</f>
        <v>7</v>
      </c>
      <c r="V339">
        <f t="shared" si="152"/>
        <v>0.66666666666666663</v>
      </c>
      <c r="W339">
        <f>survey_responses[[#This Row],[Tôi tin rằng Nhà nước, cơ quan thuế sẽ thực thi chính sách mới một cách khách quan, công tâm và đối xử bình đẳng với mọi người nộp thuế.  - HUMAN-TRU1]]</f>
        <v>8</v>
      </c>
      <c r="X339">
        <f t="shared" si="153"/>
        <v>0.77777777777777779</v>
      </c>
      <c r="Y339">
        <f>step3_validation[[#This Row],[AI_TRU2]]</f>
        <v>8</v>
      </c>
      <c r="Z339">
        <f t="shared" si="154"/>
        <v>0.77777777777777779</v>
      </c>
      <c r="AA339">
        <f>survey_responses[[#This Row],[Tôi thấy mức thuế tôi phải đóng theo phương án mới là công bằng (người thu nhập như tôi đóng mức này là hợp lý). - HUMAN-TRU2]]</f>
        <v>9</v>
      </c>
      <c r="AB339">
        <f t="shared" si="155"/>
        <v>0.88888888888888884</v>
      </c>
      <c r="AC339">
        <f>step3_validation[[#This Row],[AI_TRU3]]</f>
        <v>7</v>
      </c>
      <c r="AD339">
        <f t="shared" si="156"/>
        <v>0.66666666666666663</v>
      </c>
      <c r="AE339">
        <f>survey_responses[[#This Row],[Tôi tin tưởng số tiền thuế tôi đóng sẽ được Nhà nước sử dụng hiệu quả để cải thiện dịch vụ công (y tế, đường xá...). - HUMAN-TRU3]]</f>
        <v>10</v>
      </c>
      <c r="AF339">
        <f t="shared" si="157"/>
        <v>1</v>
      </c>
      <c r="AG339">
        <f>step3_validation[[#This Row],[AI_TRU4]]</f>
        <v>7</v>
      </c>
      <c r="AH339">
        <f t="shared" si="158"/>
        <v>0.66666666666666663</v>
      </c>
      <c r="AI339">
        <f>survey_responses[[#This Row],[Tôi thấy Nhà nước đã giải thích rõ ràng, minh bạch về lý do và mục tiêu của việc sửa đổi thuế lần này. - HUMAN-TRU4]]</f>
        <v>9</v>
      </c>
      <c r="AJ339">
        <f t="shared" si="159"/>
        <v>0.88888888888888884</v>
      </c>
      <c r="AK339" s="32">
        <f t="shared" si="160"/>
        <v>0.69444444444444442</v>
      </c>
      <c r="AL339" s="32">
        <f t="shared" si="161"/>
        <v>0.88888888888888884</v>
      </c>
      <c r="AM339" s="7">
        <f t="shared" si="162"/>
        <v>0.75</v>
      </c>
      <c r="AN339" s="7">
        <f t="shared" si="163"/>
        <v>0.85185185185185175</v>
      </c>
      <c r="AO339">
        <f>step3_validation[[#This Row],[AI_OUT1]]</f>
        <v>8</v>
      </c>
      <c r="AP339">
        <f t="shared" si="164"/>
        <v>0.77777777777777779</v>
      </c>
      <c r="AQ339">
        <f>survey_responses[[#This Row],[Sau khi xem xét các quyền lợi và nghĩa vụ, bạn có ủng hộ và tuân thủ chính sách mới hiện nay? - HUMAN-OUT1]]</f>
        <v>10</v>
      </c>
      <c r="AR339">
        <f t="shared" si="165"/>
        <v>1</v>
      </c>
      <c r="AS339" s="32">
        <f t="shared" si="166"/>
        <v>2</v>
      </c>
      <c r="AT339">
        <f t="shared" si="167"/>
        <v>1</v>
      </c>
    </row>
    <row r="340" spans="1:46" x14ac:dyDescent="0.45">
      <c r="A340">
        <f>step3_validation[[#This Row],[AI_ENF1]]</f>
        <v>7</v>
      </c>
      <c r="B340">
        <f t="shared" si="140"/>
        <v>0.66666666666666663</v>
      </c>
      <c r="C340">
        <f>survey_responses[[#This Row],[Tôi tin rằng với các quy định quản lý thuế hiện nay, hành vi gian lận hoặc trốn thuế sẽ dễ dàng bị phát hiện và xử lý nghiêm. - HUMAN-ENF1]]</f>
        <v>7</v>
      </c>
      <c r="D340">
        <f t="shared" si="141"/>
        <v>0.66666666666666663</v>
      </c>
      <c r="E340">
        <f>step3_validation[[#This Row],[AI_ENF2]]</f>
        <v>8</v>
      </c>
      <c r="F340">
        <f t="shared" si="142"/>
        <v>0.77777777777777779</v>
      </c>
      <c r="G340">
        <f>survey_responses[[#This Row],[Tôi tin rằng Nhà nước, cơ quan thuế có đủ khả năng và công nghệ để phát hiện, xử lý nghiêm các hành vi trốn thuế. - HUMAN-ENF2]]</f>
        <v>7</v>
      </c>
      <c r="H340">
        <f t="shared" si="143"/>
        <v>0.66666666666666663</v>
      </c>
      <c r="I340" s="32">
        <f t="shared" si="144"/>
        <v>0.72222222222222221</v>
      </c>
      <c r="J340" s="32">
        <f t="shared" si="145"/>
        <v>0.66666666666666663</v>
      </c>
      <c r="K340">
        <f>step3_validation[[#This Row],[AI_FAC1]]</f>
        <v>9</v>
      </c>
      <c r="L340">
        <f t="shared" si="146"/>
        <v>0.88888888888888884</v>
      </c>
      <c r="M340">
        <f>survey_responses[[#This Row],[Các thủ tục khai báo thuế VÀ/HOẶC quy trình làm việc với cơ quan thuế đơn giản, tiện lợi, nhanh chóng hơn so với trước đây. - HUMAN-FAC1]]</f>
        <v>8</v>
      </c>
      <c r="N340">
        <f t="shared" si="147"/>
        <v>0.77777777777777779</v>
      </c>
      <c r="O340">
        <f>step3_validation[[#This Row],[AI_FAC2]]</f>
        <v>8</v>
      </c>
      <c r="P340">
        <f t="shared" si="148"/>
        <v>0.77777777777777779</v>
      </c>
      <c r="Q340">
        <f>survey_responses[[#This Row],[So với trước đây, tôi thấy cách tính thuế và các bậc thuế trong phương án mới đơn giản, dễ hiểu và dễ thực hiện hơn. - HUMAN-FAC2]]</f>
        <v>8</v>
      </c>
      <c r="R340">
        <f t="shared" si="149"/>
        <v>0.77777777777777779</v>
      </c>
      <c r="S340" s="32">
        <f t="shared" si="150"/>
        <v>0.83333333333333326</v>
      </c>
      <c r="T340" s="32">
        <f t="shared" si="151"/>
        <v>0.77777777777777779</v>
      </c>
      <c r="U340">
        <f>step3_validation[[#This Row],[AI_TRU1]]</f>
        <v>7</v>
      </c>
      <c r="V340">
        <f t="shared" si="152"/>
        <v>0.66666666666666663</v>
      </c>
      <c r="W340">
        <f>survey_responses[[#This Row],[Tôi tin rằng Nhà nước, cơ quan thuế sẽ thực thi chính sách mới một cách khách quan, công tâm và đối xử bình đẳng với mọi người nộp thuế.  - HUMAN-TRU1]]</f>
        <v>6</v>
      </c>
      <c r="X340">
        <f t="shared" si="153"/>
        <v>0.55555555555555558</v>
      </c>
      <c r="Y340">
        <f>step3_validation[[#This Row],[AI_TRU2]]</f>
        <v>8</v>
      </c>
      <c r="Z340">
        <f t="shared" si="154"/>
        <v>0.77777777777777779</v>
      </c>
      <c r="AA340">
        <f>survey_responses[[#This Row],[Tôi thấy mức thuế tôi phải đóng theo phương án mới là công bằng (người thu nhập như tôi đóng mức này là hợp lý). - HUMAN-TRU2]]</f>
        <v>7</v>
      </c>
      <c r="AB340">
        <f t="shared" si="155"/>
        <v>0.66666666666666663</v>
      </c>
      <c r="AC340">
        <f>step3_validation[[#This Row],[AI_TRU3]]</f>
        <v>6</v>
      </c>
      <c r="AD340">
        <f t="shared" si="156"/>
        <v>0.55555555555555558</v>
      </c>
      <c r="AE340">
        <f>survey_responses[[#This Row],[Tôi tin tưởng số tiền thuế tôi đóng sẽ được Nhà nước sử dụng hiệu quả để cải thiện dịch vụ công (y tế, đường xá...). - HUMAN-TRU3]]</f>
        <v>6</v>
      </c>
      <c r="AF340">
        <f t="shared" si="157"/>
        <v>0.55555555555555558</v>
      </c>
      <c r="AG340">
        <f>step3_validation[[#This Row],[AI_TRU4]]</f>
        <v>5</v>
      </c>
      <c r="AH340">
        <f t="shared" si="158"/>
        <v>0.44444444444444442</v>
      </c>
      <c r="AI340">
        <f>survey_responses[[#This Row],[Tôi thấy Nhà nước đã giải thích rõ ràng, minh bạch về lý do và mục tiêu của việc sửa đổi thuế lần này. - HUMAN-TRU4]]</f>
        <v>6</v>
      </c>
      <c r="AJ340">
        <f t="shared" si="159"/>
        <v>0.55555555555555558</v>
      </c>
      <c r="AK340" s="32">
        <f t="shared" si="160"/>
        <v>0.61111111111111116</v>
      </c>
      <c r="AL340" s="32">
        <f t="shared" si="161"/>
        <v>0.58333333333333337</v>
      </c>
      <c r="AM340" s="7">
        <f t="shared" si="162"/>
        <v>0.72222222222222221</v>
      </c>
      <c r="AN340" s="7">
        <f t="shared" si="163"/>
        <v>0.67592592592592593</v>
      </c>
      <c r="AO340">
        <f>step3_validation[[#This Row],[AI_OUT1]]</f>
        <v>6</v>
      </c>
      <c r="AP340">
        <f t="shared" si="164"/>
        <v>0.55555555555555558</v>
      </c>
      <c r="AQ340">
        <f>survey_responses[[#This Row],[Sau khi xem xét các quyền lợi và nghĩa vụ, bạn có ủng hộ và tuân thủ chính sách mới hiện nay? - HUMAN-OUT1]]</f>
        <v>7</v>
      </c>
      <c r="AR340">
        <f t="shared" si="165"/>
        <v>0.66666666666666663</v>
      </c>
      <c r="AS340" s="32">
        <f t="shared" si="166"/>
        <v>1</v>
      </c>
      <c r="AT340">
        <f t="shared" si="167"/>
        <v>1</v>
      </c>
    </row>
    <row r="341" spans="1:46" x14ac:dyDescent="0.45">
      <c r="A341">
        <f>step3_validation[[#This Row],[AI_ENF1]]</f>
        <v>8</v>
      </c>
      <c r="B341">
        <f t="shared" si="140"/>
        <v>0.77777777777777779</v>
      </c>
      <c r="C341">
        <f>survey_responses[[#This Row],[Tôi tin rằng với các quy định quản lý thuế hiện nay, hành vi gian lận hoặc trốn thuế sẽ dễ dàng bị phát hiện và xử lý nghiêm. - HUMAN-ENF1]]</f>
        <v>7</v>
      </c>
      <c r="D341">
        <f t="shared" si="141"/>
        <v>0.66666666666666663</v>
      </c>
      <c r="E341">
        <f>step3_validation[[#This Row],[AI_ENF2]]</f>
        <v>9</v>
      </c>
      <c r="F341">
        <f t="shared" si="142"/>
        <v>0.88888888888888884</v>
      </c>
      <c r="G341">
        <f>survey_responses[[#This Row],[Tôi tin rằng Nhà nước, cơ quan thuế có đủ khả năng và công nghệ để phát hiện, xử lý nghiêm các hành vi trốn thuế. - HUMAN-ENF2]]</f>
        <v>8</v>
      </c>
      <c r="H341">
        <f t="shared" si="143"/>
        <v>0.77777777777777779</v>
      </c>
      <c r="I341" s="32">
        <f t="shared" si="144"/>
        <v>0.83333333333333326</v>
      </c>
      <c r="J341" s="32">
        <f t="shared" si="145"/>
        <v>0.72222222222222221</v>
      </c>
      <c r="K341">
        <f>step3_validation[[#This Row],[AI_FAC1]]</f>
        <v>8</v>
      </c>
      <c r="L341">
        <f t="shared" si="146"/>
        <v>0.77777777777777779</v>
      </c>
      <c r="M341">
        <f>survey_responses[[#This Row],[Các thủ tục khai báo thuế VÀ/HOẶC quy trình làm việc với cơ quan thuế đơn giản, tiện lợi, nhanh chóng hơn so với trước đây. - HUMAN-FAC1]]</f>
        <v>8</v>
      </c>
      <c r="N341">
        <f t="shared" si="147"/>
        <v>0.77777777777777779</v>
      </c>
      <c r="O341">
        <f>step3_validation[[#This Row],[AI_FAC2]]</f>
        <v>7</v>
      </c>
      <c r="P341">
        <f t="shared" si="148"/>
        <v>0.66666666666666663</v>
      </c>
      <c r="Q341">
        <f>survey_responses[[#This Row],[So với trước đây, tôi thấy cách tính thuế và các bậc thuế trong phương án mới đơn giản, dễ hiểu và dễ thực hiện hơn. - HUMAN-FAC2]]</f>
        <v>8</v>
      </c>
      <c r="R341">
        <f t="shared" si="149"/>
        <v>0.77777777777777779</v>
      </c>
      <c r="S341" s="32">
        <f t="shared" si="150"/>
        <v>0.72222222222222221</v>
      </c>
      <c r="T341" s="32">
        <f t="shared" si="151"/>
        <v>0.77777777777777779</v>
      </c>
      <c r="U341">
        <f>step3_validation[[#This Row],[AI_TRU1]]</f>
        <v>6</v>
      </c>
      <c r="V341">
        <f t="shared" si="152"/>
        <v>0.55555555555555558</v>
      </c>
      <c r="W341">
        <f>survey_responses[[#This Row],[Tôi tin rằng Nhà nước, cơ quan thuế sẽ thực thi chính sách mới một cách khách quan, công tâm và đối xử bình đẳng với mọi người nộp thuế.  - HUMAN-TRU1]]</f>
        <v>5</v>
      </c>
      <c r="X341">
        <f t="shared" si="153"/>
        <v>0.44444444444444442</v>
      </c>
      <c r="Y341">
        <f>step3_validation[[#This Row],[AI_TRU2]]</f>
        <v>7</v>
      </c>
      <c r="Z341">
        <f t="shared" si="154"/>
        <v>0.66666666666666663</v>
      </c>
      <c r="AA341">
        <f>survey_responses[[#This Row],[Tôi thấy mức thuế tôi phải đóng theo phương án mới là công bằng (người thu nhập như tôi đóng mức này là hợp lý). - HUMAN-TRU2]]</f>
        <v>8</v>
      </c>
      <c r="AB341">
        <f t="shared" si="155"/>
        <v>0.77777777777777779</v>
      </c>
      <c r="AC341">
        <f>step3_validation[[#This Row],[AI_TRU3]]</f>
        <v>6</v>
      </c>
      <c r="AD341">
        <f t="shared" si="156"/>
        <v>0.55555555555555558</v>
      </c>
      <c r="AE341">
        <f>survey_responses[[#This Row],[Tôi tin tưởng số tiền thuế tôi đóng sẽ được Nhà nước sử dụng hiệu quả để cải thiện dịch vụ công (y tế, đường xá...). - HUMAN-TRU3]]</f>
        <v>5</v>
      </c>
      <c r="AF341">
        <f t="shared" si="157"/>
        <v>0.44444444444444442</v>
      </c>
      <c r="AG341">
        <f>step3_validation[[#This Row],[AI_TRU4]]</f>
        <v>5</v>
      </c>
      <c r="AH341">
        <f t="shared" si="158"/>
        <v>0.44444444444444442</v>
      </c>
      <c r="AI341">
        <f>survey_responses[[#This Row],[Tôi thấy Nhà nước đã giải thích rõ ràng, minh bạch về lý do và mục tiêu của việc sửa đổi thuế lần này. - HUMAN-TRU4]]</f>
        <v>8</v>
      </c>
      <c r="AJ341">
        <f t="shared" si="159"/>
        <v>0.77777777777777779</v>
      </c>
      <c r="AK341" s="32">
        <f t="shared" si="160"/>
        <v>0.55555555555555558</v>
      </c>
      <c r="AL341" s="32">
        <f t="shared" si="161"/>
        <v>0.61111111111111116</v>
      </c>
      <c r="AM341" s="7">
        <f t="shared" si="162"/>
        <v>0.70370370370370361</v>
      </c>
      <c r="AN341" s="7">
        <f t="shared" si="163"/>
        <v>0.70370370370370372</v>
      </c>
      <c r="AO341">
        <f>step3_validation[[#This Row],[AI_OUT1]]</f>
        <v>6</v>
      </c>
      <c r="AP341">
        <f t="shared" si="164"/>
        <v>0.55555555555555558</v>
      </c>
      <c r="AQ341">
        <f>survey_responses[[#This Row],[Sau khi xem xét các quyền lợi và nghĩa vụ, bạn có ủng hộ và tuân thủ chính sách mới hiện nay? - HUMAN-OUT1]]</f>
        <v>8</v>
      </c>
      <c r="AR341">
        <f t="shared" si="165"/>
        <v>0.77777777777777779</v>
      </c>
      <c r="AS341" s="32">
        <f t="shared" si="166"/>
        <v>2</v>
      </c>
      <c r="AT341">
        <f t="shared" si="167"/>
        <v>1</v>
      </c>
    </row>
    <row r="342" spans="1:46" x14ac:dyDescent="0.45">
      <c r="A342">
        <f>step3_validation[[#This Row],[AI_ENF1]]</f>
        <v>7</v>
      </c>
      <c r="B342">
        <f t="shared" si="140"/>
        <v>0.66666666666666663</v>
      </c>
      <c r="C342">
        <f>survey_responses[[#This Row],[Tôi tin rằng với các quy định quản lý thuế hiện nay, hành vi gian lận hoặc trốn thuế sẽ dễ dàng bị phát hiện và xử lý nghiêm. - HUMAN-ENF1]]</f>
        <v>8</v>
      </c>
      <c r="D342">
        <f t="shared" si="141"/>
        <v>0.77777777777777779</v>
      </c>
      <c r="E342">
        <f>step3_validation[[#This Row],[AI_ENF2]]</f>
        <v>8</v>
      </c>
      <c r="F342">
        <f t="shared" si="142"/>
        <v>0.77777777777777779</v>
      </c>
      <c r="G342">
        <f>survey_responses[[#This Row],[Tôi tin rằng Nhà nước, cơ quan thuế có đủ khả năng và công nghệ để phát hiện, xử lý nghiêm các hành vi trốn thuế. - HUMAN-ENF2]]</f>
        <v>8</v>
      </c>
      <c r="H342">
        <f t="shared" si="143"/>
        <v>0.77777777777777779</v>
      </c>
      <c r="I342" s="32">
        <f t="shared" si="144"/>
        <v>0.72222222222222221</v>
      </c>
      <c r="J342" s="32">
        <f t="shared" si="145"/>
        <v>0.77777777777777779</v>
      </c>
      <c r="K342">
        <f>step3_validation[[#This Row],[AI_FAC1]]</f>
        <v>6</v>
      </c>
      <c r="L342">
        <f t="shared" si="146"/>
        <v>0.55555555555555558</v>
      </c>
      <c r="M342">
        <f>survey_responses[[#This Row],[Các thủ tục khai báo thuế VÀ/HOẶC quy trình làm việc với cơ quan thuế đơn giản, tiện lợi, nhanh chóng hơn so với trước đây. - HUMAN-FAC1]]</f>
        <v>8</v>
      </c>
      <c r="N342">
        <f t="shared" si="147"/>
        <v>0.77777777777777779</v>
      </c>
      <c r="O342">
        <f>step3_validation[[#This Row],[AI_FAC2]]</f>
        <v>9</v>
      </c>
      <c r="P342">
        <f t="shared" si="148"/>
        <v>0.88888888888888884</v>
      </c>
      <c r="Q342">
        <f>survey_responses[[#This Row],[So với trước đây, tôi thấy cách tính thuế và các bậc thuế trong phương án mới đơn giản, dễ hiểu và dễ thực hiện hơn. - HUMAN-FAC2]]</f>
        <v>9</v>
      </c>
      <c r="R342">
        <f t="shared" si="149"/>
        <v>0.88888888888888884</v>
      </c>
      <c r="S342" s="32">
        <f t="shared" si="150"/>
        <v>0.72222222222222221</v>
      </c>
      <c r="T342" s="32">
        <f t="shared" si="151"/>
        <v>0.83333333333333326</v>
      </c>
      <c r="U342">
        <f>step3_validation[[#This Row],[AI_TRU1]]</f>
        <v>7</v>
      </c>
      <c r="V342">
        <f t="shared" si="152"/>
        <v>0.66666666666666663</v>
      </c>
      <c r="W342">
        <f>survey_responses[[#This Row],[Tôi tin rằng Nhà nước, cơ quan thuế sẽ thực thi chính sách mới một cách khách quan, công tâm và đối xử bình đẳng với mọi người nộp thuế.  - HUMAN-TRU1]]</f>
        <v>8</v>
      </c>
      <c r="X342">
        <f t="shared" si="153"/>
        <v>0.77777777777777779</v>
      </c>
      <c r="Y342">
        <f>step3_validation[[#This Row],[AI_TRU2]]</f>
        <v>8</v>
      </c>
      <c r="Z342">
        <f t="shared" si="154"/>
        <v>0.77777777777777779</v>
      </c>
      <c r="AA342">
        <f>survey_responses[[#This Row],[Tôi thấy mức thuế tôi phải đóng theo phương án mới là công bằng (người thu nhập như tôi đóng mức này là hợp lý). - HUMAN-TRU2]]</f>
        <v>8</v>
      </c>
      <c r="AB342">
        <f t="shared" si="155"/>
        <v>0.77777777777777779</v>
      </c>
      <c r="AC342">
        <f>step3_validation[[#This Row],[AI_TRU3]]</f>
        <v>7</v>
      </c>
      <c r="AD342">
        <f t="shared" si="156"/>
        <v>0.66666666666666663</v>
      </c>
      <c r="AE342">
        <f>survey_responses[[#This Row],[Tôi tin tưởng số tiền thuế tôi đóng sẽ được Nhà nước sử dụng hiệu quả để cải thiện dịch vụ công (y tế, đường xá...). - HUMAN-TRU3]]</f>
        <v>7</v>
      </c>
      <c r="AF342">
        <f t="shared" si="157"/>
        <v>0.66666666666666663</v>
      </c>
      <c r="AG342">
        <f>step3_validation[[#This Row],[AI_TRU4]]</f>
        <v>6</v>
      </c>
      <c r="AH342">
        <f t="shared" si="158"/>
        <v>0.55555555555555558</v>
      </c>
      <c r="AI342">
        <f>survey_responses[[#This Row],[Tôi thấy Nhà nước đã giải thích rõ ràng, minh bạch về lý do và mục tiêu của việc sửa đổi thuế lần này. - HUMAN-TRU4]]</f>
        <v>7</v>
      </c>
      <c r="AJ342">
        <f t="shared" si="159"/>
        <v>0.66666666666666663</v>
      </c>
      <c r="AK342" s="32">
        <f t="shared" si="160"/>
        <v>0.66666666666666674</v>
      </c>
      <c r="AL342" s="32">
        <f t="shared" si="161"/>
        <v>0.72222222222222221</v>
      </c>
      <c r="AM342" s="7">
        <f t="shared" si="162"/>
        <v>0.70370370370370372</v>
      </c>
      <c r="AN342" s="7">
        <f t="shared" si="163"/>
        <v>0.77777777777777779</v>
      </c>
      <c r="AO342">
        <f>step3_validation[[#This Row],[AI_OUT1]]</f>
        <v>7</v>
      </c>
      <c r="AP342">
        <f t="shared" si="164"/>
        <v>0.66666666666666663</v>
      </c>
      <c r="AQ342">
        <f>survey_responses[[#This Row],[Sau khi xem xét các quyền lợi và nghĩa vụ, bạn có ủng hộ và tuân thủ chính sách mới hiện nay? - HUMAN-OUT1]]</f>
        <v>8</v>
      </c>
      <c r="AR342">
        <f t="shared" si="165"/>
        <v>0.77777777777777779</v>
      </c>
      <c r="AS342" s="32">
        <f t="shared" si="166"/>
        <v>1</v>
      </c>
      <c r="AT342">
        <f t="shared" si="167"/>
        <v>1</v>
      </c>
    </row>
    <row r="343" spans="1:46" x14ac:dyDescent="0.45">
      <c r="A343">
        <f>step3_validation[[#This Row],[AI_ENF1]]</f>
        <v>7</v>
      </c>
      <c r="B343">
        <f t="shared" si="140"/>
        <v>0.66666666666666663</v>
      </c>
      <c r="C343">
        <f>survey_responses[[#This Row],[Tôi tin rằng với các quy định quản lý thuế hiện nay, hành vi gian lận hoặc trốn thuế sẽ dễ dàng bị phát hiện và xử lý nghiêm. - HUMAN-ENF1]]</f>
        <v>5</v>
      </c>
      <c r="D343">
        <f t="shared" si="141"/>
        <v>0.44444444444444442</v>
      </c>
      <c r="E343">
        <f>step3_validation[[#This Row],[AI_ENF2]]</f>
        <v>7</v>
      </c>
      <c r="F343">
        <f t="shared" si="142"/>
        <v>0.66666666666666663</v>
      </c>
      <c r="G343">
        <f>survey_responses[[#This Row],[Tôi tin rằng Nhà nước, cơ quan thuế có đủ khả năng và công nghệ để phát hiện, xử lý nghiêm các hành vi trốn thuế. - HUMAN-ENF2]]</f>
        <v>5</v>
      </c>
      <c r="H343">
        <f t="shared" si="143"/>
        <v>0.44444444444444442</v>
      </c>
      <c r="I343" s="32">
        <f t="shared" si="144"/>
        <v>0.66666666666666663</v>
      </c>
      <c r="J343" s="32">
        <f t="shared" si="145"/>
        <v>0.44444444444444442</v>
      </c>
      <c r="K343">
        <f>step3_validation[[#This Row],[AI_FAC1]]</f>
        <v>6</v>
      </c>
      <c r="L343">
        <f t="shared" si="146"/>
        <v>0.55555555555555558</v>
      </c>
      <c r="M343">
        <f>survey_responses[[#This Row],[Các thủ tục khai báo thuế VÀ/HOẶC quy trình làm việc với cơ quan thuế đơn giản, tiện lợi, nhanh chóng hơn so với trước đây. - HUMAN-FAC1]]</f>
        <v>6</v>
      </c>
      <c r="N343">
        <f t="shared" si="147"/>
        <v>0.55555555555555558</v>
      </c>
      <c r="O343">
        <f>step3_validation[[#This Row],[AI_FAC2]]</f>
        <v>6</v>
      </c>
      <c r="P343">
        <f t="shared" si="148"/>
        <v>0.55555555555555558</v>
      </c>
      <c r="Q343">
        <f>survey_responses[[#This Row],[So với trước đây, tôi thấy cách tính thuế và các bậc thuế trong phương án mới đơn giản, dễ hiểu và dễ thực hiện hơn. - HUMAN-FAC2]]</f>
        <v>7</v>
      </c>
      <c r="R343">
        <f t="shared" si="149"/>
        <v>0.66666666666666663</v>
      </c>
      <c r="S343" s="32">
        <f t="shared" si="150"/>
        <v>0.55555555555555558</v>
      </c>
      <c r="T343" s="32">
        <f t="shared" si="151"/>
        <v>0.61111111111111116</v>
      </c>
      <c r="U343">
        <f>step3_validation[[#This Row],[AI_TRU1]]</f>
        <v>7</v>
      </c>
      <c r="V343">
        <f t="shared" si="152"/>
        <v>0.66666666666666663</v>
      </c>
      <c r="W343">
        <f>survey_responses[[#This Row],[Tôi tin rằng Nhà nước, cơ quan thuế sẽ thực thi chính sách mới một cách khách quan, công tâm và đối xử bình đẳng với mọi người nộp thuế.  - HUMAN-TRU1]]</f>
        <v>5</v>
      </c>
      <c r="X343">
        <f t="shared" si="153"/>
        <v>0.44444444444444442</v>
      </c>
      <c r="Y343">
        <f>step3_validation[[#This Row],[AI_TRU2]]</f>
        <v>7</v>
      </c>
      <c r="Z343">
        <f t="shared" si="154"/>
        <v>0.66666666666666663</v>
      </c>
      <c r="AA343">
        <f>survey_responses[[#This Row],[Tôi thấy mức thuế tôi phải đóng theo phương án mới là công bằng (người thu nhập như tôi đóng mức này là hợp lý). - HUMAN-TRU2]]</f>
        <v>8</v>
      </c>
      <c r="AB343">
        <f t="shared" si="155"/>
        <v>0.77777777777777779</v>
      </c>
      <c r="AC343">
        <f>step3_validation[[#This Row],[AI_TRU3]]</f>
        <v>7</v>
      </c>
      <c r="AD343">
        <f t="shared" si="156"/>
        <v>0.66666666666666663</v>
      </c>
      <c r="AE343">
        <f>survey_responses[[#This Row],[Tôi tin tưởng số tiền thuế tôi đóng sẽ được Nhà nước sử dụng hiệu quả để cải thiện dịch vụ công (y tế, đường xá...). - HUMAN-TRU3]]</f>
        <v>6</v>
      </c>
      <c r="AF343">
        <f t="shared" si="157"/>
        <v>0.55555555555555558</v>
      </c>
      <c r="AG343">
        <f>step3_validation[[#This Row],[AI_TRU4]]</f>
        <v>7</v>
      </c>
      <c r="AH343">
        <f t="shared" si="158"/>
        <v>0.66666666666666663</v>
      </c>
      <c r="AI343">
        <f>survey_responses[[#This Row],[Tôi thấy Nhà nước đã giải thích rõ ràng, minh bạch về lý do và mục tiêu của việc sửa đổi thuế lần này. - HUMAN-TRU4]]</f>
        <v>6</v>
      </c>
      <c r="AJ343">
        <f t="shared" si="159"/>
        <v>0.55555555555555558</v>
      </c>
      <c r="AK343" s="32">
        <f t="shared" si="160"/>
        <v>0.66666666666666663</v>
      </c>
      <c r="AL343" s="32">
        <f t="shared" si="161"/>
        <v>0.58333333333333337</v>
      </c>
      <c r="AM343" s="7">
        <f t="shared" si="162"/>
        <v>0.62962962962962965</v>
      </c>
      <c r="AN343" s="7">
        <f t="shared" si="163"/>
        <v>0.54629629629629628</v>
      </c>
      <c r="AO343">
        <f>step3_validation[[#This Row],[AI_OUT1]]</f>
        <v>8</v>
      </c>
      <c r="AP343">
        <f t="shared" si="164"/>
        <v>0.77777777777777779</v>
      </c>
      <c r="AQ343">
        <f>survey_responses[[#This Row],[Sau khi xem xét các quyền lợi và nghĩa vụ, bạn có ủng hộ và tuân thủ chính sách mới hiện nay? - HUMAN-OUT1]]</f>
        <v>7</v>
      </c>
      <c r="AR343">
        <f t="shared" si="165"/>
        <v>0.66666666666666663</v>
      </c>
      <c r="AS343" s="32">
        <f t="shared" si="166"/>
        <v>1</v>
      </c>
      <c r="AT343">
        <f t="shared" si="167"/>
        <v>1</v>
      </c>
    </row>
    <row r="344" spans="1:46" x14ac:dyDescent="0.45">
      <c r="A344">
        <f>step3_validation[[#This Row],[AI_ENF1]]</f>
        <v>4</v>
      </c>
      <c r="B344">
        <f t="shared" si="140"/>
        <v>0.33333333333333331</v>
      </c>
      <c r="C344">
        <f>survey_responses[[#This Row],[Tôi tin rằng với các quy định quản lý thuế hiện nay, hành vi gian lận hoặc trốn thuế sẽ dễ dàng bị phát hiện và xử lý nghiêm. - HUMAN-ENF1]]</f>
        <v>7</v>
      </c>
      <c r="D344">
        <f t="shared" si="141"/>
        <v>0.66666666666666663</v>
      </c>
      <c r="E344">
        <f>step3_validation[[#This Row],[AI_ENF2]]</f>
        <v>5</v>
      </c>
      <c r="F344">
        <f t="shared" si="142"/>
        <v>0.44444444444444442</v>
      </c>
      <c r="G344">
        <f>survey_responses[[#This Row],[Tôi tin rằng Nhà nước, cơ quan thuế có đủ khả năng và công nghệ để phát hiện, xử lý nghiêm các hành vi trốn thuế. - HUMAN-ENF2]]</f>
        <v>7</v>
      </c>
      <c r="H344">
        <f t="shared" si="143"/>
        <v>0.66666666666666663</v>
      </c>
      <c r="I344" s="32">
        <f t="shared" si="144"/>
        <v>0.38888888888888884</v>
      </c>
      <c r="J344" s="32">
        <f t="shared" si="145"/>
        <v>0.66666666666666663</v>
      </c>
      <c r="K344">
        <f>step3_validation[[#This Row],[AI_FAC1]]</f>
        <v>7</v>
      </c>
      <c r="L344">
        <f t="shared" si="146"/>
        <v>0.66666666666666663</v>
      </c>
      <c r="M344">
        <f>survey_responses[[#This Row],[Các thủ tục khai báo thuế VÀ/HOẶC quy trình làm việc với cơ quan thuế đơn giản, tiện lợi, nhanh chóng hơn so với trước đây. - HUMAN-FAC1]]</f>
        <v>8</v>
      </c>
      <c r="N344">
        <f t="shared" si="147"/>
        <v>0.77777777777777779</v>
      </c>
      <c r="O344">
        <f>step3_validation[[#This Row],[AI_FAC2]]</f>
        <v>8</v>
      </c>
      <c r="P344">
        <f t="shared" si="148"/>
        <v>0.77777777777777779</v>
      </c>
      <c r="Q344">
        <f>survey_responses[[#This Row],[So với trước đây, tôi thấy cách tính thuế và các bậc thuế trong phương án mới đơn giản, dễ hiểu và dễ thực hiện hơn. - HUMAN-FAC2]]</f>
        <v>7</v>
      </c>
      <c r="R344">
        <f t="shared" si="149"/>
        <v>0.66666666666666663</v>
      </c>
      <c r="S344" s="32">
        <f t="shared" si="150"/>
        <v>0.72222222222222221</v>
      </c>
      <c r="T344" s="32">
        <f t="shared" si="151"/>
        <v>0.72222222222222221</v>
      </c>
      <c r="U344">
        <f>step3_validation[[#This Row],[AI_TRU1]]</f>
        <v>3</v>
      </c>
      <c r="V344">
        <f t="shared" si="152"/>
        <v>0.22222222222222221</v>
      </c>
      <c r="W344">
        <f>survey_responses[[#This Row],[Tôi tin rằng Nhà nước, cơ quan thuế sẽ thực thi chính sách mới một cách khách quan, công tâm và đối xử bình đẳng với mọi người nộp thuế.  - HUMAN-TRU1]]</f>
        <v>8</v>
      </c>
      <c r="X344">
        <f t="shared" si="153"/>
        <v>0.77777777777777779</v>
      </c>
      <c r="Y344">
        <f>step3_validation[[#This Row],[AI_TRU2]]</f>
        <v>6</v>
      </c>
      <c r="Z344">
        <f t="shared" si="154"/>
        <v>0.55555555555555558</v>
      </c>
      <c r="AA344">
        <f>survey_responses[[#This Row],[Tôi thấy mức thuế tôi phải đóng theo phương án mới là công bằng (người thu nhập như tôi đóng mức này là hợp lý). - HUMAN-TRU2]]</f>
        <v>8</v>
      </c>
      <c r="AB344">
        <f t="shared" si="155"/>
        <v>0.77777777777777779</v>
      </c>
      <c r="AC344">
        <f>step3_validation[[#This Row],[AI_TRU3]]</f>
        <v>4</v>
      </c>
      <c r="AD344">
        <f t="shared" si="156"/>
        <v>0.33333333333333331</v>
      </c>
      <c r="AE344">
        <f>survey_responses[[#This Row],[Tôi tin tưởng số tiền thuế tôi đóng sẽ được Nhà nước sử dụng hiệu quả để cải thiện dịch vụ công (y tế, đường xá...). - HUMAN-TRU3]]</f>
        <v>8</v>
      </c>
      <c r="AF344">
        <f t="shared" si="157"/>
        <v>0.77777777777777779</v>
      </c>
      <c r="AG344">
        <f>step3_validation[[#This Row],[AI_TRU4]]</f>
        <v>2</v>
      </c>
      <c r="AH344">
        <f t="shared" si="158"/>
        <v>0.1111111111111111</v>
      </c>
      <c r="AI344">
        <f>survey_responses[[#This Row],[Tôi thấy Nhà nước đã giải thích rõ ràng, minh bạch về lý do và mục tiêu của việc sửa đổi thuế lần này. - HUMAN-TRU4]]</f>
        <v>7</v>
      </c>
      <c r="AJ344">
        <f t="shared" si="159"/>
        <v>0.66666666666666663</v>
      </c>
      <c r="AK344" s="32">
        <f t="shared" si="160"/>
        <v>0.30555555555555558</v>
      </c>
      <c r="AL344" s="32">
        <f t="shared" si="161"/>
        <v>0.75</v>
      </c>
      <c r="AM344" s="7">
        <f t="shared" si="162"/>
        <v>0.47222222222222227</v>
      </c>
      <c r="AN344" s="7">
        <f t="shared" si="163"/>
        <v>0.71296296296296291</v>
      </c>
      <c r="AO344">
        <f>step3_validation[[#This Row],[AI_OUT1]]</f>
        <v>5</v>
      </c>
      <c r="AP344">
        <f t="shared" si="164"/>
        <v>0.44444444444444442</v>
      </c>
      <c r="AQ344">
        <f>survey_responses[[#This Row],[Sau khi xem xét các quyền lợi và nghĩa vụ, bạn có ủng hộ và tuân thủ chính sách mới hiện nay? - HUMAN-OUT1]]</f>
        <v>8</v>
      </c>
      <c r="AR344">
        <f t="shared" si="165"/>
        <v>0.77777777777777779</v>
      </c>
      <c r="AS344" s="32">
        <f t="shared" si="166"/>
        <v>3</v>
      </c>
      <c r="AT344">
        <f t="shared" si="167"/>
        <v>1</v>
      </c>
    </row>
    <row r="345" spans="1:46" x14ac:dyDescent="0.45">
      <c r="A345">
        <f>step3_validation[[#This Row],[AI_ENF1]]</f>
        <v>7</v>
      </c>
      <c r="B345">
        <f t="shared" si="140"/>
        <v>0.66666666666666663</v>
      </c>
      <c r="C345">
        <f>survey_responses[[#This Row],[Tôi tin rằng với các quy định quản lý thuế hiện nay, hành vi gian lận hoặc trốn thuế sẽ dễ dàng bị phát hiện và xử lý nghiêm. - HUMAN-ENF1]]</f>
        <v>7</v>
      </c>
      <c r="D345">
        <f t="shared" si="141"/>
        <v>0.66666666666666663</v>
      </c>
      <c r="E345">
        <f>step3_validation[[#This Row],[AI_ENF2]]</f>
        <v>6</v>
      </c>
      <c r="F345">
        <f t="shared" si="142"/>
        <v>0.55555555555555558</v>
      </c>
      <c r="G345">
        <f>survey_responses[[#This Row],[Tôi tin rằng Nhà nước, cơ quan thuế có đủ khả năng và công nghệ để phát hiện, xử lý nghiêm các hành vi trốn thuế. - HUMAN-ENF2]]</f>
        <v>7</v>
      </c>
      <c r="H345">
        <f t="shared" si="143"/>
        <v>0.66666666666666663</v>
      </c>
      <c r="I345" s="32">
        <f t="shared" si="144"/>
        <v>0.61111111111111116</v>
      </c>
      <c r="J345" s="32">
        <f t="shared" si="145"/>
        <v>0.66666666666666663</v>
      </c>
      <c r="K345">
        <f>step3_validation[[#This Row],[AI_FAC1]]</f>
        <v>5</v>
      </c>
      <c r="L345">
        <f t="shared" si="146"/>
        <v>0.44444444444444442</v>
      </c>
      <c r="M345">
        <f>survey_responses[[#This Row],[Các thủ tục khai báo thuế VÀ/HOẶC quy trình làm việc với cơ quan thuế đơn giản, tiện lợi, nhanh chóng hơn so với trước đây. - HUMAN-FAC1]]</f>
        <v>5</v>
      </c>
      <c r="N345">
        <f t="shared" si="147"/>
        <v>0.44444444444444442</v>
      </c>
      <c r="O345">
        <f>step3_validation[[#This Row],[AI_FAC2]]</f>
        <v>8</v>
      </c>
      <c r="P345">
        <f t="shared" si="148"/>
        <v>0.77777777777777779</v>
      </c>
      <c r="Q345">
        <f>survey_responses[[#This Row],[So với trước đây, tôi thấy cách tính thuế và các bậc thuế trong phương án mới đơn giản, dễ hiểu và dễ thực hiện hơn. - HUMAN-FAC2]]</f>
        <v>8</v>
      </c>
      <c r="R345">
        <f t="shared" si="149"/>
        <v>0.77777777777777779</v>
      </c>
      <c r="S345" s="32">
        <f t="shared" si="150"/>
        <v>0.61111111111111116</v>
      </c>
      <c r="T345" s="32">
        <f t="shared" si="151"/>
        <v>0.61111111111111116</v>
      </c>
      <c r="U345">
        <f>step3_validation[[#This Row],[AI_TRU1]]</f>
        <v>4</v>
      </c>
      <c r="V345">
        <f t="shared" si="152"/>
        <v>0.33333333333333331</v>
      </c>
      <c r="W345">
        <f>survey_responses[[#This Row],[Tôi tin rằng Nhà nước, cơ quan thuế sẽ thực thi chính sách mới một cách khách quan, công tâm và đối xử bình đẳng với mọi người nộp thuế.  - HUMAN-TRU1]]</f>
        <v>6</v>
      </c>
      <c r="X345">
        <f t="shared" si="153"/>
        <v>0.55555555555555558</v>
      </c>
      <c r="Y345">
        <f>step3_validation[[#This Row],[AI_TRU2]]</f>
        <v>7</v>
      </c>
      <c r="Z345">
        <f t="shared" si="154"/>
        <v>0.66666666666666663</v>
      </c>
      <c r="AA345">
        <f>survey_responses[[#This Row],[Tôi thấy mức thuế tôi phải đóng theo phương án mới là công bằng (người thu nhập như tôi đóng mức này là hợp lý). - HUMAN-TRU2]]</f>
        <v>5</v>
      </c>
      <c r="AB345">
        <f t="shared" si="155"/>
        <v>0.44444444444444442</v>
      </c>
      <c r="AC345">
        <f>step3_validation[[#This Row],[AI_TRU3]]</f>
        <v>6</v>
      </c>
      <c r="AD345">
        <f t="shared" si="156"/>
        <v>0.55555555555555558</v>
      </c>
      <c r="AE345">
        <f>survey_responses[[#This Row],[Tôi tin tưởng số tiền thuế tôi đóng sẽ được Nhà nước sử dụng hiệu quả để cải thiện dịch vụ công (y tế, đường xá...). - HUMAN-TRU3]]</f>
        <v>5</v>
      </c>
      <c r="AF345">
        <f t="shared" si="157"/>
        <v>0.44444444444444442</v>
      </c>
      <c r="AG345">
        <f>step3_validation[[#This Row],[AI_TRU4]]</f>
        <v>5</v>
      </c>
      <c r="AH345">
        <f t="shared" si="158"/>
        <v>0.44444444444444442</v>
      </c>
      <c r="AI345">
        <f>survey_responses[[#This Row],[Tôi thấy Nhà nước đã giải thích rõ ràng, minh bạch về lý do và mục tiêu của việc sửa đổi thuế lần này. - HUMAN-TRU4]]</f>
        <v>6</v>
      </c>
      <c r="AJ345">
        <f t="shared" si="159"/>
        <v>0.55555555555555558</v>
      </c>
      <c r="AK345" s="32">
        <f t="shared" si="160"/>
        <v>0.5</v>
      </c>
      <c r="AL345" s="32">
        <f t="shared" si="161"/>
        <v>0.5</v>
      </c>
      <c r="AM345" s="7">
        <f t="shared" si="162"/>
        <v>0.57407407407407407</v>
      </c>
      <c r="AN345" s="7">
        <f t="shared" si="163"/>
        <v>0.59259259259259256</v>
      </c>
      <c r="AO345">
        <f>step3_validation[[#This Row],[AI_OUT1]]</f>
        <v>4</v>
      </c>
      <c r="AP345">
        <f t="shared" si="164"/>
        <v>0.33333333333333331</v>
      </c>
      <c r="AQ345">
        <f>survey_responses[[#This Row],[Sau khi xem xét các quyền lợi và nghĩa vụ, bạn có ủng hộ và tuân thủ chính sách mới hiện nay? - HUMAN-OUT1]]</f>
        <v>5</v>
      </c>
      <c r="AR345">
        <f t="shared" si="165"/>
        <v>0.44444444444444442</v>
      </c>
      <c r="AS345" s="32">
        <f t="shared" si="166"/>
        <v>1</v>
      </c>
      <c r="AT345">
        <f t="shared" si="167"/>
        <v>0</v>
      </c>
    </row>
    <row r="346" spans="1:46" x14ac:dyDescent="0.45">
      <c r="A346">
        <f>step3_validation[[#This Row],[AI_ENF1]]</f>
        <v>7</v>
      </c>
      <c r="B346">
        <f t="shared" si="140"/>
        <v>0.66666666666666663</v>
      </c>
      <c r="C346">
        <f>survey_responses[[#This Row],[Tôi tin rằng với các quy định quản lý thuế hiện nay, hành vi gian lận hoặc trốn thuế sẽ dễ dàng bị phát hiện và xử lý nghiêm. - HUMAN-ENF1]]</f>
        <v>7</v>
      </c>
      <c r="D346">
        <f t="shared" si="141"/>
        <v>0.66666666666666663</v>
      </c>
      <c r="E346">
        <f>step3_validation[[#This Row],[AI_ENF2]]</f>
        <v>8</v>
      </c>
      <c r="F346">
        <f t="shared" si="142"/>
        <v>0.77777777777777779</v>
      </c>
      <c r="G346">
        <f>survey_responses[[#This Row],[Tôi tin rằng Nhà nước, cơ quan thuế có đủ khả năng và công nghệ để phát hiện, xử lý nghiêm các hành vi trốn thuế. - HUMAN-ENF2]]</f>
        <v>7</v>
      </c>
      <c r="H346">
        <f t="shared" si="143"/>
        <v>0.66666666666666663</v>
      </c>
      <c r="I346" s="32">
        <f t="shared" si="144"/>
        <v>0.72222222222222221</v>
      </c>
      <c r="J346" s="32">
        <f t="shared" si="145"/>
        <v>0.66666666666666663</v>
      </c>
      <c r="K346">
        <f>step3_validation[[#This Row],[AI_FAC1]]</f>
        <v>9</v>
      </c>
      <c r="L346">
        <f t="shared" si="146"/>
        <v>0.88888888888888884</v>
      </c>
      <c r="M346">
        <f>survey_responses[[#This Row],[Các thủ tục khai báo thuế VÀ/HOẶC quy trình làm việc với cơ quan thuế đơn giản, tiện lợi, nhanh chóng hơn so với trước đây. - HUMAN-FAC1]]</f>
        <v>5</v>
      </c>
      <c r="N346">
        <f t="shared" si="147"/>
        <v>0.44444444444444442</v>
      </c>
      <c r="O346">
        <f>step3_validation[[#This Row],[AI_FAC2]]</f>
        <v>8</v>
      </c>
      <c r="P346">
        <f t="shared" si="148"/>
        <v>0.77777777777777779</v>
      </c>
      <c r="Q346">
        <f>survey_responses[[#This Row],[So với trước đây, tôi thấy cách tính thuế và các bậc thuế trong phương án mới đơn giản, dễ hiểu và dễ thực hiện hơn. - HUMAN-FAC2]]</f>
        <v>8</v>
      </c>
      <c r="R346">
        <f t="shared" si="149"/>
        <v>0.77777777777777779</v>
      </c>
      <c r="S346" s="32">
        <f t="shared" si="150"/>
        <v>0.83333333333333326</v>
      </c>
      <c r="T346" s="32">
        <f t="shared" si="151"/>
        <v>0.61111111111111116</v>
      </c>
      <c r="U346">
        <f>step3_validation[[#This Row],[AI_TRU1]]</f>
        <v>7</v>
      </c>
      <c r="V346">
        <f t="shared" si="152"/>
        <v>0.66666666666666663</v>
      </c>
      <c r="W346">
        <f>survey_responses[[#This Row],[Tôi tin rằng Nhà nước, cơ quan thuế sẽ thực thi chính sách mới một cách khách quan, công tâm và đối xử bình đẳng với mọi người nộp thuế.  - HUMAN-TRU1]]</f>
        <v>7</v>
      </c>
      <c r="X346">
        <f t="shared" si="153"/>
        <v>0.66666666666666663</v>
      </c>
      <c r="Y346">
        <f>step3_validation[[#This Row],[AI_TRU2]]</f>
        <v>6</v>
      </c>
      <c r="Z346">
        <f t="shared" si="154"/>
        <v>0.55555555555555558</v>
      </c>
      <c r="AA346">
        <f>survey_responses[[#This Row],[Tôi thấy mức thuế tôi phải đóng theo phương án mới là công bằng (người thu nhập như tôi đóng mức này là hợp lý). - HUMAN-TRU2]]</f>
        <v>7</v>
      </c>
      <c r="AB346">
        <f t="shared" si="155"/>
        <v>0.66666666666666663</v>
      </c>
      <c r="AC346">
        <f>step3_validation[[#This Row],[AI_TRU3]]</f>
        <v>7</v>
      </c>
      <c r="AD346">
        <f t="shared" si="156"/>
        <v>0.66666666666666663</v>
      </c>
      <c r="AE346">
        <f>survey_responses[[#This Row],[Tôi tin tưởng số tiền thuế tôi đóng sẽ được Nhà nước sử dụng hiệu quả để cải thiện dịch vụ công (y tế, đường xá...). - HUMAN-TRU3]]</f>
        <v>6</v>
      </c>
      <c r="AF346">
        <f t="shared" si="157"/>
        <v>0.55555555555555558</v>
      </c>
      <c r="AG346">
        <f>step3_validation[[#This Row],[AI_TRU4]]</f>
        <v>5</v>
      </c>
      <c r="AH346">
        <f t="shared" si="158"/>
        <v>0.44444444444444442</v>
      </c>
      <c r="AI346">
        <f>survey_responses[[#This Row],[Tôi thấy Nhà nước đã giải thích rõ ràng, minh bạch về lý do và mục tiêu của việc sửa đổi thuế lần này. - HUMAN-TRU4]]</f>
        <v>7</v>
      </c>
      <c r="AJ346">
        <f t="shared" si="159"/>
        <v>0.66666666666666663</v>
      </c>
      <c r="AK346" s="32">
        <f t="shared" si="160"/>
        <v>0.58333333333333326</v>
      </c>
      <c r="AL346" s="32">
        <f t="shared" si="161"/>
        <v>0.63888888888888884</v>
      </c>
      <c r="AM346" s="7">
        <f t="shared" si="162"/>
        <v>0.7129629629629628</v>
      </c>
      <c r="AN346" s="7">
        <f t="shared" si="163"/>
        <v>0.63888888888888884</v>
      </c>
      <c r="AO346">
        <f>step3_validation[[#This Row],[AI_OUT1]]</f>
        <v>7</v>
      </c>
      <c r="AP346">
        <f t="shared" si="164"/>
        <v>0.66666666666666663</v>
      </c>
      <c r="AQ346">
        <f>survey_responses[[#This Row],[Sau khi xem xét các quyền lợi và nghĩa vụ, bạn có ủng hộ và tuân thủ chính sách mới hiện nay? - HUMAN-OUT1]]</f>
        <v>7</v>
      </c>
      <c r="AR346">
        <f t="shared" si="165"/>
        <v>0.66666666666666663</v>
      </c>
      <c r="AS346" s="32">
        <f t="shared" si="166"/>
        <v>0</v>
      </c>
      <c r="AT346">
        <f t="shared" si="167"/>
        <v>1</v>
      </c>
    </row>
    <row r="347" spans="1:46" x14ac:dyDescent="0.45">
      <c r="A347">
        <f>step3_validation[[#This Row],[AI_ENF1]]</f>
        <v>7</v>
      </c>
      <c r="B347">
        <f t="shared" si="140"/>
        <v>0.66666666666666663</v>
      </c>
      <c r="C347">
        <f>survey_responses[[#This Row],[Tôi tin rằng với các quy định quản lý thuế hiện nay, hành vi gian lận hoặc trốn thuế sẽ dễ dàng bị phát hiện và xử lý nghiêm. - HUMAN-ENF1]]</f>
        <v>9</v>
      </c>
      <c r="D347">
        <f t="shared" si="141"/>
        <v>0.88888888888888884</v>
      </c>
      <c r="E347">
        <f>step3_validation[[#This Row],[AI_ENF2]]</f>
        <v>6</v>
      </c>
      <c r="F347">
        <f t="shared" si="142"/>
        <v>0.55555555555555558</v>
      </c>
      <c r="G347">
        <f>survey_responses[[#This Row],[Tôi tin rằng Nhà nước, cơ quan thuế có đủ khả năng và công nghệ để phát hiện, xử lý nghiêm các hành vi trốn thuế. - HUMAN-ENF2]]</f>
        <v>8</v>
      </c>
      <c r="H347">
        <f t="shared" si="143"/>
        <v>0.77777777777777779</v>
      </c>
      <c r="I347" s="32">
        <f t="shared" si="144"/>
        <v>0.61111111111111116</v>
      </c>
      <c r="J347" s="32">
        <f t="shared" si="145"/>
        <v>0.83333333333333326</v>
      </c>
      <c r="K347">
        <f>step3_validation[[#This Row],[AI_FAC1]]</f>
        <v>8</v>
      </c>
      <c r="L347">
        <f t="shared" si="146"/>
        <v>0.77777777777777779</v>
      </c>
      <c r="M347">
        <f>survey_responses[[#This Row],[Các thủ tục khai báo thuế VÀ/HOẶC quy trình làm việc với cơ quan thuế đơn giản, tiện lợi, nhanh chóng hơn so với trước đây. - HUMAN-FAC1]]</f>
        <v>8</v>
      </c>
      <c r="N347">
        <f t="shared" si="147"/>
        <v>0.77777777777777779</v>
      </c>
      <c r="O347">
        <f>step3_validation[[#This Row],[AI_FAC2]]</f>
        <v>6</v>
      </c>
      <c r="P347">
        <f t="shared" si="148"/>
        <v>0.55555555555555558</v>
      </c>
      <c r="Q347">
        <f>survey_responses[[#This Row],[So với trước đây, tôi thấy cách tính thuế và các bậc thuế trong phương án mới đơn giản, dễ hiểu và dễ thực hiện hơn. - HUMAN-FAC2]]</f>
        <v>9</v>
      </c>
      <c r="R347">
        <f t="shared" si="149"/>
        <v>0.88888888888888884</v>
      </c>
      <c r="S347" s="32">
        <f t="shared" si="150"/>
        <v>0.66666666666666674</v>
      </c>
      <c r="T347" s="32">
        <f t="shared" si="151"/>
        <v>0.83333333333333326</v>
      </c>
      <c r="U347">
        <f>step3_validation[[#This Row],[AI_TRU1]]</f>
        <v>7</v>
      </c>
      <c r="V347">
        <f t="shared" si="152"/>
        <v>0.66666666666666663</v>
      </c>
      <c r="W347">
        <f>survey_responses[[#This Row],[Tôi tin rằng Nhà nước, cơ quan thuế sẽ thực thi chính sách mới một cách khách quan, công tâm và đối xử bình đẳng với mọi người nộp thuế.  - HUMAN-TRU1]]</f>
        <v>7</v>
      </c>
      <c r="X347">
        <f t="shared" si="153"/>
        <v>0.66666666666666663</v>
      </c>
      <c r="Y347">
        <f>step3_validation[[#This Row],[AI_TRU2]]</f>
        <v>5</v>
      </c>
      <c r="Z347">
        <f t="shared" si="154"/>
        <v>0.44444444444444442</v>
      </c>
      <c r="AA347">
        <f>survey_responses[[#This Row],[Tôi thấy mức thuế tôi phải đóng theo phương án mới là công bằng (người thu nhập như tôi đóng mức này là hợp lý). - HUMAN-TRU2]]</f>
        <v>8</v>
      </c>
      <c r="AB347">
        <f t="shared" si="155"/>
        <v>0.77777777777777779</v>
      </c>
      <c r="AC347">
        <f>step3_validation[[#This Row],[AI_TRU3]]</f>
        <v>6</v>
      </c>
      <c r="AD347">
        <f t="shared" si="156"/>
        <v>0.55555555555555558</v>
      </c>
      <c r="AE347">
        <f>survey_responses[[#This Row],[Tôi tin tưởng số tiền thuế tôi đóng sẽ được Nhà nước sử dụng hiệu quả để cải thiện dịch vụ công (y tế, đường xá...). - HUMAN-TRU3]]</f>
        <v>7</v>
      </c>
      <c r="AF347">
        <f t="shared" si="157"/>
        <v>0.66666666666666663</v>
      </c>
      <c r="AG347">
        <f>step3_validation[[#This Row],[AI_TRU4]]</f>
        <v>5</v>
      </c>
      <c r="AH347">
        <f t="shared" si="158"/>
        <v>0.44444444444444442</v>
      </c>
      <c r="AI347">
        <f>survey_responses[[#This Row],[Tôi thấy Nhà nước đã giải thích rõ ràng, minh bạch về lý do và mục tiêu của việc sửa đổi thuế lần này. - HUMAN-TRU4]]</f>
        <v>7</v>
      </c>
      <c r="AJ347">
        <f t="shared" si="159"/>
        <v>0.66666666666666663</v>
      </c>
      <c r="AK347" s="32">
        <f t="shared" si="160"/>
        <v>0.52777777777777779</v>
      </c>
      <c r="AL347" s="32">
        <f t="shared" si="161"/>
        <v>0.69444444444444442</v>
      </c>
      <c r="AM347" s="7">
        <f t="shared" si="162"/>
        <v>0.60185185185185197</v>
      </c>
      <c r="AN347" s="7">
        <f t="shared" si="163"/>
        <v>0.78703703703703687</v>
      </c>
      <c r="AO347">
        <f>step3_validation[[#This Row],[AI_OUT1]]</f>
        <v>7</v>
      </c>
      <c r="AP347">
        <f t="shared" si="164"/>
        <v>0.66666666666666663</v>
      </c>
      <c r="AQ347">
        <f>survey_responses[[#This Row],[Sau khi xem xét các quyền lợi và nghĩa vụ, bạn có ủng hộ và tuân thủ chính sách mới hiện nay? - HUMAN-OUT1]]</f>
        <v>8</v>
      </c>
      <c r="AR347">
        <f t="shared" si="165"/>
        <v>0.77777777777777779</v>
      </c>
      <c r="AS347" s="32">
        <f t="shared" si="166"/>
        <v>1</v>
      </c>
      <c r="AT347">
        <f t="shared" si="167"/>
        <v>1</v>
      </c>
    </row>
    <row r="348" spans="1:46" x14ac:dyDescent="0.45">
      <c r="A348">
        <f>step3_validation[[#This Row],[AI_ENF1]]</f>
        <v>5</v>
      </c>
      <c r="B348">
        <f t="shared" si="140"/>
        <v>0.44444444444444442</v>
      </c>
      <c r="C348">
        <f>survey_responses[[#This Row],[Tôi tin rằng với các quy định quản lý thuế hiện nay, hành vi gian lận hoặc trốn thuế sẽ dễ dàng bị phát hiện và xử lý nghiêm. - HUMAN-ENF1]]</f>
        <v>8</v>
      </c>
      <c r="D348">
        <f t="shared" si="141"/>
        <v>0.77777777777777779</v>
      </c>
      <c r="E348">
        <f>step3_validation[[#This Row],[AI_ENF2]]</f>
        <v>6</v>
      </c>
      <c r="F348">
        <f t="shared" si="142"/>
        <v>0.55555555555555558</v>
      </c>
      <c r="G348">
        <f>survey_responses[[#This Row],[Tôi tin rằng Nhà nước, cơ quan thuế có đủ khả năng và công nghệ để phát hiện, xử lý nghiêm các hành vi trốn thuế. - HUMAN-ENF2]]</f>
        <v>8</v>
      </c>
      <c r="H348">
        <f t="shared" si="143"/>
        <v>0.77777777777777779</v>
      </c>
      <c r="I348" s="32">
        <f t="shared" si="144"/>
        <v>0.5</v>
      </c>
      <c r="J348" s="32">
        <f t="shared" si="145"/>
        <v>0.77777777777777779</v>
      </c>
      <c r="K348">
        <f>step3_validation[[#This Row],[AI_FAC1]]</f>
        <v>7</v>
      </c>
      <c r="L348">
        <f t="shared" si="146"/>
        <v>0.66666666666666663</v>
      </c>
      <c r="M348">
        <f>survey_responses[[#This Row],[Các thủ tục khai báo thuế VÀ/HOẶC quy trình làm việc với cơ quan thuế đơn giản, tiện lợi, nhanh chóng hơn so với trước đây. - HUMAN-FAC1]]</f>
        <v>7</v>
      </c>
      <c r="N348">
        <f t="shared" si="147"/>
        <v>0.66666666666666663</v>
      </c>
      <c r="O348">
        <f>step3_validation[[#This Row],[AI_FAC2]]</f>
        <v>8</v>
      </c>
      <c r="P348">
        <f t="shared" si="148"/>
        <v>0.77777777777777779</v>
      </c>
      <c r="Q348">
        <f>survey_responses[[#This Row],[So với trước đây, tôi thấy cách tính thuế và các bậc thuế trong phương án mới đơn giản, dễ hiểu và dễ thực hiện hơn. - HUMAN-FAC2]]</f>
        <v>8</v>
      </c>
      <c r="R348">
        <f t="shared" si="149"/>
        <v>0.77777777777777779</v>
      </c>
      <c r="S348" s="32">
        <f t="shared" si="150"/>
        <v>0.72222222222222221</v>
      </c>
      <c r="T348" s="32">
        <f t="shared" si="151"/>
        <v>0.72222222222222221</v>
      </c>
      <c r="U348">
        <f>step3_validation[[#This Row],[AI_TRU1]]</f>
        <v>6</v>
      </c>
      <c r="V348">
        <f t="shared" si="152"/>
        <v>0.55555555555555558</v>
      </c>
      <c r="W348">
        <f>survey_responses[[#This Row],[Tôi tin rằng Nhà nước, cơ quan thuế sẽ thực thi chính sách mới một cách khách quan, công tâm và đối xử bình đẳng với mọi người nộp thuế.  - HUMAN-TRU1]]</f>
        <v>6</v>
      </c>
      <c r="X348">
        <f t="shared" si="153"/>
        <v>0.55555555555555558</v>
      </c>
      <c r="Y348">
        <f>step3_validation[[#This Row],[AI_TRU2]]</f>
        <v>7</v>
      </c>
      <c r="Z348">
        <f t="shared" si="154"/>
        <v>0.66666666666666663</v>
      </c>
      <c r="AA348">
        <f>survey_responses[[#This Row],[Tôi thấy mức thuế tôi phải đóng theo phương án mới là công bằng (người thu nhập như tôi đóng mức này là hợp lý). - HUMAN-TRU2]]</f>
        <v>8</v>
      </c>
      <c r="AB348">
        <f t="shared" si="155"/>
        <v>0.77777777777777779</v>
      </c>
      <c r="AC348">
        <f>step3_validation[[#This Row],[AI_TRU3]]</f>
        <v>5</v>
      </c>
      <c r="AD348">
        <f t="shared" si="156"/>
        <v>0.44444444444444442</v>
      </c>
      <c r="AE348">
        <f>survey_responses[[#This Row],[Tôi tin tưởng số tiền thuế tôi đóng sẽ được Nhà nước sử dụng hiệu quả để cải thiện dịch vụ công (y tế, đường xá...). - HUMAN-TRU3]]</f>
        <v>6</v>
      </c>
      <c r="AF348">
        <f t="shared" si="157"/>
        <v>0.55555555555555558</v>
      </c>
      <c r="AG348">
        <f>step3_validation[[#This Row],[AI_TRU4]]</f>
        <v>6</v>
      </c>
      <c r="AH348">
        <f t="shared" si="158"/>
        <v>0.55555555555555558</v>
      </c>
      <c r="AI348">
        <f>survey_responses[[#This Row],[Tôi thấy Nhà nước đã giải thích rõ ràng, minh bạch về lý do và mục tiêu của việc sửa đổi thuế lần này. - HUMAN-TRU4]]</f>
        <v>6</v>
      </c>
      <c r="AJ348">
        <f t="shared" si="159"/>
        <v>0.55555555555555558</v>
      </c>
      <c r="AK348" s="32">
        <f t="shared" si="160"/>
        <v>0.55555555555555558</v>
      </c>
      <c r="AL348" s="32">
        <f t="shared" si="161"/>
        <v>0.61111111111111116</v>
      </c>
      <c r="AM348" s="7">
        <f t="shared" si="162"/>
        <v>0.59259259259259267</v>
      </c>
      <c r="AN348" s="7">
        <f t="shared" si="163"/>
        <v>0.70370370370370372</v>
      </c>
      <c r="AO348">
        <f>step3_validation[[#This Row],[AI_OUT1]]</f>
        <v>5</v>
      </c>
      <c r="AP348">
        <f t="shared" si="164"/>
        <v>0.44444444444444442</v>
      </c>
      <c r="AQ348">
        <f>survey_responses[[#This Row],[Sau khi xem xét các quyền lợi và nghĩa vụ, bạn có ủng hộ và tuân thủ chính sách mới hiện nay? - HUMAN-OUT1]]</f>
        <v>8</v>
      </c>
      <c r="AR348">
        <f t="shared" si="165"/>
        <v>0.77777777777777779</v>
      </c>
      <c r="AS348" s="32">
        <f t="shared" si="166"/>
        <v>3</v>
      </c>
      <c r="AT348">
        <f t="shared" si="167"/>
        <v>1</v>
      </c>
    </row>
    <row r="349" spans="1:46" x14ac:dyDescent="0.45">
      <c r="A349">
        <f>step3_validation[[#This Row],[AI_ENF1]]</f>
        <v>7</v>
      </c>
      <c r="B349">
        <f t="shared" si="140"/>
        <v>0.66666666666666663</v>
      </c>
      <c r="C349">
        <f>survey_responses[[#This Row],[Tôi tin rằng với các quy định quản lý thuế hiện nay, hành vi gian lận hoặc trốn thuế sẽ dễ dàng bị phát hiện và xử lý nghiêm. - HUMAN-ENF1]]</f>
        <v>8</v>
      </c>
      <c r="D349">
        <f t="shared" si="141"/>
        <v>0.77777777777777779</v>
      </c>
      <c r="E349">
        <f>step3_validation[[#This Row],[AI_ENF2]]</f>
        <v>8</v>
      </c>
      <c r="F349">
        <f t="shared" si="142"/>
        <v>0.77777777777777779</v>
      </c>
      <c r="G349">
        <f>survey_responses[[#This Row],[Tôi tin rằng Nhà nước, cơ quan thuế có đủ khả năng và công nghệ để phát hiện, xử lý nghiêm các hành vi trốn thuế. - HUMAN-ENF2]]</f>
        <v>8</v>
      </c>
      <c r="H349">
        <f t="shared" si="143"/>
        <v>0.77777777777777779</v>
      </c>
      <c r="I349" s="32">
        <f t="shared" si="144"/>
        <v>0.72222222222222221</v>
      </c>
      <c r="J349" s="32">
        <f t="shared" si="145"/>
        <v>0.77777777777777779</v>
      </c>
      <c r="K349">
        <f>step3_validation[[#This Row],[AI_FAC1]]</f>
        <v>6</v>
      </c>
      <c r="L349">
        <f t="shared" si="146"/>
        <v>0.55555555555555558</v>
      </c>
      <c r="M349">
        <f>survey_responses[[#This Row],[Các thủ tục khai báo thuế VÀ/HOẶC quy trình làm việc với cơ quan thuế đơn giản, tiện lợi, nhanh chóng hơn so với trước đây. - HUMAN-FAC1]]</f>
        <v>7</v>
      </c>
      <c r="N349">
        <f t="shared" si="147"/>
        <v>0.66666666666666663</v>
      </c>
      <c r="O349">
        <f>step3_validation[[#This Row],[AI_FAC2]]</f>
        <v>8</v>
      </c>
      <c r="P349">
        <f t="shared" si="148"/>
        <v>0.77777777777777779</v>
      </c>
      <c r="Q349">
        <f>survey_responses[[#This Row],[So với trước đây, tôi thấy cách tính thuế và các bậc thuế trong phương án mới đơn giản, dễ hiểu và dễ thực hiện hơn. - HUMAN-FAC2]]</f>
        <v>7</v>
      </c>
      <c r="R349">
        <f t="shared" si="149"/>
        <v>0.66666666666666663</v>
      </c>
      <c r="S349" s="32">
        <f t="shared" si="150"/>
        <v>0.66666666666666674</v>
      </c>
      <c r="T349" s="32">
        <f t="shared" si="151"/>
        <v>0.66666666666666663</v>
      </c>
      <c r="U349">
        <f>step3_validation[[#This Row],[AI_TRU1]]</f>
        <v>8</v>
      </c>
      <c r="V349">
        <f t="shared" si="152"/>
        <v>0.77777777777777779</v>
      </c>
      <c r="W349">
        <f>survey_responses[[#This Row],[Tôi tin rằng Nhà nước, cơ quan thuế sẽ thực thi chính sách mới một cách khách quan, công tâm và đối xử bình đẳng với mọi người nộp thuế.  - HUMAN-TRU1]]</f>
        <v>6</v>
      </c>
      <c r="X349">
        <f t="shared" si="153"/>
        <v>0.55555555555555558</v>
      </c>
      <c r="Y349">
        <f>step3_validation[[#This Row],[AI_TRU2]]</f>
        <v>7</v>
      </c>
      <c r="Z349">
        <f t="shared" si="154"/>
        <v>0.66666666666666663</v>
      </c>
      <c r="AA349">
        <f>survey_responses[[#This Row],[Tôi thấy mức thuế tôi phải đóng theo phương án mới là công bằng (người thu nhập như tôi đóng mức này là hợp lý). - HUMAN-TRU2]]</f>
        <v>7</v>
      </c>
      <c r="AB349">
        <f t="shared" si="155"/>
        <v>0.66666666666666663</v>
      </c>
      <c r="AC349">
        <f>step3_validation[[#This Row],[AI_TRU3]]</f>
        <v>7</v>
      </c>
      <c r="AD349">
        <f t="shared" si="156"/>
        <v>0.66666666666666663</v>
      </c>
      <c r="AE349">
        <f>survey_responses[[#This Row],[Tôi tin tưởng số tiền thuế tôi đóng sẽ được Nhà nước sử dụng hiệu quả để cải thiện dịch vụ công (y tế, đường xá...). - HUMAN-TRU3]]</f>
        <v>6</v>
      </c>
      <c r="AF349">
        <f t="shared" si="157"/>
        <v>0.55555555555555558</v>
      </c>
      <c r="AG349">
        <f>step3_validation[[#This Row],[AI_TRU4]]</f>
        <v>6</v>
      </c>
      <c r="AH349">
        <f t="shared" si="158"/>
        <v>0.55555555555555558</v>
      </c>
      <c r="AI349">
        <f>survey_responses[[#This Row],[Tôi thấy Nhà nước đã giải thích rõ ràng, minh bạch về lý do và mục tiêu của việc sửa đổi thuế lần này. - HUMAN-TRU4]]</f>
        <v>6</v>
      </c>
      <c r="AJ349">
        <f t="shared" si="159"/>
        <v>0.55555555555555558</v>
      </c>
      <c r="AK349" s="32">
        <f t="shared" si="160"/>
        <v>0.66666666666666674</v>
      </c>
      <c r="AL349" s="32">
        <f t="shared" si="161"/>
        <v>0.58333333333333337</v>
      </c>
      <c r="AM349" s="7">
        <f t="shared" si="162"/>
        <v>0.68518518518518512</v>
      </c>
      <c r="AN349" s="7">
        <f t="shared" si="163"/>
        <v>0.67592592592592593</v>
      </c>
      <c r="AO349">
        <f>step3_validation[[#This Row],[AI_OUT1]]</f>
        <v>7</v>
      </c>
      <c r="AP349">
        <f t="shared" si="164"/>
        <v>0.66666666666666663</v>
      </c>
      <c r="AQ349">
        <f>survey_responses[[#This Row],[Sau khi xem xét các quyền lợi và nghĩa vụ, bạn có ủng hộ và tuân thủ chính sách mới hiện nay? - HUMAN-OUT1]]</f>
        <v>7</v>
      </c>
      <c r="AR349">
        <f t="shared" si="165"/>
        <v>0.66666666666666663</v>
      </c>
      <c r="AS349" s="32">
        <f t="shared" si="166"/>
        <v>0</v>
      </c>
      <c r="AT349">
        <f t="shared" si="167"/>
        <v>1</v>
      </c>
    </row>
    <row r="350" spans="1:46" x14ac:dyDescent="0.45">
      <c r="A350">
        <f>step3_validation[[#This Row],[AI_ENF1]]</f>
        <v>7</v>
      </c>
      <c r="B350">
        <f t="shared" si="140"/>
        <v>0.66666666666666663</v>
      </c>
      <c r="C350">
        <f>survey_responses[[#This Row],[Tôi tin rằng với các quy định quản lý thuế hiện nay, hành vi gian lận hoặc trốn thuế sẽ dễ dàng bị phát hiện và xử lý nghiêm. - HUMAN-ENF1]]</f>
        <v>4</v>
      </c>
      <c r="D350">
        <f t="shared" si="141"/>
        <v>0.33333333333333331</v>
      </c>
      <c r="E350">
        <f>step3_validation[[#This Row],[AI_ENF2]]</f>
        <v>8</v>
      </c>
      <c r="F350">
        <f t="shared" si="142"/>
        <v>0.77777777777777779</v>
      </c>
      <c r="G350">
        <f>survey_responses[[#This Row],[Tôi tin rằng Nhà nước, cơ quan thuế có đủ khả năng và công nghệ để phát hiện, xử lý nghiêm các hành vi trốn thuế. - HUMAN-ENF2]]</f>
        <v>4</v>
      </c>
      <c r="H350">
        <f t="shared" si="143"/>
        <v>0.33333333333333331</v>
      </c>
      <c r="I350" s="32">
        <f t="shared" si="144"/>
        <v>0.72222222222222221</v>
      </c>
      <c r="J350" s="32">
        <f t="shared" si="145"/>
        <v>0.33333333333333331</v>
      </c>
      <c r="K350">
        <f>step3_validation[[#This Row],[AI_FAC1]]</f>
        <v>6</v>
      </c>
      <c r="L350">
        <f t="shared" si="146"/>
        <v>0.55555555555555558</v>
      </c>
      <c r="M350">
        <f>survey_responses[[#This Row],[Các thủ tục khai báo thuế VÀ/HOẶC quy trình làm việc với cơ quan thuế đơn giản, tiện lợi, nhanh chóng hơn so với trước đây. - HUMAN-FAC1]]</f>
        <v>5</v>
      </c>
      <c r="N350">
        <f t="shared" si="147"/>
        <v>0.44444444444444442</v>
      </c>
      <c r="O350">
        <f>step3_validation[[#This Row],[AI_FAC2]]</f>
        <v>8</v>
      </c>
      <c r="P350">
        <f t="shared" si="148"/>
        <v>0.77777777777777779</v>
      </c>
      <c r="Q350">
        <f>survey_responses[[#This Row],[So với trước đây, tôi thấy cách tính thuế và các bậc thuế trong phương án mới đơn giản, dễ hiểu và dễ thực hiện hơn. - HUMAN-FAC2]]</f>
        <v>7</v>
      </c>
      <c r="R350">
        <f t="shared" si="149"/>
        <v>0.66666666666666663</v>
      </c>
      <c r="S350" s="32">
        <f t="shared" si="150"/>
        <v>0.66666666666666674</v>
      </c>
      <c r="T350" s="32">
        <f t="shared" si="151"/>
        <v>0.55555555555555558</v>
      </c>
      <c r="U350">
        <f>step3_validation[[#This Row],[AI_TRU1]]</f>
        <v>7</v>
      </c>
      <c r="V350">
        <f t="shared" si="152"/>
        <v>0.66666666666666663</v>
      </c>
      <c r="W350">
        <f>survey_responses[[#This Row],[Tôi tin rằng Nhà nước, cơ quan thuế sẽ thực thi chính sách mới một cách khách quan, công tâm và đối xử bình đẳng với mọi người nộp thuế.  - HUMAN-TRU1]]</f>
        <v>5</v>
      </c>
      <c r="X350">
        <f t="shared" si="153"/>
        <v>0.44444444444444442</v>
      </c>
      <c r="Y350">
        <f>step3_validation[[#This Row],[AI_TRU2]]</f>
        <v>7</v>
      </c>
      <c r="Z350">
        <f t="shared" si="154"/>
        <v>0.66666666666666663</v>
      </c>
      <c r="AA350">
        <f>survey_responses[[#This Row],[Tôi thấy mức thuế tôi phải đóng theo phương án mới là công bằng (người thu nhập như tôi đóng mức này là hợp lý). - HUMAN-TRU2]]</f>
        <v>6</v>
      </c>
      <c r="AB350">
        <f t="shared" si="155"/>
        <v>0.55555555555555558</v>
      </c>
      <c r="AC350">
        <f>step3_validation[[#This Row],[AI_TRU3]]</f>
        <v>7</v>
      </c>
      <c r="AD350">
        <f t="shared" si="156"/>
        <v>0.66666666666666663</v>
      </c>
      <c r="AE350">
        <f>survey_responses[[#This Row],[Tôi tin tưởng số tiền thuế tôi đóng sẽ được Nhà nước sử dụng hiệu quả để cải thiện dịch vụ công (y tế, đường xá...). - HUMAN-TRU3]]</f>
        <v>6</v>
      </c>
      <c r="AF350">
        <f t="shared" si="157"/>
        <v>0.55555555555555558</v>
      </c>
      <c r="AG350">
        <f>step3_validation[[#This Row],[AI_TRU4]]</f>
        <v>7</v>
      </c>
      <c r="AH350">
        <f t="shared" si="158"/>
        <v>0.66666666666666663</v>
      </c>
      <c r="AI350">
        <f>survey_responses[[#This Row],[Tôi thấy Nhà nước đã giải thích rõ ràng, minh bạch về lý do và mục tiêu của việc sửa đổi thuế lần này. - HUMAN-TRU4]]</f>
        <v>6</v>
      </c>
      <c r="AJ350">
        <f t="shared" si="159"/>
        <v>0.55555555555555558</v>
      </c>
      <c r="AK350" s="32">
        <f t="shared" si="160"/>
        <v>0.66666666666666663</v>
      </c>
      <c r="AL350" s="32">
        <f t="shared" si="161"/>
        <v>0.52777777777777779</v>
      </c>
      <c r="AM350" s="7">
        <f t="shared" si="162"/>
        <v>0.68518518518518512</v>
      </c>
      <c r="AN350" s="7">
        <f t="shared" si="163"/>
        <v>0.47222222222222215</v>
      </c>
      <c r="AO350">
        <f>step3_validation[[#This Row],[AI_OUT1]]</f>
        <v>7</v>
      </c>
      <c r="AP350">
        <f t="shared" si="164"/>
        <v>0.66666666666666663</v>
      </c>
      <c r="AQ350">
        <f>survey_responses[[#This Row],[Sau khi xem xét các quyền lợi và nghĩa vụ, bạn có ủng hộ và tuân thủ chính sách mới hiện nay? - HUMAN-OUT1]]</f>
        <v>6</v>
      </c>
      <c r="AR350">
        <f t="shared" si="165"/>
        <v>0.55555555555555558</v>
      </c>
      <c r="AS350" s="32">
        <f t="shared" si="166"/>
        <v>1</v>
      </c>
      <c r="AT350">
        <f t="shared" si="167"/>
        <v>1</v>
      </c>
    </row>
    <row r="351" spans="1:46" x14ac:dyDescent="0.45">
      <c r="A351">
        <f>step3_validation[[#This Row],[AI_ENF1]]</f>
        <v>8</v>
      </c>
      <c r="B351">
        <f t="shared" si="140"/>
        <v>0.77777777777777779</v>
      </c>
      <c r="C351">
        <f>survey_responses[[#This Row],[Tôi tin rằng với các quy định quản lý thuế hiện nay, hành vi gian lận hoặc trốn thuế sẽ dễ dàng bị phát hiện và xử lý nghiêm. - HUMAN-ENF1]]</f>
        <v>7</v>
      </c>
      <c r="D351">
        <f t="shared" si="141"/>
        <v>0.66666666666666663</v>
      </c>
      <c r="E351">
        <f>step3_validation[[#This Row],[AI_ENF2]]</f>
        <v>7</v>
      </c>
      <c r="F351">
        <f t="shared" si="142"/>
        <v>0.66666666666666663</v>
      </c>
      <c r="G351">
        <f>survey_responses[[#This Row],[Tôi tin rằng Nhà nước, cơ quan thuế có đủ khả năng và công nghệ để phát hiện, xử lý nghiêm các hành vi trốn thuế. - HUMAN-ENF2]]</f>
        <v>7</v>
      </c>
      <c r="H351">
        <f t="shared" si="143"/>
        <v>0.66666666666666663</v>
      </c>
      <c r="I351" s="32">
        <f t="shared" si="144"/>
        <v>0.72222222222222221</v>
      </c>
      <c r="J351" s="32">
        <f t="shared" si="145"/>
        <v>0.66666666666666663</v>
      </c>
      <c r="K351">
        <f>step3_validation[[#This Row],[AI_FAC1]]</f>
        <v>9</v>
      </c>
      <c r="L351">
        <f t="shared" si="146"/>
        <v>0.88888888888888884</v>
      </c>
      <c r="M351">
        <f>survey_responses[[#This Row],[Các thủ tục khai báo thuế VÀ/HOẶC quy trình làm việc với cơ quan thuế đơn giản, tiện lợi, nhanh chóng hơn so với trước đây. - HUMAN-FAC1]]</f>
        <v>8</v>
      </c>
      <c r="N351">
        <f t="shared" si="147"/>
        <v>0.77777777777777779</v>
      </c>
      <c r="O351">
        <f>step3_validation[[#This Row],[AI_FAC2]]</f>
        <v>8</v>
      </c>
      <c r="P351">
        <f t="shared" si="148"/>
        <v>0.77777777777777779</v>
      </c>
      <c r="Q351">
        <f>survey_responses[[#This Row],[So với trước đây, tôi thấy cách tính thuế và các bậc thuế trong phương án mới đơn giản, dễ hiểu và dễ thực hiện hơn. - HUMAN-FAC2]]</f>
        <v>8</v>
      </c>
      <c r="R351">
        <f t="shared" si="149"/>
        <v>0.77777777777777779</v>
      </c>
      <c r="S351" s="32">
        <f t="shared" si="150"/>
        <v>0.83333333333333326</v>
      </c>
      <c r="T351" s="32">
        <f t="shared" si="151"/>
        <v>0.77777777777777779</v>
      </c>
      <c r="U351">
        <f>step3_validation[[#This Row],[AI_TRU1]]</f>
        <v>7</v>
      </c>
      <c r="V351">
        <f t="shared" si="152"/>
        <v>0.66666666666666663</v>
      </c>
      <c r="W351">
        <f>survey_responses[[#This Row],[Tôi tin rằng Nhà nước, cơ quan thuế sẽ thực thi chính sách mới một cách khách quan, công tâm và đối xử bình đẳng với mọi người nộp thuế.  - HUMAN-TRU1]]</f>
        <v>7</v>
      </c>
      <c r="X351">
        <f t="shared" si="153"/>
        <v>0.66666666666666663</v>
      </c>
      <c r="Y351">
        <f>step3_validation[[#This Row],[AI_TRU2]]</f>
        <v>6</v>
      </c>
      <c r="Z351">
        <f t="shared" si="154"/>
        <v>0.55555555555555558</v>
      </c>
      <c r="AA351">
        <f>survey_responses[[#This Row],[Tôi thấy mức thuế tôi phải đóng theo phương án mới là công bằng (người thu nhập như tôi đóng mức này là hợp lý). - HUMAN-TRU2]]</f>
        <v>7</v>
      </c>
      <c r="AB351">
        <f t="shared" si="155"/>
        <v>0.66666666666666663</v>
      </c>
      <c r="AC351">
        <f>step3_validation[[#This Row],[AI_TRU3]]</f>
        <v>5</v>
      </c>
      <c r="AD351">
        <f t="shared" si="156"/>
        <v>0.44444444444444442</v>
      </c>
      <c r="AE351">
        <f>survey_responses[[#This Row],[Tôi tin tưởng số tiền thuế tôi đóng sẽ được Nhà nước sử dụng hiệu quả để cải thiện dịch vụ công (y tế, đường xá...). - HUMAN-TRU3]]</f>
        <v>8</v>
      </c>
      <c r="AF351">
        <f t="shared" si="157"/>
        <v>0.77777777777777779</v>
      </c>
      <c r="AG351">
        <f>step3_validation[[#This Row],[AI_TRU4]]</f>
        <v>7</v>
      </c>
      <c r="AH351">
        <f t="shared" si="158"/>
        <v>0.66666666666666663</v>
      </c>
      <c r="AI351">
        <f>survey_responses[[#This Row],[Tôi thấy Nhà nước đã giải thích rõ ràng, minh bạch về lý do và mục tiêu của việc sửa đổi thuế lần này. - HUMAN-TRU4]]</f>
        <v>7</v>
      </c>
      <c r="AJ351">
        <f t="shared" si="159"/>
        <v>0.66666666666666663</v>
      </c>
      <c r="AK351" s="32">
        <f t="shared" si="160"/>
        <v>0.58333333333333337</v>
      </c>
      <c r="AL351" s="32">
        <f t="shared" si="161"/>
        <v>0.69444444444444442</v>
      </c>
      <c r="AM351" s="7">
        <f t="shared" si="162"/>
        <v>0.71296296296296291</v>
      </c>
      <c r="AN351" s="7">
        <f t="shared" si="163"/>
        <v>0.71296296296296291</v>
      </c>
      <c r="AO351">
        <f>step3_validation[[#This Row],[AI_OUT1]]</f>
        <v>6</v>
      </c>
      <c r="AP351">
        <f t="shared" si="164"/>
        <v>0.55555555555555558</v>
      </c>
      <c r="AQ351">
        <f>survey_responses[[#This Row],[Sau khi xem xét các quyền lợi và nghĩa vụ, bạn có ủng hộ và tuân thủ chính sách mới hiện nay? - HUMAN-OUT1]]</f>
        <v>8</v>
      </c>
      <c r="AR351">
        <f t="shared" si="165"/>
        <v>0.77777777777777779</v>
      </c>
      <c r="AS351" s="32">
        <f t="shared" si="166"/>
        <v>2</v>
      </c>
      <c r="AT351">
        <f t="shared" si="167"/>
        <v>1</v>
      </c>
    </row>
    <row r="352" spans="1:46" x14ac:dyDescent="0.45">
      <c r="A352">
        <f>step3_validation[[#This Row],[AI_ENF1]]</f>
        <v>8</v>
      </c>
      <c r="B352">
        <f t="shared" si="140"/>
        <v>0.77777777777777779</v>
      </c>
      <c r="C352">
        <f>survey_responses[[#This Row],[Tôi tin rằng với các quy định quản lý thuế hiện nay, hành vi gian lận hoặc trốn thuế sẽ dễ dàng bị phát hiện và xử lý nghiêm. - HUMAN-ENF1]]</f>
        <v>8</v>
      </c>
      <c r="D352">
        <f t="shared" si="141"/>
        <v>0.77777777777777779</v>
      </c>
      <c r="E352">
        <f>step3_validation[[#This Row],[AI_ENF2]]</f>
        <v>7</v>
      </c>
      <c r="F352">
        <f t="shared" si="142"/>
        <v>0.66666666666666663</v>
      </c>
      <c r="G352">
        <f>survey_responses[[#This Row],[Tôi tin rằng Nhà nước, cơ quan thuế có đủ khả năng và công nghệ để phát hiện, xử lý nghiêm các hành vi trốn thuế. - HUMAN-ENF2]]</f>
        <v>8</v>
      </c>
      <c r="H352">
        <f t="shared" si="143"/>
        <v>0.77777777777777779</v>
      </c>
      <c r="I352" s="32">
        <f t="shared" si="144"/>
        <v>0.72222222222222221</v>
      </c>
      <c r="J352" s="32">
        <f t="shared" si="145"/>
        <v>0.77777777777777779</v>
      </c>
      <c r="K352">
        <f>step3_validation[[#This Row],[AI_FAC1]]</f>
        <v>9</v>
      </c>
      <c r="L352">
        <f t="shared" si="146"/>
        <v>0.88888888888888884</v>
      </c>
      <c r="M352">
        <f>survey_responses[[#This Row],[Các thủ tục khai báo thuế VÀ/HOẶC quy trình làm việc với cơ quan thuế đơn giản, tiện lợi, nhanh chóng hơn so với trước đây. - HUMAN-FAC1]]</f>
        <v>6</v>
      </c>
      <c r="N352">
        <f t="shared" si="147"/>
        <v>0.55555555555555558</v>
      </c>
      <c r="O352">
        <f>step3_validation[[#This Row],[AI_FAC2]]</f>
        <v>8</v>
      </c>
      <c r="P352">
        <f t="shared" si="148"/>
        <v>0.77777777777777779</v>
      </c>
      <c r="Q352">
        <f>survey_responses[[#This Row],[So với trước đây, tôi thấy cách tính thuế và các bậc thuế trong phương án mới đơn giản, dễ hiểu và dễ thực hiện hơn. - HUMAN-FAC2]]</f>
        <v>7</v>
      </c>
      <c r="R352">
        <f t="shared" si="149"/>
        <v>0.66666666666666663</v>
      </c>
      <c r="S352" s="32">
        <f t="shared" si="150"/>
        <v>0.83333333333333326</v>
      </c>
      <c r="T352" s="32">
        <f t="shared" si="151"/>
        <v>0.61111111111111116</v>
      </c>
      <c r="U352">
        <f>step3_validation[[#This Row],[AI_TRU1]]</f>
        <v>7</v>
      </c>
      <c r="V352">
        <f t="shared" si="152"/>
        <v>0.66666666666666663</v>
      </c>
      <c r="W352">
        <f>survey_responses[[#This Row],[Tôi tin rằng Nhà nước, cơ quan thuế sẽ thực thi chính sách mới một cách khách quan, công tâm và đối xử bình đẳng với mọi người nộp thuế.  - HUMAN-TRU1]]</f>
        <v>6</v>
      </c>
      <c r="X352">
        <f t="shared" si="153"/>
        <v>0.55555555555555558</v>
      </c>
      <c r="Y352">
        <f>step3_validation[[#This Row],[AI_TRU2]]</f>
        <v>8</v>
      </c>
      <c r="Z352">
        <f t="shared" si="154"/>
        <v>0.77777777777777779</v>
      </c>
      <c r="AA352">
        <f>survey_responses[[#This Row],[Tôi thấy mức thuế tôi phải đóng theo phương án mới là công bằng (người thu nhập như tôi đóng mức này là hợp lý). - HUMAN-TRU2]]</f>
        <v>7</v>
      </c>
      <c r="AB352">
        <f t="shared" si="155"/>
        <v>0.66666666666666663</v>
      </c>
      <c r="AC352">
        <f>step3_validation[[#This Row],[AI_TRU3]]</f>
        <v>7</v>
      </c>
      <c r="AD352">
        <f t="shared" si="156"/>
        <v>0.66666666666666663</v>
      </c>
      <c r="AE352">
        <f>survey_responses[[#This Row],[Tôi tin tưởng số tiền thuế tôi đóng sẽ được Nhà nước sử dụng hiệu quả để cải thiện dịch vụ công (y tế, đường xá...). - HUMAN-TRU3]]</f>
        <v>5</v>
      </c>
      <c r="AF352">
        <f t="shared" si="157"/>
        <v>0.44444444444444442</v>
      </c>
      <c r="AG352">
        <f>step3_validation[[#This Row],[AI_TRU4]]</f>
        <v>6</v>
      </c>
      <c r="AH352">
        <f t="shared" si="158"/>
        <v>0.55555555555555558</v>
      </c>
      <c r="AI352">
        <f>survey_responses[[#This Row],[Tôi thấy Nhà nước đã giải thích rõ ràng, minh bạch về lý do và mục tiêu của việc sửa đổi thuế lần này. - HUMAN-TRU4]]</f>
        <v>7</v>
      </c>
      <c r="AJ352">
        <f t="shared" si="159"/>
        <v>0.66666666666666663</v>
      </c>
      <c r="AK352" s="32">
        <f t="shared" si="160"/>
        <v>0.66666666666666674</v>
      </c>
      <c r="AL352" s="32">
        <f t="shared" si="161"/>
        <v>0.58333333333333337</v>
      </c>
      <c r="AM352" s="7">
        <f t="shared" si="162"/>
        <v>0.74074074074074081</v>
      </c>
      <c r="AN352" s="7">
        <f t="shared" si="163"/>
        <v>0.65740740740740744</v>
      </c>
      <c r="AO352">
        <f>step3_validation[[#This Row],[AI_OUT1]]</f>
        <v>7</v>
      </c>
      <c r="AP352">
        <f t="shared" si="164"/>
        <v>0.66666666666666663</v>
      </c>
      <c r="AQ352">
        <f>survey_responses[[#This Row],[Sau khi xem xét các quyền lợi và nghĩa vụ, bạn có ủng hộ và tuân thủ chính sách mới hiện nay? - HUMAN-OUT1]]</f>
        <v>7</v>
      </c>
      <c r="AR352">
        <f t="shared" si="165"/>
        <v>0.66666666666666663</v>
      </c>
      <c r="AS352" s="32">
        <f t="shared" si="166"/>
        <v>0</v>
      </c>
      <c r="AT352">
        <f t="shared" si="167"/>
        <v>1</v>
      </c>
    </row>
    <row r="353" spans="1:46" x14ac:dyDescent="0.45">
      <c r="A353">
        <f>step3_validation[[#This Row],[AI_ENF1]]</f>
        <v>7</v>
      </c>
      <c r="B353">
        <f t="shared" si="140"/>
        <v>0.66666666666666663</v>
      </c>
      <c r="C353">
        <f>survey_responses[[#This Row],[Tôi tin rằng với các quy định quản lý thuế hiện nay, hành vi gian lận hoặc trốn thuế sẽ dễ dàng bị phát hiện và xử lý nghiêm. - HUMAN-ENF1]]</f>
        <v>6</v>
      </c>
      <c r="D353">
        <f t="shared" si="141"/>
        <v>0.55555555555555558</v>
      </c>
      <c r="E353">
        <f>step3_validation[[#This Row],[AI_ENF2]]</f>
        <v>6</v>
      </c>
      <c r="F353">
        <f t="shared" si="142"/>
        <v>0.55555555555555558</v>
      </c>
      <c r="G353">
        <f>survey_responses[[#This Row],[Tôi tin rằng Nhà nước, cơ quan thuế có đủ khả năng và công nghệ để phát hiện, xử lý nghiêm các hành vi trốn thuế. - HUMAN-ENF2]]</f>
        <v>6</v>
      </c>
      <c r="H353">
        <f t="shared" si="143"/>
        <v>0.55555555555555558</v>
      </c>
      <c r="I353" s="32">
        <f t="shared" si="144"/>
        <v>0.61111111111111116</v>
      </c>
      <c r="J353" s="32">
        <f t="shared" si="145"/>
        <v>0.55555555555555558</v>
      </c>
      <c r="K353">
        <f>step3_validation[[#This Row],[AI_FAC1]]</f>
        <v>8</v>
      </c>
      <c r="L353">
        <f t="shared" si="146"/>
        <v>0.77777777777777779</v>
      </c>
      <c r="M353">
        <f>survey_responses[[#This Row],[Các thủ tục khai báo thuế VÀ/HOẶC quy trình làm việc với cơ quan thuế đơn giản, tiện lợi, nhanh chóng hơn so với trước đây. - HUMAN-FAC1]]</f>
        <v>8</v>
      </c>
      <c r="N353">
        <f t="shared" si="147"/>
        <v>0.77777777777777779</v>
      </c>
      <c r="O353">
        <f>step3_validation[[#This Row],[AI_FAC2]]</f>
        <v>9</v>
      </c>
      <c r="P353">
        <f t="shared" si="148"/>
        <v>0.88888888888888884</v>
      </c>
      <c r="Q353">
        <f>survey_responses[[#This Row],[So với trước đây, tôi thấy cách tính thuế và các bậc thuế trong phương án mới đơn giản, dễ hiểu và dễ thực hiện hơn. - HUMAN-FAC2]]</f>
        <v>7</v>
      </c>
      <c r="R353">
        <f t="shared" si="149"/>
        <v>0.66666666666666663</v>
      </c>
      <c r="S353" s="32">
        <f t="shared" si="150"/>
        <v>0.83333333333333326</v>
      </c>
      <c r="T353" s="32">
        <f t="shared" si="151"/>
        <v>0.72222222222222221</v>
      </c>
      <c r="U353">
        <f>step3_validation[[#This Row],[AI_TRU1]]</f>
        <v>7</v>
      </c>
      <c r="V353">
        <f t="shared" si="152"/>
        <v>0.66666666666666663</v>
      </c>
      <c r="W353">
        <f>survey_responses[[#This Row],[Tôi tin rằng Nhà nước, cơ quan thuế sẽ thực thi chính sách mới một cách khách quan, công tâm và đối xử bình đẳng với mọi người nộp thuế.  - HUMAN-TRU1]]</f>
        <v>7</v>
      </c>
      <c r="X353">
        <f t="shared" si="153"/>
        <v>0.66666666666666663</v>
      </c>
      <c r="Y353">
        <f>step3_validation[[#This Row],[AI_TRU2]]</f>
        <v>8</v>
      </c>
      <c r="Z353">
        <f t="shared" si="154"/>
        <v>0.77777777777777779</v>
      </c>
      <c r="AA353">
        <f>survey_responses[[#This Row],[Tôi thấy mức thuế tôi phải đóng theo phương án mới là công bằng (người thu nhập như tôi đóng mức này là hợp lý). - HUMAN-TRU2]]</f>
        <v>7</v>
      </c>
      <c r="AB353">
        <f t="shared" si="155"/>
        <v>0.66666666666666663</v>
      </c>
      <c r="AC353">
        <f>step3_validation[[#This Row],[AI_TRU3]]</f>
        <v>6</v>
      </c>
      <c r="AD353">
        <f t="shared" si="156"/>
        <v>0.55555555555555558</v>
      </c>
      <c r="AE353">
        <f>survey_responses[[#This Row],[Tôi tin tưởng số tiền thuế tôi đóng sẽ được Nhà nước sử dụng hiệu quả để cải thiện dịch vụ công (y tế, đường xá...). - HUMAN-TRU3]]</f>
        <v>5</v>
      </c>
      <c r="AF353">
        <f t="shared" si="157"/>
        <v>0.44444444444444442</v>
      </c>
      <c r="AG353">
        <f>step3_validation[[#This Row],[AI_TRU4]]</f>
        <v>7</v>
      </c>
      <c r="AH353">
        <f t="shared" si="158"/>
        <v>0.66666666666666663</v>
      </c>
      <c r="AI353">
        <f>survey_responses[[#This Row],[Tôi thấy Nhà nước đã giải thích rõ ràng, minh bạch về lý do và mục tiêu của việc sửa đổi thuế lần này. - HUMAN-TRU4]]</f>
        <v>6</v>
      </c>
      <c r="AJ353">
        <f t="shared" si="159"/>
        <v>0.55555555555555558</v>
      </c>
      <c r="AK353" s="32">
        <f t="shared" si="160"/>
        <v>0.66666666666666663</v>
      </c>
      <c r="AL353" s="32">
        <f t="shared" si="161"/>
        <v>0.58333333333333326</v>
      </c>
      <c r="AM353" s="7">
        <f t="shared" si="162"/>
        <v>0.70370370370370372</v>
      </c>
      <c r="AN353" s="7">
        <f t="shared" si="163"/>
        <v>0.62037037037037035</v>
      </c>
      <c r="AO353">
        <f>step3_validation[[#This Row],[AI_OUT1]]</f>
        <v>8</v>
      </c>
      <c r="AP353">
        <f t="shared" si="164"/>
        <v>0.77777777777777779</v>
      </c>
      <c r="AQ353">
        <f>survey_responses[[#This Row],[Sau khi xem xét các quyền lợi và nghĩa vụ, bạn có ủng hộ và tuân thủ chính sách mới hiện nay? - HUMAN-OUT1]]</f>
        <v>7</v>
      </c>
      <c r="AR353">
        <f t="shared" si="165"/>
        <v>0.66666666666666663</v>
      </c>
      <c r="AS353" s="32">
        <f t="shared" si="166"/>
        <v>1</v>
      </c>
      <c r="AT353">
        <f t="shared" si="167"/>
        <v>1</v>
      </c>
    </row>
    <row r="354" spans="1:46" x14ac:dyDescent="0.45">
      <c r="A354">
        <f>step3_validation[[#This Row],[AI_ENF1]]</f>
        <v>7</v>
      </c>
      <c r="B354">
        <f t="shared" si="140"/>
        <v>0.66666666666666663</v>
      </c>
      <c r="C354">
        <f>survey_responses[[#This Row],[Tôi tin rằng với các quy định quản lý thuế hiện nay, hành vi gian lận hoặc trốn thuế sẽ dễ dàng bị phát hiện và xử lý nghiêm. - HUMAN-ENF1]]</f>
        <v>7</v>
      </c>
      <c r="D354">
        <f t="shared" si="141"/>
        <v>0.66666666666666663</v>
      </c>
      <c r="E354">
        <f>step3_validation[[#This Row],[AI_ENF2]]</f>
        <v>8</v>
      </c>
      <c r="F354">
        <f t="shared" si="142"/>
        <v>0.77777777777777779</v>
      </c>
      <c r="G354">
        <f>survey_responses[[#This Row],[Tôi tin rằng Nhà nước, cơ quan thuế có đủ khả năng và công nghệ để phát hiện, xử lý nghiêm các hành vi trốn thuế. - HUMAN-ENF2]]</f>
        <v>7</v>
      </c>
      <c r="H354">
        <f t="shared" si="143"/>
        <v>0.66666666666666663</v>
      </c>
      <c r="I354" s="32">
        <f t="shared" si="144"/>
        <v>0.72222222222222221</v>
      </c>
      <c r="J354" s="32">
        <f t="shared" si="145"/>
        <v>0.66666666666666663</v>
      </c>
      <c r="K354">
        <f>step3_validation[[#This Row],[AI_FAC1]]</f>
        <v>6</v>
      </c>
      <c r="L354">
        <f t="shared" si="146"/>
        <v>0.55555555555555558</v>
      </c>
      <c r="M354">
        <f>survey_responses[[#This Row],[Các thủ tục khai báo thuế VÀ/HOẶC quy trình làm việc với cơ quan thuế đơn giản, tiện lợi, nhanh chóng hơn so với trước đây. - HUMAN-FAC1]]</f>
        <v>8</v>
      </c>
      <c r="N354">
        <f t="shared" si="147"/>
        <v>0.77777777777777779</v>
      </c>
      <c r="O354">
        <f>step3_validation[[#This Row],[AI_FAC2]]</f>
        <v>8</v>
      </c>
      <c r="P354">
        <f t="shared" si="148"/>
        <v>0.77777777777777779</v>
      </c>
      <c r="Q354">
        <f>survey_responses[[#This Row],[So với trước đây, tôi thấy cách tính thuế và các bậc thuế trong phương án mới đơn giản, dễ hiểu và dễ thực hiện hơn. - HUMAN-FAC2]]</f>
        <v>8</v>
      </c>
      <c r="R354">
        <f t="shared" si="149"/>
        <v>0.77777777777777779</v>
      </c>
      <c r="S354" s="32">
        <f t="shared" si="150"/>
        <v>0.66666666666666674</v>
      </c>
      <c r="T354" s="32">
        <f t="shared" si="151"/>
        <v>0.77777777777777779</v>
      </c>
      <c r="U354">
        <f>step3_validation[[#This Row],[AI_TRU1]]</f>
        <v>9</v>
      </c>
      <c r="V354">
        <f t="shared" si="152"/>
        <v>0.88888888888888884</v>
      </c>
      <c r="W354">
        <f>survey_responses[[#This Row],[Tôi tin rằng Nhà nước, cơ quan thuế sẽ thực thi chính sách mới một cách khách quan, công tâm và đối xử bình đẳng với mọi người nộp thuế.  - HUMAN-TRU1]]</f>
        <v>6</v>
      </c>
      <c r="X354">
        <f t="shared" si="153"/>
        <v>0.55555555555555558</v>
      </c>
      <c r="Y354">
        <f>step3_validation[[#This Row],[AI_TRU2]]</f>
        <v>7</v>
      </c>
      <c r="Z354">
        <f t="shared" si="154"/>
        <v>0.66666666666666663</v>
      </c>
      <c r="AA354">
        <f>survey_responses[[#This Row],[Tôi thấy mức thuế tôi phải đóng theo phương án mới là công bằng (người thu nhập như tôi đóng mức này là hợp lý). - HUMAN-TRU2]]</f>
        <v>7</v>
      </c>
      <c r="AB354">
        <f t="shared" si="155"/>
        <v>0.66666666666666663</v>
      </c>
      <c r="AC354">
        <f>step3_validation[[#This Row],[AI_TRU3]]</f>
        <v>8</v>
      </c>
      <c r="AD354">
        <f t="shared" si="156"/>
        <v>0.77777777777777779</v>
      </c>
      <c r="AE354">
        <f>survey_responses[[#This Row],[Tôi tin tưởng số tiền thuế tôi đóng sẽ được Nhà nước sử dụng hiệu quả để cải thiện dịch vụ công (y tế, đường xá...). - HUMAN-TRU3]]</f>
        <v>5</v>
      </c>
      <c r="AF354">
        <f t="shared" si="157"/>
        <v>0.44444444444444442</v>
      </c>
      <c r="AG354">
        <f>step3_validation[[#This Row],[AI_TRU4]]</f>
        <v>7</v>
      </c>
      <c r="AH354">
        <f t="shared" si="158"/>
        <v>0.66666666666666663</v>
      </c>
      <c r="AI354">
        <f>survey_responses[[#This Row],[Tôi thấy Nhà nước đã giải thích rõ ràng, minh bạch về lý do và mục tiêu của việc sửa đổi thuế lần này. - HUMAN-TRU4]]</f>
        <v>7</v>
      </c>
      <c r="AJ354">
        <f t="shared" si="159"/>
        <v>0.66666666666666663</v>
      </c>
      <c r="AK354" s="32">
        <f t="shared" si="160"/>
        <v>0.74999999999999989</v>
      </c>
      <c r="AL354" s="32">
        <f t="shared" si="161"/>
        <v>0.58333333333333337</v>
      </c>
      <c r="AM354" s="7">
        <f t="shared" si="162"/>
        <v>0.71296296296296291</v>
      </c>
      <c r="AN354" s="7">
        <f t="shared" si="163"/>
        <v>0.67592592592592593</v>
      </c>
      <c r="AO354">
        <f>step3_validation[[#This Row],[AI_OUT1]]</f>
        <v>9</v>
      </c>
      <c r="AP354">
        <f t="shared" si="164"/>
        <v>0.88888888888888884</v>
      </c>
      <c r="AQ354">
        <f>survey_responses[[#This Row],[Sau khi xem xét các quyền lợi và nghĩa vụ, bạn có ủng hộ và tuân thủ chính sách mới hiện nay? - HUMAN-OUT1]]</f>
        <v>7</v>
      </c>
      <c r="AR354">
        <f t="shared" si="165"/>
        <v>0.66666666666666663</v>
      </c>
      <c r="AS354" s="32">
        <f t="shared" si="166"/>
        <v>2</v>
      </c>
      <c r="AT354">
        <f t="shared" si="167"/>
        <v>1</v>
      </c>
    </row>
    <row r="355" spans="1:46" x14ac:dyDescent="0.45">
      <c r="A355">
        <f>step3_validation[[#This Row],[AI_ENF1]]</f>
        <v>8</v>
      </c>
      <c r="B355">
        <f t="shared" si="140"/>
        <v>0.77777777777777779</v>
      </c>
      <c r="C355">
        <f>survey_responses[[#This Row],[Tôi tin rằng với các quy định quản lý thuế hiện nay, hành vi gian lận hoặc trốn thuế sẽ dễ dàng bị phát hiện và xử lý nghiêm. - HUMAN-ENF1]]</f>
        <v>9</v>
      </c>
      <c r="D355">
        <f t="shared" si="141"/>
        <v>0.88888888888888884</v>
      </c>
      <c r="E355">
        <f>step3_validation[[#This Row],[AI_ENF2]]</f>
        <v>9</v>
      </c>
      <c r="F355">
        <f t="shared" si="142"/>
        <v>0.88888888888888884</v>
      </c>
      <c r="G355">
        <f>survey_responses[[#This Row],[Tôi tin rằng Nhà nước, cơ quan thuế có đủ khả năng và công nghệ để phát hiện, xử lý nghiêm các hành vi trốn thuế. - HUMAN-ENF2]]</f>
        <v>9</v>
      </c>
      <c r="H355">
        <f t="shared" si="143"/>
        <v>0.88888888888888884</v>
      </c>
      <c r="I355" s="32">
        <f t="shared" si="144"/>
        <v>0.83333333333333326</v>
      </c>
      <c r="J355" s="32">
        <f t="shared" si="145"/>
        <v>0.88888888888888884</v>
      </c>
      <c r="K355">
        <f>step3_validation[[#This Row],[AI_FAC1]]</f>
        <v>7</v>
      </c>
      <c r="L355">
        <f t="shared" si="146"/>
        <v>0.66666666666666663</v>
      </c>
      <c r="M355">
        <f>survey_responses[[#This Row],[Các thủ tục khai báo thuế VÀ/HOẶC quy trình làm việc với cơ quan thuế đơn giản, tiện lợi, nhanh chóng hơn so với trước đây. - HUMAN-FAC1]]</f>
        <v>10</v>
      </c>
      <c r="N355">
        <f t="shared" si="147"/>
        <v>1</v>
      </c>
      <c r="O355">
        <f>step3_validation[[#This Row],[AI_FAC2]]</f>
        <v>8</v>
      </c>
      <c r="P355">
        <f t="shared" si="148"/>
        <v>0.77777777777777779</v>
      </c>
      <c r="Q355">
        <f>survey_responses[[#This Row],[So với trước đây, tôi thấy cách tính thuế và các bậc thuế trong phương án mới đơn giản, dễ hiểu và dễ thực hiện hơn. - HUMAN-FAC2]]</f>
        <v>10</v>
      </c>
      <c r="R355">
        <f t="shared" si="149"/>
        <v>1</v>
      </c>
      <c r="S355" s="32">
        <f t="shared" si="150"/>
        <v>0.72222222222222221</v>
      </c>
      <c r="T355" s="32">
        <f t="shared" si="151"/>
        <v>1</v>
      </c>
      <c r="U355">
        <f>step3_validation[[#This Row],[AI_TRU1]]</f>
        <v>7</v>
      </c>
      <c r="V355">
        <f t="shared" si="152"/>
        <v>0.66666666666666663</v>
      </c>
      <c r="W355">
        <f>survey_responses[[#This Row],[Tôi tin rằng Nhà nước, cơ quan thuế sẽ thực thi chính sách mới một cách khách quan, công tâm và đối xử bình đẳng với mọi người nộp thuế.  - HUMAN-TRU1]]</f>
        <v>9</v>
      </c>
      <c r="X355">
        <f t="shared" si="153"/>
        <v>0.88888888888888884</v>
      </c>
      <c r="Y355">
        <f>step3_validation[[#This Row],[AI_TRU2]]</f>
        <v>6</v>
      </c>
      <c r="Z355">
        <f t="shared" si="154"/>
        <v>0.55555555555555558</v>
      </c>
      <c r="AA355">
        <f>survey_responses[[#This Row],[Tôi thấy mức thuế tôi phải đóng theo phương án mới là công bằng (người thu nhập như tôi đóng mức này là hợp lý). - HUMAN-TRU2]]</f>
        <v>10</v>
      </c>
      <c r="AB355">
        <f t="shared" si="155"/>
        <v>1</v>
      </c>
      <c r="AC355">
        <f>step3_validation[[#This Row],[AI_TRU3]]</f>
        <v>7</v>
      </c>
      <c r="AD355">
        <f t="shared" si="156"/>
        <v>0.66666666666666663</v>
      </c>
      <c r="AE355">
        <f>survey_responses[[#This Row],[Tôi tin tưởng số tiền thuế tôi đóng sẽ được Nhà nước sử dụng hiệu quả để cải thiện dịch vụ công (y tế, đường xá...). - HUMAN-TRU3]]</f>
        <v>8</v>
      </c>
      <c r="AF355">
        <f t="shared" si="157"/>
        <v>0.77777777777777779</v>
      </c>
      <c r="AG355">
        <f>step3_validation[[#This Row],[AI_TRU4]]</f>
        <v>6</v>
      </c>
      <c r="AH355">
        <f t="shared" si="158"/>
        <v>0.55555555555555558</v>
      </c>
      <c r="AI355">
        <f>survey_responses[[#This Row],[Tôi thấy Nhà nước đã giải thích rõ ràng, minh bạch về lý do và mục tiêu của việc sửa đổi thuế lần này. - HUMAN-TRU4]]</f>
        <v>8</v>
      </c>
      <c r="AJ355">
        <f t="shared" si="159"/>
        <v>0.77777777777777779</v>
      </c>
      <c r="AK355" s="32">
        <f t="shared" si="160"/>
        <v>0.61111111111111116</v>
      </c>
      <c r="AL355" s="32">
        <f t="shared" si="161"/>
        <v>0.86111111111111105</v>
      </c>
      <c r="AM355" s="7">
        <f t="shared" si="162"/>
        <v>0.72222222222222221</v>
      </c>
      <c r="AN355" s="7">
        <f t="shared" si="163"/>
        <v>0.91666666666666663</v>
      </c>
      <c r="AO355">
        <f>step3_validation[[#This Row],[AI_OUT1]]</f>
        <v>5</v>
      </c>
      <c r="AP355">
        <f t="shared" si="164"/>
        <v>0.44444444444444442</v>
      </c>
      <c r="AQ355">
        <f>survey_responses[[#This Row],[Sau khi xem xét các quyền lợi và nghĩa vụ, bạn có ủng hộ và tuân thủ chính sách mới hiện nay? - HUMAN-OUT1]]</f>
        <v>9</v>
      </c>
      <c r="AR355">
        <f t="shared" si="165"/>
        <v>0.88888888888888884</v>
      </c>
      <c r="AS355" s="32">
        <f t="shared" si="166"/>
        <v>4</v>
      </c>
      <c r="AT355">
        <f t="shared" si="167"/>
        <v>1</v>
      </c>
    </row>
    <row r="356" spans="1:46" x14ac:dyDescent="0.45">
      <c r="A356">
        <f>step3_validation[[#This Row],[AI_ENF1]]</f>
        <v>7</v>
      </c>
      <c r="B356">
        <f t="shared" si="140"/>
        <v>0.66666666666666663</v>
      </c>
      <c r="C356">
        <f>survey_responses[[#This Row],[Tôi tin rằng với các quy định quản lý thuế hiện nay, hành vi gian lận hoặc trốn thuế sẽ dễ dàng bị phát hiện và xử lý nghiêm. - HUMAN-ENF1]]</f>
        <v>7</v>
      </c>
      <c r="D356">
        <f t="shared" si="141"/>
        <v>0.66666666666666663</v>
      </c>
      <c r="E356">
        <f>step3_validation[[#This Row],[AI_ENF2]]</f>
        <v>6</v>
      </c>
      <c r="F356">
        <f t="shared" si="142"/>
        <v>0.55555555555555558</v>
      </c>
      <c r="G356">
        <f>survey_responses[[#This Row],[Tôi tin rằng Nhà nước, cơ quan thuế có đủ khả năng và công nghệ để phát hiện, xử lý nghiêm các hành vi trốn thuế. - HUMAN-ENF2]]</f>
        <v>8</v>
      </c>
      <c r="H356">
        <f t="shared" si="143"/>
        <v>0.77777777777777779</v>
      </c>
      <c r="I356" s="32">
        <f t="shared" si="144"/>
        <v>0.61111111111111116</v>
      </c>
      <c r="J356" s="32">
        <f t="shared" si="145"/>
        <v>0.72222222222222221</v>
      </c>
      <c r="K356">
        <f>step3_validation[[#This Row],[AI_FAC1]]</f>
        <v>8</v>
      </c>
      <c r="L356">
        <f t="shared" si="146"/>
        <v>0.77777777777777779</v>
      </c>
      <c r="M356">
        <f>survey_responses[[#This Row],[Các thủ tục khai báo thuế VÀ/HOẶC quy trình làm việc với cơ quan thuế đơn giản, tiện lợi, nhanh chóng hơn so với trước đây. - HUMAN-FAC1]]</f>
        <v>8</v>
      </c>
      <c r="N356">
        <f t="shared" si="147"/>
        <v>0.77777777777777779</v>
      </c>
      <c r="O356">
        <f>step3_validation[[#This Row],[AI_FAC2]]</f>
        <v>7</v>
      </c>
      <c r="P356">
        <f t="shared" si="148"/>
        <v>0.66666666666666663</v>
      </c>
      <c r="Q356">
        <f>survey_responses[[#This Row],[So với trước đây, tôi thấy cách tính thuế và các bậc thuế trong phương án mới đơn giản, dễ hiểu và dễ thực hiện hơn. - HUMAN-FAC2]]</f>
        <v>9</v>
      </c>
      <c r="R356">
        <f t="shared" si="149"/>
        <v>0.88888888888888884</v>
      </c>
      <c r="S356" s="32">
        <f t="shared" si="150"/>
        <v>0.72222222222222221</v>
      </c>
      <c r="T356" s="32">
        <f t="shared" si="151"/>
        <v>0.83333333333333326</v>
      </c>
      <c r="U356">
        <f>step3_validation[[#This Row],[AI_TRU1]]</f>
        <v>8</v>
      </c>
      <c r="V356">
        <f t="shared" si="152"/>
        <v>0.77777777777777779</v>
      </c>
      <c r="W356">
        <f>survey_responses[[#This Row],[Tôi tin rằng Nhà nước, cơ quan thuế sẽ thực thi chính sách mới một cách khách quan, công tâm và đối xử bình đẳng với mọi người nộp thuế.  - HUMAN-TRU1]]</f>
        <v>8</v>
      </c>
      <c r="X356">
        <f t="shared" si="153"/>
        <v>0.77777777777777779</v>
      </c>
      <c r="Y356">
        <f>step3_validation[[#This Row],[AI_TRU2]]</f>
        <v>6</v>
      </c>
      <c r="Z356">
        <f t="shared" si="154"/>
        <v>0.55555555555555558</v>
      </c>
      <c r="AA356">
        <f>survey_responses[[#This Row],[Tôi thấy mức thuế tôi phải đóng theo phương án mới là công bằng (người thu nhập như tôi đóng mức này là hợp lý). - HUMAN-TRU2]]</f>
        <v>10</v>
      </c>
      <c r="AB356">
        <f t="shared" si="155"/>
        <v>1</v>
      </c>
      <c r="AC356">
        <f>step3_validation[[#This Row],[AI_TRU3]]</f>
        <v>8</v>
      </c>
      <c r="AD356">
        <f t="shared" si="156"/>
        <v>0.77777777777777779</v>
      </c>
      <c r="AE356">
        <f>survey_responses[[#This Row],[Tôi tin tưởng số tiền thuế tôi đóng sẽ được Nhà nước sử dụng hiệu quả để cải thiện dịch vụ công (y tế, đường xá...). - HUMAN-TRU3]]</f>
        <v>8</v>
      </c>
      <c r="AF356">
        <f t="shared" si="157"/>
        <v>0.77777777777777779</v>
      </c>
      <c r="AG356">
        <f>step3_validation[[#This Row],[AI_TRU4]]</f>
        <v>5</v>
      </c>
      <c r="AH356">
        <f t="shared" si="158"/>
        <v>0.44444444444444442</v>
      </c>
      <c r="AI356">
        <f>survey_responses[[#This Row],[Tôi thấy Nhà nước đã giải thích rõ ràng, minh bạch về lý do và mục tiêu của việc sửa đổi thuế lần này. - HUMAN-TRU4]]</f>
        <v>8</v>
      </c>
      <c r="AJ356">
        <f t="shared" si="159"/>
        <v>0.77777777777777779</v>
      </c>
      <c r="AK356" s="32">
        <f t="shared" si="160"/>
        <v>0.63888888888888884</v>
      </c>
      <c r="AL356" s="32">
        <f t="shared" si="161"/>
        <v>0.83333333333333326</v>
      </c>
      <c r="AM356" s="7">
        <f t="shared" si="162"/>
        <v>0.65740740740740744</v>
      </c>
      <c r="AN356" s="7">
        <f t="shared" si="163"/>
        <v>0.79629629629629617</v>
      </c>
      <c r="AO356">
        <f>step3_validation[[#This Row],[AI_OUT1]]</f>
        <v>7</v>
      </c>
      <c r="AP356">
        <f t="shared" si="164"/>
        <v>0.66666666666666663</v>
      </c>
      <c r="AQ356">
        <f>survey_responses[[#This Row],[Sau khi xem xét các quyền lợi và nghĩa vụ, bạn có ủng hộ và tuân thủ chính sách mới hiện nay? - HUMAN-OUT1]]</f>
        <v>9</v>
      </c>
      <c r="AR356">
        <f t="shared" si="165"/>
        <v>0.88888888888888884</v>
      </c>
      <c r="AS356" s="32">
        <f t="shared" si="166"/>
        <v>2</v>
      </c>
      <c r="AT356">
        <f t="shared" si="167"/>
        <v>1</v>
      </c>
    </row>
    <row r="357" spans="1:46" x14ac:dyDescent="0.45">
      <c r="A357">
        <f>step3_validation[[#This Row],[AI_ENF1]]</f>
        <v>7</v>
      </c>
      <c r="B357">
        <f t="shared" si="140"/>
        <v>0.66666666666666663</v>
      </c>
      <c r="C357">
        <f>survey_responses[[#This Row],[Tôi tin rằng với các quy định quản lý thuế hiện nay, hành vi gian lận hoặc trốn thuế sẽ dễ dàng bị phát hiện và xử lý nghiêm. - HUMAN-ENF1]]</f>
        <v>7</v>
      </c>
      <c r="D357">
        <f t="shared" si="141"/>
        <v>0.66666666666666663</v>
      </c>
      <c r="E357">
        <f>step3_validation[[#This Row],[AI_ENF2]]</f>
        <v>6</v>
      </c>
      <c r="F357">
        <f t="shared" si="142"/>
        <v>0.55555555555555558</v>
      </c>
      <c r="G357">
        <f>survey_responses[[#This Row],[Tôi tin rằng Nhà nước, cơ quan thuế có đủ khả năng và công nghệ để phát hiện, xử lý nghiêm các hành vi trốn thuế. - HUMAN-ENF2]]</f>
        <v>7</v>
      </c>
      <c r="H357">
        <f t="shared" si="143"/>
        <v>0.66666666666666663</v>
      </c>
      <c r="I357" s="32">
        <f t="shared" si="144"/>
        <v>0.61111111111111116</v>
      </c>
      <c r="J357" s="32">
        <f t="shared" si="145"/>
        <v>0.66666666666666663</v>
      </c>
      <c r="K357">
        <f>step3_validation[[#This Row],[AI_FAC1]]</f>
        <v>8</v>
      </c>
      <c r="L357">
        <f t="shared" si="146"/>
        <v>0.77777777777777779</v>
      </c>
      <c r="M357">
        <f>survey_responses[[#This Row],[Các thủ tục khai báo thuế VÀ/HOẶC quy trình làm việc với cơ quan thuế đơn giản, tiện lợi, nhanh chóng hơn so với trước đây. - HUMAN-FAC1]]</f>
        <v>8</v>
      </c>
      <c r="N357">
        <f t="shared" si="147"/>
        <v>0.77777777777777779</v>
      </c>
      <c r="O357">
        <f>step3_validation[[#This Row],[AI_FAC2]]</f>
        <v>7</v>
      </c>
      <c r="P357">
        <f t="shared" si="148"/>
        <v>0.66666666666666663</v>
      </c>
      <c r="Q357">
        <f>survey_responses[[#This Row],[So với trước đây, tôi thấy cách tính thuế và các bậc thuế trong phương án mới đơn giản, dễ hiểu và dễ thực hiện hơn. - HUMAN-FAC2]]</f>
        <v>10</v>
      </c>
      <c r="R357">
        <f t="shared" si="149"/>
        <v>1</v>
      </c>
      <c r="S357" s="32">
        <f t="shared" si="150"/>
        <v>0.72222222222222221</v>
      </c>
      <c r="T357" s="32">
        <f t="shared" si="151"/>
        <v>0.88888888888888884</v>
      </c>
      <c r="U357">
        <f>step3_validation[[#This Row],[AI_TRU1]]</f>
        <v>8</v>
      </c>
      <c r="V357">
        <f t="shared" si="152"/>
        <v>0.77777777777777779</v>
      </c>
      <c r="W357">
        <f>survey_responses[[#This Row],[Tôi tin rằng Nhà nước, cơ quan thuế sẽ thực thi chính sách mới một cách khách quan, công tâm và đối xử bình đẳng với mọi người nộp thuế.  - HUMAN-TRU1]]</f>
        <v>9</v>
      </c>
      <c r="X357">
        <f t="shared" si="153"/>
        <v>0.88888888888888884</v>
      </c>
      <c r="Y357">
        <f>step3_validation[[#This Row],[AI_TRU2]]</f>
        <v>7</v>
      </c>
      <c r="Z357">
        <f t="shared" si="154"/>
        <v>0.66666666666666663</v>
      </c>
      <c r="AA357">
        <f>survey_responses[[#This Row],[Tôi thấy mức thuế tôi phải đóng theo phương án mới là công bằng (người thu nhập như tôi đóng mức này là hợp lý). - HUMAN-TRU2]]</f>
        <v>10</v>
      </c>
      <c r="AB357">
        <f t="shared" si="155"/>
        <v>1</v>
      </c>
      <c r="AC357">
        <f>step3_validation[[#This Row],[AI_TRU3]]</f>
        <v>7</v>
      </c>
      <c r="AD357">
        <f t="shared" si="156"/>
        <v>0.66666666666666663</v>
      </c>
      <c r="AE357">
        <f>survey_responses[[#This Row],[Tôi tin tưởng số tiền thuế tôi đóng sẽ được Nhà nước sử dụng hiệu quả để cải thiện dịch vụ công (y tế, đường xá...). - HUMAN-TRU3]]</f>
        <v>8</v>
      </c>
      <c r="AF357">
        <f t="shared" si="157"/>
        <v>0.77777777777777779</v>
      </c>
      <c r="AG357">
        <f>step3_validation[[#This Row],[AI_TRU4]]</f>
        <v>8</v>
      </c>
      <c r="AH357">
        <f t="shared" si="158"/>
        <v>0.77777777777777779</v>
      </c>
      <c r="AI357">
        <f>survey_responses[[#This Row],[Tôi thấy Nhà nước đã giải thích rõ ràng, minh bạch về lý do và mục tiêu của việc sửa đổi thuế lần này. - HUMAN-TRU4]]</f>
        <v>8</v>
      </c>
      <c r="AJ357">
        <f t="shared" si="159"/>
        <v>0.77777777777777779</v>
      </c>
      <c r="AK357" s="32">
        <f t="shared" si="160"/>
        <v>0.72222222222222221</v>
      </c>
      <c r="AL357" s="32">
        <f t="shared" si="161"/>
        <v>0.86111111111111105</v>
      </c>
      <c r="AM357" s="7">
        <f t="shared" si="162"/>
        <v>0.68518518518518523</v>
      </c>
      <c r="AN357" s="7">
        <f t="shared" si="163"/>
        <v>0.80555555555555547</v>
      </c>
      <c r="AO357">
        <f>step3_validation[[#This Row],[AI_OUT1]]</f>
        <v>9</v>
      </c>
      <c r="AP357">
        <f t="shared" si="164"/>
        <v>0.88888888888888884</v>
      </c>
      <c r="AQ357">
        <f>survey_responses[[#This Row],[Sau khi xem xét các quyền lợi và nghĩa vụ, bạn có ủng hộ và tuân thủ chính sách mới hiện nay? - HUMAN-OUT1]]</f>
        <v>10</v>
      </c>
      <c r="AR357">
        <f t="shared" si="165"/>
        <v>1</v>
      </c>
      <c r="AS357" s="32">
        <f t="shared" si="166"/>
        <v>1</v>
      </c>
      <c r="AT357">
        <f t="shared" si="167"/>
        <v>1</v>
      </c>
    </row>
    <row r="358" spans="1:46" x14ac:dyDescent="0.45">
      <c r="A358">
        <f>step3_validation[[#This Row],[AI_ENF1]]</f>
        <v>7</v>
      </c>
      <c r="B358">
        <f t="shared" si="140"/>
        <v>0.66666666666666663</v>
      </c>
      <c r="C358">
        <f>survey_responses[[#This Row],[Tôi tin rằng với các quy định quản lý thuế hiện nay, hành vi gian lận hoặc trốn thuế sẽ dễ dàng bị phát hiện và xử lý nghiêm. - HUMAN-ENF1]]</f>
        <v>9</v>
      </c>
      <c r="D358">
        <f t="shared" si="141"/>
        <v>0.88888888888888884</v>
      </c>
      <c r="E358">
        <f>step3_validation[[#This Row],[AI_ENF2]]</f>
        <v>8</v>
      </c>
      <c r="F358">
        <f t="shared" si="142"/>
        <v>0.77777777777777779</v>
      </c>
      <c r="G358">
        <f>survey_responses[[#This Row],[Tôi tin rằng Nhà nước, cơ quan thuế có đủ khả năng và công nghệ để phát hiện, xử lý nghiêm các hành vi trốn thuế. - HUMAN-ENF2]]</f>
        <v>9</v>
      </c>
      <c r="H358">
        <f t="shared" si="143"/>
        <v>0.88888888888888884</v>
      </c>
      <c r="I358" s="32">
        <f t="shared" si="144"/>
        <v>0.72222222222222221</v>
      </c>
      <c r="J358" s="32">
        <f t="shared" si="145"/>
        <v>0.88888888888888884</v>
      </c>
      <c r="K358">
        <f>step3_validation[[#This Row],[AI_FAC1]]</f>
        <v>9</v>
      </c>
      <c r="L358">
        <f t="shared" si="146"/>
        <v>0.88888888888888884</v>
      </c>
      <c r="M358">
        <f>survey_responses[[#This Row],[Các thủ tục khai báo thuế VÀ/HOẶC quy trình làm việc với cơ quan thuế đơn giản, tiện lợi, nhanh chóng hơn so với trước đây. - HUMAN-FAC1]]</f>
        <v>8</v>
      </c>
      <c r="N358">
        <f t="shared" si="147"/>
        <v>0.77777777777777779</v>
      </c>
      <c r="O358">
        <f>step3_validation[[#This Row],[AI_FAC2]]</f>
        <v>7</v>
      </c>
      <c r="P358">
        <f t="shared" si="148"/>
        <v>0.66666666666666663</v>
      </c>
      <c r="Q358">
        <f>survey_responses[[#This Row],[So với trước đây, tôi thấy cách tính thuế và các bậc thuế trong phương án mới đơn giản, dễ hiểu và dễ thực hiện hơn. - HUMAN-FAC2]]</f>
        <v>9</v>
      </c>
      <c r="R358">
        <f t="shared" si="149"/>
        <v>0.88888888888888884</v>
      </c>
      <c r="S358" s="32">
        <f t="shared" si="150"/>
        <v>0.77777777777777768</v>
      </c>
      <c r="T358" s="32">
        <f t="shared" si="151"/>
        <v>0.83333333333333326</v>
      </c>
      <c r="U358">
        <f>step3_validation[[#This Row],[AI_TRU1]]</f>
        <v>8</v>
      </c>
      <c r="V358">
        <f t="shared" si="152"/>
        <v>0.77777777777777779</v>
      </c>
      <c r="W358">
        <f>survey_responses[[#This Row],[Tôi tin rằng Nhà nước, cơ quan thuế sẽ thực thi chính sách mới một cách khách quan, công tâm và đối xử bình đẳng với mọi người nộp thuế.  - HUMAN-TRU1]]</f>
        <v>8</v>
      </c>
      <c r="X358">
        <f t="shared" si="153"/>
        <v>0.77777777777777779</v>
      </c>
      <c r="Y358">
        <f>step3_validation[[#This Row],[AI_TRU2]]</f>
        <v>6</v>
      </c>
      <c r="Z358">
        <f t="shared" si="154"/>
        <v>0.55555555555555558</v>
      </c>
      <c r="AA358">
        <f>survey_responses[[#This Row],[Tôi thấy mức thuế tôi phải đóng theo phương án mới là công bằng (người thu nhập như tôi đóng mức này là hợp lý). - HUMAN-TRU2]]</f>
        <v>8</v>
      </c>
      <c r="AB358">
        <f t="shared" si="155"/>
        <v>0.77777777777777779</v>
      </c>
      <c r="AC358">
        <f>step3_validation[[#This Row],[AI_TRU3]]</f>
        <v>7</v>
      </c>
      <c r="AD358">
        <f t="shared" si="156"/>
        <v>0.66666666666666663</v>
      </c>
      <c r="AE358">
        <f>survey_responses[[#This Row],[Tôi tin tưởng số tiền thuế tôi đóng sẽ được Nhà nước sử dụng hiệu quả để cải thiện dịch vụ công (y tế, đường xá...). - HUMAN-TRU3]]</f>
        <v>7</v>
      </c>
      <c r="AF358">
        <f t="shared" si="157"/>
        <v>0.66666666666666663</v>
      </c>
      <c r="AG358">
        <f>step3_validation[[#This Row],[AI_TRU4]]</f>
        <v>5</v>
      </c>
      <c r="AH358">
        <f t="shared" si="158"/>
        <v>0.44444444444444442</v>
      </c>
      <c r="AI358">
        <f>survey_responses[[#This Row],[Tôi thấy Nhà nước đã giải thích rõ ràng, minh bạch về lý do và mục tiêu của việc sửa đổi thuế lần này. - HUMAN-TRU4]]</f>
        <v>7</v>
      </c>
      <c r="AJ358">
        <f t="shared" si="159"/>
        <v>0.66666666666666663</v>
      </c>
      <c r="AK358" s="32">
        <f t="shared" si="160"/>
        <v>0.61111111111111116</v>
      </c>
      <c r="AL358" s="32">
        <f t="shared" si="161"/>
        <v>0.72222222222222221</v>
      </c>
      <c r="AM358" s="7">
        <f t="shared" si="162"/>
        <v>0.70370370370370372</v>
      </c>
      <c r="AN358" s="7">
        <f t="shared" si="163"/>
        <v>0.81481481481481477</v>
      </c>
      <c r="AO358">
        <f>step3_validation[[#This Row],[AI_OUT1]]</f>
        <v>6</v>
      </c>
      <c r="AP358">
        <f t="shared" si="164"/>
        <v>0.55555555555555558</v>
      </c>
      <c r="AQ358">
        <f>survey_responses[[#This Row],[Sau khi xem xét các quyền lợi và nghĩa vụ, bạn có ủng hộ và tuân thủ chính sách mới hiện nay? - HUMAN-OUT1]]</f>
        <v>8</v>
      </c>
      <c r="AR358">
        <f t="shared" si="165"/>
        <v>0.77777777777777779</v>
      </c>
      <c r="AS358" s="32">
        <f t="shared" si="166"/>
        <v>2</v>
      </c>
      <c r="AT358">
        <f t="shared" si="167"/>
        <v>1</v>
      </c>
    </row>
    <row r="359" spans="1:46" x14ac:dyDescent="0.45">
      <c r="A359">
        <f>step3_validation[[#This Row],[AI_ENF1]]</f>
        <v>8</v>
      </c>
      <c r="B359">
        <f t="shared" si="140"/>
        <v>0.77777777777777779</v>
      </c>
      <c r="C359">
        <f>survey_responses[[#This Row],[Tôi tin rằng với các quy định quản lý thuế hiện nay, hành vi gian lận hoặc trốn thuế sẽ dễ dàng bị phát hiện và xử lý nghiêm. - HUMAN-ENF1]]</f>
        <v>7</v>
      </c>
      <c r="D359">
        <f t="shared" si="141"/>
        <v>0.66666666666666663</v>
      </c>
      <c r="E359">
        <f>step3_validation[[#This Row],[AI_ENF2]]</f>
        <v>9</v>
      </c>
      <c r="F359">
        <f t="shared" si="142"/>
        <v>0.88888888888888884</v>
      </c>
      <c r="G359">
        <f>survey_responses[[#This Row],[Tôi tin rằng Nhà nước, cơ quan thuế có đủ khả năng và công nghệ để phát hiện, xử lý nghiêm các hành vi trốn thuế. - HUMAN-ENF2]]</f>
        <v>7</v>
      </c>
      <c r="H359">
        <f t="shared" si="143"/>
        <v>0.66666666666666663</v>
      </c>
      <c r="I359" s="32">
        <f t="shared" si="144"/>
        <v>0.83333333333333326</v>
      </c>
      <c r="J359" s="32">
        <f t="shared" si="145"/>
        <v>0.66666666666666663</v>
      </c>
      <c r="K359">
        <f>step3_validation[[#This Row],[AI_FAC1]]</f>
        <v>7</v>
      </c>
      <c r="L359">
        <f t="shared" si="146"/>
        <v>0.66666666666666663</v>
      </c>
      <c r="M359">
        <f>survey_responses[[#This Row],[Các thủ tục khai báo thuế VÀ/HOẶC quy trình làm việc với cơ quan thuế đơn giản, tiện lợi, nhanh chóng hơn so với trước đây. - HUMAN-FAC1]]</f>
        <v>7</v>
      </c>
      <c r="N359">
        <f t="shared" si="147"/>
        <v>0.66666666666666663</v>
      </c>
      <c r="O359">
        <f>step3_validation[[#This Row],[AI_FAC2]]</f>
        <v>8</v>
      </c>
      <c r="P359">
        <f t="shared" si="148"/>
        <v>0.77777777777777779</v>
      </c>
      <c r="Q359">
        <f>survey_responses[[#This Row],[So với trước đây, tôi thấy cách tính thuế và các bậc thuế trong phương án mới đơn giản, dễ hiểu và dễ thực hiện hơn. - HUMAN-FAC2]]</f>
        <v>8</v>
      </c>
      <c r="R359">
        <f t="shared" si="149"/>
        <v>0.77777777777777779</v>
      </c>
      <c r="S359" s="32">
        <f t="shared" si="150"/>
        <v>0.72222222222222221</v>
      </c>
      <c r="T359" s="32">
        <f t="shared" si="151"/>
        <v>0.72222222222222221</v>
      </c>
      <c r="U359">
        <f>step3_validation[[#This Row],[AI_TRU1]]</f>
        <v>7</v>
      </c>
      <c r="V359">
        <f t="shared" si="152"/>
        <v>0.66666666666666663</v>
      </c>
      <c r="W359">
        <f>survey_responses[[#This Row],[Tôi tin rằng Nhà nước, cơ quan thuế sẽ thực thi chính sách mới một cách khách quan, công tâm và đối xử bình đẳng với mọi người nộp thuế.  - HUMAN-TRU1]]</f>
        <v>7</v>
      </c>
      <c r="X359">
        <f t="shared" si="153"/>
        <v>0.66666666666666663</v>
      </c>
      <c r="Y359">
        <f>step3_validation[[#This Row],[AI_TRU2]]</f>
        <v>8</v>
      </c>
      <c r="Z359">
        <f t="shared" si="154"/>
        <v>0.77777777777777779</v>
      </c>
      <c r="AA359">
        <f>survey_responses[[#This Row],[Tôi thấy mức thuế tôi phải đóng theo phương án mới là công bằng (người thu nhập như tôi đóng mức này là hợp lý). - HUMAN-TRU2]]</f>
        <v>9</v>
      </c>
      <c r="AB359">
        <f t="shared" si="155"/>
        <v>0.88888888888888884</v>
      </c>
      <c r="AC359">
        <f>step3_validation[[#This Row],[AI_TRU3]]</f>
        <v>7</v>
      </c>
      <c r="AD359">
        <f t="shared" si="156"/>
        <v>0.66666666666666663</v>
      </c>
      <c r="AE359">
        <f>survey_responses[[#This Row],[Tôi tin tưởng số tiền thuế tôi đóng sẽ được Nhà nước sử dụng hiệu quả để cải thiện dịch vụ công (y tế, đường xá...). - HUMAN-TRU3]]</f>
        <v>8</v>
      </c>
      <c r="AF359">
        <f t="shared" si="157"/>
        <v>0.77777777777777779</v>
      </c>
      <c r="AG359">
        <f>step3_validation[[#This Row],[AI_TRU4]]</f>
        <v>6</v>
      </c>
      <c r="AH359">
        <f t="shared" si="158"/>
        <v>0.55555555555555558</v>
      </c>
      <c r="AI359">
        <f>survey_responses[[#This Row],[Tôi thấy Nhà nước đã giải thích rõ ràng, minh bạch về lý do và mục tiêu của việc sửa đổi thuế lần này. - HUMAN-TRU4]]</f>
        <v>8</v>
      </c>
      <c r="AJ359">
        <f t="shared" si="159"/>
        <v>0.77777777777777779</v>
      </c>
      <c r="AK359" s="32">
        <f t="shared" si="160"/>
        <v>0.66666666666666674</v>
      </c>
      <c r="AL359" s="32">
        <f t="shared" si="161"/>
        <v>0.77777777777777768</v>
      </c>
      <c r="AM359" s="7">
        <f t="shared" si="162"/>
        <v>0.74074074074074081</v>
      </c>
      <c r="AN359" s="7">
        <f t="shared" si="163"/>
        <v>0.72222222222222221</v>
      </c>
      <c r="AO359">
        <f>step3_validation[[#This Row],[AI_OUT1]]</f>
        <v>8</v>
      </c>
      <c r="AP359">
        <f t="shared" si="164"/>
        <v>0.77777777777777779</v>
      </c>
      <c r="AQ359">
        <f>survey_responses[[#This Row],[Sau khi xem xét các quyền lợi và nghĩa vụ, bạn có ủng hộ và tuân thủ chính sách mới hiện nay? - HUMAN-OUT1]]</f>
        <v>8</v>
      </c>
      <c r="AR359">
        <f t="shared" si="165"/>
        <v>0.77777777777777779</v>
      </c>
      <c r="AS359" s="32">
        <f t="shared" si="166"/>
        <v>0</v>
      </c>
      <c r="AT359">
        <f t="shared" si="167"/>
        <v>1</v>
      </c>
    </row>
    <row r="360" spans="1:46" x14ac:dyDescent="0.45">
      <c r="A360">
        <f>step3_validation[[#This Row],[AI_ENF1]]</f>
        <v>8</v>
      </c>
      <c r="B360">
        <f t="shared" si="140"/>
        <v>0.77777777777777779</v>
      </c>
      <c r="C360">
        <f>survey_responses[[#This Row],[Tôi tin rằng với các quy định quản lý thuế hiện nay, hành vi gian lận hoặc trốn thuế sẽ dễ dàng bị phát hiện và xử lý nghiêm. - HUMAN-ENF1]]</f>
        <v>4</v>
      </c>
      <c r="D360">
        <f t="shared" si="141"/>
        <v>0.33333333333333331</v>
      </c>
      <c r="E360">
        <f>step3_validation[[#This Row],[AI_ENF2]]</f>
        <v>7</v>
      </c>
      <c r="F360">
        <f t="shared" si="142"/>
        <v>0.66666666666666663</v>
      </c>
      <c r="G360">
        <f>survey_responses[[#This Row],[Tôi tin rằng Nhà nước, cơ quan thuế có đủ khả năng và công nghệ để phát hiện, xử lý nghiêm các hành vi trốn thuế. - HUMAN-ENF2]]</f>
        <v>5</v>
      </c>
      <c r="H360">
        <f t="shared" si="143"/>
        <v>0.44444444444444442</v>
      </c>
      <c r="I360" s="32">
        <f t="shared" si="144"/>
        <v>0.72222222222222221</v>
      </c>
      <c r="J360" s="32">
        <f t="shared" si="145"/>
        <v>0.38888888888888884</v>
      </c>
      <c r="K360">
        <f>step3_validation[[#This Row],[AI_FAC1]]</f>
        <v>6</v>
      </c>
      <c r="L360">
        <f t="shared" si="146"/>
        <v>0.55555555555555558</v>
      </c>
      <c r="M360">
        <f>survey_responses[[#This Row],[Các thủ tục khai báo thuế VÀ/HOẶC quy trình làm việc với cơ quan thuế đơn giản, tiện lợi, nhanh chóng hơn so với trước đây. - HUMAN-FAC1]]</f>
        <v>6</v>
      </c>
      <c r="N360">
        <f t="shared" si="147"/>
        <v>0.55555555555555558</v>
      </c>
      <c r="O360">
        <f>step3_validation[[#This Row],[AI_FAC2]]</f>
        <v>5</v>
      </c>
      <c r="P360">
        <f t="shared" si="148"/>
        <v>0.44444444444444442</v>
      </c>
      <c r="Q360">
        <f>survey_responses[[#This Row],[So với trước đây, tôi thấy cách tính thuế và các bậc thuế trong phương án mới đơn giản, dễ hiểu và dễ thực hiện hơn. - HUMAN-FAC2]]</f>
        <v>7</v>
      </c>
      <c r="R360">
        <f t="shared" si="149"/>
        <v>0.66666666666666663</v>
      </c>
      <c r="S360" s="32">
        <f t="shared" si="150"/>
        <v>0.5</v>
      </c>
      <c r="T360" s="32">
        <f t="shared" si="151"/>
        <v>0.61111111111111116</v>
      </c>
      <c r="U360">
        <f>step3_validation[[#This Row],[AI_TRU1]]</f>
        <v>7</v>
      </c>
      <c r="V360">
        <f t="shared" si="152"/>
        <v>0.66666666666666663</v>
      </c>
      <c r="W360">
        <f>survey_responses[[#This Row],[Tôi tin rằng Nhà nước, cơ quan thuế sẽ thực thi chính sách mới một cách khách quan, công tâm và đối xử bình đẳng với mọi người nộp thuế.  - HUMAN-TRU1]]</f>
        <v>7</v>
      </c>
      <c r="X360">
        <f t="shared" si="153"/>
        <v>0.66666666666666663</v>
      </c>
      <c r="Y360">
        <f>step3_validation[[#This Row],[AI_TRU2]]</f>
        <v>6</v>
      </c>
      <c r="Z360">
        <f t="shared" si="154"/>
        <v>0.55555555555555558</v>
      </c>
      <c r="AA360">
        <f>survey_responses[[#This Row],[Tôi thấy mức thuế tôi phải đóng theo phương án mới là công bằng (người thu nhập như tôi đóng mức này là hợp lý). - HUMAN-TRU2]]</f>
        <v>6</v>
      </c>
      <c r="AB360">
        <f t="shared" si="155"/>
        <v>0.55555555555555558</v>
      </c>
      <c r="AC360">
        <f>step3_validation[[#This Row],[AI_TRU3]]</f>
        <v>5</v>
      </c>
      <c r="AD360">
        <f t="shared" si="156"/>
        <v>0.44444444444444442</v>
      </c>
      <c r="AE360">
        <f>survey_responses[[#This Row],[Tôi tin tưởng số tiền thuế tôi đóng sẽ được Nhà nước sử dụng hiệu quả để cải thiện dịch vụ công (y tế, đường xá...). - HUMAN-TRU3]]</f>
        <v>4</v>
      </c>
      <c r="AF360">
        <f t="shared" si="157"/>
        <v>0.33333333333333331</v>
      </c>
      <c r="AG360">
        <f>step3_validation[[#This Row],[AI_TRU4]]</f>
        <v>7</v>
      </c>
      <c r="AH360">
        <f t="shared" si="158"/>
        <v>0.66666666666666663</v>
      </c>
      <c r="AI360">
        <f>survey_responses[[#This Row],[Tôi thấy Nhà nước đã giải thích rõ ràng, minh bạch về lý do và mục tiêu của việc sửa đổi thuế lần này. - HUMAN-TRU4]]</f>
        <v>6</v>
      </c>
      <c r="AJ360">
        <f t="shared" si="159"/>
        <v>0.55555555555555558</v>
      </c>
      <c r="AK360" s="32">
        <f t="shared" si="160"/>
        <v>0.58333333333333337</v>
      </c>
      <c r="AL360" s="32">
        <f t="shared" si="161"/>
        <v>0.52777777777777779</v>
      </c>
      <c r="AM360" s="7">
        <f t="shared" si="162"/>
        <v>0.60185185185185197</v>
      </c>
      <c r="AN360" s="7">
        <f t="shared" si="163"/>
        <v>0.50925925925925919</v>
      </c>
      <c r="AO360">
        <f>step3_validation[[#This Row],[AI_OUT1]]</f>
        <v>6</v>
      </c>
      <c r="AP360">
        <f t="shared" si="164"/>
        <v>0.55555555555555558</v>
      </c>
      <c r="AQ360">
        <f>survey_responses[[#This Row],[Sau khi xem xét các quyền lợi và nghĩa vụ, bạn có ủng hộ và tuân thủ chính sách mới hiện nay? - HUMAN-OUT1]]</f>
        <v>7</v>
      </c>
      <c r="AR360">
        <f t="shared" si="165"/>
        <v>0.66666666666666663</v>
      </c>
      <c r="AS360" s="32">
        <f t="shared" si="166"/>
        <v>1</v>
      </c>
      <c r="AT360">
        <f t="shared" si="167"/>
        <v>1</v>
      </c>
    </row>
    <row r="361" spans="1:46" x14ac:dyDescent="0.45">
      <c r="A361">
        <f>step3_validation[[#This Row],[AI_ENF1]]</f>
        <v>7</v>
      </c>
      <c r="B361">
        <f t="shared" si="140"/>
        <v>0.66666666666666663</v>
      </c>
      <c r="C361">
        <f>survey_responses[[#This Row],[Tôi tin rằng với các quy định quản lý thuế hiện nay, hành vi gian lận hoặc trốn thuế sẽ dễ dàng bị phát hiện và xử lý nghiêm. - HUMAN-ENF1]]</f>
        <v>9</v>
      </c>
      <c r="D361">
        <f t="shared" si="141"/>
        <v>0.88888888888888884</v>
      </c>
      <c r="E361">
        <f>step3_validation[[#This Row],[AI_ENF2]]</f>
        <v>8</v>
      </c>
      <c r="F361">
        <f t="shared" si="142"/>
        <v>0.77777777777777779</v>
      </c>
      <c r="G361">
        <f>survey_responses[[#This Row],[Tôi tin rằng Nhà nước, cơ quan thuế có đủ khả năng và công nghệ để phát hiện, xử lý nghiêm các hành vi trốn thuế. - HUMAN-ENF2]]</f>
        <v>8</v>
      </c>
      <c r="H361">
        <f t="shared" si="143"/>
        <v>0.77777777777777779</v>
      </c>
      <c r="I361" s="32">
        <f t="shared" si="144"/>
        <v>0.72222222222222221</v>
      </c>
      <c r="J361" s="32">
        <f t="shared" si="145"/>
        <v>0.83333333333333326</v>
      </c>
      <c r="K361">
        <f>step3_validation[[#This Row],[AI_FAC1]]</f>
        <v>9</v>
      </c>
      <c r="L361">
        <f t="shared" si="146"/>
        <v>0.88888888888888884</v>
      </c>
      <c r="M361">
        <f>survey_responses[[#This Row],[Các thủ tục khai báo thuế VÀ/HOẶC quy trình làm việc với cơ quan thuế đơn giản, tiện lợi, nhanh chóng hơn so với trước đây. - HUMAN-FAC1]]</f>
        <v>8</v>
      </c>
      <c r="N361">
        <f t="shared" si="147"/>
        <v>0.77777777777777779</v>
      </c>
      <c r="O361">
        <f>step3_validation[[#This Row],[AI_FAC2]]</f>
        <v>8</v>
      </c>
      <c r="P361">
        <f t="shared" si="148"/>
        <v>0.77777777777777779</v>
      </c>
      <c r="Q361">
        <f>survey_responses[[#This Row],[So với trước đây, tôi thấy cách tính thuế và các bậc thuế trong phương án mới đơn giản, dễ hiểu và dễ thực hiện hơn. - HUMAN-FAC2]]</f>
        <v>8</v>
      </c>
      <c r="R361">
        <f t="shared" si="149"/>
        <v>0.77777777777777779</v>
      </c>
      <c r="S361" s="32">
        <f t="shared" si="150"/>
        <v>0.83333333333333326</v>
      </c>
      <c r="T361" s="32">
        <f t="shared" si="151"/>
        <v>0.77777777777777779</v>
      </c>
      <c r="U361">
        <f>step3_validation[[#This Row],[AI_TRU1]]</f>
        <v>7</v>
      </c>
      <c r="V361">
        <f t="shared" si="152"/>
        <v>0.66666666666666663</v>
      </c>
      <c r="W361">
        <f>survey_responses[[#This Row],[Tôi tin rằng Nhà nước, cơ quan thuế sẽ thực thi chính sách mới một cách khách quan, công tâm và đối xử bình đẳng với mọi người nộp thuế.  - HUMAN-TRU1]]</f>
        <v>7</v>
      </c>
      <c r="X361">
        <f t="shared" si="153"/>
        <v>0.66666666666666663</v>
      </c>
      <c r="Y361">
        <f>step3_validation[[#This Row],[AI_TRU2]]</f>
        <v>8</v>
      </c>
      <c r="Z361">
        <f t="shared" si="154"/>
        <v>0.77777777777777779</v>
      </c>
      <c r="AA361">
        <f>survey_responses[[#This Row],[Tôi thấy mức thuế tôi phải đóng theo phương án mới là công bằng (người thu nhập như tôi đóng mức này là hợp lý). - HUMAN-TRU2]]</f>
        <v>7</v>
      </c>
      <c r="AB361">
        <f t="shared" si="155"/>
        <v>0.66666666666666663</v>
      </c>
      <c r="AC361">
        <f>step3_validation[[#This Row],[AI_TRU3]]</f>
        <v>7</v>
      </c>
      <c r="AD361">
        <f t="shared" si="156"/>
        <v>0.66666666666666663</v>
      </c>
      <c r="AE361">
        <f>survey_responses[[#This Row],[Tôi tin tưởng số tiền thuế tôi đóng sẽ được Nhà nước sử dụng hiệu quả để cải thiện dịch vụ công (y tế, đường xá...). - HUMAN-TRU3]]</f>
        <v>6</v>
      </c>
      <c r="AF361">
        <f t="shared" si="157"/>
        <v>0.55555555555555558</v>
      </c>
      <c r="AG361">
        <f>step3_validation[[#This Row],[AI_TRU4]]</f>
        <v>6</v>
      </c>
      <c r="AH361">
        <f t="shared" si="158"/>
        <v>0.55555555555555558</v>
      </c>
      <c r="AI361">
        <f>survey_responses[[#This Row],[Tôi thấy Nhà nước đã giải thích rõ ràng, minh bạch về lý do và mục tiêu của việc sửa đổi thuế lần này. - HUMAN-TRU4]]</f>
        <v>7</v>
      </c>
      <c r="AJ361">
        <f t="shared" si="159"/>
        <v>0.66666666666666663</v>
      </c>
      <c r="AK361" s="32">
        <f t="shared" si="160"/>
        <v>0.66666666666666674</v>
      </c>
      <c r="AL361" s="32">
        <f t="shared" si="161"/>
        <v>0.63888888888888884</v>
      </c>
      <c r="AM361" s="7">
        <f t="shared" si="162"/>
        <v>0.74074074074074081</v>
      </c>
      <c r="AN361" s="7">
        <f t="shared" si="163"/>
        <v>0.75</v>
      </c>
      <c r="AO361">
        <f>step3_validation[[#This Row],[AI_OUT1]]</f>
        <v>7</v>
      </c>
      <c r="AP361">
        <f t="shared" si="164"/>
        <v>0.66666666666666663</v>
      </c>
      <c r="AQ361">
        <f>survey_responses[[#This Row],[Sau khi xem xét các quyền lợi và nghĩa vụ, bạn có ủng hộ và tuân thủ chính sách mới hiện nay? - HUMAN-OUT1]]</f>
        <v>8</v>
      </c>
      <c r="AR361">
        <f t="shared" si="165"/>
        <v>0.77777777777777779</v>
      </c>
      <c r="AS361" s="32">
        <f t="shared" si="166"/>
        <v>1</v>
      </c>
      <c r="AT361">
        <f t="shared" si="167"/>
        <v>1</v>
      </c>
    </row>
    <row r="362" spans="1:46" x14ac:dyDescent="0.45">
      <c r="A362">
        <f>step3_validation[[#This Row],[AI_ENF1]]</f>
        <v>5</v>
      </c>
      <c r="B362">
        <f t="shared" si="140"/>
        <v>0.44444444444444442</v>
      </c>
      <c r="C362">
        <f>survey_responses[[#This Row],[Tôi tin rằng với các quy định quản lý thuế hiện nay, hành vi gian lận hoặc trốn thuế sẽ dễ dàng bị phát hiện và xử lý nghiêm. - HUMAN-ENF1]]</f>
        <v>7</v>
      </c>
      <c r="D362">
        <f t="shared" si="141"/>
        <v>0.66666666666666663</v>
      </c>
      <c r="E362">
        <f>step3_validation[[#This Row],[AI_ENF2]]</f>
        <v>6</v>
      </c>
      <c r="F362">
        <f t="shared" si="142"/>
        <v>0.55555555555555558</v>
      </c>
      <c r="G362">
        <f>survey_responses[[#This Row],[Tôi tin rằng Nhà nước, cơ quan thuế có đủ khả năng và công nghệ để phát hiện, xử lý nghiêm các hành vi trốn thuế. - HUMAN-ENF2]]</f>
        <v>7</v>
      </c>
      <c r="H362">
        <f t="shared" si="143"/>
        <v>0.66666666666666663</v>
      </c>
      <c r="I362" s="32">
        <f t="shared" si="144"/>
        <v>0.5</v>
      </c>
      <c r="J362" s="32">
        <f t="shared" si="145"/>
        <v>0.66666666666666663</v>
      </c>
      <c r="K362">
        <f>step3_validation[[#This Row],[AI_FAC1]]</f>
        <v>8</v>
      </c>
      <c r="L362">
        <f t="shared" si="146"/>
        <v>0.77777777777777779</v>
      </c>
      <c r="M362">
        <f>survey_responses[[#This Row],[Các thủ tục khai báo thuế VÀ/HOẶC quy trình làm việc với cơ quan thuế đơn giản, tiện lợi, nhanh chóng hơn so với trước đây. - HUMAN-FAC1]]</f>
        <v>8</v>
      </c>
      <c r="N362">
        <f t="shared" si="147"/>
        <v>0.77777777777777779</v>
      </c>
      <c r="O362">
        <f>step3_validation[[#This Row],[AI_FAC2]]</f>
        <v>7</v>
      </c>
      <c r="P362">
        <f t="shared" si="148"/>
        <v>0.66666666666666663</v>
      </c>
      <c r="Q362">
        <f>survey_responses[[#This Row],[So với trước đây, tôi thấy cách tính thuế và các bậc thuế trong phương án mới đơn giản, dễ hiểu và dễ thực hiện hơn. - HUMAN-FAC2]]</f>
        <v>9</v>
      </c>
      <c r="R362">
        <f t="shared" si="149"/>
        <v>0.88888888888888884</v>
      </c>
      <c r="S362" s="32">
        <f t="shared" si="150"/>
        <v>0.72222222222222221</v>
      </c>
      <c r="T362" s="32">
        <f t="shared" si="151"/>
        <v>0.83333333333333326</v>
      </c>
      <c r="U362">
        <f>step3_validation[[#This Row],[AI_TRU1]]</f>
        <v>8</v>
      </c>
      <c r="V362">
        <f t="shared" si="152"/>
        <v>0.77777777777777779</v>
      </c>
      <c r="W362">
        <f>survey_responses[[#This Row],[Tôi tin rằng Nhà nước, cơ quan thuế sẽ thực thi chính sách mới một cách khách quan, công tâm và đối xử bình đẳng với mọi người nộp thuế.  - HUMAN-TRU1]]</f>
        <v>7</v>
      </c>
      <c r="X362">
        <f t="shared" si="153"/>
        <v>0.66666666666666663</v>
      </c>
      <c r="Y362">
        <f>step3_validation[[#This Row],[AI_TRU2]]</f>
        <v>6</v>
      </c>
      <c r="Z362">
        <f t="shared" si="154"/>
        <v>0.55555555555555558</v>
      </c>
      <c r="AA362">
        <f>survey_responses[[#This Row],[Tôi thấy mức thuế tôi phải đóng theo phương án mới là công bằng (người thu nhập như tôi đóng mức này là hợp lý). - HUMAN-TRU2]]</f>
        <v>10</v>
      </c>
      <c r="AB362">
        <f t="shared" si="155"/>
        <v>1</v>
      </c>
      <c r="AC362">
        <f>step3_validation[[#This Row],[AI_TRU3]]</f>
        <v>7</v>
      </c>
      <c r="AD362">
        <f t="shared" si="156"/>
        <v>0.66666666666666663</v>
      </c>
      <c r="AE362">
        <f>survey_responses[[#This Row],[Tôi tin tưởng số tiền thuế tôi đóng sẽ được Nhà nước sử dụng hiệu quả để cải thiện dịch vụ công (y tế, đường xá...). - HUMAN-TRU3]]</f>
        <v>8</v>
      </c>
      <c r="AF362">
        <f t="shared" si="157"/>
        <v>0.77777777777777779</v>
      </c>
      <c r="AG362">
        <f>step3_validation[[#This Row],[AI_TRU4]]</f>
        <v>5</v>
      </c>
      <c r="AH362">
        <f t="shared" si="158"/>
        <v>0.44444444444444442</v>
      </c>
      <c r="AI362">
        <f>survey_responses[[#This Row],[Tôi thấy Nhà nước đã giải thích rõ ràng, minh bạch về lý do và mục tiêu của việc sửa đổi thuế lần này. - HUMAN-TRU4]]</f>
        <v>8</v>
      </c>
      <c r="AJ362">
        <f t="shared" si="159"/>
        <v>0.77777777777777779</v>
      </c>
      <c r="AK362" s="32">
        <f t="shared" si="160"/>
        <v>0.61111111111111116</v>
      </c>
      <c r="AL362" s="32">
        <f t="shared" si="161"/>
        <v>0.80555555555555547</v>
      </c>
      <c r="AM362" s="7">
        <f t="shared" si="162"/>
        <v>0.61111111111111116</v>
      </c>
      <c r="AN362" s="7">
        <f t="shared" si="163"/>
        <v>0.76851851851851849</v>
      </c>
      <c r="AO362">
        <f>step3_validation[[#This Row],[AI_OUT1]]</f>
        <v>6</v>
      </c>
      <c r="AP362">
        <f t="shared" si="164"/>
        <v>0.55555555555555558</v>
      </c>
      <c r="AQ362">
        <f>survey_responses[[#This Row],[Sau khi xem xét các quyền lợi và nghĩa vụ, bạn có ủng hộ và tuân thủ chính sách mới hiện nay? - HUMAN-OUT1]]</f>
        <v>10</v>
      </c>
      <c r="AR362">
        <f t="shared" si="165"/>
        <v>1</v>
      </c>
      <c r="AS362" s="32">
        <f t="shared" si="166"/>
        <v>4</v>
      </c>
      <c r="AT362">
        <f t="shared" si="167"/>
        <v>1</v>
      </c>
    </row>
    <row r="363" spans="1:46" x14ac:dyDescent="0.45">
      <c r="A363">
        <f>step3_validation[[#This Row],[AI_ENF1]]</f>
        <v>4</v>
      </c>
      <c r="B363">
        <f t="shared" si="140"/>
        <v>0.33333333333333331</v>
      </c>
      <c r="C363">
        <f>survey_responses[[#This Row],[Tôi tin rằng với các quy định quản lý thuế hiện nay, hành vi gian lận hoặc trốn thuế sẽ dễ dàng bị phát hiện và xử lý nghiêm. - HUMAN-ENF1]]</f>
        <v>3</v>
      </c>
      <c r="D363">
        <f t="shared" si="141"/>
        <v>0.22222222222222221</v>
      </c>
      <c r="E363">
        <f>step3_validation[[#This Row],[AI_ENF2]]</f>
        <v>6</v>
      </c>
      <c r="F363">
        <f t="shared" si="142"/>
        <v>0.55555555555555558</v>
      </c>
      <c r="G363">
        <f>survey_responses[[#This Row],[Tôi tin rằng Nhà nước, cơ quan thuế có đủ khả năng và công nghệ để phát hiện, xử lý nghiêm các hành vi trốn thuế. - HUMAN-ENF2]]</f>
        <v>3</v>
      </c>
      <c r="H363">
        <f t="shared" si="143"/>
        <v>0.22222222222222221</v>
      </c>
      <c r="I363" s="32">
        <f t="shared" si="144"/>
        <v>0.44444444444444442</v>
      </c>
      <c r="J363" s="32">
        <f t="shared" si="145"/>
        <v>0.22222222222222221</v>
      </c>
      <c r="K363">
        <f>step3_validation[[#This Row],[AI_FAC1]]</f>
        <v>7</v>
      </c>
      <c r="L363">
        <f t="shared" si="146"/>
        <v>0.66666666666666663</v>
      </c>
      <c r="M363">
        <f>survey_responses[[#This Row],[Các thủ tục khai báo thuế VÀ/HOẶC quy trình làm việc với cơ quan thuế đơn giản, tiện lợi, nhanh chóng hơn so với trước đây. - HUMAN-FAC1]]</f>
        <v>5</v>
      </c>
      <c r="N363">
        <f t="shared" si="147"/>
        <v>0.44444444444444442</v>
      </c>
      <c r="O363">
        <f>step3_validation[[#This Row],[AI_FAC2]]</f>
        <v>5</v>
      </c>
      <c r="P363">
        <f t="shared" si="148"/>
        <v>0.44444444444444442</v>
      </c>
      <c r="Q363">
        <f>survey_responses[[#This Row],[So với trước đây, tôi thấy cách tính thuế và các bậc thuế trong phương án mới đơn giản, dễ hiểu và dễ thực hiện hơn. - HUMAN-FAC2]]</f>
        <v>6</v>
      </c>
      <c r="R363">
        <f t="shared" si="149"/>
        <v>0.55555555555555558</v>
      </c>
      <c r="S363" s="32">
        <f t="shared" si="150"/>
        <v>0.55555555555555558</v>
      </c>
      <c r="T363" s="32">
        <f t="shared" si="151"/>
        <v>0.5</v>
      </c>
      <c r="U363">
        <f>step3_validation[[#This Row],[AI_TRU1]]</f>
        <v>3</v>
      </c>
      <c r="V363">
        <f t="shared" si="152"/>
        <v>0.22222222222222221</v>
      </c>
      <c r="W363">
        <f>survey_responses[[#This Row],[Tôi tin rằng Nhà nước, cơ quan thuế sẽ thực thi chính sách mới một cách khách quan, công tâm và đối xử bình đẳng với mọi người nộp thuế.  - HUMAN-TRU1]]</f>
        <v>5</v>
      </c>
      <c r="X363">
        <f t="shared" si="153"/>
        <v>0.44444444444444442</v>
      </c>
      <c r="Y363">
        <f>step3_validation[[#This Row],[AI_TRU2]]</f>
        <v>4</v>
      </c>
      <c r="Z363">
        <f t="shared" si="154"/>
        <v>0.33333333333333331</v>
      </c>
      <c r="AA363">
        <f>survey_responses[[#This Row],[Tôi thấy mức thuế tôi phải đóng theo phương án mới là công bằng (người thu nhập như tôi đóng mức này là hợp lý). - HUMAN-TRU2]]</f>
        <v>6</v>
      </c>
      <c r="AB363">
        <f t="shared" si="155"/>
        <v>0.55555555555555558</v>
      </c>
      <c r="AC363">
        <f>step3_validation[[#This Row],[AI_TRU3]]</f>
        <v>3</v>
      </c>
      <c r="AD363">
        <f t="shared" si="156"/>
        <v>0.22222222222222221</v>
      </c>
      <c r="AE363">
        <f>survey_responses[[#This Row],[Tôi tin tưởng số tiền thuế tôi đóng sẽ được Nhà nước sử dụng hiệu quả để cải thiện dịch vụ công (y tế, đường xá...). - HUMAN-TRU3]]</f>
        <v>4</v>
      </c>
      <c r="AF363">
        <f t="shared" si="157"/>
        <v>0.33333333333333331</v>
      </c>
      <c r="AG363">
        <f>step3_validation[[#This Row],[AI_TRU4]]</f>
        <v>5</v>
      </c>
      <c r="AH363">
        <f t="shared" si="158"/>
        <v>0.44444444444444442</v>
      </c>
      <c r="AI363">
        <f>survey_responses[[#This Row],[Tôi thấy Nhà nước đã giải thích rõ ràng, minh bạch về lý do và mục tiêu của việc sửa đổi thuế lần này. - HUMAN-TRU4]]</f>
        <v>6</v>
      </c>
      <c r="AJ363">
        <f t="shared" si="159"/>
        <v>0.55555555555555558</v>
      </c>
      <c r="AK363" s="32">
        <f t="shared" si="160"/>
        <v>0.30555555555555558</v>
      </c>
      <c r="AL363" s="32">
        <f t="shared" si="161"/>
        <v>0.47222222222222221</v>
      </c>
      <c r="AM363" s="7">
        <f t="shared" si="162"/>
        <v>0.43518518518518517</v>
      </c>
      <c r="AN363" s="7">
        <f t="shared" si="163"/>
        <v>0.39814814814814814</v>
      </c>
      <c r="AO363">
        <f>step3_validation[[#This Row],[AI_OUT1]]</f>
        <v>6</v>
      </c>
      <c r="AP363">
        <f t="shared" si="164"/>
        <v>0.55555555555555558</v>
      </c>
      <c r="AQ363">
        <f>survey_responses[[#This Row],[Sau khi xem xét các quyền lợi và nghĩa vụ, bạn có ủng hộ và tuân thủ chính sách mới hiện nay? - HUMAN-OUT1]]</f>
        <v>6</v>
      </c>
      <c r="AR363">
        <f t="shared" si="165"/>
        <v>0.55555555555555558</v>
      </c>
      <c r="AS363" s="32">
        <f t="shared" si="166"/>
        <v>0</v>
      </c>
      <c r="AT363">
        <f t="shared" si="167"/>
        <v>1</v>
      </c>
    </row>
    <row r="364" spans="1:46" x14ac:dyDescent="0.45">
      <c r="A364">
        <f>step3_validation[[#This Row],[AI_ENF1]]</f>
        <v>8</v>
      </c>
      <c r="B364">
        <f t="shared" si="140"/>
        <v>0.77777777777777779</v>
      </c>
      <c r="C364">
        <f>survey_responses[[#This Row],[Tôi tin rằng với các quy định quản lý thuế hiện nay, hành vi gian lận hoặc trốn thuế sẽ dễ dàng bị phát hiện và xử lý nghiêm. - HUMAN-ENF1]]</f>
        <v>8</v>
      </c>
      <c r="D364">
        <f t="shared" si="141"/>
        <v>0.77777777777777779</v>
      </c>
      <c r="E364">
        <f>step3_validation[[#This Row],[AI_ENF2]]</f>
        <v>7</v>
      </c>
      <c r="F364">
        <f t="shared" si="142"/>
        <v>0.66666666666666663</v>
      </c>
      <c r="G364">
        <f>survey_responses[[#This Row],[Tôi tin rằng Nhà nước, cơ quan thuế có đủ khả năng và công nghệ để phát hiện, xử lý nghiêm các hành vi trốn thuế. - HUMAN-ENF2]]</f>
        <v>8</v>
      </c>
      <c r="H364">
        <f t="shared" si="143"/>
        <v>0.77777777777777779</v>
      </c>
      <c r="I364" s="32">
        <f t="shared" si="144"/>
        <v>0.72222222222222221</v>
      </c>
      <c r="J364" s="32">
        <f t="shared" si="145"/>
        <v>0.77777777777777779</v>
      </c>
      <c r="K364">
        <f>step3_validation[[#This Row],[AI_FAC1]]</f>
        <v>9</v>
      </c>
      <c r="L364">
        <f t="shared" si="146"/>
        <v>0.88888888888888884</v>
      </c>
      <c r="M364">
        <f>survey_responses[[#This Row],[Các thủ tục khai báo thuế VÀ/HOẶC quy trình làm việc với cơ quan thuế đơn giản, tiện lợi, nhanh chóng hơn so với trước đây. - HUMAN-FAC1]]</f>
        <v>5</v>
      </c>
      <c r="N364">
        <f t="shared" si="147"/>
        <v>0.44444444444444442</v>
      </c>
      <c r="O364">
        <f>step3_validation[[#This Row],[AI_FAC2]]</f>
        <v>8</v>
      </c>
      <c r="P364">
        <f t="shared" si="148"/>
        <v>0.77777777777777779</v>
      </c>
      <c r="Q364">
        <f>survey_responses[[#This Row],[So với trước đây, tôi thấy cách tính thuế và các bậc thuế trong phương án mới đơn giản, dễ hiểu và dễ thực hiện hơn. - HUMAN-FAC2]]</f>
        <v>7</v>
      </c>
      <c r="R364">
        <f t="shared" si="149"/>
        <v>0.66666666666666663</v>
      </c>
      <c r="S364" s="32">
        <f t="shared" si="150"/>
        <v>0.83333333333333326</v>
      </c>
      <c r="T364" s="32">
        <f t="shared" si="151"/>
        <v>0.55555555555555558</v>
      </c>
      <c r="U364">
        <f>step3_validation[[#This Row],[AI_TRU1]]</f>
        <v>7</v>
      </c>
      <c r="V364">
        <f t="shared" si="152"/>
        <v>0.66666666666666663</v>
      </c>
      <c r="W364">
        <f>survey_responses[[#This Row],[Tôi tin rằng Nhà nước, cơ quan thuế sẽ thực thi chính sách mới một cách khách quan, công tâm và đối xử bình đẳng với mọi người nộp thuế.  - HUMAN-TRU1]]</f>
        <v>5</v>
      </c>
      <c r="X364">
        <f t="shared" si="153"/>
        <v>0.44444444444444442</v>
      </c>
      <c r="Y364">
        <f>step3_validation[[#This Row],[AI_TRU2]]</f>
        <v>6</v>
      </c>
      <c r="Z364">
        <f t="shared" si="154"/>
        <v>0.55555555555555558</v>
      </c>
      <c r="AA364">
        <f>survey_responses[[#This Row],[Tôi thấy mức thuế tôi phải đóng theo phương án mới là công bằng (người thu nhập như tôi đóng mức này là hợp lý). - HUMAN-TRU2]]</f>
        <v>8</v>
      </c>
      <c r="AB364">
        <f t="shared" si="155"/>
        <v>0.77777777777777779</v>
      </c>
      <c r="AC364">
        <f>step3_validation[[#This Row],[AI_TRU3]]</f>
        <v>5</v>
      </c>
      <c r="AD364">
        <f t="shared" si="156"/>
        <v>0.44444444444444442</v>
      </c>
      <c r="AE364">
        <f>survey_responses[[#This Row],[Tôi tin tưởng số tiền thuế tôi đóng sẽ được Nhà nước sử dụng hiệu quả để cải thiện dịch vụ công (y tế, đường xá...). - HUMAN-TRU3]]</f>
        <v>5</v>
      </c>
      <c r="AF364">
        <f t="shared" si="157"/>
        <v>0.44444444444444442</v>
      </c>
      <c r="AG364">
        <f>step3_validation[[#This Row],[AI_TRU4]]</f>
        <v>4</v>
      </c>
      <c r="AH364">
        <f t="shared" si="158"/>
        <v>0.33333333333333331</v>
      </c>
      <c r="AI364">
        <f>survey_responses[[#This Row],[Tôi thấy Nhà nước đã giải thích rõ ràng, minh bạch về lý do và mục tiêu của việc sửa đổi thuế lần này. - HUMAN-TRU4]]</f>
        <v>7</v>
      </c>
      <c r="AJ364">
        <f t="shared" si="159"/>
        <v>0.66666666666666663</v>
      </c>
      <c r="AK364" s="32">
        <f t="shared" si="160"/>
        <v>0.5</v>
      </c>
      <c r="AL364" s="32">
        <f t="shared" si="161"/>
        <v>0.58333333333333337</v>
      </c>
      <c r="AM364" s="7">
        <f t="shared" si="162"/>
        <v>0.68518518518518512</v>
      </c>
      <c r="AN364" s="7">
        <f t="shared" si="163"/>
        <v>0.63888888888888895</v>
      </c>
      <c r="AO364">
        <f>step3_validation[[#This Row],[AI_OUT1]]</f>
        <v>3</v>
      </c>
      <c r="AP364">
        <f t="shared" si="164"/>
        <v>0.22222222222222221</v>
      </c>
      <c r="AQ364">
        <f>survey_responses[[#This Row],[Sau khi xem xét các quyền lợi và nghĩa vụ, bạn có ủng hộ và tuân thủ chính sách mới hiện nay? - HUMAN-OUT1]]</f>
        <v>8</v>
      </c>
      <c r="AR364">
        <f t="shared" si="165"/>
        <v>0.77777777777777779</v>
      </c>
      <c r="AS364" s="32">
        <f t="shared" si="166"/>
        <v>5</v>
      </c>
      <c r="AT364">
        <f t="shared" si="167"/>
        <v>1</v>
      </c>
    </row>
    <row r="365" spans="1:46" x14ac:dyDescent="0.45">
      <c r="A365">
        <f>step3_validation[[#This Row],[AI_ENF1]]</f>
        <v>7</v>
      </c>
      <c r="B365">
        <f t="shared" si="140"/>
        <v>0.66666666666666663</v>
      </c>
      <c r="C365">
        <f>survey_responses[[#This Row],[Tôi tin rằng với các quy định quản lý thuế hiện nay, hành vi gian lận hoặc trốn thuế sẽ dễ dàng bị phát hiện và xử lý nghiêm. - HUMAN-ENF1]]</f>
        <v>4</v>
      </c>
      <c r="D365">
        <f t="shared" si="141"/>
        <v>0.33333333333333331</v>
      </c>
      <c r="E365">
        <f>step3_validation[[#This Row],[AI_ENF2]]</f>
        <v>7</v>
      </c>
      <c r="F365">
        <f t="shared" si="142"/>
        <v>0.66666666666666663</v>
      </c>
      <c r="G365">
        <f>survey_responses[[#This Row],[Tôi tin rằng Nhà nước, cơ quan thuế có đủ khả năng và công nghệ để phát hiện, xử lý nghiêm các hành vi trốn thuế. - HUMAN-ENF2]]</f>
        <v>5</v>
      </c>
      <c r="H365">
        <f t="shared" si="143"/>
        <v>0.44444444444444442</v>
      </c>
      <c r="I365" s="32">
        <f t="shared" si="144"/>
        <v>0.66666666666666663</v>
      </c>
      <c r="J365" s="32">
        <f t="shared" si="145"/>
        <v>0.38888888888888884</v>
      </c>
      <c r="K365">
        <f>step3_validation[[#This Row],[AI_FAC1]]</f>
        <v>8</v>
      </c>
      <c r="L365">
        <f t="shared" si="146"/>
        <v>0.77777777777777779</v>
      </c>
      <c r="M365">
        <f>survey_responses[[#This Row],[Các thủ tục khai báo thuế VÀ/HOẶC quy trình làm việc với cơ quan thuế đơn giản, tiện lợi, nhanh chóng hơn so với trước đây. - HUMAN-FAC1]]</f>
        <v>5</v>
      </c>
      <c r="N365">
        <f t="shared" si="147"/>
        <v>0.44444444444444442</v>
      </c>
      <c r="O365">
        <f>step3_validation[[#This Row],[AI_FAC2]]</f>
        <v>8</v>
      </c>
      <c r="P365">
        <f t="shared" si="148"/>
        <v>0.77777777777777779</v>
      </c>
      <c r="Q365">
        <f>survey_responses[[#This Row],[So với trước đây, tôi thấy cách tính thuế và các bậc thuế trong phương án mới đơn giản, dễ hiểu và dễ thực hiện hơn. - HUMAN-FAC2]]</f>
        <v>7</v>
      </c>
      <c r="R365">
        <f t="shared" si="149"/>
        <v>0.66666666666666663</v>
      </c>
      <c r="S365" s="32">
        <f t="shared" si="150"/>
        <v>0.77777777777777779</v>
      </c>
      <c r="T365" s="32">
        <f t="shared" si="151"/>
        <v>0.55555555555555558</v>
      </c>
      <c r="U365">
        <f>step3_validation[[#This Row],[AI_TRU1]]</f>
        <v>9</v>
      </c>
      <c r="V365">
        <f t="shared" si="152"/>
        <v>0.88888888888888884</v>
      </c>
      <c r="W365">
        <f>survey_responses[[#This Row],[Tôi tin rằng Nhà nước, cơ quan thuế sẽ thực thi chính sách mới một cách khách quan, công tâm và đối xử bình đẳng với mọi người nộp thuế.  - HUMAN-TRU1]]</f>
        <v>5</v>
      </c>
      <c r="X365">
        <f t="shared" si="153"/>
        <v>0.44444444444444442</v>
      </c>
      <c r="Y365">
        <f>step3_validation[[#This Row],[AI_TRU2]]</f>
        <v>8</v>
      </c>
      <c r="Z365">
        <f t="shared" si="154"/>
        <v>0.77777777777777779</v>
      </c>
      <c r="AA365">
        <f>survey_responses[[#This Row],[Tôi thấy mức thuế tôi phải đóng theo phương án mới là công bằng (người thu nhập như tôi đóng mức này là hợp lý). - HUMAN-TRU2]]</f>
        <v>7</v>
      </c>
      <c r="AB365">
        <f t="shared" si="155"/>
        <v>0.66666666666666663</v>
      </c>
      <c r="AC365">
        <f>step3_validation[[#This Row],[AI_TRU3]]</f>
        <v>9</v>
      </c>
      <c r="AD365">
        <f t="shared" si="156"/>
        <v>0.88888888888888884</v>
      </c>
      <c r="AE365">
        <f>survey_responses[[#This Row],[Tôi tin tưởng số tiền thuế tôi đóng sẽ được Nhà nước sử dụng hiệu quả để cải thiện dịch vụ công (y tế, đường xá...). - HUMAN-TRU3]]</f>
        <v>5</v>
      </c>
      <c r="AF365">
        <f t="shared" si="157"/>
        <v>0.44444444444444442</v>
      </c>
      <c r="AG365">
        <f>step3_validation[[#This Row],[AI_TRU4]]</f>
        <v>7</v>
      </c>
      <c r="AH365">
        <f t="shared" si="158"/>
        <v>0.66666666666666663</v>
      </c>
      <c r="AI365">
        <f>survey_responses[[#This Row],[Tôi thấy Nhà nước đã giải thích rõ ràng, minh bạch về lý do và mục tiêu của việc sửa đổi thuế lần này. - HUMAN-TRU4]]</f>
        <v>6</v>
      </c>
      <c r="AJ365">
        <f t="shared" si="159"/>
        <v>0.55555555555555558</v>
      </c>
      <c r="AK365" s="32">
        <f t="shared" si="160"/>
        <v>0.80555555555555547</v>
      </c>
      <c r="AL365" s="32">
        <f t="shared" si="161"/>
        <v>0.52777777777777779</v>
      </c>
      <c r="AM365" s="7">
        <f t="shared" si="162"/>
        <v>0.75</v>
      </c>
      <c r="AN365" s="7">
        <f t="shared" si="163"/>
        <v>0.49074074074074076</v>
      </c>
      <c r="AO365">
        <f>step3_validation[[#This Row],[AI_OUT1]]</f>
        <v>8</v>
      </c>
      <c r="AP365">
        <f t="shared" si="164"/>
        <v>0.77777777777777779</v>
      </c>
      <c r="AQ365">
        <f>survey_responses[[#This Row],[Sau khi xem xét các quyền lợi và nghĩa vụ, bạn có ủng hộ và tuân thủ chính sách mới hiện nay? - HUMAN-OUT1]]</f>
        <v>7</v>
      </c>
      <c r="AR365">
        <f t="shared" si="165"/>
        <v>0.66666666666666663</v>
      </c>
      <c r="AS365" s="32">
        <f t="shared" si="166"/>
        <v>1</v>
      </c>
      <c r="AT365">
        <f t="shared" si="167"/>
        <v>1</v>
      </c>
    </row>
    <row r="366" spans="1:46" x14ac:dyDescent="0.45">
      <c r="A366">
        <f>step3_validation[[#This Row],[AI_ENF1]]</f>
        <v>7</v>
      </c>
      <c r="B366">
        <f t="shared" si="140"/>
        <v>0.66666666666666663</v>
      </c>
      <c r="C366">
        <f>survey_responses[[#This Row],[Tôi tin rằng với các quy định quản lý thuế hiện nay, hành vi gian lận hoặc trốn thuế sẽ dễ dàng bị phát hiện và xử lý nghiêm. - HUMAN-ENF1]]</f>
        <v>9</v>
      </c>
      <c r="D366">
        <f t="shared" si="141"/>
        <v>0.88888888888888884</v>
      </c>
      <c r="E366">
        <f>step3_validation[[#This Row],[AI_ENF2]]</f>
        <v>6</v>
      </c>
      <c r="F366">
        <f t="shared" si="142"/>
        <v>0.55555555555555558</v>
      </c>
      <c r="G366">
        <f>survey_responses[[#This Row],[Tôi tin rằng Nhà nước, cơ quan thuế có đủ khả năng và công nghệ để phát hiện, xử lý nghiêm các hành vi trốn thuế. - HUMAN-ENF2]]</f>
        <v>9</v>
      </c>
      <c r="H366">
        <f t="shared" si="143"/>
        <v>0.88888888888888884</v>
      </c>
      <c r="I366" s="32">
        <f t="shared" si="144"/>
        <v>0.61111111111111116</v>
      </c>
      <c r="J366" s="32">
        <f t="shared" si="145"/>
        <v>0.88888888888888884</v>
      </c>
      <c r="K366">
        <f>step3_validation[[#This Row],[AI_FAC1]]</f>
        <v>8</v>
      </c>
      <c r="L366">
        <f t="shared" si="146"/>
        <v>0.77777777777777779</v>
      </c>
      <c r="M366">
        <f>survey_responses[[#This Row],[Các thủ tục khai báo thuế VÀ/HOẶC quy trình làm việc với cơ quan thuế đơn giản, tiện lợi, nhanh chóng hơn so với trước đây. - HUMAN-FAC1]]</f>
        <v>8</v>
      </c>
      <c r="N366">
        <f t="shared" si="147"/>
        <v>0.77777777777777779</v>
      </c>
      <c r="O366">
        <f>step3_validation[[#This Row],[AI_FAC2]]</f>
        <v>9</v>
      </c>
      <c r="P366">
        <f t="shared" si="148"/>
        <v>0.88888888888888884</v>
      </c>
      <c r="Q366">
        <f>survey_responses[[#This Row],[So với trước đây, tôi thấy cách tính thuế và các bậc thuế trong phương án mới đơn giản, dễ hiểu và dễ thực hiện hơn. - HUMAN-FAC2]]</f>
        <v>9</v>
      </c>
      <c r="R366">
        <f t="shared" si="149"/>
        <v>0.88888888888888884</v>
      </c>
      <c r="S366" s="32">
        <f t="shared" si="150"/>
        <v>0.83333333333333326</v>
      </c>
      <c r="T366" s="32">
        <f t="shared" si="151"/>
        <v>0.83333333333333326</v>
      </c>
      <c r="U366">
        <f>step3_validation[[#This Row],[AI_TRU1]]</f>
        <v>8</v>
      </c>
      <c r="V366">
        <f t="shared" si="152"/>
        <v>0.77777777777777779</v>
      </c>
      <c r="W366">
        <f>survey_responses[[#This Row],[Tôi tin rằng Nhà nước, cơ quan thuế sẽ thực thi chính sách mới một cách khách quan, công tâm và đối xử bình đẳng với mọi người nộp thuế.  - HUMAN-TRU1]]</f>
        <v>9</v>
      </c>
      <c r="X366">
        <f t="shared" si="153"/>
        <v>0.88888888888888884</v>
      </c>
      <c r="Y366">
        <f>step3_validation[[#This Row],[AI_TRU2]]</f>
        <v>7</v>
      </c>
      <c r="Z366">
        <f t="shared" si="154"/>
        <v>0.66666666666666663</v>
      </c>
      <c r="AA366">
        <f>survey_responses[[#This Row],[Tôi thấy mức thuế tôi phải đóng theo phương án mới là công bằng (người thu nhập như tôi đóng mức này là hợp lý). - HUMAN-TRU2]]</f>
        <v>7</v>
      </c>
      <c r="AB366">
        <f t="shared" si="155"/>
        <v>0.66666666666666663</v>
      </c>
      <c r="AC366">
        <f>step3_validation[[#This Row],[AI_TRU3]]</f>
        <v>8</v>
      </c>
      <c r="AD366">
        <f t="shared" si="156"/>
        <v>0.77777777777777779</v>
      </c>
      <c r="AE366">
        <f>survey_responses[[#This Row],[Tôi tin tưởng số tiền thuế tôi đóng sẽ được Nhà nước sử dụng hiệu quả để cải thiện dịch vụ công (y tế, đường xá...). - HUMAN-TRU3]]</f>
        <v>7</v>
      </c>
      <c r="AF366">
        <f t="shared" si="157"/>
        <v>0.66666666666666663</v>
      </c>
      <c r="AG366">
        <f>step3_validation[[#This Row],[AI_TRU4]]</f>
        <v>6</v>
      </c>
      <c r="AH366">
        <f t="shared" si="158"/>
        <v>0.55555555555555558</v>
      </c>
      <c r="AI366">
        <f>survey_responses[[#This Row],[Tôi thấy Nhà nước đã giải thích rõ ràng, minh bạch về lý do và mục tiêu của việc sửa đổi thuế lần này. - HUMAN-TRU4]]</f>
        <v>7</v>
      </c>
      <c r="AJ366">
        <f t="shared" si="159"/>
        <v>0.66666666666666663</v>
      </c>
      <c r="AK366" s="32">
        <f t="shared" si="160"/>
        <v>0.69444444444444442</v>
      </c>
      <c r="AL366" s="32">
        <f t="shared" si="161"/>
        <v>0.7222222222222221</v>
      </c>
      <c r="AM366" s="7">
        <f t="shared" si="162"/>
        <v>0.71296296296296291</v>
      </c>
      <c r="AN366" s="7">
        <f t="shared" si="163"/>
        <v>0.81481481481481477</v>
      </c>
      <c r="AO366">
        <f>step3_validation[[#This Row],[AI_OUT1]]</f>
        <v>7</v>
      </c>
      <c r="AP366">
        <f t="shared" si="164"/>
        <v>0.66666666666666663</v>
      </c>
      <c r="AQ366">
        <f>survey_responses[[#This Row],[Sau khi xem xét các quyền lợi và nghĩa vụ, bạn có ủng hộ và tuân thủ chính sách mới hiện nay? - HUMAN-OUT1]]</f>
        <v>7</v>
      </c>
      <c r="AR366">
        <f t="shared" si="165"/>
        <v>0.66666666666666663</v>
      </c>
      <c r="AS366" s="32">
        <f t="shared" si="166"/>
        <v>0</v>
      </c>
      <c r="AT366">
        <f t="shared" si="167"/>
        <v>1</v>
      </c>
    </row>
    <row r="367" spans="1:46" x14ac:dyDescent="0.45">
      <c r="A367">
        <f>step3_validation[[#This Row],[AI_ENF1]]</f>
        <v>7</v>
      </c>
      <c r="B367">
        <f t="shared" si="140"/>
        <v>0.66666666666666663</v>
      </c>
      <c r="C367">
        <f>survey_responses[[#This Row],[Tôi tin rằng với các quy định quản lý thuế hiện nay, hành vi gian lận hoặc trốn thuế sẽ dễ dàng bị phát hiện và xử lý nghiêm. - HUMAN-ENF1]]</f>
        <v>7</v>
      </c>
      <c r="D367">
        <f t="shared" si="141"/>
        <v>0.66666666666666663</v>
      </c>
      <c r="E367">
        <f>step3_validation[[#This Row],[AI_ENF2]]</f>
        <v>6</v>
      </c>
      <c r="F367">
        <f t="shared" si="142"/>
        <v>0.55555555555555558</v>
      </c>
      <c r="G367">
        <f>survey_responses[[#This Row],[Tôi tin rằng Nhà nước, cơ quan thuế có đủ khả năng và công nghệ để phát hiện, xử lý nghiêm các hành vi trốn thuế. - HUMAN-ENF2]]</f>
        <v>8</v>
      </c>
      <c r="H367">
        <f t="shared" si="143"/>
        <v>0.77777777777777779</v>
      </c>
      <c r="I367" s="32">
        <f t="shared" si="144"/>
        <v>0.61111111111111116</v>
      </c>
      <c r="J367" s="32">
        <f t="shared" si="145"/>
        <v>0.72222222222222221</v>
      </c>
      <c r="K367">
        <f>step3_validation[[#This Row],[AI_FAC1]]</f>
        <v>8</v>
      </c>
      <c r="L367">
        <f t="shared" si="146"/>
        <v>0.77777777777777779</v>
      </c>
      <c r="M367">
        <f>survey_responses[[#This Row],[Các thủ tục khai báo thuế VÀ/HOẶC quy trình làm việc với cơ quan thuế đơn giản, tiện lợi, nhanh chóng hơn so với trước đây. - HUMAN-FAC1]]</f>
        <v>8</v>
      </c>
      <c r="N367">
        <f t="shared" si="147"/>
        <v>0.77777777777777779</v>
      </c>
      <c r="O367">
        <f>step3_validation[[#This Row],[AI_FAC2]]</f>
        <v>7</v>
      </c>
      <c r="P367">
        <f t="shared" si="148"/>
        <v>0.66666666666666663</v>
      </c>
      <c r="Q367">
        <f>survey_responses[[#This Row],[So với trước đây, tôi thấy cách tính thuế và các bậc thuế trong phương án mới đơn giản, dễ hiểu và dễ thực hiện hơn. - HUMAN-FAC2]]</f>
        <v>8</v>
      </c>
      <c r="R367">
        <f t="shared" si="149"/>
        <v>0.77777777777777779</v>
      </c>
      <c r="S367" s="32">
        <f t="shared" si="150"/>
        <v>0.72222222222222221</v>
      </c>
      <c r="T367" s="32">
        <f t="shared" si="151"/>
        <v>0.77777777777777779</v>
      </c>
      <c r="U367">
        <f>step3_validation[[#This Row],[AI_TRU1]]</f>
        <v>6</v>
      </c>
      <c r="V367">
        <f t="shared" si="152"/>
        <v>0.55555555555555558</v>
      </c>
      <c r="W367">
        <f>survey_responses[[#This Row],[Tôi tin rằng Nhà nước, cơ quan thuế sẽ thực thi chính sách mới một cách khách quan, công tâm và đối xử bình đẳng với mọi người nộp thuế.  - HUMAN-TRU1]]</f>
        <v>5</v>
      </c>
      <c r="X367">
        <f t="shared" si="153"/>
        <v>0.44444444444444442</v>
      </c>
      <c r="Y367">
        <f>step3_validation[[#This Row],[AI_TRU2]]</f>
        <v>7</v>
      </c>
      <c r="Z367">
        <f t="shared" si="154"/>
        <v>0.66666666666666663</v>
      </c>
      <c r="AA367">
        <f>survey_responses[[#This Row],[Tôi thấy mức thuế tôi phải đóng theo phương án mới là công bằng (người thu nhập như tôi đóng mức này là hợp lý). - HUMAN-TRU2]]</f>
        <v>6</v>
      </c>
      <c r="AB367">
        <f t="shared" si="155"/>
        <v>0.55555555555555558</v>
      </c>
      <c r="AC367">
        <f>step3_validation[[#This Row],[AI_TRU3]]</f>
        <v>8</v>
      </c>
      <c r="AD367">
        <f t="shared" si="156"/>
        <v>0.77777777777777779</v>
      </c>
      <c r="AE367">
        <f>survey_responses[[#This Row],[Tôi tin tưởng số tiền thuế tôi đóng sẽ được Nhà nước sử dụng hiệu quả để cải thiện dịch vụ công (y tế, đường xá...). - HUMAN-TRU3]]</f>
        <v>5</v>
      </c>
      <c r="AF367">
        <f t="shared" si="157"/>
        <v>0.44444444444444442</v>
      </c>
      <c r="AG367">
        <f>step3_validation[[#This Row],[AI_TRU4]]</f>
        <v>6</v>
      </c>
      <c r="AH367">
        <f t="shared" si="158"/>
        <v>0.55555555555555558</v>
      </c>
      <c r="AI367">
        <f>survey_responses[[#This Row],[Tôi thấy Nhà nước đã giải thích rõ ràng, minh bạch về lý do và mục tiêu của việc sửa đổi thuế lần này. - HUMAN-TRU4]]</f>
        <v>6</v>
      </c>
      <c r="AJ367">
        <f t="shared" si="159"/>
        <v>0.55555555555555558</v>
      </c>
      <c r="AK367" s="32">
        <f t="shared" si="160"/>
        <v>0.63888888888888884</v>
      </c>
      <c r="AL367" s="32">
        <f t="shared" si="161"/>
        <v>0.5</v>
      </c>
      <c r="AM367" s="7">
        <f t="shared" si="162"/>
        <v>0.65740740740740744</v>
      </c>
      <c r="AN367" s="7">
        <f t="shared" si="163"/>
        <v>0.66666666666666663</v>
      </c>
      <c r="AO367">
        <f>step3_validation[[#This Row],[AI_OUT1]]</f>
        <v>7</v>
      </c>
      <c r="AP367">
        <f t="shared" si="164"/>
        <v>0.66666666666666663</v>
      </c>
      <c r="AQ367">
        <f>survey_responses[[#This Row],[Sau khi xem xét các quyền lợi và nghĩa vụ, bạn có ủng hộ và tuân thủ chính sách mới hiện nay? - HUMAN-OUT1]]</f>
        <v>6</v>
      </c>
      <c r="AR367">
        <f t="shared" si="165"/>
        <v>0.55555555555555558</v>
      </c>
      <c r="AS367" s="32">
        <f t="shared" si="166"/>
        <v>1</v>
      </c>
      <c r="AT367">
        <f t="shared" si="167"/>
        <v>1</v>
      </c>
    </row>
    <row r="368" spans="1:46" x14ac:dyDescent="0.45">
      <c r="A368">
        <f>step3_validation[[#This Row],[AI_ENF1]]</f>
        <v>7</v>
      </c>
      <c r="B368">
        <f t="shared" si="140"/>
        <v>0.66666666666666663</v>
      </c>
      <c r="C368">
        <f>survey_responses[[#This Row],[Tôi tin rằng với các quy định quản lý thuế hiện nay, hành vi gian lận hoặc trốn thuế sẽ dễ dàng bị phát hiện và xử lý nghiêm. - HUMAN-ENF1]]</f>
        <v>8</v>
      </c>
      <c r="D368">
        <f t="shared" si="141"/>
        <v>0.77777777777777779</v>
      </c>
      <c r="E368">
        <f>step3_validation[[#This Row],[AI_ENF2]]</f>
        <v>6</v>
      </c>
      <c r="F368">
        <f t="shared" si="142"/>
        <v>0.55555555555555558</v>
      </c>
      <c r="G368">
        <f>survey_responses[[#This Row],[Tôi tin rằng Nhà nước, cơ quan thuế có đủ khả năng và công nghệ để phát hiện, xử lý nghiêm các hành vi trốn thuế. - HUMAN-ENF2]]</f>
        <v>9</v>
      </c>
      <c r="H368">
        <f t="shared" si="143"/>
        <v>0.88888888888888884</v>
      </c>
      <c r="I368" s="32">
        <f t="shared" si="144"/>
        <v>0.61111111111111116</v>
      </c>
      <c r="J368" s="32">
        <f t="shared" si="145"/>
        <v>0.83333333333333326</v>
      </c>
      <c r="K368">
        <f>step3_validation[[#This Row],[AI_FAC1]]</f>
        <v>8</v>
      </c>
      <c r="L368">
        <f t="shared" si="146"/>
        <v>0.77777777777777779</v>
      </c>
      <c r="M368">
        <f>survey_responses[[#This Row],[Các thủ tục khai báo thuế VÀ/HOẶC quy trình làm việc với cơ quan thuế đơn giản, tiện lợi, nhanh chóng hơn so với trước đây. - HUMAN-FAC1]]</f>
        <v>8</v>
      </c>
      <c r="N368">
        <f t="shared" si="147"/>
        <v>0.77777777777777779</v>
      </c>
      <c r="O368">
        <f>step3_validation[[#This Row],[AI_FAC2]]</f>
        <v>9</v>
      </c>
      <c r="P368">
        <f t="shared" si="148"/>
        <v>0.88888888888888884</v>
      </c>
      <c r="Q368">
        <f>survey_responses[[#This Row],[So với trước đây, tôi thấy cách tính thuế và các bậc thuế trong phương án mới đơn giản, dễ hiểu và dễ thực hiện hơn. - HUMAN-FAC2]]</f>
        <v>8</v>
      </c>
      <c r="R368">
        <f t="shared" si="149"/>
        <v>0.77777777777777779</v>
      </c>
      <c r="S368" s="32">
        <f t="shared" si="150"/>
        <v>0.83333333333333326</v>
      </c>
      <c r="T368" s="32">
        <f t="shared" si="151"/>
        <v>0.77777777777777779</v>
      </c>
      <c r="U368">
        <f>step3_validation[[#This Row],[AI_TRU1]]</f>
        <v>7</v>
      </c>
      <c r="V368">
        <f t="shared" si="152"/>
        <v>0.66666666666666663</v>
      </c>
      <c r="W368">
        <f>survey_responses[[#This Row],[Tôi tin rằng Nhà nước, cơ quan thuế sẽ thực thi chính sách mới một cách khách quan, công tâm và đối xử bình đẳng với mọi người nộp thuế.  - HUMAN-TRU1]]</f>
        <v>9</v>
      </c>
      <c r="X368">
        <f t="shared" si="153"/>
        <v>0.88888888888888884</v>
      </c>
      <c r="Y368">
        <f>step3_validation[[#This Row],[AI_TRU2]]</f>
        <v>8</v>
      </c>
      <c r="Z368">
        <f t="shared" si="154"/>
        <v>0.77777777777777779</v>
      </c>
      <c r="AA368">
        <f>survey_responses[[#This Row],[Tôi thấy mức thuế tôi phải đóng theo phương án mới là công bằng (người thu nhập như tôi đóng mức này là hợp lý). - HUMAN-TRU2]]</f>
        <v>10</v>
      </c>
      <c r="AB368">
        <f t="shared" si="155"/>
        <v>1</v>
      </c>
      <c r="AC368">
        <f>step3_validation[[#This Row],[AI_TRU3]]</f>
        <v>7</v>
      </c>
      <c r="AD368">
        <f t="shared" si="156"/>
        <v>0.66666666666666663</v>
      </c>
      <c r="AE368">
        <f>survey_responses[[#This Row],[Tôi tin tưởng số tiền thuế tôi đóng sẽ được Nhà nước sử dụng hiệu quả để cải thiện dịch vụ công (y tế, đường xá...). - HUMAN-TRU3]]</f>
        <v>10</v>
      </c>
      <c r="AF368">
        <f t="shared" si="157"/>
        <v>1</v>
      </c>
      <c r="AG368">
        <f>step3_validation[[#This Row],[AI_TRU4]]</f>
        <v>6</v>
      </c>
      <c r="AH368">
        <f t="shared" si="158"/>
        <v>0.55555555555555558</v>
      </c>
      <c r="AI368">
        <f>survey_responses[[#This Row],[Tôi thấy Nhà nước đã giải thích rõ ràng, minh bạch về lý do và mục tiêu của việc sửa đổi thuế lần này. - HUMAN-TRU4]]</f>
        <v>9</v>
      </c>
      <c r="AJ368">
        <f t="shared" si="159"/>
        <v>0.88888888888888884</v>
      </c>
      <c r="AK368" s="32">
        <f t="shared" si="160"/>
        <v>0.66666666666666674</v>
      </c>
      <c r="AL368" s="32">
        <f t="shared" si="161"/>
        <v>0.94444444444444442</v>
      </c>
      <c r="AM368" s="7">
        <f t="shared" si="162"/>
        <v>0.70370370370370372</v>
      </c>
      <c r="AN368" s="7">
        <f t="shared" si="163"/>
        <v>0.85185185185185175</v>
      </c>
      <c r="AO368">
        <f>step3_validation[[#This Row],[AI_OUT1]]</f>
        <v>7</v>
      </c>
      <c r="AP368">
        <f t="shared" si="164"/>
        <v>0.66666666666666663</v>
      </c>
      <c r="AQ368">
        <f>survey_responses[[#This Row],[Sau khi xem xét các quyền lợi và nghĩa vụ, bạn có ủng hộ và tuân thủ chính sách mới hiện nay? - HUMAN-OUT1]]</f>
        <v>10</v>
      </c>
      <c r="AR368">
        <f t="shared" si="165"/>
        <v>1</v>
      </c>
      <c r="AS368" s="32">
        <f t="shared" si="166"/>
        <v>3</v>
      </c>
      <c r="AT368">
        <f t="shared" si="167"/>
        <v>1</v>
      </c>
    </row>
    <row r="369" spans="1:46" x14ac:dyDescent="0.45">
      <c r="A369">
        <f>step3_validation[[#This Row],[AI_ENF1]]</f>
        <v>7</v>
      </c>
      <c r="B369">
        <f t="shared" si="140"/>
        <v>0.66666666666666663</v>
      </c>
      <c r="C369">
        <f>survey_responses[[#This Row],[Tôi tin rằng với các quy định quản lý thuế hiện nay, hành vi gian lận hoặc trốn thuế sẽ dễ dàng bị phát hiện và xử lý nghiêm. - HUMAN-ENF1]]</f>
        <v>7</v>
      </c>
      <c r="D369">
        <f t="shared" si="141"/>
        <v>0.66666666666666663</v>
      </c>
      <c r="E369">
        <f>step3_validation[[#This Row],[AI_ENF2]]</f>
        <v>6</v>
      </c>
      <c r="F369">
        <f t="shared" si="142"/>
        <v>0.55555555555555558</v>
      </c>
      <c r="G369">
        <f>survey_responses[[#This Row],[Tôi tin rằng Nhà nước, cơ quan thuế có đủ khả năng và công nghệ để phát hiện, xử lý nghiêm các hành vi trốn thuế. - HUMAN-ENF2]]</f>
        <v>7</v>
      </c>
      <c r="H369">
        <f t="shared" si="143"/>
        <v>0.66666666666666663</v>
      </c>
      <c r="I369" s="32">
        <f t="shared" si="144"/>
        <v>0.61111111111111116</v>
      </c>
      <c r="J369" s="32">
        <f t="shared" si="145"/>
        <v>0.66666666666666663</v>
      </c>
      <c r="K369">
        <f>step3_validation[[#This Row],[AI_FAC1]]</f>
        <v>8</v>
      </c>
      <c r="L369">
        <f t="shared" si="146"/>
        <v>0.77777777777777779</v>
      </c>
      <c r="M369">
        <f>survey_responses[[#This Row],[Các thủ tục khai báo thuế VÀ/HOẶC quy trình làm việc với cơ quan thuế đơn giản, tiện lợi, nhanh chóng hơn so với trước đây. - HUMAN-FAC1]]</f>
        <v>8</v>
      </c>
      <c r="N369">
        <f t="shared" si="147"/>
        <v>0.77777777777777779</v>
      </c>
      <c r="O369">
        <f>step3_validation[[#This Row],[AI_FAC2]]</f>
        <v>7</v>
      </c>
      <c r="P369">
        <f t="shared" si="148"/>
        <v>0.66666666666666663</v>
      </c>
      <c r="Q369">
        <f>survey_responses[[#This Row],[So với trước đây, tôi thấy cách tính thuế và các bậc thuế trong phương án mới đơn giản, dễ hiểu và dễ thực hiện hơn. - HUMAN-FAC2]]</f>
        <v>8</v>
      </c>
      <c r="R369">
        <f t="shared" si="149"/>
        <v>0.77777777777777779</v>
      </c>
      <c r="S369" s="32">
        <f t="shared" si="150"/>
        <v>0.72222222222222221</v>
      </c>
      <c r="T369" s="32">
        <f t="shared" si="151"/>
        <v>0.77777777777777779</v>
      </c>
      <c r="U369">
        <f>step3_validation[[#This Row],[AI_TRU1]]</f>
        <v>6</v>
      </c>
      <c r="V369">
        <f t="shared" si="152"/>
        <v>0.55555555555555558</v>
      </c>
      <c r="W369">
        <f>survey_responses[[#This Row],[Tôi tin rằng Nhà nước, cơ quan thuế sẽ thực thi chính sách mới một cách khách quan, công tâm và đối xử bình đẳng với mọi người nộp thuế.  - HUMAN-TRU1]]</f>
        <v>6</v>
      </c>
      <c r="X369">
        <f t="shared" si="153"/>
        <v>0.55555555555555558</v>
      </c>
      <c r="Y369">
        <f>step3_validation[[#This Row],[AI_TRU2]]</f>
        <v>8</v>
      </c>
      <c r="Z369">
        <f t="shared" si="154"/>
        <v>0.77777777777777779</v>
      </c>
      <c r="AA369">
        <f>survey_responses[[#This Row],[Tôi thấy mức thuế tôi phải đóng theo phương án mới là công bằng (người thu nhập như tôi đóng mức này là hợp lý). - HUMAN-TRU2]]</f>
        <v>8</v>
      </c>
      <c r="AB369">
        <f t="shared" si="155"/>
        <v>0.77777777777777779</v>
      </c>
      <c r="AC369">
        <f>step3_validation[[#This Row],[AI_TRU3]]</f>
        <v>6</v>
      </c>
      <c r="AD369">
        <f t="shared" si="156"/>
        <v>0.55555555555555558</v>
      </c>
      <c r="AE369">
        <f>survey_responses[[#This Row],[Tôi tin tưởng số tiền thuế tôi đóng sẽ được Nhà nước sử dụng hiệu quả để cải thiện dịch vụ công (y tế, đường xá...). - HUMAN-TRU3]]</f>
        <v>6</v>
      </c>
      <c r="AF369">
        <f t="shared" si="157"/>
        <v>0.55555555555555558</v>
      </c>
      <c r="AG369">
        <f>step3_validation[[#This Row],[AI_TRU4]]</f>
        <v>7</v>
      </c>
      <c r="AH369">
        <f t="shared" si="158"/>
        <v>0.66666666666666663</v>
      </c>
      <c r="AI369">
        <f>survey_responses[[#This Row],[Tôi thấy Nhà nước đã giải thích rõ ràng, minh bạch về lý do và mục tiêu của việc sửa đổi thuế lần này. - HUMAN-TRU4]]</f>
        <v>7</v>
      </c>
      <c r="AJ369">
        <f t="shared" si="159"/>
        <v>0.66666666666666663</v>
      </c>
      <c r="AK369" s="32">
        <f t="shared" si="160"/>
        <v>0.63888888888888895</v>
      </c>
      <c r="AL369" s="32">
        <f t="shared" si="161"/>
        <v>0.63888888888888895</v>
      </c>
      <c r="AM369" s="7">
        <f t="shared" si="162"/>
        <v>0.65740740740740744</v>
      </c>
      <c r="AN369" s="7">
        <f t="shared" si="163"/>
        <v>0.69444444444444453</v>
      </c>
      <c r="AO369">
        <f>step3_validation[[#This Row],[AI_OUT1]]</f>
        <v>8</v>
      </c>
      <c r="AP369">
        <f t="shared" si="164"/>
        <v>0.77777777777777779</v>
      </c>
      <c r="AQ369">
        <f>survey_responses[[#This Row],[Sau khi xem xét các quyền lợi và nghĩa vụ, bạn có ủng hộ và tuân thủ chính sách mới hiện nay? - HUMAN-OUT1]]</f>
        <v>8</v>
      </c>
      <c r="AR369">
        <f t="shared" si="165"/>
        <v>0.77777777777777779</v>
      </c>
      <c r="AS369" s="32">
        <f t="shared" si="166"/>
        <v>0</v>
      </c>
      <c r="AT369">
        <f t="shared" si="167"/>
        <v>1</v>
      </c>
    </row>
    <row r="370" spans="1:46" x14ac:dyDescent="0.45">
      <c r="A370">
        <f>step3_validation[[#This Row],[AI_ENF1]]</f>
        <v>7</v>
      </c>
      <c r="B370">
        <f t="shared" si="140"/>
        <v>0.66666666666666663</v>
      </c>
      <c r="C370">
        <f>survey_responses[[#This Row],[Tôi tin rằng với các quy định quản lý thuế hiện nay, hành vi gian lận hoặc trốn thuế sẽ dễ dàng bị phát hiện và xử lý nghiêm. - HUMAN-ENF1]]</f>
        <v>6</v>
      </c>
      <c r="D370">
        <f t="shared" si="141"/>
        <v>0.55555555555555558</v>
      </c>
      <c r="E370">
        <f>step3_validation[[#This Row],[AI_ENF2]]</f>
        <v>8</v>
      </c>
      <c r="F370">
        <f t="shared" si="142"/>
        <v>0.77777777777777779</v>
      </c>
      <c r="G370">
        <f>survey_responses[[#This Row],[Tôi tin rằng Nhà nước, cơ quan thuế có đủ khả năng và công nghệ để phát hiện, xử lý nghiêm các hành vi trốn thuế. - HUMAN-ENF2]]</f>
        <v>6</v>
      </c>
      <c r="H370">
        <f t="shared" si="143"/>
        <v>0.55555555555555558</v>
      </c>
      <c r="I370" s="32">
        <f t="shared" si="144"/>
        <v>0.72222222222222221</v>
      </c>
      <c r="J370" s="32">
        <f t="shared" si="145"/>
        <v>0.55555555555555558</v>
      </c>
      <c r="K370">
        <f>step3_validation[[#This Row],[AI_FAC1]]</f>
        <v>6</v>
      </c>
      <c r="L370">
        <f t="shared" si="146"/>
        <v>0.55555555555555558</v>
      </c>
      <c r="M370">
        <f>survey_responses[[#This Row],[Các thủ tục khai báo thuế VÀ/HOẶC quy trình làm việc với cơ quan thuế đơn giản, tiện lợi, nhanh chóng hơn so với trước đây. - HUMAN-FAC1]]</f>
        <v>8</v>
      </c>
      <c r="N370">
        <f t="shared" si="147"/>
        <v>0.77777777777777779</v>
      </c>
      <c r="O370">
        <f>step3_validation[[#This Row],[AI_FAC2]]</f>
        <v>9</v>
      </c>
      <c r="P370">
        <f t="shared" si="148"/>
        <v>0.88888888888888884</v>
      </c>
      <c r="Q370">
        <f>survey_responses[[#This Row],[So với trước đây, tôi thấy cách tính thuế và các bậc thuế trong phương án mới đơn giản, dễ hiểu và dễ thực hiện hơn. - HUMAN-FAC2]]</f>
        <v>9</v>
      </c>
      <c r="R370">
        <f t="shared" si="149"/>
        <v>0.88888888888888884</v>
      </c>
      <c r="S370" s="32">
        <f t="shared" si="150"/>
        <v>0.72222222222222221</v>
      </c>
      <c r="T370" s="32">
        <f t="shared" si="151"/>
        <v>0.83333333333333326</v>
      </c>
      <c r="U370">
        <f>step3_validation[[#This Row],[AI_TRU1]]</f>
        <v>8</v>
      </c>
      <c r="V370">
        <f t="shared" si="152"/>
        <v>0.77777777777777779</v>
      </c>
      <c r="W370">
        <f>survey_responses[[#This Row],[Tôi tin rằng Nhà nước, cơ quan thuế sẽ thực thi chính sách mới một cách khách quan, công tâm và đối xử bình đẳng với mọi người nộp thuế.  - HUMAN-TRU1]]</f>
        <v>8</v>
      </c>
      <c r="X370">
        <f t="shared" si="153"/>
        <v>0.77777777777777779</v>
      </c>
      <c r="Y370">
        <f>step3_validation[[#This Row],[AI_TRU2]]</f>
        <v>7</v>
      </c>
      <c r="Z370">
        <f t="shared" si="154"/>
        <v>0.66666666666666663</v>
      </c>
      <c r="AA370">
        <f>survey_responses[[#This Row],[Tôi thấy mức thuế tôi phải đóng theo phương án mới là công bằng (người thu nhập như tôi đóng mức này là hợp lý). - HUMAN-TRU2]]</f>
        <v>8</v>
      </c>
      <c r="AB370">
        <f t="shared" si="155"/>
        <v>0.77777777777777779</v>
      </c>
      <c r="AC370">
        <f>step3_validation[[#This Row],[AI_TRU3]]</f>
        <v>6</v>
      </c>
      <c r="AD370">
        <f t="shared" si="156"/>
        <v>0.55555555555555558</v>
      </c>
      <c r="AE370">
        <f>survey_responses[[#This Row],[Tôi tin tưởng số tiền thuế tôi đóng sẽ được Nhà nước sử dụng hiệu quả để cải thiện dịch vụ công (y tế, đường xá...). - HUMAN-TRU3]]</f>
        <v>5</v>
      </c>
      <c r="AF370">
        <f t="shared" si="157"/>
        <v>0.44444444444444442</v>
      </c>
      <c r="AG370">
        <f>step3_validation[[#This Row],[AI_TRU4]]</f>
        <v>7</v>
      </c>
      <c r="AH370">
        <f t="shared" si="158"/>
        <v>0.66666666666666663</v>
      </c>
      <c r="AI370">
        <f>survey_responses[[#This Row],[Tôi thấy Nhà nước đã giải thích rõ ràng, minh bạch về lý do và mục tiêu của việc sửa đổi thuế lần này. - HUMAN-TRU4]]</f>
        <v>7</v>
      </c>
      <c r="AJ370">
        <f t="shared" si="159"/>
        <v>0.66666666666666663</v>
      </c>
      <c r="AK370" s="32">
        <f t="shared" si="160"/>
        <v>0.66666666666666663</v>
      </c>
      <c r="AL370" s="32">
        <f t="shared" si="161"/>
        <v>0.66666666666666663</v>
      </c>
      <c r="AM370" s="7">
        <f t="shared" si="162"/>
        <v>0.70370370370370372</v>
      </c>
      <c r="AN370" s="7">
        <f t="shared" si="163"/>
        <v>0.68518518518518512</v>
      </c>
      <c r="AO370">
        <f>step3_validation[[#This Row],[AI_OUT1]]</f>
        <v>8</v>
      </c>
      <c r="AP370">
        <f t="shared" si="164"/>
        <v>0.77777777777777779</v>
      </c>
      <c r="AQ370">
        <f>survey_responses[[#This Row],[Sau khi xem xét các quyền lợi và nghĩa vụ, bạn có ủng hộ và tuân thủ chính sách mới hiện nay? - HUMAN-OUT1]]</f>
        <v>8</v>
      </c>
      <c r="AR370">
        <f t="shared" si="165"/>
        <v>0.77777777777777779</v>
      </c>
      <c r="AS370" s="32">
        <f t="shared" si="166"/>
        <v>0</v>
      </c>
      <c r="AT370">
        <f t="shared" si="167"/>
        <v>1</v>
      </c>
    </row>
    <row r="371" spans="1:46" x14ac:dyDescent="0.45">
      <c r="A371">
        <f>step3_validation[[#This Row],[AI_ENF1]]</f>
        <v>7</v>
      </c>
      <c r="B371">
        <f t="shared" si="140"/>
        <v>0.66666666666666663</v>
      </c>
      <c r="C371">
        <f>survey_responses[[#This Row],[Tôi tin rằng với các quy định quản lý thuế hiện nay, hành vi gian lận hoặc trốn thuế sẽ dễ dàng bị phát hiện và xử lý nghiêm. - HUMAN-ENF1]]</f>
        <v>6</v>
      </c>
      <c r="D371">
        <f t="shared" si="141"/>
        <v>0.55555555555555558</v>
      </c>
      <c r="E371">
        <f>step3_validation[[#This Row],[AI_ENF2]]</f>
        <v>8</v>
      </c>
      <c r="F371">
        <f t="shared" si="142"/>
        <v>0.77777777777777779</v>
      </c>
      <c r="G371">
        <f>survey_responses[[#This Row],[Tôi tin rằng Nhà nước, cơ quan thuế có đủ khả năng và công nghệ để phát hiện, xử lý nghiêm các hành vi trốn thuế. - HUMAN-ENF2]]</f>
        <v>7</v>
      </c>
      <c r="H371">
        <f t="shared" si="143"/>
        <v>0.66666666666666663</v>
      </c>
      <c r="I371" s="32">
        <f t="shared" si="144"/>
        <v>0.72222222222222221</v>
      </c>
      <c r="J371" s="32">
        <f t="shared" si="145"/>
        <v>0.61111111111111116</v>
      </c>
      <c r="K371">
        <f>step3_validation[[#This Row],[AI_FAC1]]</f>
        <v>9</v>
      </c>
      <c r="L371">
        <f t="shared" si="146"/>
        <v>0.88888888888888884</v>
      </c>
      <c r="M371">
        <f>survey_responses[[#This Row],[Các thủ tục khai báo thuế VÀ/HOẶC quy trình làm việc với cơ quan thuế đơn giản, tiện lợi, nhanh chóng hơn so với trước đây. - HUMAN-FAC1]]</f>
        <v>7</v>
      </c>
      <c r="N371">
        <f t="shared" si="147"/>
        <v>0.66666666666666663</v>
      </c>
      <c r="O371">
        <f>step3_validation[[#This Row],[AI_FAC2]]</f>
        <v>8</v>
      </c>
      <c r="P371">
        <f t="shared" si="148"/>
        <v>0.77777777777777779</v>
      </c>
      <c r="Q371">
        <f>survey_responses[[#This Row],[So với trước đây, tôi thấy cách tính thuế và các bậc thuế trong phương án mới đơn giản, dễ hiểu và dễ thực hiện hơn. - HUMAN-FAC2]]</f>
        <v>9</v>
      </c>
      <c r="R371">
        <f t="shared" si="149"/>
        <v>0.88888888888888884</v>
      </c>
      <c r="S371" s="32">
        <f t="shared" si="150"/>
        <v>0.83333333333333326</v>
      </c>
      <c r="T371" s="32">
        <f t="shared" si="151"/>
        <v>0.77777777777777768</v>
      </c>
      <c r="U371">
        <f>step3_validation[[#This Row],[AI_TRU1]]</f>
        <v>7</v>
      </c>
      <c r="V371">
        <f t="shared" si="152"/>
        <v>0.66666666666666663</v>
      </c>
      <c r="W371">
        <f>survey_responses[[#This Row],[Tôi tin rằng Nhà nước, cơ quan thuế sẽ thực thi chính sách mới một cách khách quan, công tâm và đối xử bình đẳng với mọi người nộp thuế.  - HUMAN-TRU1]]</f>
        <v>7</v>
      </c>
      <c r="X371">
        <f t="shared" si="153"/>
        <v>0.66666666666666663</v>
      </c>
      <c r="Y371">
        <f>step3_validation[[#This Row],[AI_TRU2]]</f>
        <v>6</v>
      </c>
      <c r="Z371">
        <f t="shared" si="154"/>
        <v>0.55555555555555558</v>
      </c>
      <c r="AA371">
        <f>survey_responses[[#This Row],[Tôi thấy mức thuế tôi phải đóng theo phương án mới là công bằng (người thu nhập như tôi đóng mức này là hợp lý). - HUMAN-TRU2]]</f>
        <v>9</v>
      </c>
      <c r="AB371">
        <f t="shared" si="155"/>
        <v>0.88888888888888884</v>
      </c>
      <c r="AC371">
        <f>step3_validation[[#This Row],[AI_TRU3]]</f>
        <v>7</v>
      </c>
      <c r="AD371">
        <f t="shared" si="156"/>
        <v>0.66666666666666663</v>
      </c>
      <c r="AE371">
        <f>survey_responses[[#This Row],[Tôi tin tưởng số tiền thuế tôi đóng sẽ được Nhà nước sử dụng hiệu quả để cải thiện dịch vụ công (y tế, đường xá...). - HUMAN-TRU3]]</f>
        <v>9</v>
      </c>
      <c r="AF371">
        <f t="shared" si="157"/>
        <v>0.88888888888888884</v>
      </c>
      <c r="AG371">
        <f>step3_validation[[#This Row],[AI_TRU4]]</f>
        <v>6</v>
      </c>
      <c r="AH371">
        <f t="shared" si="158"/>
        <v>0.55555555555555558</v>
      </c>
      <c r="AI371">
        <f>survey_responses[[#This Row],[Tôi thấy Nhà nước đã giải thích rõ ràng, minh bạch về lý do và mục tiêu của việc sửa đổi thuế lần này. - HUMAN-TRU4]]</f>
        <v>9</v>
      </c>
      <c r="AJ371">
        <f t="shared" si="159"/>
        <v>0.88888888888888884</v>
      </c>
      <c r="AK371" s="32">
        <f t="shared" si="160"/>
        <v>0.61111111111111116</v>
      </c>
      <c r="AL371" s="32">
        <f t="shared" si="161"/>
        <v>0.83333333333333326</v>
      </c>
      <c r="AM371" s="7">
        <f t="shared" si="162"/>
        <v>0.72222222222222221</v>
      </c>
      <c r="AN371" s="7">
        <f t="shared" si="163"/>
        <v>0.74074074074074081</v>
      </c>
      <c r="AO371">
        <f>step3_validation[[#This Row],[AI_OUT1]]</f>
        <v>8</v>
      </c>
      <c r="AP371">
        <f t="shared" si="164"/>
        <v>0.77777777777777779</v>
      </c>
      <c r="AQ371">
        <f>survey_responses[[#This Row],[Sau khi xem xét các quyền lợi và nghĩa vụ, bạn có ủng hộ và tuân thủ chính sách mới hiện nay? - HUMAN-OUT1]]</f>
        <v>9</v>
      </c>
      <c r="AR371">
        <f t="shared" si="165"/>
        <v>0.88888888888888884</v>
      </c>
      <c r="AS371" s="32">
        <f t="shared" si="166"/>
        <v>1</v>
      </c>
      <c r="AT371">
        <f t="shared" si="167"/>
        <v>1</v>
      </c>
    </row>
    <row r="372" spans="1:46" x14ac:dyDescent="0.45">
      <c r="A372">
        <f>step3_validation[[#This Row],[AI_ENF1]]</f>
        <v>7</v>
      </c>
      <c r="B372">
        <f t="shared" si="140"/>
        <v>0.66666666666666663</v>
      </c>
      <c r="C372">
        <f>survey_responses[[#This Row],[Tôi tin rằng với các quy định quản lý thuế hiện nay, hành vi gian lận hoặc trốn thuế sẽ dễ dàng bị phát hiện và xử lý nghiêm. - HUMAN-ENF1]]</f>
        <v>4</v>
      </c>
      <c r="D372">
        <f t="shared" si="141"/>
        <v>0.33333333333333331</v>
      </c>
      <c r="E372">
        <f>step3_validation[[#This Row],[AI_ENF2]]</f>
        <v>7</v>
      </c>
      <c r="F372">
        <f t="shared" si="142"/>
        <v>0.66666666666666663</v>
      </c>
      <c r="G372">
        <f>survey_responses[[#This Row],[Tôi tin rằng Nhà nước, cơ quan thuế có đủ khả năng và công nghệ để phát hiện, xử lý nghiêm các hành vi trốn thuế. - HUMAN-ENF2]]</f>
        <v>4</v>
      </c>
      <c r="H372">
        <f t="shared" si="143"/>
        <v>0.33333333333333331</v>
      </c>
      <c r="I372" s="32">
        <f t="shared" si="144"/>
        <v>0.66666666666666663</v>
      </c>
      <c r="J372" s="32">
        <f t="shared" si="145"/>
        <v>0.33333333333333331</v>
      </c>
      <c r="K372">
        <f>step3_validation[[#This Row],[AI_FAC1]]</f>
        <v>8</v>
      </c>
      <c r="L372">
        <f t="shared" si="146"/>
        <v>0.77777777777777779</v>
      </c>
      <c r="M372">
        <f>survey_responses[[#This Row],[Các thủ tục khai báo thuế VÀ/HOẶC quy trình làm việc với cơ quan thuế đơn giản, tiện lợi, nhanh chóng hơn so với trước đây. - HUMAN-FAC1]]</f>
        <v>5</v>
      </c>
      <c r="N372">
        <f t="shared" si="147"/>
        <v>0.44444444444444442</v>
      </c>
      <c r="O372">
        <f>step3_validation[[#This Row],[AI_FAC2]]</f>
        <v>8</v>
      </c>
      <c r="P372">
        <f t="shared" si="148"/>
        <v>0.77777777777777779</v>
      </c>
      <c r="Q372">
        <f>survey_responses[[#This Row],[So với trước đây, tôi thấy cách tính thuế và các bậc thuế trong phương án mới đơn giản, dễ hiểu và dễ thực hiện hơn. - HUMAN-FAC2]]</f>
        <v>5</v>
      </c>
      <c r="R372">
        <f t="shared" si="149"/>
        <v>0.44444444444444442</v>
      </c>
      <c r="S372" s="32">
        <f t="shared" si="150"/>
        <v>0.77777777777777779</v>
      </c>
      <c r="T372" s="32">
        <f t="shared" si="151"/>
        <v>0.44444444444444442</v>
      </c>
      <c r="U372">
        <f>step3_validation[[#This Row],[AI_TRU1]]</f>
        <v>7</v>
      </c>
      <c r="V372">
        <f t="shared" si="152"/>
        <v>0.66666666666666663</v>
      </c>
      <c r="W372">
        <f>survey_responses[[#This Row],[Tôi tin rằng Nhà nước, cơ quan thuế sẽ thực thi chính sách mới một cách khách quan, công tâm và đối xử bình đẳng với mọi người nộp thuế.  - HUMAN-TRU1]]</f>
        <v>5</v>
      </c>
      <c r="X372">
        <f t="shared" si="153"/>
        <v>0.44444444444444442</v>
      </c>
      <c r="Y372">
        <f>step3_validation[[#This Row],[AI_TRU2]]</f>
        <v>8</v>
      </c>
      <c r="Z372">
        <f t="shared" si="154"/>
        <v>0.77777777777777779</v>
      </c>
      <c r="AA372">
        <f>survey_responses[[#This Row],[Tôi thấy mức thuế tôi phải đóng theo phương án mới là công bằng (người thu nhập như tôi đóng mức này là hợp lý). - HUMAN-TRU2]]</f>
        <v>4</v>
      </c>
      <c r="AB372">
        <f t="shared" si="155"/>
        <v>0.33333333333333331</v>
      </c>
      <c r="AC372">
        <f>step3_validation[[#This Row],[AI_TRU3]]</f>
        <v>7</v>
      </c>
      <c r="AD372">
        <f t="shared" si="156"/>
        <v>0.66666666666666663</v>
      </c>
      <c r="AE372">
        <f>survey_responses[[#This Row],[Tôi tin tưởng số tiền thuế tôi đóng sẽ được Nhà nước sử dụng hiệu quả để cải thiện dịch vụ công (y tế, đường xá...). - HUMAN-TRU3]]</f>
        <v>5</v>
      </c>
      <c r="AF372">
        <f t="shared" si="157"/>
        <v>0.44444444444444442</v>
      </c>
      <c r="AG372">
        <f>step3_validation[[#This Row],[AI_TRU4]]</f>
        <v>8</v>
      </c>
      <c r="AH372">
        <f t="shared" si="158"/>
        <v>0.77777777777777779</v>
      </c>
      <c r="AI372">
        <f>survey_responses[[#This Row],[Tôi thấy Nhà nước đã giải thích rõ ràng, minh bạch về lý do và mục tiêu của việc sửa đổi thuế lần này. - HUMAN-TRU4]]</f>
        <v>6</v>
      </c>
      <c r="AJ372">
        <f t="shared" si="159"/>
        <v>0.55555555555555558</v>
      </c>
      <c r="AK372" s="32">
        <f t="shared" si="160"/>
        <v>0.72222222222222221</v>
      </c>
      <c r="AL372" s="32">
        <f t="shared" si="161"/>
        <v>0.44444444444444442</v>
      </c>
      <c r="AM372" s="7">
        <f t="shared" si="162"/>
        <v>0.72222222222222221</v>
      </c>
      <c r="AN372" s="7">
        <f t="shared" si="163"/>
        <v>0.40740740740740738</v>
      </c>
      <c r="AO372">
        <f>step3_validation[[#This Row],[AI_OUT1]]</f>
        <v>7</v>
      </c>
      <c r="AP372">
        <f t="shared" si="164"/>
        <v>0.66666666666666663</v>
      </c>
      <c r="AQ372">
        <f>survey_responses[[#This Row],[Sau khi xem xét các quyền lợi và nghĩa vụ, bạn có ủng hộ và tuân thủ chính sách mới hiện nay? - HUMAN-OUT1]]</f>
        <v>5</v>
      </c>
      <c r="AR372">
        <f t="shared" si="165"/>
        <v>0.44444444444444442</v>
      </c>
      <c r="AS372" s="32">
        <f t="shared" si="166"/>
        <v>2</v>
      </c>
      <c r="AT372">
        <f t="shared" si="167"/>
        <v>0</v>
      </c>
    </row>
    <row r="373" spans="1:46" x14ac:dyDescent="0.45">
      <c r="A373">
        <f>step3_validation[[#This Row],[AI_ENF1]]</f>
        <v>7</v>
      </c>
      <c r="B373">
        <f t="shared" si="140"/>
        <v>0.66666666666666663</v>
      </c>
      <c r="C373">
        <f>survey_responses[[#This Row],[Tôi tin rằng với các quy định quản lý thuế hiện nay, hành vi gian lận hoặc trốn thuế sẽ dễ dàng bị phát hiện và xử lý nghiêm. - HUMAN-ENF1]]</f>
        <v>6</v>
      </c>
      <c r="D373">
        <f t="shared" si="141"/>
        <v>0.55555555555555558</v>
      </c>
      <c r="E373">
        <f>step3_validation[[#This Row],[AI_ENF2]]</f>
        <v>6</v>
      </c>
      <c r="F373">
        <f t="shared" si="142"/>
        <v>0.55555555555555558</v>
      </c>
      <c r="G373">
        <f>survey_responses[[#This Row],[Tôi tin rằng Nhà nước, cơ quan thuế có đủ khả năng và công nghệ để phát hiện, xử lý nghiêm các hành vi trốn thuế. - HUMAN-ENF2]]</f>
        <v>6</v>
      </c>
      <c r="H373">
        <f t="shared" si="143"/>
        <v>0.55555555555555558</v>
      </c>
      <c r="I373" s="32">
        <f t="shared" si="144"/>
        <v>0.61111111111111116</v>
      </c>
      <c r="J373" s="32">
        <f t="shared" si="145"/>
        <v>0.55555555555555558</v>
      </c>
      <c r="K373">
        <f>step3_validation[[#This Row],[AI_FAC1]]</f>
        <v>8</v>
      </c>
      <c r="L373">
        <f t="shared" si="146"/>
        <v>0.77777777777777779</v>
      </c>
      <c r="M373">
        <f>survey_responses[[#This Row],[Các thủ tục khai báo thuế VÀ/HOẶC quy trình làm việc với cơ quan thuế đơn giản, tiện lợi, nhanh chóng hơn so với trước đây. - HUMAN-FAC1]]</f>
        <v>8</v>
      </c>
      <c r="N373">
        <f t="shared" si="147"/>
        <v>0.77777777777777779</v>
      </c>
      <c r="O373">
        <f>step3_validation[[#This Row],[AI_FAC2]]</f>
        <v>9</v>
      </c>
      <c r="P373">
        <f t="shared" si="148"/>
        <v>0.88888888888888884</v>
      </c>
      <c r="Q373">
        <f>survey_responses[[#This Row],[So với trước đây, tôi thấy cách tính thuế và các bậc thuế trong phương án mới đơn giản, dễ hiểu và dễ thực hiện hơn. - HUMAN-FAC2]]</f>
        <v>8</v>
      </c>
      <c r="R373">
        <f t="shared" si="149"/>
        <v>0.77777777777777779</v>
      </c>
      <c r="S373" s="32">
        <f t="shared" si="150"/>
        <v>0.83333333333333326</v>
      </c>
      <c r="T373" s="32">
        <f t="shared" si="151"/>
        <v>0.77777777777777779</v>
      </c>
      <c r="U373">
        <f>step3_validation[[#This Row],[AI_TRU1]]</f>
        <v>7</v>
      </c>
      <c r="V373">
        <f t="shared" si="152"/>
        <v>0.66666666666666663</v>
      </c>
      <c r="W373">
        <f>survey_responses[[#This Row],[Tôi tin rằng Nhà nước, cơ quan thuế sẽ thực thi chính sách mới một cách khách quan, công tâm và đối xử bình đẳng với mọi người nộp thuế.  - HUMAN-TRU1]]</f>
        <v>6</v>
      </c>
      <c r="X373">
        <f t="shared" si="153"/>
        <v>0.55555555555555558</v>
      </c>
      <c r="Y373">
        <f>step3_validation[[#This Row],[AI_TRU2]]</f>
        <v>6</v>
      </c>
      <c r="Z373">
        <f t="shared" si="154"/>
        <v>0.55555555555555558</v>
      </c>
      <c r="AA373">
        <f>survey_responses[[#This Row],[Tôi thấy mức thuế tôi phải đóng theo phương án mới là công bằng (người thu nhập như tôi đóng mức này là hợp lý). - HUMAN-TRU2]]</f>
        <v>7</v>
      </c>
      <c r="AB373">
        <f t="shared" si="155"/>
        <v>0.66666666666666663</v>
      </c>
      <c r="AC373">
        <f>step3_validation[[#This Row],[AI_TRU3]]</f>
        <v>8</v>
      </c>
      <c r="AD373">
        <f t="shared" si="156"/>
        <v>0.77777777777777779</v>
      </c>
      <c r="AE373">
        <f>survey_responses[[#This Row],[Tôi tin tưởng số tiền thuế tôi đóng sẽ được Nhà nước sử dụng hiệu quả để cải thiện dịch vụ công (y tế, đường xá...). - HUMAN-TRU3]]</f>
        <v>5</v>
      </c>
      <c r="AF373">
        <f t="shared" si="157"/>
        <v>0.44444444444444442</v>
      </c>
      <c r="AG373">
        <f>step3_validation[[#This Row],[AI_TRU4]]</f>
        <v>5</v>
      </c>
      <c r="AH373">
        <f t="shared" si="158"/>
        <v>0.44444444444444442</v>
      </c>
      <c r="AI373">
        <f>survey_responses[[#This Row],[Tôi thấy Nhà nước đã giải thích rõ ràng, minh bạch về lý do và mục tiêu của việc sửa đổi thuế lần này. - HUMAN-TRU4]]</f>
        <v>6</v>
      </c>
      <c r="AJ373">
        <f t="shared" si="159"/>
        <v>0.55555555555555558</v>
      </c>
      <c r="AK373" s="32">
        <f t="shared" si="160"/>
        <v>0.61111111111111116</v>
      </c>
      <c r="AL373" s="32">
        <f t="shared" si="161"/>
        <v>0.55555555555555558</v>
      </c>
      <c r="AM373" s="7">
        <f t="shared" si="162"/>
        <v>0.68518518518518512</v>
      </c>
      <c r="AN373" s="7">
        <f t="shared" si="163"/>
        <v>0.62962962962962965</v>
      </c>
      <c r="AO373">
        <f>step3_validation[[#This Row],[AI_OUT1]]</f>
        <v>8</v>
      </c>
      <c r="AP373">
        <f t="shared" si="164"/>
        <v>0.77777777777777779</v>
      </c>
      <c r="AQ373">
        <f>survey_responses[[#This Row],[Sau khi xem xét các quyền lợi và nghĩa vụ, bạn có ủng hộ và tuân thủ chính sách mới hiện nay? - HUMAN-OUT1]]</f>
        <v>6</v>
      </c>
      <c r="AR373">
        <f t="shared" si="165"/>
        <v>0.55555555555555558</v>
      </c>
      <c r="AS373" s="32">
        <f t="shared" si="166"/>
        <v>2</v>
      </c>
      <c r="AT373">
        <f t="shared" si="167"/>
        <v>1</v>
      </c>
    </row>
    <row r="374" spans="1:46" x14ac:dyDescent="0.45">
      <c r="A374">
        <f>step3_validation[[#This Row],[AI_ENF1]]</f>
        <v>7</v>
      </c>
      <c r="B374">
        <f t="shared" si="140"/>
        <v>0.66666666666666663</v>
      </c>
      <c r="C374">
        <f>survey_responses[[#This Row],[Tôi tin rằng với các quy định quản lý thuế hiện nay, hành vi gian lận hoặc trốn thuế sẽ dễ dàng bị phát hiện và xử lý nghiêm. - HUMAN-ENF1]]</f>
        <v>8</v>
      </c>
      <c r="D374">
        <f t="shared" si="141"/>
        <v>0.77777777777777779</v>
      </c>
      <c r="E374">
        <f>step3_validation[[#This Row],[AI_ENF2]]</f>
        <v>8</v>
      </c>
      <c r="F374">
        <f t="shared" si="142"/>
        <v>0.77777777777777779</v>
      </c>
      <c r="G374">
        <f>survey_responses[[#This Row],[Tôi tin rằng Nhà nước, cơ quan thuế có đủ khả năng và công nghệ để phát hiện, xử lý nghiêm các hành vi trốn thuế. - HUMAN-ENF2]]</f>
        <v>8</v>
      </c>
      <c r="H374">
        <f t="shared" si="143"/>
        <v>0.77777777777777779</v>
      </c>
      <c r="I374" s="32">
        <f t="shared" si="144"/>
        <v>0.72222222222222221</v>
      </c>
      <c r="J374" s="32">
        <f t="shared" si="145"/>
        <v>0.77777777777777779</v>
      </c>
      <c r="K374">
        <f>step3_validation[[#This Row],[AI_FAC1]]</f>
        <v>9</v>
      </c>
      <c r="L374">
        <f t="shared" si="146"/>
        <v>0.88888888888888884</v>
      </c>
      <c r="M374">
        <f>survey_responses[[#This Row],[Các thủ tục khai báo thuế VÀ/HOẶC quy trình làm việc với cơ quan thuế đơn giản, tiện lợi, nhanh chóng hơn so với trước đây. - HUMAN-FAC1]]</f>
        <v>9</v>
      </c>
      <c r="N374">
        <f t="shared" si="147"/>
        <v>0.88888888888888884</v>
      </c>
      <c r="O374">
        <f>step3_validation[[#This Row],[AI_FAC2]]</f>
        <v>7</v>
      </c>
      <c r="P374">
        <f t="shared" si="148"/>
        <v>0.66666666666666663</v>
      </c>
      <c r="Q374">
        <f>survey_responses[[#This Row],[So với trước đây, tôi thấy cách tính thuế và các bậc thuế trong phương án mới đơn giản, dễ hiểu và dễ thực hiện hơn. - HUMAN-FAC2]]</f>
        <v>9</v>
      </c>
      <c r="R374">
        <f t="shared" si="149"/>
        <v>0.88888888888888884</v>
      </c>
      <c r="S374" s="32">
        <f t="shared" si="150"/>
        <v>0.77777777777777768</v>
      </c>
      <c r="T374" s="32">
        <f t="shared" si="151"/>
        <v>0.88888888888888884</v>
      </c>
      <c r="U374">
        <f>step3_validation[[#This Row],[AI_TRU1]]</f>
        <v>6</v>
      </c>
      <c r="V374">
        <f t="shared" si="152"/>
        <v>0.55555555555555558</v>
      </c>
      <c r="W374">
        <f>survey_responses[[#This Row],[Tôi tin rằng Nhà nước, cơ quan thuế sẽ thực thi chính sách mới một cách khách quan, công tâm và đối xử bình đẳng với mọi người nộp thuế.  - HUMAN-TRU1]]</f>
        <v>5</v>
      </c>
      <c r="X374">
        <f t="shared" si="153"/>
        <v>0.44444444444444442</v>
      </c>
      <c r="Y374">
        <f>step3_validation[[#This Row],[AI_TRU2]]</f>
        <v>6</v>
      </c>
      <c r="Z374">
        <f t="shared" si="154"/>
        <v>0.55555555555555558</v>
      </c>
      <c r="AA374">
        <f>survey_responses[[#This Row],[Tôi thấy mức thuế tôi phải đóng theo phương án mới là công bằng (người thu nhập như tôi đóng mức này là hợp lý). - HUMAN-TRU2]]</f>
        <v>5</v>
      </c>
      <c r="AB374">
        <f t="shared" si="155"/>
        <v>0.44444444444444442</v>
      </c>
      <c r="AC374">
        <f>step3_validation[[#This Row],[AI_TRU3]]</f>
        <v>5</v>
      </c>
      <c r="AD374">
        <f t="shared" si="156"/>
        <v>0.44444444444444442</v>
      </c>
      <c r="AE374">
        <f>survey_responses[[#This Row],[Tôi tin tưởng số tiền thuế tôi đóng sẽ được Nhà nước sử dụng hiệu quả để cải thiện dịch vụ công (y tế, đường xá...). - HUMAN-TRU3]]</f>
        <v>5</v>
      </c>
      <c r="AF374">
        <f t="shared" si="157"/>
        <v>0.44444444444444442</v>
      </c>
      <c r="AG374">
        <f>step3_validation[[#This Row],[AI_TRU4]]</f>
        <v>6</v>
      </c>
      <c r="AH374">
        <f t="shared" si="158"/>
        <v>0.55555555555555558</v>
      </c>
      <c r="AI374">
        <f>survey_responses[[#This Row],[Tôi thấy Nhà nước đã giải thích rõ ràng, minh bạch về lý do và mục tiêu của việc sửa đổi thuế lần này. - HUMAN-TRU4]]</f>
        <v>6</v>
      </c>
      <c r="AJ374">
        <f t="shared" si="159"/>
        <v>0.55555555555555558</v>
      </c>
      <c r="AK374" s="32">
        <f t="shared" si="160"/>
        <v>0.52777777777777779</v>
      </c>
      <c r="AL374" s="32">
        <f t="shared" si="161"/>
        <v>0.47222222222222221</v>
      </c>
      <c r="AM374" s="7">
        <f t="shared" si="162"/>
        <v>0.67592592592592593</v>
      </c>
      <c r="AN374" s="7">
        <f t="shared" si="163"/>
        <v>0.71296296296296291</v>
      </c>
      <c r="AO374">
        <f>step3_validation[[#This Row],[AI_OUT1]]</f>
        <v>7</v>
      </c>
      <c r="AP374">
        <f t="shared" si="164"/>
        <v>0.66666666666666663</v>
      </c>
      <c r="AQ374">
        <f>survey_responses[[#This Row],[Sau khi xem xét các quyền lợi và nghĩa vụ, bạn có ủng hộ và tuân thủ chính sách mới hiện nay? - HUMAN-OUT1]]</f>
        <v>5</v>
      </c>
      <c r="AR374">
        <f t="shared" si="165"/>
        <v>0.44444444444444442</v>
      </c>
      <c r="AS374" s="32">
        <f t="shared" si="166"/>
        <v>2</v>
      </c>
      <c r="AT374">
        <f t="shared" si="167"/>
        <v>0</v>
      </c>
    </row>
    <row r="375" spans="1:46" x14ac:dyDescent="0.45">
      <c r="A375">
        <f>step3_validation[[#This Row],[AI_ENF1]]</f>
        <v>7</v>
      </c>
      <c r="B375">
        <f t="shared" si="140"/>
        <v>0.66666666666666663</v>
      </c>
      <c r="C375">
        <f>survey_responses[[#This Row],[Tôi tin rằng với các quy định quản lý thuế hiện nay, hành vi gian lận hoặc trốn thuế sẽ dễ dàng bị phát hiện và xử lý nghiêm. - HUMAN-ENF1]]</f>
        <v>6</v>
      </c>
      <c r="D375">
        <f t="shared" si="141"/>
        <v>0.55555555555555558</v>
      </c>
      <c r="E375">
        <f>step3_validation[[#This Row],[AI_ENF2]]</f>
        <v>6</v>
      </c>
      <c r="F375">
        <f t="shared" si="142"/>
        <v>0.55555555555555558</v>
      </c>
      <c r="G375">
        <f>survey_responses[[#This Row],[Tôi tin rằng Nhà nước, cơ quan thuế có đủ khả năng và công nghệ để phát hiện, xử lý nghiêm các hành vi trốn thuế. - HUMAN-ENF2]]</f>
        <v>6</v>
      </c>
      <c r="H375">
        <f t="shared" si="143"/>
        <v>0.55555555555555558</v>
      </c>
      <c r="I375" s="32">
        <f t="shared" si="144"/>
        <v>0.61111111111111116</v>
      </c>
      <c r="J375" s="32">
        <f t="shared" si="145"/>
        <v>0.55555555555555558</v>
      </c>
      <c r="K375">
        <f>step3_validation[[#This Row],[AI_FAC1]]</f>
        <v>8</v>
      </c>
      <c r="L375">
        <f t="shared" si="146"/>
        <v>0.77777777777777779</v>
      </c>
      <c r="M375">
        <f>survey_responses[[#This Row],[Các thủ tục khai báo thuế VÀ/HOẶC quy trình làm việc với cơ quan thuế đơn giản, tiện lợi, nhanh chóng hơn so với trước đây. - HUMAN-FAC1]]</f>
        <v>7</v>
      </c>
      <c r="N375">
        <f t="shared" si="147"/>
        <v>0.66666666666666663</v>
      </c>
      <c r="O375">
        <f>step3_validation[[#This Row],[AI_FAC2]]</f>
        <v>8</v>
      </c>
      <c r="P375">
        <f t="shared" si="148"/>
        <v>0.77777777777777779</v>
      </c>
      <c r="Q375">
        <f>survey_responses[[#This Row],[So với trước đây, tôi thấy cách tính thuế và các bậc thuế trong phương án mới đơn giản, dễ hiểu và dễ thực hiện hơn. - HUMAN-FAC2]]</f>
        <v>7</v>
      </c>
      <c r="R375">
        <f t="shared" si="149"/>
        <v>0.66666666666666663</v>
      </c>
      <c r="S375" s="32">
        <f t="shared" si="150"/>
        <v>0.77777777777777779</v>
      </c>
      <c r="T375" s="32">
        <f t="shared" si="151"/>
        <v>0.66666666666666663</v>
      </c>
      <c r="U375">
        <f>step3_validation[[#This Row],[AI_TRU1]]</f>
        <v>7</v>
      </c>
      <c r="V375">
        <f t="shared" si="152"/>
        <v>0.66666666666666663</v>
      </c>
      <c r="W375">
        <f>survey_responses[[#This Row],[Tôi tin rằng Nhà nước, cơ quan thuế sẽ thực thi chính sách mới một cách khách quan, công tâm và đối xử bình đẳng với mọi người nộp thuế.  - HUMAN-TRU1]]</f>
        <v>6</v>
      </c>
      <c r="X375">
        <f t="shared" si="153"/>
        <v>0.55555555555555558</v>
      </c>
      <c r="Y375">
        <f>step3_validation[[#This Row],[AI_TRU2]]</f>
        <v>7</v>
      </c>
      <c r="Z375">
        <f t="shared" si="154"/>
        <v>0.66666666666666663</v>
      </c>
      <c r="AA375">
        <f>survey_responses[[#This Row],[Tôi thấy mức thuế tôi phải đóng theo phương án mới là công bằng (người thu nhập như tôi đóng mức này là hợp lý). - HUMAN-TRU2]]</f>
        <v>6</v>
      </c>
      <c r="AB375">
        <f t="shared" si="155"/>
        <v>0.55555555555555558</v>
      </c>
      <c r="AC375">
        <f>step3_validation[[#This Row],[AI_TRU3]]</f>
        <v>6</v>
      </c>
      <c r="AD375">
        <f t="shared" si="156"/>
        <v>0.55555555555555558</v>
      </c>
      <c r="AE375">
        <f>survey_responses[[#This Row],[Tôi tin tưởng số tiền thuế tôi đóng sẽ được Nhà nước sử dụng hiệu quả để cải thiện dịch vụ công (y tế, đường xá...). - HUMAN-TRU3]]</f>
        <v>6</v>
      </c>
      <c r="AF375">
        <f t="shared" si="157"/>
        <v>0.55555555555555558</v>
      </c>
      <c r="AG375">
        <f>step3_validation[[#This Row],[AI_TRU4]]</f>
        <v>7</v>
      </c>
      <c r="AH375">
        <f t="shared" si="158"/>
        <v>0.66666666666666663</v>
      </c>
      <c r="AI375">
        <f>survey_responses[[#This Row],[Tôi thấy Nhà nước đã giải thích rõ ràng, minh bạch về lý do và mục tiêu của việc sửa đổi thuế lần này. - HUMAN-TRU4]]</f>
        <v>6</v>
      </c>
      <c r="AJ375">
        <f t="shared" si="159"/>
        <v>0.55555555555555558</v>
      </c>
      <c r="AK375" s="32">
        <f t="shared" si="160"/>
        <v>0.63888888888888884</v>
      </c>
      <c r="AL375" s="32">
        <f t="shared" si="161"/>
        <v>0.55555555555555558</v>
      </c>
      <c r="AM375" s="7">
        <f t="shared" si="162"/>
        <v>0.67592592592592593</v>
      </c>
      <c r="AN375" s="7">
        <f t="shared" si="163"/>
        <v>0.59259259259259267</v>
      </c>
      <c r="AO375">
        <f>step3_validation[[#This Row],[AI_OUT1]]</f>
        <v>7</v>
      </c>
      <c r="AP375">
        <f t="shared" si="164"/>
        <v>0.66666666666666663</v>
      </c>
      <c r="AQ375">
        <f>survey_responses[[#This Row],[Sau khi xem xét các quyền lợi và nghĩa vụ, bạn có ủng hộ và tuân thủ chính sách mới hiện nay? - HUMAN-OUT1]]</f>
        <v>6</v>
      </c>
      <c r="AR375">
        <f t="shared" si="165"/>
        <v>0.55555555555555558</v>
      </c>
      <c r="AS375" s="32">
        <f t="shared" si="166"/>
        <v>1</v>
      </c>
      <c r="AT375">
        <f t="shared" si="167"/>
        <v>1</v>
      </c>
    </row>
    <row r="376" spans="1:46" x14ac:dyDescent="0.45">
      <c r="A376">
        <f>step3_validation[[#This Row],[AI_ENF1]]</f>
        <v>6</v>
      </c>
      <c r="B376">
        <f t="shared" si="140"/>
        <v>0.55555555555555558</v>
      </c>
      <c r="C376">
        <f>survey_responses[[#This Row],[Tôi tin rằng với các quy định quản lý thuế hiện nay, hành vi gian lận hoặc trốn thuế sẽ dễ dàng bị phát hiện và xử lý nghiêm. - HUMAN-ENF1]]</f>
        <v>8</v>
      </c>
      <c r="D376">
        <f t="shared" si="141"/>
        <v>0.77777777777777779</v>
      </c>
      <c r="E376">
        <f>step3_validation[[#This Row],[AI_ENF2]]</f>
        <v>7</v>
      </c>
      <c r="F376">
        <f t="shared" si="142"/>
        <v>0.66666666666666663</v>
      </c>
      <c r="G376">
        <f>survey_responses[[#This Row],[Tôi tin rằng Nhà nước, cơ quan thuế có đủ khả năng và công nghệ để phát hiện, xử lý nghiêm các hành vi trốn thuế. - HUMAN-ENF2]]</f>
        <v>8</v>
      </c>
      <c r="H376">
        <f t="shared" si="143"/>
        <v>0.77777777777777779</v>
      </c>
      <c r="I376" s="32">
        <f t="shared" si="144"/>
        <v>0.61111111111111116</v>
      </c>
      <c r="J376" s="32">
        <f t="shared" si="145"/>
        <v>0.77777777777777779</v>
      </c>
      <c r="K376">
        <f>step3_validation[[#This Row],[AI_FAC1]]</f>
        <v>8</v>
      </c>
      <c r="L376">
        <f t="shared" si="146"/>
        <v>0.77777777777777779</v>
      </c>
      <c r="M376">
        <f>survey_responses[[#This Row],[Các thủ tục khai báo thuế VÀ/HOẶC quy trình làm việc với cơ quan thuế đơn giản, tiện lợi, nhanh chóng hơn so với trước đây. - HUMAN-FAC1]]</f>
        <v>8</v>
      </c>
      <c r="N376">
        <f t="shared" si="147"/>
        <v>0.77777777777777779</v>
      </c>
      <c r="O376">
        <f>step3_validation[[#This Row],[AI_FAC2]]</f>
        <v>9</v>
      </c>
      <c r="P376">
        <f t="shared" si="148"/>
        <v>0.88888888888888884</v>
      </c>
      <c r="Q376">
        <f>survey_responses[[#This Row],[So với trước đây, tôi thấy cách tính thuế và các bậc thuế trong phương án mới đơn giản, dễ hiểu và dễ thực hiện hơn. - HUMAN-FAC2]]</f>
        <v>8</v>
      </c>
      <c r="R376">
        <f t="shared" si="149"/>
        <v>0.77777777777777779</v>
      </c>
      <c r="S376" s="32">
        <f t="shared" si="150"/>
        <v>0.83333333333333326</v>
      </c>
      <c r="T376" s="32">
        <f t="shared" si="151"/>
        <v>0.77777777777777779</v>
      </c>
      <c r="U376">
        <f>step3_validation[[#This Row],[AI_TRU1]]</f>
        <v>8</v>
      </c>
      <c r="V376">
        <f t="shared" si="152"/>
        <v>0.77777777777777779</v>
      </c>
      <c r="W376">
        <f>survey_responses[[#This Row],[Tôi tin rằng Nhà nước, cơ quan thuế sẽ thực thi chính sách mới một cách khách quan, công tâm và đối xử bình đẳng với mọi người nộp thuế.  - HUMAN-TRU1]]</f>
        <v>7</v>
      </c>
      <c r="X376">
        <f t="shared" si="153"/>
        <v>0.66666666666666663</v>
      </c>
      <c r="Y376">
        <f>step3_validation[[#This Row],[AI_TRU2]]</f>
        <v>9</v>
      </c>
      <c r="Z376">
        <f t="shared" si="154"/>
        <v>0.88888888888888884</v>
      </c>
      <c r="AA376">
        <f>survey_responses[[#This Row],[Tôi thấy mức thuế tôi phải đóng theo phương án mới là công bằng (người thu nhập như tôi đóng mức này là hợp lý). - HUMAN-TRU2]]</f>
        <v>6</v>
      </c>
      <c r="AB376">
        <f t="shared" si="155"/>
        <v>0.55555555555555558</v>
      </c>
      <c r="AC376">
        <f>step3_validation[[#This Row],[AI_TRU3]]</f>
        <v>8</v>
      </c>
      <c r="AD376">
        <f t="shared" si="156"/>
        <v>0.77777777777777779</v>
      </c>
      <c r="AE376">
        <f>survey_responses[[#This Row],[Tôi tin tưởng số tiền thuế tôi đóng sẽ được Nhà nước sử dụng hiệu quả để cải thiện dịch vụ công (y tế, đường xá...). - HUMAN-TRU3]]</f>
        <v>6</v>
      </c>
      <c r="AF376">
        <f t="shared" si="157"/>
        <v>0.55555555555555558</v>
      </c>
      <c r="AG376">
        <f>step3_validation[[#This Row],[AI_TRU4]]</f>
        <v>7</v>
      </c>
      <c r="AH376">
        <f t="shared" si="158"/>
        <v>0.66666666666666663</v>
      </c>
      <c r="AI376">
        <f>survey_responses[[#This Row],[Tôi thấy Nhà nước đã giải thích rõ ràng, minh bạch về lý do và mục tiêu của việc sửa đổi thuế lần này. - HUMAN-TRU4]]</f>
        <v>5</v>
      </c>
      <c r="AJ376">
        <f t="shared" si="159"/>
        <v>0.44444444444444442</v>
      </c>
      <c r="AK376" s="32">
        <f t="shared" si="160"/>
        <v>0.77777777777777768</v>
      </c>
      <c r="AL376" s="32">
        <f t="shared" si="161"/>
        <v>0.55555555555555558</v>
      </c>
      <c r="AM376" s="7">
        <f t="shared" si="162"/>
        <v>0.74074074074074081</v>
      </c>
      <c r="AN376" s="7">
        <f t="shared" si="163"/>
        <v>0.70370370370370372</v>
      </c>
      <c r="AO376">
        <f>step3_validation[[#This Row],[AI_OUT1]]</f>
        <v>8</v>
      </c>
      <c r="AP376">
        <f t="shared" si="164"/>
        <v>0.77777777777777779</v>
      </c>
      <c r="AQ376">
        <f>survey_responses[[#This Row],[Sau khi xem xét các quyền lợi và nghĩa vụ, bạn có ủng hộ và tuân thủ chính sách mới hiện nay? - HUMAN-OUT1]]</f>
        <v>7</v>
      </c>
      <c r="AR376">
        <f t="shared" si="165"/>
        <v>0.66666666666666663</v>
      </c>
      <c r="AS376" s="32">
        <f t="shared" si="166"/>
        <v>1</v>
      </c>
      <c r="AT376">
        <f t="shared" si="167"/>
        <v>1</v>
      </c>
    </row>
    <row r="377" spans="1:46" x14ac:dyDescent="0.45">
      <c r="A377">
        <f>step3_validation[[#This Row],[AI_ENF1]]</f>
        <v>7</v>
      </c>
      <c r="B377">
        <f t="shared" si="140"/>
        <v>0.66666666666666663</v>
      </c>
      <c r="C377">
        <f>survey_responses[[#This Row],[Tôi tin rằng với các quy định quản lý thuế hiện nay, hành vi gian lận hoặc trốn thuế sẽ dễ dàng bị phát hiện và xử lý nghiêm. - HUMAN-ENF1]]</f>
        <v>6</v>
      </c>
      <c r="D377">
        <f t="shared" si="141"/>
        <v>0.55555555555555558</v>
      </c>
      <c r="E377">
        <f>step3_validation[[#This Row],[AI_ENF2]]</f>
        <v>7</v>
      </c>
      <c r="F377">
        <f t="shared" si="142"/>
        <v>0.66666666666666663</v>
      </c>
      <c r="G377">
        <f>survey_responses[[#This Row],[Tôi tin rằng Nhà nước, cơ quan thuế có đủ khả năng và công nghệ để phát hiện, xử lý nghiêm các hành vi trốn thuế. - HUMAN-ENF2]]</f>
        <v>6</v>
      </c>
      <c r="H377">
        <f t="shared" si="143"/>
        <v>0.55555555555555558</v>
      </c>
      <c r="I377" s="32">
        <f t="shared" si="144"/>
        <v>0.66666666666666663</v>
      </c>
      <c r="J377" s="32">
        <f t="shared" si="145"/>
        <v>0.55555555555555558</v>
      </c>
      <c r="K377">
        <f>step3_validation[[#This Row],[AI_FAC1]]</f>
        <v>6</v>
      </c>
      <c r="L377">
        <f t="shared" si="146"/>
        <v>0.55555555555555558</v>
      </c>
      <c r="M377">
        <f>survey_responses[[#This Row],[Các thủ tục khai báo thuế VÀ/HOẶC quy trình làm việc với cơ quan thuế đơn giản, tiện lợi, nhanh chóng hơn so với trước đây. - HUMAN-FAC1]]</f>
        <v>5</v>
      </c>
      <c r="N377">
        <f t="shared" si="147"/>
        <v>0.44444444444444442</v>
      </c>
      <c r="O377">
        <f>step3_validation[[#This Row],[AI_FAC2]]</f>
        <v>8</v>
      </c>
      <c r="P377">
        <f t="shared" si="148"/>
        <v>0.77777777777777779</v>
      </c>
      <c r="Q377">
        <f>survey_responses[[#This Row],[So với trước đây, tôi thấy cách tính thuế và các bậc thuế trong phương án mới đơn giản, dễ hiểu và dễ thực hiện hơn. - HUMAN-FAC2]]</f>
        <v>7</v>
      </c>
      <c r="R377">
        <f t="shared" si="149"/>
        <v>0.66666666666666663</v>
      </c>
      <c r="S377" s="32">
        <f t="shared" si="150"/>
        <v>0.66666666666666674</v>
      </c>
      <c r="T377" s="32">
        <f t="shared" si="151"/>
        <v>0.55555555555555558</v>
      </c>
      <c r="U377">
        <f>step3_validation[[#This Row],[AI_TRU1]]</f>
        <v>7</v>
      </c>
      <c r="V377">
        <f t="shared" si="152"/>
        <v>0.66666666666666663</v>
      </c>
      <c r="W377">
        <f>survey_responses[[#This Row],[Tôi tin rằng Nhà nước, cơ quan thuế sẽ thực thi chính sách mới một cách khách quan, công tâm và đối xử bình đẳng với mọi người nộp thuế.  - HUMAN-TRU1]]</f>
        <v>6</v>
      </c>
      <c r="X377">
        <f t="shared" si="153"/>
        <v>0.55555555555555558</v>
      </c>
      <c r="Y377">
        <f>step3_validation[[#This Row],[AI_TRU2]]</f>
        <v>6</v>
      </c>
      <c r="Z377">
        <f t="shared" si="154"/>
        <v>0.55555555555555558</v>
      </c>
      <c r="AA377">
        <f>survey_responses[[#This Row],[Tôi thấy mức thuế tôi phải đóng theo phương án mới là công bằng (người thu nhập như tôi đóng mức này là hợp lý). - HUMAN-TRU2]]</f>
        <v>7</v>
      </c>
      <c r="AB377">
        <f t="shared" si="155"/>
        <v>0.66666666666666663</v>
      </c>
      <c r="AC377">
        <f>step3_validation[[#This Row],[AI_TRU3]]</f>
        <v>7</v>
      </c>
      <c r="AD377">
        <f t="shared" si="156"/>
        <v>0.66666666666666663</v>
      </c>
      <c r="AE377">
        <f>survey_responses[[#This Row],[Tôi tin tưởng số tiền thuế tôi đóng sẽ được Nhà nước sử dụng hiệu quả để cải thiện dịch vụ công (y tế, đường xá...). - HUMAN-TRU3]]</f>
        <v>5</v>
      </c>
      <c r="AF377">
        <f t="shared" si="157"/>
        <v>0.44444444444444442</v>
      </c>
      <c r="AG377">
        <f>step3_validation[[#This Row],[AI_TRU4]]</f>
        <v>5</v>
      </c>
      <c r="AH377">
        <f t="shared" si="158"/>
        <v>0.44444444444444442</v>
      </c>
      <c r="AI377">
        <f>survey_responses[[#This Row],[Tôi thấy Nhà nước đã giải thích rõ ràng, minh bạch về lý do và mục tiêu của việc sửa đổi thuế lần này. - HUMAN-TRU4]]</f>
        <v>6</v>
      </c>
      <c r="AJ377">
        <f t="shared" si="159"/>
        <v>0.55555555555555558</v>
      </c>
      <c r="AK377" s="32">
        <f t="shared" si="160"/>
        <v>0.58333333333333326</v>
      </c>
      <c r="AL377" s="32">
        <f t="shared" si="161"/>
        <v>0.55555555555555558</v>
      </c>
      <c r="AM377" s="7">
        <f t="shared" si="162"/>
        <v>0.63888888888888895</v>
      </c>
      <c r="AN377" s="7">
        <f t="shared" si="163"/>
        <v>0.55555555555555558</v>
      </c>
      <c r="AO377">
        <f>step3_validation[[#This Row],[AI_OUT1]]</f>
        <v>6</v>
      </c>
      <c r="AP377">
        <f t="shared" si="164"/>
        <v>0.55555555555555558</v>
      </c>
      <c r="AQ377">
        <f>survey_responses[[#This Row],[Sau khi xem xét các quyền lợi và nghĩa vụ, bạn có ủng hộ và tuân thủ chính sách mới hiện nay? - HUMAN-OUT1]]</f>
        <v>7</v>
      </c>
      <c r="AR377">
        <f t="shared" si="165"/>
        <v>0.66666666666666663</v>
      </c>
      <c r="AS377" s="32">
        <f t="shared" si="166"/>
        <v>1</v>
      </c>
      <c r="AT377">
        <f t="shared" si="167"/>
        <v>1</v>
      </c>
    </row>
    <row r="378" spans="1:46" x14ac:dyDescent="0.45">
      <c r="A378">
        <f>step3_validation[[#This Row],[AI_ENF1]]</f>
        <v>7</v>
      </c>
      <c r="B378">
        <f t="shared" si="140"/>
        <v>0.66666666666666663</v>
      </c>
      <c r="C378">
        <f>survey_responses[[#This Row],[Tôi tin rằng với các quy định quản lý thuế hiện nay, hành vi gian lận hoặc trốn thuế sẽ dễ dàng bị phát hiện và xử lý nghiêm. - HUMAN-ENF1]]</f>
        <v>7</v>
      </c>
      <c r="D378">
        <f t="shared" si="141"/>
        <v>0.66666666666666663</v>
      </c>
      <c r="E378">
        <f>step3_validation[[#This Row],[AI_ENF2]]</f>
        <v>8</v>
      </c>
      <c r="F378">
        <f t="shared" si="142"/>
        <v>0.77777777777777779</v>
      </c>
      <c r="G378">
        <f>survey_responses[[#This Row],[Tôi tin rằng Nhà nước, cơ quan thuế có đủ khả năng và công nghệ để phát hiện, xử lý nghiêm các hành vi trốn thuế. - HUMAN-ENF2]]</f>
        <v>8</v>
      </c>
      <c r="H378">
        <f t="shared" si="143"/>
        <v>0.77777777777777779</v>
      </c>
      <c r="I378" s="32">
        <f t="shared" si="144"/>
        <v>0.72222222222222221</v>
      </c>
      <c r="J378" s="32">
        <f t="shared" si="145"/>
        <v>0.72222222222222221</v>
      </c>
      <c r="K378">
        <f>step3_validation[[#This Row],[AI_FAC1]]</f>
        <v>9</v>
      </c>
      <c r="L378">
        <f t="shared" si="146"/>
        <v>0.88888888888888884</v>
      </c>
      <c r="M378">
        <f>survey_responses[[#This Row],[Các thủ tục khai báo thuế VÀ/HOẶC quy trình làm việc với cơ quan thuế đơn giản, tiện lợi, nhanh chóng hơn so với trước đây. - HUMAN-FAC1]]</f>
        <v>7</v>
      </c>
      <c r="N378">
        <f t="shared" si="147"/>
        <v>0.66666666666666663</v>
      </c>
      <c r="O378">
        <f>step3_validation[[#This Row],[AI_FAC2]]</f>
        <v>8</v>
      </c>
      <c r="P378">
        <f t="shared" si="148"/>
        <v>0.77777777777777779</v>
      </c>
      <c r="Q378">
        <f>survey_responses[[#This Row],[So với trước đây, tôi thấy cách tính thuế và các bậc thuế trong phương án mới đơn giản, dễ hiểu và dễ thực hiện hơn. - HUMAN-FAC2]]</f>
        <v>7</v>
      </c>
      <c r="R378">
        <f t="shared" si="149"/>
        <v>0.66666666666666663</v>
      </c>
      <c r="S378" s="32">
        <f t="shared" si="150"/>
        <v>0.83333333333333326</v>
      </c>
      <c r="T378" s="32">
        <f t="shared" si="151"/>
        <v>0.66666666666666663</v>
      </c>
      <c r="U378">
        <f>step3_validation[[#This Row],[AI_TRU1]]</f>
        <v>9</v>
      </c>
      <c r="V378">
        <f t="shared" si="152"/>
        <v>0.88888888888888884</v>
      </c>
      <c r="W378">
        <f>survey_responses[[#This Row],[Tôi tin rằng Nhà nước, cơ quan thuế sẽ thực thi chính sách mới một cách khách quan, công tâm và đối xử bình đẳng với mọi người nộp thuế.  - HUMAN-TRU1]]</f>
        <v>8</v>
      </c>
      <c r="X378">
        <f t="shared" si="153"/>
        <v>0.77777777777777779</v>
      </c>
      <c r="Y378">
        <f>step3_validation[[#This Row],[AI_TRU2]]</f>
        <v>8</v>
      </c>
      <c r="Z378">
        <f t="shared" si="154"/>
        <v>0.77777777777777779</v>
      </c>
      <c r="AA378">
        <f>survey_responses[[#This Row],[Tôi thấy mức thuế tôi phải đóng theo phương án mới là công bằng (người thu nhập như tôi đóng mức này là hợp lý). - HUMAN-TRU2]]</f>
        <v>9</v>
      </c>
      <c r="AB378">
        <f t="shared" si="155"/>
        <v>0.88888888888888884</v>
      </c>
      <c r="AC378">
        <f>step3_validation[[#This Row],[AI_TRU3]]</f>
        <v>8</v>
      </c>
      <c r="AD378">
        <f t="shared" si="156"/>
        <v>0.77777777777777779</v>
      </c>
      <c r="AE378">
        <f>survey_responses[[#This Row],[Tôi tin tưởng số tiền thuế tôi đóng sẽ được Nhà nước sử dụng hiệu quả để cải thiện dịch vụ công (y tế, đường xá...). - HUMAN-TRU3]]</f>
        <v>7</v>
      </c>
      <c r="AF378">
        <f t="shared" si="157"/>
        <v>0.66666666666666663</v>
      </c>
      <c r="AG378">
        <f>step3_validation[[#This Row],[AI_TRU4]]</f>
        <v>7</v>
      </c>
      <c r="AH378">
        <f t="shared" si="158"/>
        <v>0.66666666666666663</v>
      </c>
      <c r="AI378">
        <f>survey_responses[[#This Row],[Tôi thấy Nhà nước đã giải thích rõ ràng, minh bạch về lý do và mục tiêu của việc sửa đổi thuế lần này. - HUMAN-TRU4]]</f>
        <v>7</v>
      </c>
      <c r="AJ378">
        <f t="shared" si="159"/>
        <v>0.66666666666666663</v>
      </c>
      <c r="AK378" s="32">
        <f t="shared" si="160"/>
        <v>0.77777777777777768</v>
      </c>
      <c r="AL378" s="32">
        <f t="shared" si="161"/>
        <v>0.74999999999999989</v>
      </c>
      <c r="AM378" s="7">
        <f t="shared" si="162"/>
        <v>0.77777777777777768</v>
      </c>
      <c r="AN378" s="7">
        <f t="shared" si="163"/>
        <v>0.71296296296296291</v>
      </c>
      <c r="AO378">
        <f>step3_validation[[#This Row],[AI_OUT1]]</f>
        <v>8</v>
      </c>
      <c r="AP378">
        <f t="shared" si="164"/>
        <v>0.77777777777777779</v>
      </c>
      <c r="AQ378">
        <f>survey_responses[[#This Row],[Sau khi xem xét các quyền lợi và nghĩa vụ, bạn có ủng hộ và tuân thủ chính sách mới hiện nay? - HUMAN-OUT1]]</f>
        <v>8</v>
      </c>
      <c r="AR378">
        <f t="shared" si="165"/>
        <v>0.77777777777777779</v>
      </c>
      <c r="AS378" s="32">
        <f t="shared" si="166"/>
        <v>0</v>
      </c>
      <c r="AT378">
        <f t="shared" si="167"/>
        <v>1</v>
      </c>
    </row>
    <row r="379" spans="1:46" x14ac:dyDescent="0.45">
      <c r="A379">
        <f>step3_validation[[#This Row],[AI_ENF1]]</f>
        <v>7</v>
      </c>
      <c r="B379">
        <f t="shared" si="140"/>
        <v>0.66666666666666663</v>
      </c>
      <c r="C379">
        <f>survey_responses[[#This Row],[Tôi tin rằng với các quy định quản lý thuế hiện nay, hành vi gian lận hoặc trốn thuế sẽ dễ dàng bị phát hiện và xử lý nghiêm. - HUMAN-ENF1]]</f>
        <v>6</v>
      </c>
      <c r="D379">
        <f t="shared" si="141"/>
        <v>0.55555555555555558</v>
      </c>
      <c r="E379">
        <f>step3_validation[[#This Row],[AI_ENF2]]</f>
        <v>8</v>
      </c>
      <c r="F379">
        <f t="shared" si="142"/>
        <v>0.77777777777777779</v>
      </c>
      <c r="G379">
        <f>survey_responses[[#This Row],[Tôi tin rằng Nhà nước, cơ quan thuế có đủ khả năng và công nghệ để phát hiện, xử lý nghiêm các hành vi trốn thuế. - HUMAN-ENF2]]</f>
        <v>7</v>
      </c>
      <c r="H379">
        <f t="shared" si="143"/>
        <v>0.66666666666666663</v>
      </c>
      <c r="I379" s="32">
        <f t="shared" si="144"/>
        <v>0.72222222222222221</v>
      </c>
      <c r="J379" s="32">
        <f t="shared" si="145"/>
        <v>0.61111111111111116</v>
      </c>
      <c r="K379">
        <f>step3_validation[[#This Row],[AI_FAC1]]</f>
        <v>9</v>
      </c>
      <c r="L379">
        <f t="shared" si="146"/>
        <v>0.88888888888888884</v>
      </c>
      <c r="M379">
        <f>survey_responses[[#This Row],[Các thủ tục khai báo thuế VÀ/HOẶC quy trình làm việc với cơ quan thuế đơn giản, tiện lợi, nhanh chóng hơn so với trước đây. - HUMAN-FAC1]]</f>
        <v>5</v>
      </c>
      <c r="N379">
        <f t="shared" si="147"/>
        <v>0.44444444444444442</v>
      </c>
      <c r="O379">
        <f>step3_validation[[#This Row],[AI_FAC2]]</f>
        <v>8</v>
      </c>
      <c r="P379">
        <f t="shared" si="148"/>
        <v>0.77777777777777779</v>
      </c>
      <c r="Q379">
        <f>survey_responses[[#This Row],[So với trước đây, tôi thấy cách tính thuế và các bậc thuế trong phương án mới đơn giản, dễ hiểu và dễ thực hiện hơn. - HUMAN-FAC2]]</f>
        <v>8</v>
      </c>
      <c r="R379">
        <f t="shared" si="149"/>
        <v>0.77777777777777779</v>
      </c>
      <c r="S379" s="32">
        <f t="shared" si="150"/>
        <v>0.83333333333333326</v>
      </c>
      <c r="T379" s="32">
        <f t="shared" si="151"/>
        <v>0.61111111111111116</v>
      </c>
      <c r="U379">
        <f>step3_validation[[#This Row],[AI_TRU1]]</f>
        <v>9</v>
      </c>
      <c r="V379">
        <f t="shared" si="152"/>
        <v>0.88888888888888884</v>
      </c>
      <c r="W379">
        <f>survey_responses[[#This Row],[Tôi tin rằng Nhà nước, cơ quan thuế sẽ thực thi chính sách mới một cách khách quan, công tâm và đối xử bình đẳng với mọi người nộp thuế.  - HUMAN-TRU1]]</f>
        <v>7</v>
      </c>
      <c r="X379">
        <f t="shared" si="153"/>
        <v>0.66666666666666663</v>
      </c>
      <c r="Y379">
        <f>step3_validation[[#This Row],[AI_TRU2]]</f>
        <v>7</v>
      </c>
      <c r="Z379">
        <f t="shared" si="154"/>
        <v>0.66666666666666663</v>
      </c>
      <c r="AA379">
        <f>survey_responses[[#This Row],[Tôi thấy mức thuế tôi phải đóng theo phương án mới là công bằng (người thu nhập như tôi đóng mức này là hợp lý). - HUMAN-TRU2]]</f>
        <v>7</v>
      </c>
      <c r="AB379">
        <f t="shared" si="155"/>
        <v>0.66666666666666663</v>
      </c>
      <c r="AC379">
        <f>step3_validation[[#This Row],[AI_TRU3]]</f>
        <v>8</v>
      </c>
      <c r="AD379">
        <f t="shared" si="156"/>
        <v>0.77777777777777779</v>
      </c>
      <c r="AE379">
        <f>survey_responses[[#This Row],[Tôi tin tưởng số tiền thuế tôi đóng sẽ được Nhà nước sử dụng hiệu quả để cải thiện dịch vụ công (y tế, đường xá...). - HUMAN-TRU3]]</f>
        <v>7</v>
      </c>
      <c r="AF379">
        <f t="shared" si="157"/>
        <v>0.66666666666666663</v>
      </c>
      <c r="AG379">
        <f>step3_validation[[#This Row],[AI_TRU4]]</f>
        <v>6</v>
      </c>
      <c r="AH379">
        <f t="shared" si="158"/>
        <v>0.55555555555555558</v>
      </c>
      <c r="AI379">
        <f>survey_responses[[#This Row],[Tôi thấy Nhà nước đã giải thích rõ ràng, minh bạch về lý do và mục tiêu của việc sửa đổi thuế lần này. - HUMAN-TRU4]]</f>
        <v>7</v>
      </c>
      <c r="AJ379">
        <f t="shared" si="159"/>
        <v>0.66666666666666663</v>
      </c>
      <c r="AK379" s="32">
        <f t="shared" si="160"/>
        <v>0.7222222222222221</v>
      </c>
      <c r="AL379" s="32">
        <f t="shared" si="161"/>
        <v>0.66666666666666663</v>
      </c>
      <c r="AM379" s="7">
        <f t="shared" si="162"/>
        <v>0.75925925925925919</v>
      </c>
      <c r="AN379" s="7">
        <f t="shared" si="163"/>
        <v>0.62962962962962965</v>
      </c>
      <c r="AO379">
        <f>step3_validation[[#This Row],[AI_OUT1]]</f>
        <v>7</v>
      </c>
      <c r="AP379">
        <f t="shared" si="164"/>
        <v>0.66666666666666663</v>
      </c>
      <c r="AQ379">
        <f>survey_responses[[#This Row],[Sau khi xem xét các quyền lợi và nghĩa vụ, bạn có ủng hộ và tuân thủ chính sách mới hiện nay? - HUMAN-OUT1]]</f>
        <v>8</v>
      </c>
      <c r="AR379">
        <f t="shared" si="165"/>
        <v>0.77777777777777779</v>
      </c>
      <c r="AS379" s="32">
        <f t="shared" si="166"/>
        <v>1</v>
      </c>
      <c r="AT379">
        <f t="shared" si="167"/>
        <v>1</v>
      </c>
    </row>
    <row r="380" spans="1:46" x14ac:dyDescent="0.45">
      <c r="A380">
        <f>step3_validation[[#This Row],[AI_ENF1]]</f>
        <v>8</v>
      </c>
      <c r="B380">
        <f t="shared" si="140"/>
        <v>0.77777777777777779</v>
      </c>
      <c r="C380">
        <f>survey_responses[[#This Row],[Tôi tin rằng với các quy định quản lý thuế hiện nay, hành vi gian lận hoặc trốn thuế sẽ dễ dàng bị phát hiện và xử lý nghiêm. - HUMAN-ENF1]]</f>
        <v>8</v>
      </c>
      <c r="D380">
        <f t="shared" si="141"/>
        <v>0.77777777777777779</v>
      </c>
      <c r="E380">
        <f>step3_validation[[#This Row],[AI_ENF2]]</f>
        <v>7</v>
      </c>
      <c r="F380">
        <f t="shared" si="142"/>
        <v>0.66666666666666663</v>
      </c>
      <c r="G380">
        <f>survey_responses[[#This Row],[Tôi tin rằng Nhà nước, cơ quan thuế có đủ khả năng và công nghệ để phát hiện, xử lý nghiêm các hành vi trốn thuế. - HUMAN-ENF2]]</f>
        <v>8</v>
      </c>
      <c r="H380">
        <f t="shared" si="143"/>
        <v>0.77777777777777779</v>
      </c>
      <c r="I380" s="32">
        <f t="shared" si="144"/>
        <v>0.72222222222222221</v>
      </c>
      <c r="J380" s="32">
        <f t="shared" si="145"/>
        <v>0.77777777777777779</v>
      </c>
      <c r="K380">
        <f>step3_validation[[#This Row],[AI_FAC1]]</f>
        <v>6</v>
      </c>
      <c r="L380">
        <f t="shared" si="146"/>
        <v>0.55555555555555558</v>
      </c>
      <c r="M380">
        <f>survey_responses[[#This Row],[Các thủ tục khai báo thuế VÀ/HOẶC quy trình làm việc với cơ quan thuế đơn giản, tiện lợi, nhanh chóng hơn so với trước đây. - HUMAN-FAC1]]</f>
        <v>9</v>
      </c>
      <c r="N380">
        <f t="shared" si="147"/>
        <v>0.88888888888888884</v>
      </c>
      <c r="O380">
        <f>step3_validation[[#This Row],[AI_FAC2]]</f>
        <v>5</v>
      </c>
      <c r="P380">
        <f t="shared" si="148"/>
        <v>0.44444444444444442</v>
      </c>
      <c r="Q380">
        <f>survey_responses[[#This Row],[So với trước đây, tôi thấy cách tính thuế và các bậc thuế trong phương án mới đơn giản, dễ hiểu và dễ thực hiện hơn. - HUMAN-FAC2]]</f>
        <v>9</v>
      </c>
      <c r="R380">
        <f t="shared" si="149"/>
        <v>0.88888888888888884</v>
      </c>
      <c r="S380" s="32">
        <f t="shared" si="150"/>
        <v>0.5</v>
      </c>
      <c r="T380" s="32">
        <f t="shared" si="151"/>
        <v>0.88888888888888884</v>
      </c>
      <c r="U380">
        <f>step3_validation[[#This Row],[AI_TRU1]]</f>
        <v>6</v>
      </c>
      <c r="V380">
        <f t="shared" si="152"/>
        <v>0.55555555555555558</v>
      </c>
      <c r="W380">
        <f>survey_responses[[#This Row],[Tôi tin rằng Nhà nước, cơ quan thuế sẽ thực thi chính sách mới một cách khách quan, công tâm và đối xử bình đẳng với mọi người nộp thuế.  - HUMAN-TRU1]]</f>
        <v>7</v>
      </c>
      <c r="X380">
        <f t="shared" si="153"/>
        <v>0.66666666666666663</v>
      </c>
      <c r="Y380">
        <f>step3_validation[[#This Row],[AI_TRU2]]</f>
        <v>7</v>
      </c>
      <c r="Z380">
        <f t="shared" si="154"/>
        <v>0.66666666666666663</v>
      </c>
      <c r="AA380">
        <f>survey_responses[[#This Row],[Tôi thấy mức thuế tôi phải đóng theo phương án mới là công bằng (người thu nhập như tôi đóng mức này là hợp lý). - HUMAN-TRU2]]</f>
        <v>9</v>
      </c>
      <c r="AB380">
        <f t="shared" si="155"/>
        <v>0.88888888888888884</v>
      </c>
      <c r="AC380">
        <f>step3_validation[[#This Row],[AI_TRU3]]</f>
        <v>5</v>
      </c>
      <c r="AD380">
        <f t="shared" si="156"/>
        <v>0.44444444444444442</v>
      </c>
      <c r="AE380">
        <f>survey_responses[[#This Row],[Tôi tin tưởng số tiền thuế tôi đóng sẽ được Nhà nước sử dụng hiệu quả để cải thiện dịch vụ công (y tế, đường xá...). - HUMAN-TRU3]]</f>
        <v>7</v>
      </c>
      <c r="AF380">
        <f t="shared" si="157"/>
        <v>0.66666666666666663</v>
      </c>
      <c r="AG380">
        <f>step3_validation[[#This Row],[AI_TRU4]]</f>
        <v>6</v>
      </c>
      <c r="AH380">
        <f t="shared" si="158"/>
        <v>0.55555555555555558</v>
      </c>
      <c r="AI380">
        <f>survey_responses[[#This Row],[Tôi thấy Nhà nước đã giải thích rõ ràng, minh bạch về lý do và mục tiêu của việc sửa đổi thuế lần này. - HUMAN-TRU4]]</f>
        <v>7</v>
      </c>
      <c r="AJ380">
        <f t="shared" si="159"/>
        <v>0.66666666666666663</v>
      </c>
      <c r="AK380" s="32">
        <f t="shared" si="160"/>
        <v>0.55555555555555558</v>
      </c>
      <c r="AL380" s="32">
        <f t="shared" si="161"/>
        <v>0.7222222222222221</v>
      </c>
      <c r="AM380" s="7">
        <f t="shared" si="162"/>
        <v>0.59259259259259267</v>
      </c>
      <c r="AN380" s="7">
        <f t="shared" si="163"/>
        <v>0.79629629629629617</v>
      </c>
      <c r="AO380">
        <f>step3_validation[[#This Row],[AI_OUT1]]</f>
        <v>7</v>
      </c>
      <c r="AP380">
        <f t="shared" si="164"/>
        <v>0.66666666666666663</v>
      </c>
      <c r="AQ380">
        <f>survey_responses[[#This Row],[Sau khi xem xét các quyền lợi và nghĩa vụ, bạn có ủng hộ và tuân thủ chính sách mới hiện nay? - HUMAN-OUT1]]</f>
        <v>9</v>
      </c>
      <c r="AR380">
        <f t="shared" si="165"/>
        <v>0.88888888888888884</v>
      </c>
      <c r="AS380" s="32">
        <f t="shared" si="166"/>
        <v>2</v>
      </c>
      <c r="AT380">
        <f t="shared" si="167"/>
        <v>1</v>
      </c>
    </row>
    <row r="381" spans="1:46" x14ac:dyDescent="0.45">
      <c r="A381">
        <f>step3_validation[[#This Row],[AI_ENF1]]</f>
        <v>7</v>
      </c>
      <c r="B381">
        <f t="shared" si="140"/>
        <v>0.66666666666666663</v>
      </c>
      <c r="C381">
        <f>survey_responses[[#This Row],[Tôi tin rằng với các quy định quản lý thuế hiện nay, hành vi gian lận hoặc trốn thuế sẽ dễ dàng bị phát hiện và xử lý nghiêm. - HUMAN-ENF1]]</f>
        <v>8</v>
      </c>
      <c r="D381">
        <f t="shared" si="141"/>
        <v>0.77777777777777779</v>
      </c>
      <c r="E381">
        <f>step3_validation[[#This Row],[AI_ENF2]]</f>
        <v>8</v>
      </c>
      <c r="F381">
        <f t="shared" si="142"/>
        <v>0.77777777777777779</v>
      </c>
      <c r="G381">
        <f>survey_responses[[#This Row],[Tôi tin rằng Nhà nước, cơ quan thuế có đủ khả năng và công nghệ để phát hiện, xử lý nghiêm các hành vi trốn thuế. - HUMAN-ENF2]]</f>
        <v>8</v>
      </c>
      <c r="H381">
        <f t="shared" si="143"/>
        <v>0.77777777777777779</v>
      </c>
      <c r="I381" s="32">
        <f t="shared" si="144"/>
        <v>0.72222222222222221</v>
      </c>
      <c r="J381" s="32">
        <f t="shared" si="145"/>
        <v>0.77777777777777779</v>
      </c>
      <c r="K381">
        <f>step3_validation[[#This Row],[AI_FAC1]]</f>
        <v>6</v>
      </c>
      <c r="L381">
        <f t="shared" si="146"/>
        <v>0.55555555555555558</v>
      </c>
      <c r="M381">
        <f>survey_responses[[#This Row],[Các thủ tục khai báo thuế VÀ/HOẶC quy trình làm việc với cơ quan thuế đơn giản, tiện lợi, nhanh chóng hơn so với trước đây. - HUMAN-FAC1]]</f>
        <v>5</v>
      </c>
      <c r="N381">
        <f t="shared" si="147"/>
        <v>0.44444444444444442</v>
      </c>
      <c r="O381">
        <f>step3_validation[[#This Row],[AI_FAC2]]</f>
        <v>8</v>
      </c>
      <c r="P381">
        <f t="shared" si="148"/>
        <v>0.77777777777777779</v>
      </c>
      <c r="Q381">
        <f>survey_responses[[#This Row],[So với trước đây, tôi thấy cách tính thuế và các bậc thuế trong phương án mới đơn giản, dễ hiểu và dễ thực hiện hơn. - HUMAN-FAC2]]</f>
        <v>8</v>
      </c>
      <c r="R381">
        <f t="shared" si="149"/>
        <v>0.77777777777777779</v>
      </c>
      <c r="S381" s="32">
        <f t="shared" si="150"/>
        <v>0.66666666666666674</v>
      </c>
      <c r="T381" s="32">
        <f t="shared" si="151"/>
        <v>0.61111111111111116</v>
      </c>
      <c r="U381">
        <f>step3_validation[[#This Row],[AI_TRU1]]</f>
        <v>7</v>
      </c>
      <c r="V381">
        <f t="shared" si="152"/>
        <v>0.66666666666666663</v>
      </c>
      <c r="W381">
        <f>survey_responses[[#This Row],[Tôi tin rằng Nhà nước, cơ quan thuế sẽ thực thi chính sách mới một cách khách quan, công tâm và đối xử bình đẳng với mọi người nộp thuế.  - HUMAN-TRU1]]</f>
        <v>6</v>
      </c>
      <c r="X381">
        <f t="shared" si="153"/>
        <v>0.55555555555555558</v>
      </c>
      <c r="Y381">
        <f>step3_validation[[#This Row],[AI_TRU2]]</f>
        <v>7</v>
      </c>
      <c r="Z381">
        <f t="shared" si="154"/>
        <v>0.66666666666666663</v>
      </c>
      <c r="AA381">
        <f>survey_responses[[#This Row],[Tôi thấy mức thuế tôi phải đóng theo phương án mới là công bằng (người thu nhập như tôi đóng mức này là hợp lý). - HUMAN-TRU2]]</f>
        <v>9</v>
      </c>
      <c r="AB381">
        <f t="shared" si="155"/>
        <v>0.88888888888888884</v>
      </c>
      <c r="AC381">
        <f>step3_validation[[#This Row],[AI_TRU3]]</f>
        <v>6</v>
      </c>
      <c r="AD381">
        <f t="shared" si="156"/>
        <v>0.55555555555555558</v>
      </c>
      <c r="AE381">
        <f>survey_responses[[#This Row],[Tôi tin tưởng số tiền thuế tôi đóng sẽ được Nhà nước sử dụng hiệu quả để cải thiện dịch vụ công (y tế, đường xá...). - HUMAN-TRU3]]</f>
        <v>5</v>
      </c>
      <c r="AF381">
        <f t="shared" si="157"/>
        <v>0.44444444444444442</v>
      </c>
      <c r="AG381">
        <f>step3_validation[[#This Row],[AI_TRU4]]</f>
        <v>5</v>
      </c>
      <c r="AH381">
        <f t="shared" si="158"/>
        <v>0.44444444444444442</v>
      </c>
      <c r="AI381">
        <f>survey_responses[[#This Row],[Tôi thấy Nhà nước đã giải thích rõ ràng, minh bạch về lý do và mục tiêu của việc sửa đổi thuế lần này. - HUMAN-TRU4]]</f>
        <v>7</v>
      </c>
      <c r="AJ381">
        <f t="shared" si="159"/>
        <v>0.66666666666666663</v>
      </c>
      <c r="AK381" s="32">
        <f t="shared" si="160"/>
        <v>0.58333333333333326</v>
      </c>
      <c r="AL381" s="32">
        <f t="shared" si="161"/>
        <v>0.63888888888888884</v>
      </c>
      <c r="AM381" s="7">
        <f t="shared" si="162"/>
        <v>0.65740740740740733</v>
      </c>
      <c r="AN381" s="7">
        <f t="shared" si="163"/>
        <v>0.67592592592592593</v>
      </c>
      <c r="AO381">
        <f>step3_validation[[#This Row],[AI_OUT1]]</f>
        <v>8</v>
      </c>
      <c r="AP381">
        <f t="shared" si="164"/>
        <v>0.77777777777777779</v>
      </c>
      <c r="AQ381">
        <f>survey_responses[[#This Row],[Sau khi xem xét các quyền lợi và nghĩa vụ, bạn có ủng hộ và tuân thủ chính sách mới hiện nay? - HUMAN-OUT1]]</f>
        <v>8</v>
      </c>
      <c r="AR381">
        <f t="shared" si="165"/>
        <v>0.77777777777777779</v>
      </c>
      <c r="AS381" s="32">
        <f t="shared" si="166"/>
        <v>0</v>
      </c>
      <c r="AT381">
        <f t="shared" si="167"/>
        <v>1</v>
      </c>
    </row>
    <row r="382" spans="1:46" x14ac:dyDescent="0.45">
      <c r="A382">
        <f>step3_validation[[#This Row],[AI_ENF1]]</f>
        <v>7</v>
      </c>
      <c r="B382">
        <f t="shared" si="140"/>
        <v>0.66666666666666663</v>
      </c>
      <c r="C382">
        <f>survey_responses[[#This Row],[Tôi tin rằng với các quy định quản lý thuế hiện nay, hành vi gian lận hoặc trốn thuế sẽ dễ dàng bị phát hiện và xử lý nghiêm. - HUMAN-ENF1]]</f>
        <v>9</v>
      </c>
      <c r="D382">
        <f t="shared" si="141"/>
        <v>0.88888888888888884</v>
      </c>
      <c r="E382">
        <f>step3_validation[[#This Row],[AI_ENF2]]</f>
        <v>6</v>
      </c>
      <c r="F382">
        <f t="shared" si="142"/>
        <v>0.55555555555555558</v>
      </c>
      <c r="G382">
        <f>survey_responses[[#This Row],[Tôi tin rằng Nhà nước, cơ quan thuế có đủ khả năng và công nghệ để phát hiện, xử lý nghiêm các hành vi trốn thuế. - HUMAN-ENF2]]</f>
        <v>9</v>
      </c>
      <c r="H382">
        <f t="shared" si="143"/>
        <v>0.88888888888888884</v>
      </c>
      <c r="I382" s="32">
        <f t="shared" si="144"/>
        <v>0.61111111111111116</v>
      </c>
      <c r="J382" s="32">
        <f t="shared" si="145"/>
        <v>0.88888888888888884</v>
      </c>
      <c r="K382">
        <f>step3_validation[[#This Row],[AI_FAC1]]</f>
        <v>8</v>
      </c>
      <c r="L382">
        <f t="shared" si="146"/>
        <v>0.77777777777777779</v>
      </c>
      <c r="M382">
        <f>survey_responses[[#This Row],[Các thủ tục khai báo thuế VÀ/HOẶC quy trình làm việc với cơ quan thuế đơn giản, tiện lợi, nhanh chóng hơn so với trước đây. - HUMAN-FAC1]]</f>
        <v>8</v>
      </c>
      <c r="N382">
        <f t="shared" si="147"/>
        <v>0.77777777777777779</v>
      </c>
      <c r="O382">
        <f>step3_validation[[#This Row],[AI_FAC2]]</f>
        <v>5</v>
      </c>
      <c r="P382">
        <f t="shared" si="148"/>
        <v>0.44444444444444442</v>
      </c>
      <c r="Q382">
        <f>survey_responses[[#This Row],[So với trước đây, tôi thấy cách tính thuế và các bậc thuế trong phương án mới đơn giản, dễ hiểu và dễ thực hiện hơn. - HUMAN-FAC2]]</f>
        <v>9</v>
      </c>
      <c r="R382">
        <f t="shared" si="149"/>
        <v>0.88888888888888884</v>
      </c>
      <c r="S382" s="32">
        <f t="shared" si="150"/>
        <v>0.61111111111111116</v>
      </c>
      <c r="T382" s="32">
        <f t="shared" si="151"/>
        <v>0.83333333333333326</v>
      </c>
      <c r="U382">
        <f>step3_validation[[#This Row],[AI_TRU1]]</f>
        <v>6</v>
      </c>
      <c r="V382">
        <f t="shared" si="152"/>
        <v>0.55555555555555558</v>
      </c>
      <c r="W382">
        <f>survey_responses[[#This Row],[Tôi tin rằng Nhà nước, cơ quan thuế sẽ thực thi chính sách mới một cách khách quan, công tâm và đối xử bình đẳng với mọi người nộp thuế.  - HUMAN-TRU1]]</f>
        <v>8</v>
      </c>
      <c r="X382">
        <f t="shared" si="153"/>
        <v>0.77777777777777779</v>
      </c>
      <c r="Y382">
        <f>step3_validation[[#This Row],[AI_TRU2]]</f>
        <v>7</v>
      </c>
      <c r="Z382">
        <f t="shared" si="154"/>
        <v>0.66666666666666663</v>
      </c>
      <c r="AA382">
        <f>survey_responses[[#This Row],[Tôi thấy mức thuế tôi phải đóng theo phương án mới là công bằng (người thu nhập như tôi đóng mức này là hợp lý). - HUMAN-TRU2]]</f>
        <v>10</v>
      </c>
      <c r="AB382">
        <f t="shared" si="155"/>
        <v>1</v>
      </c>
      <c r="AC382">
        <f>step3_validation[[#This Row],[AI_TRU3]]</f>
        <v>5</v>
      </c>
      <c r="AD382">
        <f t="shared" si="156"/>
        <v>0.44444444444444442</v>
      </c>
      <c r="AE382">
        <f>survey_responses[[#This Row],[Tôi tin tưởng số tiền thuế tôi đóng sẽ được Nhà nước sử dụng hiệu quả để cải thiện dịch vụ công (y tế, đường xá...). - HUMAN-TRU3]]</f>
        <v>8</v>
      </c>
      <c r="AF382">
        <f t="shared" si="157"/>
        <v>0.77777777777777779</v>
      </c>
      <c r="AG382">
        <f>step3_validation[[#This Row],[AI_TRU4]]</f>
        <v>4</v>
      </c>
      <c r="AH382">
        <f t="shared" si="158"/>
        <v>0.33333333333333331</v>
      </c>
      <c r="AI382">
        <f>survey_responses[[#This Row],[Tôi thấy Nhà nước đã giải thích rõ ràng, minh bạch về lý do và mục tiêu của việc sửa đổi thuế lần này. - HUMAN-TRU4]]</f>
        <v>8</v>
      </c>
      <c r="AJ382">
        <f t="shared" si="159"/>
        <v>0.77777777777777779</v>
      </c>
      <c r="AK382" s="32">
        <f t="shared" si="160"/>
        <v>0.5</v>
      </c>
      <c r="AL382" s="32">
        <f t="shared" si="161"/>
        <v>0.83333333333333326</v>
      </c>
      <c r="AM382" s="7">
        <f t="shared" si="162"/>
        <v>0.57407407407407407</v>
      </c>
      <c r="AN382" s="7">
        <f t="shared" si="163"/>
        <v>0.85185185185185175</v>
      </c>
      <c r="AO382">
        <f>step3_validation[[#This Row],[AI_OUT1]]</f>
        <v>6</v>
      </c>
      <c r="AP382">
        <f t="shared" si="164"/>
        <v>0.55555555555555558</v>
      </c>
      <c r="AQ382">
        <f>survey_responses[[#This Row],[Sau khi xem xét các quyền lợi và nghĩa vụ, bạn có ủng hộ và tuân thủ chính sách mới hiện nay? - HUMAN-OUT1]]</f>
        <v>10</v>
      </c>
      <c r="AR382">
        <f t="shared" si="165"/>
        <v>1</v>
      </c>
      <c r="AS382" s="32">
        <f t="shared" si="166"/>
        <v>4</v>
      </c>
      <c r="AT382">
        <f t="shared" si="167"/>
        <v>1</v>
      </c>
    </row>
    <row r="383" spans="1:46" x14ac:dyDescent="0.45">
      <c r="A383">
        <f>step3_validation[[#This Row],[AI_ENF1]]</f>
        <v>8</v>
      </c>
      <c r="B383">
        <f t="shared" si="140"/>
        <v>0.77777777777777779</v>
      </c>
      <c r="C383">
        <f>survey_responses[[#This Row],[Tôi tin rằng với các quy định quản lý thuế hiện nay, hành vi gian lận hoặc trốn thuế sẽ dễ dàng bị phát hiện và xử lý nghiêm. - HUMAN-ENF1]]</f>
        <v>5</v>
      </c>
      <c r="D383">
        <f t="shared" si="141"/>
        <v>0.44444444444444442</v>
      </c>
      <c r="E383">
        <f>step3_validation[[#This Row],[AI_ENF2]]</f>
        <v>9</v>
      </c>
      <c r="F383">
        <f t="shared" si="142"/>
        <v>0.88888888888888884</v>
      </c>
      <c r="G383">
        <f>survey_responses[[#This Row],[Tôi tin rằng Nhà nước, cơ quan thuế có đủ khả năng và công nghệ để phát hiện, xử lý nghiêm các hành vi trốn thuế. - HUMAN-ENF2]]</f>
        <v>5</v>
      </c>
      <c r="H383">
        <f t="shared" si="143"/>
        <v>0.44444444444444442</v>
      </c>
      <c r="I383" s="32">
        <f t="shared" si="144"/>
        <v>0.83333333333333326</v>
      </c>
      <c r="J383" s="32">
        <f t="shared" si="145"/>
        <v>0.44444444444444442</v>
      </c>
      <c r="K383">
        <f>step3_validation[[#This Row],[AI_FAC1]]</f>
        <v>7</v>
      </c>
      <c r="L383">
        <f t="shared" si="146"/>
        <v>0.66666666666666663</v>
      </c>
      <c r="M383">
        <f>survey_responses[[#This Row],[Các thủ tục khai báo thuế VÀ/HOẶC quy trình làm việc với cơ quan thuế đơn giản, tiện lợi, nhanh chóng hơn so với trước đây. - HUMAN-FAC1]]</f>
        <v>4</v>
      </c>
      <c r="N383">
        <f t="shared" si="147"/>
        <v>0.33333333333333331</v>
      </c>
      <c r="O383">
        <f>step3_validation[[#This Row],[AI_FAC2]]</f>
        <v>6</v>
      </c>
      <c r="P383">
        <f t="shared" si="148"/>
        <v>0.55555555555555558</v>
      </c>
      <c r="Q383">
        <f>survey_responses[[#This Row],[So với trước đây, tôi thấy cách tính thuế và các bậc thuế trong phương án mới đơn giản, dễ hiểu và dễ thực hiện hơn. - HUMAN-FAC2]]</f>
        <v>8</v>
      </c>
      <c r="R383">
        <f t="shared" si="149"/>
        <v>0.77777777777777779</v>
      </c>
      <c r="S383" s="32">
        <f t="shared" si="150"/>
        <v>0.61111111111111116</v>
      </c>
      <c r="T383" s="32">
        <f t="shared" si="151"/>
        <v>0.55555555555555558</v>
      </c>
      <c r="U383">
        <f>step3_validation[[#This Row],[AI_TRU1]]</f>
        <v>7</v>
      </c>
      <c r="V383">
        <f t="shared" si="152"/>
        <v>0.66666666666666663</v>
      </c>
      <c r="W383">
        <f>survey_responses[[#This Row],[Tôi tin rằng Nhà nước, cơ quan thuế sẽ thực thi chính sách mới một cách khách quan, công tâm và đối xử bình đẳng với mọi người nộp thuế.  - HUMAN-TRU1]]</f>
        <v>4</v>
      </c>
      <c r="X383">
        <f t="shared" si="153"/>
        <v>0.33333333333333331</v>
      </c>
      <c r="Y383">
        <f>step3_validation[[#This Row],[AI_TRU2]]</f>
        <v>7</v>
      </c>
      <c r="Z383">
        <f t="shared" si="154"/>
        <v>0.66666666666666663</v>
      </c>
      <c r="AA383">
        <f>survey_responses[[#This Row],[Tôi thấy mức thuế tôi phải đóng theo phương án mới là công bằng (người thu nhập như tôi đóng mức này là hợp lý). - HUMAN-TRU2]]</f>
        <v>8</v>
      </c>
      <c r="AB383">
        <f t="shared" si="155"/>
        <v>0.77777777777777779</v>
      </c>
      <c r="AC383">
        <f>step3_validation[[#This Row],[AI_TRU3]]</f>
        <v>7</v>
      </c>
      <c r="AD383">
        <f t="shared" si="156"/>
        <v>0.66666666666666663</v>
      </c>
      <c r="AE383">
        <f>survey_responses[[#This Row],[Tôi tin tưởng số tiền thuế tôi đóng sẽ được Nhà nước sử dụng hiệu quả để cải thiện dịch vụ công (y tế, đường xá...). - HUMAN-TRU3]]</f>
        <v>4</v>
      </c>
      <c r="AF383">
        <f t="shared" si="157"/>
        <v>0.33333333333333331</v>
      </c>
      <c r="AG383">
        <f>step3_validation[[#This Row],[AI_TRU4]]</f>
        <v>6</v>
      </c>
      <c r="AH383">
        <f t="shared" si="158"/>
        <v>0.55555555555555558</v>
      </c>
      <c r="AI383">
        <f>survey_responses[[#This Row],[Tôi thấy Nhà nước đã giải thích rõ ràng, minh bạch về lý do và mục tiêu của việc sửa đổi thuế lần này. - HUMAN-TRU4]]</f>
        <v>5</v>
      </c>
      <c r="AJ383">
        <f t="shared" si="159"/>
        <v>0.44444444444444442</v>
      </c>
      <c r="AK383" s="32">
        <f t="shared" si="160"/>
        <v>0.63888888888888884</v>
      </c>
      <c r="AL383" s="32">
        <f t="shared" si="161"/>
        <v>0.47222222222222221</v>
      </c>
      <c r="AM383" s="7">
        <f t="shared" si="162"/>
        <v>0.69444444444444431</v>
      </c>
      <c r="AN383" s="7">
        <f t="shared" si="163"/>
        <v>0.49074074074074076</v>
      </c>
      <c r="AO383">
        <f>step3_validation[[#This Row],[AI_OUT1]]</f>
        <v>8</v>
      </c>
      <c r="AP383">
        <f t="shared" si="164"/>
        <v>0.77777777777777779</v>
      </c>
      <c r="AQ383">
        <f>survey_responses[[#This Row],[Sau khi xem xét các quyền lợi và nghĩa vụ, bạn có ủng hộ và tuân thủ chính sách mới hiện nay? - HUMAN-OUT1]]</f>
        <v>7</v>
      </c>
      <c r="AR383">
        <f t="shared" si="165"/>
        <v>0.66666666666666663</v>
      </c>
      <c r="AS383" s="32">
        <f t="shared" si="166"/>
        <v>1</v>
      </c>
      <c r="AT383">
        <f t="shared" si="167"/>
        <v>1</v>
      </c>
    </row>
    <row r="384" spans="1:46" x14ac:dyDescent="0.45">
      <c r="A384">
        <f>step3_validation[[#This Row],[AI_ENF1]]</f>
        <v>8</v>
      </c>
      <c r="B384">
        <f t="shared" si="140"/>
        <v>0.77777777777777779</v>
      </c>
      <c r="C384">
        <f>survey_responses[[#This Row],[Tôi tin rằng với các quy định quản lý thuế hiện nay, hành vi gian lận hoặc trốn thuế sẽ dễ dàng bị phát hiện và xử lý nghiêm. - HUMAN-ENF1]]</f>
        <v>1</v>
      </c>
      <c r="D384">
        <f t="shared" si="141"/>
        <v>0</v>
      </c>
      <c r="E384">
        <f>step3_validation[[#This Row],[AI_ENF2]]</f>
        <v>7</v>
      </c>
      <c r="F384">
        <f t="shared" si="142"/>
        <v>0.66666666666666663</v>
      </c>
      <c r="G384">
        <f>survey_responses[[#This Row],[Tôi tin rằng Nhà nước, cơ quan thuế có đủ khả năng và công nghệ để phát hiện, xử lý nghiêm các hành vi trốn thuế. - HUMAN-ENF2]]</f>
        <v>1</v>
      </c>
      <c r="H384">
        <f t="shared" si="143"/>
        <v>0</v>
      </c>
      <c r="I384" s="32">
        <f t="shared" si="144"/>
        <v>0.72222222222222221</v>
      </c>
      <c r="J384" s="32">
        <f t="shared" si="145"/>
        <v>0</v>
      </c>
      <c r="K384">
        <f>step3_validation[[#This Row],[AI_FAC1]]</f>
        <v>6</v>
      </c>
      <c r="L384">
        <f t="shared" si="146"/>
        <v>0.55555555555555558</v>
      </c>
      <c r="M384">
        <f>survey_responses[[#This Row],[Các thủ tục khai báo thuế VÀ/HOẶC quy trình làm việc với cơ quan thuế đơn giản, tiện lợi, nhanh chóng hơn so với trước đây. - HUMAN-FAC1]]</f>
        <v>4</v>
      </c>
      <c r="N384">
        <f t="shared" si="147"/>
        <v>0.33333333333333331</v>
      </c>
      <c r="O384">
        <f>step3_validation[[#This Row],[AI_FAC2]]</f>
        <v>5</v>
      </c>
      <c r="P384">
        <f t="shared" si="148"/>
        <v>0.44444444444444442</v>
      </c>
      <c r="Q384">
        <f>survey_responses[[#This Row],[So với trước đây, tôi thấy cách tính thuế và các bậc thuế trong phương án mới đơn giản, dễ hiểu và dễ thực hiện hơn. - HUMAN-FAC2]]</f>
        <v>5</v>
      </c>
      <c r="R384">
        <f t="shared" si="149"/>
        <v>0.44444444444444442</v>
      </c>
      <c r="S384" s="32">
        <f t="shared" si="150"/>
        <v>0.5</v>
      </c>
      <c r="T384" s="32">
        <f t="shared" si="151"/>
        <v>0.38888888888888884</v>
      </c>
      <c r="U384">
        <f>step3_validation[[#This Row],[AI_TRU1]]</f>
        <v>4</v>
      </c>
      <c r="V384">
        <f t="shared" si="152"/>
        <v>0.33333333333333331</v>
      </c>
      <c r="W384">
        <f>survey_responses[[#This Row],[Tôi tin rằng Nhà nước, cơ quan thuế sẽ thực thi chính sách mới một cách khách quan, công tâm và đối xử bình đẳng với mọi người nộp thuế.  - HUMAN-TRU1]]</f>
        <v>5</v>
      </c>
      <c r="X384">
        <f t="shared" si="153"/>
        <v>0.44444444444444442</v>
      </c>
      <c r="Y384">
        <f>step3_validation[[#This Row],[AI_TRU2]]</f>
        <v>3</v>
      </c>
      <c r="Z384">
        <f t="shared" si="154"/>
        <v>0.22222222222222221</v>
      </c>
      <c r="AA384">
        <f>survey_responses[[#This Row],[Tôi thấy mức thuế tôi phải đóng theo phương án mới là công bằng (người thu nhập như tôi đóng mức này là hợp lý). - HUMAN-TRU2]]</f>
        <v>4</v>
      </c>
      <c r="AB384">
        <f t="shared" si="155"/>
        <v>0.33333333333333331</v>
      </c>
      <c r="AC384">
        <f>step3_validation[[#This Row],[AI_TRU3]]</f>
        <v>4</v>
      </c>
      <c r="AD384">
        <f t="shared" si="156"/>
        <v>0.33333333333333331</v>
      </c>
      <c r="AE384">
        <f>survey_responses[[#This Row],[Tôi tin tưởng số tiền thuế tôi đóng sẽ được Nhà nước sử dụng hiệu quả để cải thiện dịch vụ công (y tế, đường xá...). - HUMAN-TRU3]]</f>
        <v>4</v>
      </c>
      <c r="AF384">
        <f t="shared" si="157"/>
        <v>0.33333333333333331</v>
      </c>
      <c r="AG384">
        <f>step3_validation[[#This Row],[AI_TRU4]]</f>
        <v>3</v>
      </c>
      <c r="AH384">
        <f t="shared" si="158"/>
        <v>0.22222222222222221</v>
      </c>
      <c r="AI384">
        <f>survey_responses[[#This Row],[Tôi thấy Nhà nước đã giải thích rõ ràng, minh bạch về lý do và mục tiêu của việc sửa đổi thuế lần này. - HUMAN-TRU4]]</f>
        <v>5</v>
      </c>
      <c r="AJ384">
        <f t="shared" si="159"/>
        <v>0.44444444444444442</v>
      </c>
      <c r="AK384" s="32">
        <f t="shared" si="160"/>
        <v>0.27777777777777779</v>
      </c>
      <c r="AL384" s="32">
        <f t="shared" si="161"/>
        <v>0.38888888888888884</v>
      </c>
      <c r="AM384" s="7">
        <f t="shared" si="162"/>
        <v>0.5</v>
      </c>
      <c r="AN384" s="7">
        <f t="shared" si="163"/>
        <v>0.25925925925925924</v>
      </c>
      <c r="AO384">
        <f>step3_validation[[#This Row],[AI_OUT1]]</f>
        <v>5</v>
      </c>
      <c r="AP384">
        <f t="shared" si="164"/>
        <v>0.44444444444444442</v>
      </c>
      <c r="AQ384">
        <f>survey_responses[[#This Row],[Sau khi xem xét các quyền lợi và nghĩa vụ, bạn có ủng hộ và tuân thủ chính sách mới hiện nay? - HUMAN-OUT1]]</f>
        <v>3</v>
      </c>
      <c r="AR384">
        <f t="shared" si="165"/>
        <v>0.22222222222222221</v>
      </c>
      <c r="AS384" s="32">
        <f t="shared" si="166"/>
        <v>2</v>
      </c>
      <c r="AT384">
        <f t="shared" si="167"/>
        <v>0</v>
      </c>
    </row>
    <row r="385" spans="1:46" x14ac:dyDescent="0.45">
      <c r="A385">
        <f>step3_validation[[#This Row],[AI_ENF1]]</f>
        <v>8</v>
      </c>
      <c r="B385">
        <f t="shared" si="140"/>
        <v>0.77777777777777779</v>
      </c>
      <c r="C385">
        <f>survey_responses[[#This Row],[Tôi tin rằng với các quy định quản lý thuế hiện nay, hành vi gian lận hoặc trốn thuế sẽ dễ dàng bị phát hiện và xử lý nghiêm. - HUMAN-ENF1]]</f>
        <v>7</v>
      </c>
      <c r="D385">
        <f t="shared" si="141"/>
        <v>0.66666666666666663</v>
      </c>
      <c r="E385">
        <f>step3_validation[[#This Row],[AI_ENF2]]</f>
        <v>7</v>
      </c>
      <c r="F385">
        <f t="shared" si="142"/>
        <v>0.66666666666666663</v>
      </c>
      <c r="G385">
        <f>survey_responses[[#This Row],[Tôi tin rằng Nhà nước, cơ quan thuế có đủ khả năng và công nghệ để phát hiện, xử lý nghiêm các hành vi trốn thuế. - HUMAN-ENF2]]</f>
        <v>7</v>
      </c>
      <c r="H385">
        <f t="shared" si="143"/>
        <v>0.66666666666666663</v>
      </c>
      <c r="I385" s="32">
        <f t="shared" si="144"/>
        <v>0.72222222222222221</v>
      </c>
      <c r="J385" s="32">
        <f t="shared" si="145"/>
        <v>0.66666666666666663</v>
      </c>
      <c r="K385">
        <f>step3_validation[[#This Row],[AI_FAC1]]</f>
        <v>6</v>
      </c>
      <c r="L385">
        <f t="shared" si="146"/>
        <v>0.55555555555555558</v>
      </c>
      <c r="M385">
        <f>survey_responses[[#This Row],[Các thủ tục khai báo thuế VÀ/HOẶC quy trình làm việc với cơ quan thuế đơn giản, tiện lợi, nhanh chóng hơn so với trước đây. - HUMAN-FAC1]]</f>
        <v>7</v>
      </c>
      <c r="N385">
        <f t="shared" si="147"/>
        <v>0.66666666666666663</v>
      </c>
      <c r="O385">
        <f>step3_validation[[#This Row],[AI_FAC2]]</f>
        <v>9</v>
      </c>
      <c r="P385">
        <f t="shared" si="148"/>
        <v>0.88888888888888884</v>
      </c>
      <c r="Q385">
        <f>survey_responses[[#This Row],[So với trước đây, tôi thấy cách tính thuế và các bậc thuế trong phương án mới đơn giản, dễ hiểu và dễ thực hiện hơn. - HUMAN-FAC2]]</f>
        <v>9</v>
      </c>
      <c r="R385">
        <f t="shared" si="149"/>
        <v>0.88888888888888884</v>
      </c>
      <c r="S385" s="32">
        <f t="shared" si="150"/>
        <v>0.72222222222222221</v>
      </c>
      <c r="T385" s="32">
        <f t="shared" si="151"/>
        <v>0.77777777777777768</v>
      </c>
      <c r="U385">
        <f>step3_validation[[#This Row],[AI_TRU1]]</f>
        <v>7</v>
      </c>
      <c r="V385">
        <f t="shared" si="152"/>
        <v>0.66666666666666663</v>
      </c>
      <c r="W385">
        <f>survey_responses[[#This Row],[Tôi tin rằng Nhà nước, cơ quan thuế sẽ thực thi chính sách mới một cách khách quan, công tâm và đối xử bình đẳng với mọi người nộp thuế.  - HUMAN-TRU1]]</f>
        <v>8</v>
      </c>
      <c r="X385">
        <f t="shared" si="153"/>
        <v>0.77777777777777779</v>
      </c>
      <c r="Y385">
        <f>step3_validation[[#This Row],[AI_TRU2]]</f>
        <v>8</v>
      </c>
      <c r="Z385">
        <f t="shared" si="154"/>
        <v>0.77777777777777779</v>
      </c>
      <c r="AA385">
        <f>survey_responses[[#This Row],[Tôi thấy mức thuế tôi phải đóng theo phương án mới là công bằng (người thu nhập như tôi đóng mức này là hợp lý). - HUMAN-TRU2]]</f>
        <v>10</v>
      </c>
      <c r="AB385">
        <f t="shared" si="155"/>
        <v>1</v>
      </c>
      <c r="AC385">
        <f>step3_validation[[#This Row],[AI_TRU3]]</f>
        <v>7</v>
      </c>
      <c r="AD385">
        <f t="shared" si="156"/>
        <v>0.66666666666666663</v>
      </c>
      <c r="AE385">
        <f>survey_responses[[#This Row],[Tôi tin tưởng số tiền thuế tôi đóng sẽ được Nhà nước sử dụng hiệu quả để cải thiện dịch vụ công (y tế, đường xá...). - HUMAN-TRU3]]</f>
        <v>8</v>
      </c>
      <c r="AF385">
        <f t="shared" si="157"/>
        <v>0.77777777777777779</v>
      </c>
      <c r="AG385">
        <f>step3_validation[[#This Row],[AI_TRU4]]</f>
        <v>6</v>
      </c>
      <c r="AH385">
        <f t="shared" si="158"/>
        <v>0.55555555555555558</v>
      </c>
      <c r="AI385">
        <f>survey_responses[[#This Row],[Tôi thấy Nhà nước đã giải thích rõ ràng, minh bạch về lý do và mục tiêu của việc sửa đổi thuế lần này. - HUMAN-TRU4]]</f>
        <v>7</v>
      </c>
      <c r="AJ385">
        <f t="shared" si="159"/>
        <v>0.66666666666666663</v>
      </c>
      <c r="AK385" s="32">
        <f t="shared" si="160"/>
        <v>0.66666666666666674</v>
      </c>
      <c r="AL385" s="32">
        <f t="shared" si="161"/>
        <v>0.80555555555555547</v>
      </c>
      <c r="AM385" s="7">
        <f t="shared" si="162"/>
        <v>0.70370370370370372</v>
      </c>
      <c r="AN385" s="7">
        <f t="shared" si="163"/>
        <v>0.74999999999999989</v>
      </c>
      <c r="AO385">
        <f>step3_validation[[#This Row],[AI_OUT1]]</f>
        <v>8</v>
      </c>
      <c r="AP385">
        <f t="shared" si="164"/>
        <v>0.77777777777777779</v>
      </c>
      <c r="AQ385">
        <f>survey_responses[[#This Row],[Sau khi xem xét các quyền lợi và nghĩa vụ, bạn có ủng hộ và tuân thủ chính sách mới hiện nay? - HUMAN-OUT1]]</f>
        <v>10</v>
      </c>
      <c r="AR385">
        <f t="shared" si="165"/>
        <v>1</v>
      </c>
      <c r="AS385" s="32">
        <f t="shared" si="166"/>
        <v>2</v>
      </c>
      <c r="AT385">
        <f t="shared" si="167"/>
        <v>1</v>
      </c>
    </row>
    <row r="386" spans="1:46" x14ac:dyDescent="0.45">
      <c r="A386">
        <f>step3_validation[[#This Row],[AI_ENF1]]</f>
        <v>6</v>
      </c>
      <c r="B386">
        <f t="shared" si="140"/>
        <v>0.55555555555555558</v>
      </c>
      <c r="C386">
        <f>survey_responses[[#This Row],[Tôi tin rằng với các quy định quản lý thuế hiện nay, hành vi gian lận hoặc trốn thuế sẽ dễ dàng bị phát hiện và xử lý nghiêm. - HUMAN-ENF1]]</f>
        <v>3</v>
      </c>
      <c r="D386">
        <f t="shared" si="141"/>
        <v>0.22222222222222221</v>
      </c>
      <c r="E386">
        <f>step3_validation[[#This Row],[AI_ENF2]]</f>
        <v>7</v>
      </c>
      <c r="F386">
        <f t="shared" si="142"/>
        <v>0.66666666666666663</v>
      </c>
      <c r="G386">
        <f>survey_responses[[#This Row],[Tôi tin rằng Nhà nước, cơ quan thuế có đủ khả năng và công nghệ để phát hiện, xử lý nghiêm các hành vi trốn thuế. - HUMAN-ENF2]]</f>
        <v>3</v>
      </c>
      <c r="H386">
        <f t="shared" si="143"/>
        <v>0.22222222222222221</v>
      </c>
      <c r="I386" s="32">
        <f t="shared" si="144"/>
        <v>0.61111111111111116</v>
      </c>
      <c r="J386" s="32">
        <f t="shared" si="145"/>
        <v>0.22222222222222221</v>
      </c>
      <c r="K386">
        <f>step3_validation[[#This Row],[AI_FAC1]]</f>
        <v>8</v>
      </c>
      <c r="L386">
        <f t="shared" si="146"/>
        <v>0.77777777777777779</v>
      </c>
      <c r="M386">
        <f>survey_responses[[#This Row],[Các thủ tục khai báo thuế VÀ/HOẶC quy trình làm việc với cơ quan thuế đơn giản, tiện lợi, nhanh chóng hơn so với trước đây. - HUMAN-FAC1]]</f>
        <v>4</v>
      </c>
      <c r="N386">
        <f t="shared" si="147"/>
        <v>0.33333333333333331</v>
      </c>
      <c r="O386">
        <f>step3_validation[[#This Row],[AI_FAC2]]</f>
        <v>6</v>
      </c>
      <c r="P386">
        <f t="shared" si="148"/>
        <v>0.55555555555555558</v>
      </c>
      <c r="Q386">
        <f>survey_responses[[#This Row],[So với trước đây, tôi thấy cách tính thuế và các bậc thuế trong phương án mới đơn giản, dễ hiểu và dễ thực hiện hơn. - HUMAN-FAC2]]</f>
        <v>6</v>
      </c>
      <c r="R386">
        <f t="shared" si="149"/>
        <v>0.55555555555555558</v>
      </c>
      <c r="S386" s="32">
        <f t="shared" si="150"/>
        <v>0.66666666666666674</v>
      </c>
      <c r="T386" s="32">
        <f t="shared" si="151"/>
        <v>0.44444444444444442</v>
      </c>
      <c r="U386">
        <f>step3_validation[[#This Row],[AI_TRU1]]</f>
        <v>7</v>
      </c>
      <c r="V386">
        <f t="shared" si="152"/>
        <v>0.66666666666666663</v>
      </c>
      <c r="W386">
        <f>survey_responses[[#This Row],[Tôi tin rằng Nhà nước, cơ quan thuế sẽ thực thi chính sách mới một cách khách quan, công tâm và đối xử bình đẳng với mọi người nộp thuế.  - HUMAN-TRU1]]</f>
        <v>4</v>
      </c>
      <c r="X386">
        <f t="shared" si="153"/>
        <v>0.33333333333333331</v>
      </c>
      <c r="Y386">
        <f>step3_validation[[#This Row],[AI_TRU2]]</f>
        <v>8</v>
      </c>
      <c r="Z386">
        <f t="shared" si="154"/>
        <v>0.77777777777777779</v>
      </c>
      <c r="AA386">
        <f>survey_responses[[#This Row],[Tôi thấy mức thuế tôi phải đóng theo phương án mới là công bằng (người thu nhập như tôi đóng mức này là hợp lý). - HUMAN-TRU2]]</f>
        <v>5</v>
      </c>
      <c r="AB386">
        <f t="shared" si="155"/>
        <v>0.44444444444444442</v>
      </c>
      <c r="AC386">
        <f>step3_validation[[#This Row],[AI_TRU3]]</f>
        <v>6</v>
      </c>
      <c r="AD386">
        <f t="shared" si="156"/>
        <v>0.55555555555555558</v>
      </c>
      <c r="AE386">
        <f>survey_responses[[#This Row],[Tôi tin tưởng số tiền thuế tôi đóng sẽ được Nhà nước sử dụng hiệu quả để cải thiện dịch vụ công (y tế, đường xá...). - HUMAN-TRU3]]</f>
        <v>4</v>
      </c>
      <c r="AF386">
        <f t="shared" si="157"/>
        <v>0.33333333333333331</v>
      </c>
      <c r="AG386">
        <f>step3_validation[[#This Row],[AI_TRU4]]</f>
        <v>7</v>
      </c>
      <c r="AH386">
        <f t="shared" si="158"/>
        <v>0.66666666666666663</v>
      </c>
      <c r="AI386">
        <f>survey_responses[[#This Row],[Tôi thấy Nhà nước đã giải thích rõ ràng, minh bạch về lý do và mục tiêu của việc sửa đổi thuế lần này. - HUMAN-TRU4]]</f>
        <v>5</v>
      </c>
      <c r="AJ386">
        <f t="shared" si="159"/>
        <v>0.44444444444444442</v>
      </c>
      <c r="AK386" s="32">
        <f t="shared" si="160"/>
        <v>0.66666666666666663</v>
      </c>
      <c r="AL386" s="32">
        <f t="shared" si="161"/>
        <v>0.38888888888888884</v>
      </c>
      <c r="AM386" s="7">
        <f t="shared" si="162"/>
        <v>0.64814814814814825</v>
      </c>
      <c r="AN386" s="7">
        <f t="shared" si="163"/>
        <v>0.3518518518518518</v>
      </c>
      <c r="AO386">
        <f>step3_validation[[#This Row],[AI_OUT1]]</f>
        <v>6</v>
      </c>
      <c r="AP386">
        <f t="shared" si="164"/>
        <v>0.55555555555555558</v>
      </c>
      <c r="AQ386">
        <f>survey_responses[[#This Row],[Sau khi xem xét các quyền lợi và nghĩa vụ, bạn có ủng hộ và tuân thủ chính sách mới hiện nay? - HUMAN-OUT1]]</f>
        <v>5</v>
      </c>
      <c r="AR386">
        <f t="shared" si="165"/>
        <v>0.44444444444444442</v>
      </c>
      <c r="AS386" s="32">
        <f t="shared" si="166"/>
        <v>1</v>
      </c>
      <c r="AT386">
        <f t="shared" si="167"/>
        <v>0</v>
      </c>
    </row>
    <row r="387" spans="1:46" x14ac:dyDescent="0.45">
      <c r="A387">
        <f>step3_validation[[#This Row],[AI_ENF1]]</f>
        <v>7</v>
      </c>
      <c r="B387">
        <f t="shared" ref="B387:B404" si="168">(A387-1)/9</f>
        <v>0.66666666666666663</v>
      </c>
      <c r="C387">
        <f>survey_responses[[#This Row],[Tôi tin rằng với các quy định quản lý thuế hiện nay, hành vi gian lận hoặc trốn thuế sẽ dễ dàng bị phát hiện và xử lý nghiêm. - HUMAN-ENF1]]</f>
        <v>8</v>
      </c>
      <c r="D387">
        <f t="shared" ref="D387:D404" si="169">(C387-1)/9</f>
        <v>0.77777777777777779</v>
      </c>
      <c r="E387">
        <f>step3_validation[[#This Row],[AI_ENF2]]</f>
        <v>6</v>
      </c>
      <c r="F387">
        <f t="shared" ref="F387:F404" si="170">(E387-1)/9</f>
        <v>0.55555555555555558</v>
      </c>
      <c r="G387">
        <f>survey_responses[[#This Row],[Tôi tin rằng Nhà nước, cơ quan thuế có đủ khả năng và công nghệ để phát hiện, xử lý nghiêm các hành vi trốn thuế. - HUMAN-ENF2]]</f>
        <v>8</v>
      </c>
      <c r="H387">
        <f t="shared" ref="H387:H404" si="171">(G387-1)/9</f>
        <v>0.77777777777777779</v>
      </c>
      <c r="I387" s="32">
        <f t="shared" ref="I387:I404" si="172">AVERAGE(B387,F387)</f>
        <v>0.61111111111111116</v>
      </c>
      <c r="J387" s="32">
        <f t="shared" ref="J387:J404" si="173">AVERAGE(D387,H387)</f>
        <v>0.77777777777777779</v>
      </c>
      <c r="K387">
        <f>step3_validation[[#This Row],[AI_FAC1]]</f>
        <v>8</v>
      </c>
      <c r="L387">
        <f t="shared" ref="L387:L404" si="174">(K387-1)/9</f>
        <v>0.77777777777777779</v>
      </c>
      <c r="M387">
        <f>survey_responses[[#This Row],[Các thủ tục khai báo thuế VÀ/HOẶC quy trình làm việc với cơ quan thuế đơn giản, tiện lợi, nhanh chóng hơn so với trước đây. - HUMAN-FAC1]]</f>
        <v>9</v>
      </c>
      <c r="N387">
        <f t="shared" ref="N387:N404" si="175">(M387-1)/9</f>
        <v>0.88888888888888884</v>
      </c>
      <c r="O387">
        <f>step3_validation[[#This Row],[AI_FAC2]]</f>
        <v>9</v>
      </c>
      <c r="P387">
        <f t="shared" ref="P387:P404" si="176">(O387-1)/9</f>
        <v>0.88888888888888884</v>
      </c>
      <c r="Q387">
        <f>survey_responses[[#This Row],[So với trước đây, tôi thấy cách tính thuế và các bậc thuế trong phương án mới đơn giản, dễ hiểu và dễ thực hiện hơn. - HUMAN-FAC2]]</f>
        <v>8</v>
      </c>
      <c r="R387">
        <f t="shared" ref="R387:R404" si="177">(Q387-1)/9</f>
        <v>0.77777777777777779</v>
      </c>
      <c r="S387" s="32">
        <f t="shared" ref="S387:S404" si="178">AVERAGE(L387,P387)</f>
        <v>0.83333333333333326</v>
      </c>
      <c r="T387" s="32">
        <f t="shared" ref="T387:T404" si="179">AVERAGE(N387,R387)</f>
        <v>0.83333333333333326</v>
      </c>
      <c r="U387">
        <f>step3_validation[[#This Row],[AI_TRU1]]</f>
        <v>7</v>
      </c>
      <c r="V387">
        <f t="shared" ref="V387:V404" si="180">(U387-1)/9</f>
        <v>0.66666666666666663</v>
      </c>
      <c r="W387">
        <f>survey_responses[[#This Row],[Tôi tin rằng Nhà nước, cơ quan thuế sẽ thực thi chính sách mới một cách khách quan, công tâm và đối xử bình đẳng với mọi người nộp thuế.  - HUMAN-TRU1]]</f>
        <v>7</v>
      </c>
      <c r="X387">
        <f t="shared" ref="X387:X404" si="181">(W387-1)/9</f>
        <v>0.66666666666666663</v>
      </c>
      <c r="Y387">
        <f>step3_validation[[#This Row],[AI_TRU2]]</f>
        <v>6</v>
      </c>
      <c r="Z387">
        <f t="shared" ref="Z387:Z404" si="182">(Y387-1)/9</f>
        <v>0.55555555555555558</v>
      </c>
      <c r="AA387">
        <f>survey_responses[[#This Row],[Tôi thấy mức thuế tôi phải đóng theo phương án mới là công bằng (người thu nhập như tôi đóng mức này là hợp lý). - HUMAN-TRU2]]</f>
        <v>8</v>
      </c>
      <c r="AB387">
        <f t="shared" ref="AB387:AB404" si="183">(AA387-1)/9</f>
        <v>0.77777777777777779</v>
      </c>
      <c r="AC387">
        <f>step3_validation[[#This Row],[AI_TRU3]]</f>
        <v>7</v>
      </c>
      <c r="AD387">
        <f t="shared" ref="AD387:AD404" si="184">(AC387-1)/9</f>
        <v>0.66666666666666663</v>
      </c>
      <c r="AE387">
        <f>survey_responses[[#This Row],[Tôi tin tưởng số tiền thuế tôi đóng sẽ được Nhà nước sử dụng hiệu quả để cải thiện dịch vụ công (y tế, đường xá...). - HUMAN-TRU3]]</f>
        <v>7</v>
      </c>
      <c r="AF387">
        <f t="shared" ref="AF387:AF404" si="185">(AE387-1)/9</f>
        <v>0.66666666666666663</v>
      </c>
      <c r="AG387">
        <f>step3_validation[[#This Row],[AI_TRU4]]</f>
        <v>5</v>
      </c>
      <c r="AH387">
        <f t="shared" ref="AH387:AH404" si="186">(AG387-1)/9</f>
        <v>0.44444444444444442</v>
      </c>
      <c r="AI387">
        <f>survey_responses[[#This Row],[Tôi thấy Nhà nước đã giải thích rõ ràng, minh bạch về lý do và mục tiêu của việc sửa đổi thuế lần này. - HUMAN-TRU4]]</f>
        <v>7</v>
      </c>
      <c r="AJ387">
        <f t="shared" ref="AJ387:AJ404" si="187">(AI387-1)/9</f>
        <v>0.66666666666666663</v>
      </c>
      <c r="AK387" s="32">
        <f t="shared" ref="AK387:AK404" si="188">AVERAGE(V387,Z387,AD387,AH387)</f>
        <v>0.58333333333333326</v>
      </c>
      <c r="AL387" s="32">
        <f t="shared" ref="AL387:AL404" si="189">AVERAGE(X387,AB387,AF387,AJ387)</f>
        <v>0.69444444444444442</v>
      </c>
      <c r="AM387" s="7">
        <f t="shared" ref="AM387:AM404" si="190">(I387+S387+AK387)/3</f>
        <v>0.67592592592592593</v>
      </c>
      <c r="AN387" s="7">
        <f t="shared" ref="AN387:AN404" si="191">(J387+T387+AL387)/3</f>
        <v>0.76851851851851849</v>
      </c>
      <c r="AO387">
        <f>step3_validation[[#This Row],[AI_OUT1]]</f>
        <v>7</v>
      </c>
      <c r="AP387">
        <f t="shared" ref="AP387:AP404" si="192">(AO387-1)/9</f>
        <v>0.66666666666666663</v>
      </c>
      <c r="AQ387">
        <f>survey_responses[[#This Row],[Sau khi xem xét các quyền lợi và nghĩa vụ, bạn có ủng hộ và tuân thủ chính sách mới hiện nay? - HUMAN-OUT1]]</f>
        <v>8</v>
      </c>
      <c r="AR387">
        <f t="shared" ref="AR387:AR404" si="193">(AQ387-1)/9</f>
        <v>0.77777777777777779</v>
      </c>
      <c r="AS387" s="32">
        <f t="shared" ref="AS387:AS404" si="194">ABS(AQ387-AO387)</f>
        <v>1</v>
      </c>
      <c r="AT387">
        <f t="shared" ref="AT387:AT404" si="195">IF(AQ387&gt;=6,1,0)</f>
        <v>1</v>
      </c>
    </row>
    <row r="388" spans="1:46" x14ac:dyDescent="0.45">
      <c r="A388">
        <f>step3_validation[[#This Row],[AI_ENF1]]</f>
        <v>8</v>
      </c>
      <c r="B388">
        <f t="shared" si="168"/>
        <v>0.77777777777777779</v>
      </c>
      <c r="C388">
        <f>survey_responses[[#This Row],[Tôi tin rằng với các quy định quản lý thuế hiện nay, hành vi gian lận hoặc trốn thuế sẽ dễ dàng bị phát hiện và xử lý nghiêm. - HUMAN-ENF1]]</f>
        <v>5</v>
      </c>
      <c r="D388">
        <f t="shared" si="169"/>
        <v>0.44444444444444442</v>
      </c>
      <c r="E388">
        <f>step3_validation[[#This Row],[AI_ENF2]]</f>
        <v>7</v>
      </c>
      <c r="F388">
        <f t="shared" si="170"/>
        <v>0.66666666666666663</v>
      </c>
      <c r="G388">
        <f>survey_responses[[#This Row],[Tôi tin rằng Nhà nước, cơ quan thuế có đủ khả năng và công nghệ để phát hiện, xử lý nghiêm các hành vi trốn thuế. - HUMAN-ENF2]]</f>
        <v>5</v>
      </c>
      <c r="H388">
        <f t="shared" si="171"/>
        <v>0.44444444444444442</v>
      </c>
      <c r="I388" s="32">
        <f t="shared" si="172"/>
        <v>0.72222222222222221</v>
      </c>
      <c r="J388" s="32">
        <f t="shared" si="173"/>
        <v>0.44444444444444442</v>
      </c>
      <c r="K388">
        <f>step3_validation[[#This Row],[AI_FAC1]]</f>
        <v>9</v>
      </c>
      <c r="L388">
        <f t="shared" si="174"/>
        <v>0.88888888888888884</v>
      </c>
      <c r="M388">
        <f>survey_responses[[#This Row],[Các thủ tục khai báo thuế VÀ/HOẶC quy trình làm việc với cơ quan thuế đơn giản, tiện lợi, nhanh chóng hơn so với trước đây. - HUMAN-FAC1]]</f>
        <v>5</v>
      </c>
      <c r="N388">
        <f t="shared" si="175"/>
        <v>0.44444444444444442</v>
      </c>
      <c r="O388">
        <f>step3_validation[[#This Row],[AI_FAC2]]</f>
        <v>8</v>
      </c>
      <c r="P388">
        <f t="shared" si="176"/>
        <v>0.77777777777777779</v>
      </c>
      <c r="Q388">
        <f>survey_responses[[#This Row],[So với trước đây, tôi thấy cách tính thuế và các bậc thuế trong phương án mới đơn giản, dễ hiểu và dễ thực hiện hơn. - HUMAN-FAC2]]</f>
        <v>5</v>
      </c>
      <c r="R388">
        <f t="shared" si="177"/>
        <v>0.44444444444444442</v>
      </c>
      <c r="S388" s="32">
        <f t="shared" si="178"/>
        <v>0.83333333333333326</v>
      </c>
      <c r="T388" s="32">
        <f t="shared" si="179"/>
        <v>0.44444444444444442</v>
      </c>
      <c r="U388">
        <f>step3_validation[[#This Row],[AI_TRU1]]</f>
        <v>7</v>
      </c>
      <c r="V388">
        <f t="shared" si="180"/>
        <v>0.66666666666666663</v>
      </c>
      <c r="W388">
        <f>survey_responses[[#This Row],[Tôi tin rằng Nhà nước, cơ quan thuế sẽ thực thi chính sách mới một cách khách quan, công tâm và đối xử bình đẳng với mọi người nộp thuế.  - HUMAN-TRU1]]</f>
        <v>5</v>
      </c>
      <c r="X388">
        <f t="shared" si="181"/>
        <v>0.44444444444444442</v>
      </c>
      <c r="Y388">
        <f>step3_validation[[#This Row],[AI_TRU2]]</f>
        <v>6</v>
      </c>
      <c r="Z388">
        <f t="shared" si="182"/>
        <v>0.55555555555555558</v>
      </c>
      <c r="AA388">
        <f>survey_responses[[#This Row],[Tôi thấy mức thuế tôi phải đóng theo phương án mới là công bằng (người thu nhập như tôi đóng mức này là hợp lý). - HUMAN-TRU2]]</f>
        <v>5</v>
      </c>
      <c r="AB388">
        <f t="shared" si="183"/>
        <v>0.44444444444444442</v>
      </c>
      <c r="AC388">
        <f>step3_validation[[#This Row],[AI_TRU3]]</f>
        <v>5</v>
      </c>
      <c r="AD388">
        <f t="shared" si="184"/>
        <v>0.44444444444444442</v>
      </c>
      <c r="AE388">
        <f>survey_responses[[#This Row],[Tôi tin tưởng số tiền thuế tôi đóng sẽ được Nhà nước sử dụng hiệu quả để cải thiện dịch vụ công (y tế, đường xá...). - HUMAN-TRU3]]</f>
        <v>5</v>
      </c>
      <c r="AF388">
        <f t="shared" si="185"/>
        <v>0.44444444444444442</v>
      </c>
      <c r="AG388">
        <f>step3_validation[[#This Row],[AI_TRU4]]</f>
        <v>6</v>
      </c>
      <c r="AH388">
        <f t="shared" si="186"/>
        <v>0.55555555555555558</v>
      </c>
      <c r="AI388">
        <f>survey_responses[[#This Row],[Tôi thấy Nhà nước đã giải thích rõ ràng, minh bạch về lý do và mục tiêu của việc sửa đổi thuế lần này. - HUMAN-TRU4]]</f>
        <v>5</v>
      </c>
      <c r="AJ388">
        <f t="shared" si="187"/>
        <v>0.44444444444444442</v>
      </c>
      <c r="AK388" s="32">
        <f t="shared" si="188"/>
        <v>0.55555555555555558</v>
      </c>
      <c r="AL388" s="32">
        <f t="shared" si="189"/>
        <v>0.44444444444444442</v>
      </c>
      <c r="AM388" s="7">
        <f t="shared" si="190"/>
        <v>0.70370370370370361</v>
      </c>
      <c r="AN388" s="7">
        <f t="shared" si="191"/>
        <v>0.44444444444444442</v>
      </c>
      <c r="AO388">
        <f>step3_validation[[#This Row],[AI_OUT1]]</f>
        <v>7</v>
      </c>
      <c r="AP388">
        <f t="shared" si="192"/>
        <v>0.66666666666666663</v>
      </c>
      <c r="AQ388">
        <f>survey_responses[[#This Row],[Sau khi xem xét các quyền lợi và nghĩa vụ, bạn có ủng hộ và tuân thủ chính sách mới hiện nay? - HUMAN-OUT1]]</f>
        <v>5</v>
      </c>
      <c r="AR388">
        <f t="shared" si="193"/>
        <v>0.44444444444444442</v>
      </c>
      <c r="AS388" s="32">
        <f t="shared" si="194"/>
        <v>2</v>
      </c>
      <c r="AT388">
        <f t="shared" si="195"/>
        <v>0</v>
      </c>
    </row>
    <row r="389" spans="1:46" x14ac:dyDescent="0.45">
      <c r="A389">
        <f>step3_validation[[#This Row],[AI_ENF1]]</f>
        <v>7</v>
      </c>
      <c r="B389">
        <f t="shared" si="168"/>
        <v>0.66666666666666663</v>
      </c>
      <c r="C389">
        <f>survey_responses[[#This Row],[Tôi tin rằng với các quy định quản lý thuế hiện nay, hành vi gian lận hoặc trốn thuế sẽ dễ dàng bị phát hiện và xử lý nghiêm. - HUMAN-ENF1]]</f>
        <v>7</v>
      </c>
      <c r="D389">
        <f t="shared" si="169"/>
        <v>0.66666666666666663</v>
      </c>
      <c r="E389">
        <f>step3_validation[[#This Row],[AI_ENF2]]</f>
        <v>6</v>
      </c>
      <c r="F389">
        <f t="shared" si="170"/>
        <v>0.55555555555555558</v>
      </c>
      <c r="G389">
        <f>survey_responses[[#This Row],[Tôi tin rằng Nhà nước, cơ quan thuế có đủ khả năng và công nghệ để phát hiện, xử lý nghiêm các hành vi trốn thuế. - HUMAN-ENF2]]</f>
        <v>7</v>
      </c>
      <c r="H389">
        <f t="shared" si="171"/>
        <v>0.66666666666666663</v>
      </c>
      <c r="I389" s="32">
        <f t="shared" si="172"/>
        <v>0.61111111111111116</v>
      </c>
      <c r="J389" s="32">
        <f t="shared" si="173"/>
        <v>0.66666666666666663</v>
      </c>
      <c r="K389">
        <f>step3_validation[[#This Row],[AI_FAC1]]</f>
        <v>8</v>
      </c>
      <c r="L389">
        <f t="shared" si="174"/>
        <v>0.77777777777777779</v>
      </c>
      <c r="M389">
        <f>survey_responses[[#This Row],[Các thủ tục khai báo thuế VÀ/HOẶC quy trình làm việc với cơ quan thuế đơn giản, tiện lợi, nhanh chóng hơn so với trước đây. - HUMAN-FAC1]]</f>
        <v>5</v>
      </c>
      <c r="N389">
        <f t="shared" si="175"/>
        <v>0.44444444444444442</v>
      </c>
      <c r="O389">
        <f>step3_validation[[#This Row],[AI_FAC2]]</f>
        <v>9</v>
      </c>
      <c r="P389">
        <f t="shared" si="176"/>
        <v>0.88888888888888884</v>
      </c>
      <c r="Q389">
        <f>survey_responses[[#This Row],[So với trước đây, tôi thấy cách tính thuế và các bậc thuế trong phương án mới đơn giản, dễ hiểu và dễ thực hiện hơn. - HUMAN-FAC2]]</f>
        <v>8</v>
      </c>
      <c r="R389">
        <f t="shared" si="177"/>
        <v>0.77777777777777779</v>
      </c>
      <c r="S389" s="32">
        <f t="shared" si="178"/>
        <v>0.83333333333333326</v>
      </c>
      <c r="T389" s="32">
        <f t="shared" si="179"/>
        <v>0.61111111111111116</v>
      </c>
      <c r="U389">
        <f>step3_validation[[#This Row],[AI_TRU1]]</f>
        <v>6</v>
      </c>
      <c r="V389">
        <f t="shared" si="180"/>
        <v>0.55555555555555558</v>
      </c>
      <c r="W389">
        <f>survey_responses[[#This Row],[Tôi tin rằng Nhà nước, cơ quan thuế sẽ thực thi chính sách mới một cách khách quan, công tâm và đối xử bình đẳng với mọi người nộp thuế.  - HUMAN-TRU1]]</f>
        <v>6</v>
      </c>
      <c r="X389">
        <f t="shared" si="181"/>
        <v>0.55555555555555558</v>
      </c>
      <c r="Y389">
        <f>step3_validation[[#This Row],[AI_TRU2]]</f>
        <v>7</v>
      </c>
      <c r="Z389">
        <f t="shared" si="182"/>
        <v>0.66666666666666663</v>
      </c>
      <c r="AA389">
        <f>survey_responses[[#This Row],[Tôi thấy mức thuế tôi phải đóng theo phương án mới là công bằng (người thu nhập như tôi đóng mức này là hợp lý). - HUMAN-TRU2]]</f>
        <v>8</v>
      </c>
      <c r="AB389">
        <f t="shared" si="183"/>
        <v>0.77777777777777779</v>
      </c>
      <c r="AC389">
        <f>step3_validation[[#This Row],[AI_TRU3]]</f>
        <v>5</v>
      </c>
      <c r="AD389">
        <f t="shared" si="184"/>
        <v>0.44444444444444442</v>
      </c>
      <c r="AE389">
        <f>survey_responses[[#This Row],[Tôi tin tưởng số tiền thuế tôi đóng sẽ được Nhà nước sử dụng hiệu quả để cải thiện dịch vụ công (y tế, đường xá...). - HUMAN-TRU3]]</f>
        <v>5</v>
      </c>
      <c r="AF389">
        <f t="shared" si="185"/>
        <v>0.44444444444444442</v>
      </c>
      <c r="AG389">
        <f>step3_validation[[#This Row],[AI_TRU4]]</f>
        <v>6</v>
      </c>
      <c r="AH389">
        <f t="shared" si="186"/>
        <v>0.55555555555555558</v>
      </c>
      <c r="AI389">
        <f>survey_responses[[#This Row],[Tôi thấy Nhà nước đã giải thích rõ ràng, minh bạch về lý do và mục tiêu của việc sửa đổi thuế lần này. - HUMAN-TRU4]]</f>
        <v>5</v>
      </c>
      <c r="AJ389">
        <f t="shared" si="187"/>
        <v>0.44444444444444442</v>
      </c>
      <c r="AK389" s="32">
        <f t="shared" si="188"/>
        <v>0.55555555555555558</v>
      </c>
      <c r="AL389" s="32">
        <f t="shared" si="189"/>
        <v>0.55555555555555558</v>
      </c>
      <c r="AM389" s="7">
        <f t="shared" si="190"/>
        <v>0.66666666666666663</v>
      </c>
      <c r="AN389" s="7">
        <f t="shared" si="191"/>
        <v>0.61111111111111105</v>
      </c>
      <c r="AO389">
        <f>step3_validation[[#This Row],[AI_OUT1]]</f>
        <v>7</v>
      </c>
      <c r="AP389">
        <f t="shared" si="192"/>
        <v>0.66666666666666663</v>
      </c>
      <c r="AQ389">
        <f>survey_responses[[#This Row],[Sau khi xem xét các quyền lợi và nghĩa vụ, bạn có ủng hộ và tuân thủ chính sách mới hiện nay? - HUMAN-OUT1]]</f>
        <v>8</v>
      </c>
      <c r="AR389">
        <f t="shared" si="193"/>
        <v>0.77777777777777779</v>
      </c>
      <c r="AS389" s="32">
        <f t="shared" si="194"/>
        <v>1</v>
      </c>
      <c r="AT389">
        <f t="shared" si="195"/>
        <v>1</v>
      </c>
    </row>
    <row r="390" spans="1:46" x14ac:dyDescent="0.45">
      <c r="A390">
        <f>step3_validation[[#This Row],[AI_ENF1]]</f>
        <v>7</v>
      </c>
      <c r="B390">
        <f t="shared" si="168"/>
        <v>0.66666666666666663</v>
      </c>
      <c r="C390">
        <f>survey_responses[[#This Row],[Tôi tin rằng với các quy định quản lý thuế hiện nay, hành vi gian lận hoặc trốn thuế sẽ dễ dàng bị phát hiện và xử lý nghiêm. - HUMAN-ENF1]]</f>
        <v>6</v>
      </c>
      <c r="D390">
        <f t="shared" si="169"/>
        <v>0.55555555555555558</v>
      </c>
      <c r="E390">
        <f>step3_validation[[#This Row],[AI_ENF2]]</f>
        <v>8</v>
      </c>
      <c r="F390">
        <f t="shared" si="170"/>
        <v>0.77777777777777779</v>
      </c>
      <c r="G390">
        <f>survey_responses[[#This Row],[Tôi tin rằng Nhà nước, cơ quan thuế có đủ khả năng và công nghệ để phát hiện, xử lý nghiêm các hành vi trốn thuế. - HUMAN-ENF2]]</f>
        <v>8</v>
      </c>
      <c r="H390">
        <f t="shared" si="171"/>
        <v>0.77777777777777779</v>
      </c>
      <c r="I390" s="32">
        <f t="shared" si="172"/>
        <v>0.72222222222222221</v>
      </c>
      <c r="J390" s="32">
        <f t="shared" si="173"/>
        <v>0.66666666666666674</v>
      </c>
      <c r="K390">
        <f>step3_validation[[#This Row],[AI_FAC1]]</f>
        <v>9</v>
      </c>
      <c r="L390">
        <f t="shared" si="174"/>
        <v>0.88888888888888884</v>
      </c>
      <c r="M390">
        <f>survey_responses[[#This Row],[Các thủ tục khai báo thuế VÀ/HOẶC quy trình làm việc với cơ quan thuế đơn giản, tiện lợi, nhanh chóng hơn so với trước đây. - HUMAN-FAC1]]</f>
        <v>7</v>
      </c>
      <c r="N390">
        <f t="shared" si="175"/>
        <v>0.66666666666666663</v>
      </c>
      <c r="O390">
        <f>step3_validation[[#This Row],[AI_FAC2]]</f>
        <v>8</v>
      </c>
      <c r="P390">
        <f t="shared" si="176"/>
        <v>0.77777777777777779</v>
      </c>
      <c r="Q390">
        <f>survey_responses[[#This Row],[So với trước đây, tôi thấy cách tính thuế và các bậc thuế trong phương án mới đơn giản, dễ hiểu và dễ thực hiện hơn. - HUMAN-FAC2]]</f>
        <v>8</v>
      </c>
      <c r="R390">
        <f t="shared" si="177"/>
        <v>0.77777777777777779</v>
      </c>
      <c r="S390" s="32">
        <f t="shared" si="178"/>
        <v>0.83333333333333326</v>
      </c>
      <c r="T390" s="32">
        <f t="shared" si="179"/>
        <v>0.72222222222222221</v>
      </c>
      <c r="U390">
        <f>step3_validation[[#This Row],[AI_TRU1]]</f>
        <v>9</v>
      </c>
      <c r="V390">
        <f t="shared" si="180"/>
        <v>0.88888888888888884</v>
      </c>
      <c r="W390">
        <f>survey_responses[[#This Row],[Tôi tin rằng Nhà nước, cơ quan thuế sẽ thực thi chính sách mới một cách khách quan, công tâm và đối xử bình đẳng với mọi người nộp thuế.  - HUMAN-TRU1]]</f>
        <v>6</v>
      </c>
      <c r="X390">
        <f t="shared" si="181"/>
        <v>0.55555555555555558</v>
      </c>
      <c r="Y390">
        <f>step3_validation[[#This Row],[AI_TRU2]]</f>
        <v>6</v>
      </c>
      <c r="Z390">
        <f t="shared" si="182"/>
        <v>0.55555555555555558</v>
      </c>
      <c r="AA390">
        <f>survey_responses[[#This Row],[Tôi thấy mức thuế tôi phải đóng theo phương án mới là công bằng (người thu nhập như tôi đóng mức này là hợp lý). - HUMAN-TRU2]]</f>
        <v>8</v>
      </c>
      <c r="AB390">
        <f t="shared" si="183"/>
        <v>0.77777777777777779</v>
      </c>
      <c r="AC390">
        <f>step3_validation[[#This Row],[AI_TRU3]]</f>
        <v>8</v>
      </c>
      <c r="AD390">
        <f t="shared" si="184"/>
        <v>0.77777777777777779</v>
      </c>
      <c r="AE390">
        <f>survey_responses[[#This Row],[Tôi tin tưởng số tiền thuế tôi đóng sẽ được Nhà nước sử dụng hiệu quả để cải thiện dịch vụ công (y tế, đường xá...). - HUMAN-TRU3]]</f>
        <v>5</v>
      </c>
      <c r="AF390">
        <f t="shared" si="185"/>
        <v>0.44444444444444442</v>
      </c>
      <c r="AG390">
        <f>step3_validation[[#This Row],[AI_TRU4]]</f>
        <v>7</v>
      </c>
      <c r="AH390">
        <f t="shared" si="186"/>
        <v>0.66666666666666663</v>
      </c>
      <c r="AI390">
        <f>survey_responses[[#This Row],[Tôi thấy Nhà nước đã giải thích rõ ràng, minh bạch về lý do và mục tiêu của việc sửa đổi thuế lần này. - HUMAN-TRU4]]</f>
        <v>5</v>
      </c>
      <c r="AJ390">
        <f t="shared" si="187"/>
        <v>0.44444444444444442</v>
      </c>
      <c r="AK390" s="32">
        <f t="shared" si="188"/>
        <v>0.72222222222222221</v>
      </c>
      <c r="AL390" s="32">
        <f t="shared" si="189"/>
        <v>0.55555555555555558</v>
      </c>
      <c r="AM390" s="7">
        <f t="shared" si="190"/>
        <v>0.75925925925925919</v>
      </c>
      <c r="AN390" s="7">
        <f t="shared" si="191"/>
        <v>0.64814814814814814</v>
      </c>
      <c r="AO390">
        <f>step3_validation[[#This Row],[AI_OUT1]]</f>
        <v>9</v>
      </c>
      <c r="AP390">
        <f t="shared" si="192"/>
        <v>0.88888888888888884</v>
      </c>
      <c r="AQ390">
        <f>survey_responses[[#This Row],[Sau khi xem xét các quyền lợi và nghĩa vụ, bạn có ủng hộ và tuân thủ chính sách mới hiện nay? - HUMAN-OUT1]]</f>
        <v>8</v>
      </c>
      <c r="AR390">
        <f t="shared" si="193"/>
        <v>0.77777777777777779</v>
      </c>
      <c r="AS390" s="32">
        <f t="shared" si="194"/>
        <v>1</v>
      </c>
      <c r="AT390">
        <f t="shared" si="195"/>
        <v>1</v>
      </c>
    </row>
    <row r="391" spans="1:46" x14ac:dyDescent="0.45">
      <c r="A391">
        <f>step3_validation[[#This Row],[AI_ENF1]]</f>
        <v>7</v>
      </c>
      <c r="B391">
        <f t="shared" si="168"/>
        <v>0.66666666666666663</v>
      </c>
      <c r="C391">
        <f>survey_responses[[#This Row],[Tôi tin rằng với các quy định quản lý thuế hiện nay, hành vi gian lận hoặc trốn thuế sẽ dễ dàng bị phát hiện và xử lý nghiêm. - HUMAN-ENF1]]</f>
        <v>10</v>
      </c>
      <c r="D391">
        <f t="shared" si="169"/>
        <v>1</v>
      </c>
      <c r="E391">
        <f>step3_validation[[#This Row],[AI_ENF2]]</f>
        <v>7</v>
      </c>
      <c r="F391">
        <f t="shared" si="170"/>
        <v>0.66666666666666663</v>
      </c>
      <c r="G391">
        <f>survey_responses[[#This Row],[Tôi tin rằng Nhà nước, cơ quan thuế có đủ khả năng và công nghệ để phát hiện, xử lý nghiêm các hành vi trốn thuế. - HUMAN-ENF2]]</f>
        <v>10</v>
      </c>
      <c r="H391">
        <f t="shared" si="171"/>
        <v>1</v>
      </c>
      <c r="I391" s="32">
        <f t="shared" si="172"/>
        <v>0.66666666666666663</v>
      </c>
      <c r="J391" s="32">
        <f t="shared" si="173"/>
        <v>1</v>
      </c>
      <c r="K391">
        <f>step3_validation[[#This Row],[AI_FAC1]]</f>
        <v>8</v>
      </c>
      <c r="L391">
        <f t="shared" si="174"/>
        <v>0.77777777777777779</v>
      </c>
      <c r="M391">
        <f>survey_responses[[#This Row],[Các thủ tục khai báo thuế VÀ/HOẶC quy trình làm việc với cơ quan thuế đơn giản, tiện lợi, nhanh chóng hơn so với trước đây. - HUMAN-FAC1]]</f>
        <v>5</v>
      </c>
      <c r="N391">
        <f t="shared" si="175"/>
        <v>0.44444444444444442</v>
      </c>
      <c r="O391">
        <f>step3_validation[[#This Row],[AI_FAC2]]</f>
        <v>9</v>
      </c>
      <c r="P391">
        <f t="shared" si="176"/>
        <v>0.88888888888888884</v>
      </c>
      <c r="Q391">
        <f>survey_responses[[#This Row],[So với trước đây, tôi thấy cách tính thuế và các bậc thuế trong phương án mới đơn giản, dễ hiểu và dễ thực hiện hơn. - HUMAN-FAC2]]</f>
        <v>9</v>
      </c>
      <c r="R391">
        <f t="shared" si="177"/>
        <v>0.88888888888888884</v>
      </c>
      <c r="S391" s="32">
        <f t="shared" si="178"/>
        <v>0.83333333333333326</v>
      </c>
      <c r="T391" s="32">
        <f t="shared" si="179"/>
        <v>0.66666666666666663</v>
      </c>
      <c r="U391">
        <f>step3_validation[[#This Row],[AI_TRU1]]</f>
        <v>6</v>
      </c>
      <c r="V391">
        <f t="shared" si="180"/>
        <v>0.55555555555555558</v>
      </c>
      <c r="W391">
        <f>survey_responses[[#This Row],[Tôi tin rằng Nhà nước, cơ quan thuế sẽ thực thi chính sách mới một cách khách quan, công tâm và đối xử bình đẳng với mọi người nộp thuế.  - HUMAN-TRU1]]</f>
        <v>7</v>
      </c>
      <c r="X391">
        <f t="shared" si="181"/>
        <v>0.66666666666666663</v>
      </c>
      <c r="Y391">
        <f>step3_validation[[#This Row],[AI_TRU2]]</f>
        <v>7</v>
      </c>
      <c r="Z391">
        <f t="shared" si="182"/>
        <v>0.66666666666666663</v>
      </c>
      <c r="AA391">
        <f>survey_responses[[#This Row],[Tôi thấy mức thuế tôi phải đóng theo phương án mới là công bằng (người thu nhập như tôi đóng mức này là hợp lý). - HUMAN-TRU2]]</f>
        <v>8</v>
      </c>
      <c r="AB391">
        <f t="shared" si="183"/>
        <v>0.77777777777777779</v>
      </c>
      <c r="AC391">
        <f>step3_validation[[#This Row],[AI_TRU3]]</f>
        <v>6</v>
      </c>
      <c r="AD391">
        <f t="shared" si="184"/>
        <v>0.55555555555555558</v>
      </c>
      <c r="AE391">
        <f>survey_responses[[#This Row],[Tôi tin tưởng số tiền thuế tôi đóng sẽ được Nhà nước sử dụng hiệu quả để cải thiện dịch vụ công (y tế, đường xá...). - HUMAN-TRU3]]</f>
        <v>5</v>
      </c>
      <c r="AF391">
        <f t="shared" si="185"/>
        <v>0.44444444444444442</v>
      </c>
      <c r="AG391">
        <f>step3_validation[[#This Row],[AI_TRU4]]</f>
        <v>7</v>
      </c>
      <c r="AH391">
        <f t="shared" si="186"/>
        <v>0.66666666666666663</v>
      </c>
      <c r="AI391">
        <f>survey_responses[[#This Row],[Tôi thấy Nhà nước đã giải thích rõ ràng, minh bạch về lý do và mục tiêu của việc sửa đổi thuế lần này. - HUMAN-TRU4]]</f>
        <v>5</v>
      </c>
      <c r="AJ391">
        <f t="shared" si="187"/>
        <v>0.44444444444444442</v>
      </c>
      <c r="AK391" s="32">
        <f t="shared" si="188"/>
        <v>0.61111111111111116</v>
      </c>
      <c r="AL391" s="32">
        <f t="shared" si="189"/>
        <v>0.58333333333333326</v>
      </c>
      <c r="AM391" s="7">
        <f t="shared" si="190"/>
        <v>0.70370370370370372</v>
      </c>
      <c r="AN391" s="7">
        <f t="shared" si="191"/>
        <v>0.75</v>
      </c>
      <c r="AO391">
        <f>step3_validation[[#This Row],[AI_OUT1]]</f>
        <v>7</v>
      </c>
      <c r="AP391">
        <f t="shared" si="192"/>
        <v>0.66666666666666663</v>
      </c>
      <c r="AQ391">
        <f>survey_responses[[#This Row],[Sau khi xem xét các quyền lợi và nghĩa vụ, bạn có ủng hộ và tuân thủ chính sách mới hiện nay? - HUMAN-OUT1]]</f>
        <v>8</v>
      </c>
      <c r="AR391">
        <f t="shared" si="193"/>
        <v>0.77777777777777779</v>
      </c>
      <c r="AS391" s="32">
        <f t="shared" si="194"/>
        <v>1</v>
      </c>
      <c r="AT391">
        <f t="shared" si="195"/>
        <v>1</v>
      </c>
    </row>
    <row r="392" spans="1:46" x14ac:dyDescent="0.45">
      <c r="A392">
        <f>step3_validation[[#This Row],[AI_ENF1]]</f>
        <v>7</v>
      </c>
      <c r="B392">
        <f t="shared" si="168"/>
        <v>0.66666666666666663</v>
      </c>
      <c r="C392">
        <f>survey_responses[[#This Row],[Tôi tin rằng với các quy định quản lý thuế hiện nay, hành vi gian lận hoặc trốn thuế sẽ dễ dàng bị phát hiện và xử lý nghiêm. - HUMAN-ENF1]]</f>
        <v>4</v>
      </c>
      <c r="D392">
        <f t="shared" si="169"/>
        <v>0.33333333333333331</v>
      </c>
      <c r="E392">
        <f>step3_validation[[#This Row],[AI_ENF2]]</f>
        <v>8</v>
      </c>
      <c r="F392">
        <f t="shared" si="170"/>
        <v>0.77777777777777779</v>
      </c>
      <c r="G392">
        <f>survey_responses[[#This Row],[Tôi tin rằng Nhà nước, cơ quan thuế có đủ khả năng và công nghệ để phát hiện, xử lý nghiêm các hành vi trốn thuế. - HUMAN-ENF2]]</f>
        <v>5</v>
      </c>
      <c r="H392">
        <f t="shared" si="171"/>
        <v>0.44444444444444442</v>
      </c>
      <c r="I392" s="32">
        <f t="shared" si="172"/>
        <v>0.72222222222222221</v>
      </c>
      <c r="J392" s="32">
        <f t="shared" si="173"/>
        <v>0.38888888888888884</v>
      </c>
      <c r="K392">
        <f>step3_validation[[#This Row],[AI_FAC1]]</f>
        <v>6</v>
      </c>
      <c r="L392">
        <f t="shared" si="174"/>
        <v>0.55555555555555558</v>
      </c>
      <c r="M392">
        <f>survey_responses[[#This Row],[Các thủ tục khai báo thuế VÀ/HOẶC quy trình làm việc với cơ quan thuế đơn giản, tiện lợi, nhanh chóng hơn so với trước đây. - HUMAN-FAC1]]</f>
        <v>7</v>
      </c>
      <c r="N392">
        <f t="shared" si="175"/>
        <v>0.66666666666666663</v>
      </c>
      <c r="O392">
        <f>step3_validation[[#This Row],[AI_FAC2]]</f>
        <v>6</v>
      </c>
      <c r="P392">
        <f t="shared" si="176"/>
        <v>0.55555555555555558</v>
      </c>
      <c r="Q392">
        <f>survey_responses[[#This Row],[So với trước đây, tôi thấy cách tính thuế và các bậc thuế trong phương án mới đơn giản, dễ hiểu và dễ thực hiện hơn. - HUMAN-FAC2]]</f>
        <v>7</v>
      </c>
      <c r="R392">
        <f t="shared" si="177"/>
        <v>0.66666666666666663</v>
      </c>
      <c r="S392" s="32">
        <f t="shared" si="178"/>
        <v>0.55555555555555558</v>
      </c>
      <c r="T392" s="32">
        <f t="shared" si="179"/>
        <v>0.66666666666666663</v>
      </c>
      <c r="U392">
        <f>step3_validation[[#This Row],[AI_TRU1]]</f>
        <v>7</v>
      </c>
      <c r="V392">
        <f t="shared" si="180"/>
        <v>0.66666666666666663</v>
      </c>
      <c r="W392">
        <f>survey_responses[[#This Row],[Tôi tin rằng Nhà nước, cơ quan thuế sẽ thực thi chính sách mới một cách khách quan, công tâm và đối xử bình đẳng với mọi người nộp thuế.  - HUMAN-TRU1]]</f>
        <v>5</v>
      </c>
      <c r="X392">
        <f t="shared" si="181"/>
        <v>0.44444444444444442</v>
      </c>
      <c r="Y392">
        <f>step3_validation[[#This Row],[AI_TRU2]]</f>
        <v>8</v>
      </c>
      <c r="Z392">
        <f t="shared" si="182"/>
        <v>0.77777777777777779</v>
      </c>
      <c r="AA392">
        <f>survey_responses[[#This Row],[Tôi thấy mức thuế tôi phải đóng theo phương án mới là công bằng (người thu nhập như tôi đóng mức này là hợp lý). - HUMAN-TRU2]]</f>
        <v>7</v>
      </c>
      <c r="AB392">
        <f t="shared" si="183"/>
        <v>0.66666666666666663</v>
      </c>
      <c r="AC392">
        <f>step3_validation[[#This Row],[AI_TRU3]]</f>
        <v>6</v>
      </c>
      <c r="AD392">
        <f t="shared" si="184"/>
        <v>0.55555555555555558</v>
      </c>
      <c r="AE392">
        <f>survey_responses[[#This Row],[Tôi tin tưởng số tiền thuế tôi đóng sẽ được Nhà nước sử dụng hiệu quả để cải thiện dịch vụ công (y tế, đường xá...). - HUMAN-TRU3]]</f>
        <v>5</v>
      </c>
      <c r="AF392">
        <f t="shared" si="185"/>
        <v>0.44444444444444442</v>
      </c>
      <c r="AG392">
        <f>step3_validation[[#This Row],[AI_TRU4]]</f>
        <v>7</v>
      </c>
      <c r="AH392">
        <f t="shared" si="186"/>
        <v>0.66666666666666663</v>
      </c>
      <c r="AI392">
        <f>survey_responses[[#This Row],[Tôi thấy Nhà nước đã giải thích rõ ràng, minh bạch về lý do và mục tiêu của việc sửa đổi thuế lần này. - HUMAN-TRU4]]</f>
        <v>5</v>
      </c>
      <c r="AJ392">
        <f t="shared" si="187"/>
        <v>0.44444444444444442</v>
      </c>
      <c r="AK392" s="32">
        <f t="shared" si="188"/>
        <v>0.66666666666666663</v>
      </c>
      <c r="AL392" s="32">
        <f t="shared" si="189"/>
        <v>0.5</v>
      </c>
      <c r="AM392" s="7">
        <f t="shared" si="190"/>
        <v>0.64814814814814803</v>
      </c>
      <c r="AN392" s="7">
        <f t="shared" si="191"/>
        <v>0.51851851851851849</v>
      </c>
      <c r="AO392">
        <f>step3_validation[[#This Row],[AI_OUT1]]</f>
        <v>7</v>
      </c>
      <c r="AP392">
        <f t="shared" si="192"/>
        <v>0.66666666666666663</v>
      </c>
      <c r="AQ392">
        <f>survey_responses[[#This Row],[Sau khi xem xét các quyền lợi và nghĩa vụ, bạn có ủng hộ và tuân thủ chính sách mới hiện nay? - HUMAN-OUT1]]</f>
        <v>7</v>
      </c>
      <c r="AR392">
        <f t="shared" si="193"/>
        <v>0.66666666666666663</v>
      </c>
      <c r="AS392" s="32">
        <f t="shared" si="194"/>
        <v>0</v>
      </c>
      <c r="AT392">
        <f t="shared" si="195"/>
        <v>1</v>
      </c>
    </row>
    <row r="393" spans="1:46" x14ac:dyDescent="0.45">
      <c r="A393">
        <f>step3_validation[[#This Row],[AI_ENF1]]</f>
        <v>6</v>
      </c>
      <c r="B393">
        <f t="shared" si="168"/>
        <v>0.55555555555555558</v>
      </c>
      <c r="C393">
        <f>survey_responses[[#This Row],[Tôi tin rằng với các quy định quản lý thuế hiện nay, hành vi gian lận hoặc trốn thuế sẽ dễ dàng bị phát hiện và xử lý nghiêm. - HUMAN-ENF1]]</f>
        <v>2</v>
      </c>
      <c r="D393">
        <f t="shared" si="169"/>
        <v>0.1111111111111111</v>
      </c>
      <c r="E393">
        <f>step3_validation[[#This Row],[AI_ENF2]]</f>
        <v>7</v>
      </c>
      <c r="F393">
        <f t="shared" si="170"/>
        <v>0.66666666666666663</v>
      </c>
      <c r="G393">
        <f>survey_responses[[#This Row],[Tôi tin rằng Nhà nước, cơ quan thuế có đủ khả năng và công nghệ để phát hiện, xử lý nghiêm các hành vi trốn thuế. - HUMAN-ENF2]]</f>
        <v>3</v>
      </c>
      <c r="H393">
        <f t="shared" si="171"/>
        <v>0.22222222222222221</v>
      </c>
      <c r="I393" s="32">
        <f t="shared" si="172"/>
        <v>0.61111111111111116</v>
      </c>
      <c r="J393" s="32">
        <f t="shared" si="173"/>
        <v>0.16666666666666666</v>
      </c>
      <c r="K393">
        <f>step3_validation[[#This Row],[AI_FAC1]]</f>
        <v>5</v>
      </c>
      <c r="L393">
        <f t="shared" si="174"/>
        <v>0.44444444444444442</v>
      </c>
      <c r="M393">
        <f>survey_responses[[#This Row],[Các thủ tục khai báo thuế VÀ/HOẶC quy trình làm việc với cơ quan thuế đơn giản, tiện lợi, nhanh chóng hơn so với trước đây. - HUMAN-FAC1]]</f>
        <v>3</v>
      </c>
      <c r="N393">
        <f t="shared" si="175"/>
        <v>0.22222222222222221</v>
      </c>
      <c r="O393">
        <f>step3_validation[[#This Row],[AI_FAC2]]</f>
        <v>8</v>
      </c>
      <c r="P393">
        <f t="shared" si="176"/>
        <v>0.77777777777777779</v>
      </c>
      <c r="Q393">
        <f>survey_responses[[#This Row],[So với trước đây, tôi thấy cách tính thuế và các bậc thuế trong phương án mới đơn giản, dễ hiểu và dễ thực hiện hơn. - HUMAN-FAC2]]</f>
        <v>6</v>
      </c>
      <c r="R393">
        <f t="shared" si="177"/>
        <v>0.55555555555555558</v>
      </c>
      <c r="S393" s="32">
        <f t="shared" si="178"/>
        <v>0.61111111111111116</v>
      </c>
      <c r="T393" s="32">
        <f t="shared" si="179"/>
        <v>0.3888888888888889</v>
      </c>
      <c r="U393">
        <f>step3_validation[[#This Row],[AI_TRU1]]</f>
        <v>9</v>
      </c>
      <c r="V393">
        <f t="shared" si="180"/>
        <v>0.88888888888888884</v>
      </c>
      <c r="W393">
        <f>survey_responses[[#This Row],[Tôi tin rằng Nhà nước, cơ quan thuế sẽ thực thi chính sách mới một cách khách quan, công tâm và đối xử bình đẳng với mọi người nộp thuế.  - HUMAN-TRU1]]</f>
        <v>5</v>
      </c>
      <c r="X393">
        <f t="shared" si="181"/>
        <v>0.44444444444444442</v>
      </c>
      <c r="Y393">
        <f>step3_validation[[#This Row],[AI_TRU2]]</f>
        <v>7</v>
      </c>
      <c r="Z393">
        <f t="shared" si="182"/>
        <v>0.66666666666666663</v>
      </c>
      <c r="AA393">
        <f>survey_responses[[#This Row],[Tôi thấy mức thuế tôi phải đóng theo phương án mới là công bằng (người thu nhập như tôi đóng mức này là hợp lý). - HUMAN-TRU2]]</f>
        <v>5</v>
      </c>
      <c r="AB393">
        <f t="shared" si="183"/>
        <v>0.44444444444444442</v>
      </c>
      <c r="AC393">
        <f>step3_validation[[#This Row],[AI_TRU3]]</f>
        <v>6</v>
      </c>
      <c r="AD393">
        <f t="shared" si="184"/>
        <v>0.55555555555555558</v>
      </c>
      <c r="AE393">
        <f>survey_responses[[#This Row],[Tôi tin tưởng số tiền thuế tôi đóng sẽ được Nhà nước sử dụng hiệu quả để cải thiện dịch vụ công (y tế, đường xá...). - HUMAN-TRU3]]</f>
        <v>5</v>
      </c>
      <c r="AF393">
        <f t="shared" si="185"/>
        <v>0.44444444444444442</v>
      </c>
      <c r="AG393">
        <f>step3_validation[[#This Row],[AI_TRU4]]</f>
        <v>7</v>
      </c>
      <c r="AH393">
        <f t="shared" si="186"/>
        <v>0.66666666666666663</v>
      </c>
      <c r="AI393">
        <f>survey_responses[[#This Row],[Tôi thấy Nhà nước đã giải thích rõ ràng, minh bạch về lý do và mục tiêu của việc sửa đổi thuế lần này. - HUMAN-TRU4]]</f>
        <v>5</v>
      </c>
      <c r="AJ393">
        <f t="shared" si="187"/>
        <v>0.44444444444444442</v>
      </c>
      <c r="AK393" s="32">
        <f t="shared" si="188"/>
        <v>0.69444444444444431</v>
      </c>
      <c r="AL393" s="32">
        <f t="shared" si="189"/>
        <v>0.44444444444444442</v>
      </c>
      <c r="AM393" s="7">
        <f t="shared" si="190"/>
        <v>0.63888888888888884</v>
      </c>
      <c r="AN393" s="7">
        <f t="shared" si="191"/>
        <v>0.33333333333333331</v>
      </c>
      <c r="AO393">
        <f>step3_validation[[#This Row],[AI_OUT1]]</f>
        <v>8</v>
      </c>
      <c r="AP393">
        <f t="shared" si="192"/>
        <v>0.77777777777777779</v>
      </c>
      <c r="AQ393">
        <f>survey_responses[[#This Row],[Sau khi xem xét các quyền lợi và nghĩa vụ, bạn có ủng hộ và tuân thủ chính sách mới hiện nay? - HUMAN-OUT1]]</f>
        <v>5</v>
      </c>
      <c r="AR393">
        <f t="shared" si="193"/>
        <v>0.44444444444444442</v>
      </c>
      <c r="AS393" s="32">
        <f t="shared" si="194"/>
        <v>3</v>
      </c>
      <c r="AT393">
        <f t="shared" si="195"/>
        <v>0</v>
      </c>
    </row>
    <row r="394" spans="1:46" x14ac:dyDescent="0.45">
      <c r="A394">
        <f>step3_validation[[#This Row],[AI_ENF1]]</f>
        <v>7</v>
      </c>
      <c r="B394">
        <f t="shared" si="168"/>
        <v>0.66666666666666663</v>
      </c>
      <c r="C394">
        <f>survey_responses[[#This Row],[Tôi tin rằng với các quy định quản lý thuế hiện nay, hành vi gian lận hoặc trốn thuế sẽ dễ dàng bị phát hiện và xử lý nghiêm. - HUMAN-ENF1]]</f>
        <v>7</v>
      </c>
      <c r="D394">
        <f t="shared" si="169"/>
        <v>0.66666666666666663</v>
      </c>
      <c r="E394">
        <f>step3_validation[[#This Row],[AI_ENF2]]</f>
        <v>8</v>
      </c>
      <c r="F394">
        <f t="shared" si="170"/>
        <v>0.77777777777777779</v>
      </c>
      <c r="G394">
        <f>survey_responses[[#This Row],[Tôi tin rằng Nhà nước, cơ quan thuế có đủ khả năng và công nghệ để phát hiện, xử lý nghiêm các hành vi trốn thuế. - HUMAN-ENF2]]</f>
        <v>7</v>
      </c>
      <c r="H394">
        <f t="shared" si="171"/>
        <v>0.66666666666666663</v>
      </c>
      <c r="I394" s="32">
        <f t="shared" si="172"/>
        <v>0.72222222222222221</v>
      </c>
      <c r="J394" s="32">
        <f t="shared" si="173"/>
        <v>0.66666666666666663</v>
      </c>
      <c r="K394">
        <f>step3_validation[[#This Row],[AI_FAC1]]</f>
        <v>6</v>
      </c>
      <c r="L394">
        <f t="shared" si="174"/>
        <v>0.55555555555555558</v>
      </c>
      <c r="M394">
        <f>survey_responses[[#This Row],[Các thủ tục khai báo thuế VÀ/HOẶC quy trình làm việc với cơ quan thuế đơn giản, tiện lợi, nhanh chóng hơn so với trước đây. - HUMAN-FAC1]]</f>
        <v>5</v>
      </c>
      <c r="N394">
        <f t="shared" si="175"/>
        <v>0.44444444444444442</v>
      </c>
      <c r="O394">
        <f>step3_validation[[#This Row],[AI_FAC2]]</f>
        <v>9</v>
      </c>
      <c r="P394">
        <f t="shared" si="176"/>
        <v>0.88888888888888884</v>
      </c>
      <c r="Q394">
        <f>survey_responses[[#This Row],[So với trước đây, tôi thấy cách tính thuế và các bậc thuế trong phương án mới đơn giản, dễ hiểu và dễ thực hiện hơn. - HUMAN-FAC2]]</f>
        <v>8</v>
      </c>
      <c r="R394">
        <f t="shared" si="177"/>
        <v>0.77777777777777779</v>
      </c>
      <c r="S394" s="32">
        <f t="shared" si="178"/>
        <v>0.72222222222222221</v>
      </c>
      <c r="T394" s="32">
        <f t="shared" si="179"/>
        <v>0.61111111111111116</v>
      </c>
      <c r="U394">
        <f>step3_validation[[#This Row],[AI_TRU1]]</f>
        <v>8</v>
      </c>
      <c r="V394">
        <f t="shared" si="180"/>
        <v>0.77777777777777779</v>
      </c>
      <c r="W394">
        <f>survey_responses[[#This Row],[Tôi tin rằng Nhà nước, cơ quan thuế sẽ thực thi chính sách mới một cách khách quan, công tâm và đối xử bình đẳng với mọi người nộp thuế.  - HUMAN-TRU1]]</f>
        <v>7</v>
      </c>
      <c r="X394">
        <f t="shared" si="181"/>
        <v>0.66666666666666663</v>
      </c>
      <c r="Y394">
        <f>step3_validation[[#This Row],[AI_TRU2]]</f>
        <v>7</v>
      </c>
      <c r="Z394">
        <f t="shared" si="182"/>
        <v>0.66666666666666663</v>
      </c>
      <c r="AA394">
        <f>survey_responses[[#This Row],[Tôi thấy mức thuế tôi phải đóng theo phương án mới là công bằng (người thu nhập như tôi đóng mức này là hợp lý). - HUMAN-TRU2]]</f>
        <v>7</v>
      </c>
      <c r="AB394">
        <f t="shared" si="183"/>
        <v>0.66666666666666663</v>
      </c>
      <c r="AC394">
        <f>step3_validation[[#This Row],[AI_TRU3]]</f>
        <v>6</v>
      </c>
      <c r="AD394">
        <f t="shared" si="184"/>
        <v>0.55555555555555558</v>
      </c>
      <c r="AE394">
        <f>survey_responses[[#This Row],[Tôi tin tưởng số tiền thuế tôi đóng sẽ được Nhà nước sử dụng hiệu quả để cải thiện dịch vụ công (y tế, đường xá...). - HUMAN-TRU3]]</f>
        <v>5</v>
      </c>
      <c r="AF394">
        <f t="shared" si="185"/>
        <v>0.44444444444444442</v>
      </c>
      <c r="AG394">
        <f>step3_validation[[#This Row],[AI_TRU4]]</f>
        <v>5</v>
      </c>
      <c r="AH394">
        <f t="shared" si="186"/>
        <v>0.44444444444444442</v>
      </c>
      <c r="AI394">
        <f>survey_responses[[#This Row],[Tôi thấy Nhà nước đã giải thích rõ ràng, minh bạch về lý do và mục tiêu của việc sửa đổi thuế lần này. - HUMAN-TRU4]]</f>
        <v>6</v>
      </c>
      <c r="AJ394">
        <f t="shared" si="187"/>
        <v>0.55555555555555558</v>
      </c>
      <c r="AK394" s="32">
        <f t="shared" si="188"/>
        <v>0.61111111111111116</v>
      </c>
      <c r="AL394" s="32">
        <f t="shared" si="189"/>
        <v>0.58333333333333326</v>
      </c>
      <c r="AM394" s="7">
        <f t="shared" si="190"/>
        <v>0.68518518518518512</v>
      </c>
      <c r="AN394" s="7">
        <f t="shared" si="191"/>
        <v>0.62037037037037035</v>
      </c>
      <c r="AO394">
        <f>step3_validation[[#This Row],[AI_OUT1]]</f>
        <v>7</v>
      </c>
      <c r="AP394">
        <f t="shared" si="192"/>
        <v>0.66666666666666663</v>
      </c>
      <c r="AQ394">
        <f>survey_responses[[#This Row],[Sau khi xem xét các quyền lợi và nghĩa vụ, bạn có ủng hộ và tuân thủ chính sách mới hiện nay? - HUMAN-OUT1]]</f>
        <v>7</v>
      </c>
      <c r="AR394">
        <f t="shared" si="193"/>
        <v>0.66666666666666663</v>
      </c>
      <c r="AS394" s="32">
        <f t="shared" si="194"/>
        <v>0</v>
      </c>
      <c r="AT394">
        <f t="shared" si="195"/>
        <v>1</v>
      </c>
    </row>
    <row r="395" spans="1:46" x14ac:dyDescent="0.45">
      <c r="A395">
        <f>step3_validation[[#This Row],[AI_ENF1]]</f>
        <v>7</v>
      </c>
      <c r="B395">
        <f t="shared" si="168"/>
        <v>0.66666666666666663</v>
      </c>
      <c r="C395">
        <f>survey_responses[[#This Row],[Tôi tin rằng với các quy định quản lý thuế hiện nay, hành vi gian lận hoặc trốn thuế sẽ dễ dàng bị phát hiện và xử lý nghiêm. - HUMAN-ENF1]]</f>
        <v>9</v>
      </c>
      <c r="D395">
        <f t="shared" si="169"/>
        <v>0.88888888888888884</v>
      </c>
      <c r="E395">
        <f>step3_validation[[#This Row],[AI_ENF2]]</f>
        <v>8</v>
      </c>
      <c r="F395">
        <f t="shared" si="170"/>
        <v>0.77777777777777779</v>
      </c>
      <c r="G395">
        <f>survey_responses[[#This Row],[Tôi tin rằng Nhà nước, cơ quan thuế có đủ khả năng và công nghệ để phát hiện, xử lý nghiêm các hành vi trốn thuế. - HUMAN-ENF2]]</f>
        <v>9</v>
      </c>
      <c r="H395">
        <f t="shared" si="171"/>
        <v>0.88888888888888884</v>
      </c>
      <c r="I395" s="32">
        <f t="shared" si="172"/>
        <v>0.72222222222222221</v>
      </c>
      <c r="J395" s="32">
        <f t="shared" si="173"/>
        <v>0.88888888888888884</v>
      </c>
      <c r="K395">
        <f>step3_validation[[#This Row],[AI_FAC1]]</f>
        <v>6</v>
      </c>
      <c r="L395">
        <f t="shared" si="174"/>
        <v>0.55555555555555558</v>
      </c>
      <c r="M395">
        <f>survey_responses[[#This Row],[Các thủ tục khai báo thuế VÀ/HOẶC quy trình làm việc với cơ quan thuế đơn giản, tiện lợi, nhanh chóng hơn so với trước đây. - HUMAN-FAC1]]</f>
        <v>9</v>
      </c>
      <c r="N395">
        <f t="shared" si="175"/>
        <v>0.88888888888888884</v>
      </c>
      <c r="O395">
        <f>step3_validation[[#This Row],[AI_FAC2]]</f>
        <v>7</v>
      </c>
      <c r="P395">
        <f t="shared" si="176"/>
        <v>0.66666666666666663</v>
      </c>
      <c r="Q395">
        <f>survey_responses[[#This Row],[So với trước đây, tôi thấy cách tính thuế và các bậc thuế trong phương án mới đơn giản, dễ hiểu và dễ thực hiện hơn. - HUMAN-FAC2]]</f>
        <v>7</v>
      </c>
      <c r="R395">
        <f t="shared" si="177"/>
        <v>0.66666666666666663</v>
      </c>
      <c r="S395" s="32">
        <f t="shared" si="178"/>
        <v>0.61111111111111116</v>
      </c>
      <c r="T395" s="32">
        <f t="shared" si="179"/>
        <v>0.77777777777777768</v>
      </c>
      <c r="U395">
        <f>step3_validation[[#This Row],[AI_TRU1]]</f>
        <v>7</v>
      </c>
      <c r="V395">
        <f t="shared" si="180"/>
        <v>0.66666666666666663</v>
      </c>
      <c r="W395">
        <f>survey_responses[[#This Row],[Tôi tin rằng Nhà nước, cơ quan thuế sẽ thực thi chính sách mới một cách khách quan, công tâm và đối xử bình đẳng với mọi người nộp thuế.  - HUMAN-TRU1]]</f>
        <v>8</v>
      </c>
      <c r="X395">
        <f t="shared" si="181"/>
        <v>0.77777777777777779</v>
      </c>
      <c r="Y395">
        <f>step3_validation[[#This Row],[AI_TRU2]]</f>
        <v>8</v>
      </c>
      <c r="Z395">
        <f t="shared" si="182"/>
        <v>0.77777777777777779</v>
      </c>
      <c r="AA395">
        <f>survey_responses[[#This Row],[Tôi thấy mức thuế tôi phải đóng theo phương án mới là công bằng (người thu nhập như tôi đóng mức này là hợp lý). - HUMAN-TRU2]]</f>
        <v>6</v>
      </c>
      <c r="AB395">
        <f t="shared" si="183"/>
        <v>0.55555555555555558</v>
      </c>
      <c r="AC395">
        <f>step3_validation[[#This Row],[AI_TRU3]]</f>
        <v>7</v>
      </c>
      <c r="AD395">
        <f t="shared" si="184"/>
        <v>0.66666666666666663</v>
      </c>
      <c r="AE395">
        <f>survey_responses[[#This Row],[Tôi tin tưởng số tiền thuế tôi đóng sẽ được Nhà nước sử dụng hiệu quả để cải thiện dịch vụ công (y tế, đường xá...). - HUMAN-TRU3]]</f>
        <v>8</v>
      </c>
      <c r="AF395">
        <f t="shared" si="185"/>
        <v>0.77777777777777779</v>
      </c>
      <c r="AG395">
        <f>step3_validation[[#This Row],[AI_TRU4]]</f>
        <v>6</v>
      </c>
      <c r="AH395">
        <f t="shared" si="186"/>
        <v>0.55555555555555558</v>
      </c>
      <c r="AI395">
        <f>survey_responses[[#This Row],[Tôi thấy Nhà nước đã giải thích rõ ràng, minh bạch về lý do và mục tiêu của việc sửa đổi thuế lần này. - HUMAN-TRU4]]</f>
        <v>10</v>
      </c>
      <c r="AJ395">
        <f t="shared" si="187"/>
        <v>1</v>
      </c>
      <c r="AK395" s="32">
        <f t="shared" si="188"/>
        <v>0.66666666666666674</v>
      </c>
      <c r="AL395" s="32">
        <f t="shared" si="189"/>
        <v>0.77777777777777779</v>
      </c>
      <c r="AM395" s="7">
        <f t="shared" si="190"/>
        <v>0.66666666666666663</v>
      </c>
      <c r="AN395" s="7">
        <f t="shared" si="191"/>
        <v>0.81481481481481477</v>
      </c>
      <c r="AO395">
        <f>step3_validation[[#This Row],[AI_OUT1]]</f>
        <v>7</v>
      </c>
      <c r="AP395">
        <f t="shared" si="192"/>
        <v>0.66666666666666663</v>
      </c>
      <c r="AQ395">
        <f>survey_responses[[#This Row],[Sau khi xem xét các quyền lợi và nghĩa vụ, bạn có ủng hộ và tuân thủ chính sách mới hiện nay? - HUMAN-OUT1]]</f>
        <v>10</v>
      </c>
      <c r="AR395">
        <f t="shared" si="193"/>
        <v>1</v>
      </c>
      <c r="AS395" s="32">
        <f t="shared" si="194"/>
        <v>3</v>
      </c>
      <c r="AT395">
        <f t="shared" si="195"/>
        <v>1</v>
      </c>
    </row>
    <row r="396" spans="1:46" x14ac:dyDescent="0.45">
      <c r="A396">
        <f>step3_validation[[#This Row],[AI_ENF1]]</f>
        <v>7</v>
      </c>
      <c r="B396">
        <f t="shared" si="168"/>
        <v>0.66666666666666663</v>
      </c>
      <c r="C396">
        <f>survey_responses[[#This Row],[Tôi tin rằng với các quy định quản lý thuế hiện nay, hành vi gian lận hoặc trốn thuế sẽ dễ dàng bị phát hiện và xử lý nghiêm. - HUMAN-ENF1]]</f>
        <v>7</v>
      </c>
      <c r="D396">
        <f t="shared" si="169"/>
        <v>0.66666666666666663</v>
      </c>
      <c r="E396">
        <f>step3_validation[[#This Row],[AI_ENF2]]</f>
        <v>6</v>
      </c>
      <c r="F396">
        <f t="shared" si="170"/>
        <v>0.55555555555555558</v>
      </c>
      <c r="G396">
        <f>survey_responses[[#This Row],[Tôi tin rằng Nhà nước, cơ quan thuế có đủ khả năng và công nghệ để phát hiện, xử lý nghiêm các hành vi trốn thuế. - HUMAN-ENF2]]</f>
        <v>7</v>
      </c>
      <c r="H396">
        <f t="shared" si="171"/>
        <v>0.66666666666666663</v>
      </c>
      <c r="I396" s="32">
        <f t="shared" si="172"/>
        <v>0.61111111111111116</v>
      </c>
      <c r="J396" s="32">
        <f t="shared" si="173"/>
        <v>0.66666666666666663</v>
      </c>
      <c r="K396">
        <f>step3_validation[[#This Row],[AI_FAC1]]</f>
        <v>8</v>
      </c>
      <c r="L396">
        <f t="shared" si="174"/>
        <v>0.77777777777777779</v>
      </c>
      <c r="M396">
        <f>survey_responses[[#This Row],[Các thủ tục khai báo thuế VÀ/HOẶC quy trình làm việc với cơ quan thuế đơn giản, tiện lợi, nhanh chóng hơn so với trước đây. - HUMAN-FAC1]]</f>
        <v>5</v>
      </c>
      <c r="N396">
        <f t="shared" si="175"/>
        <v>0.44444444444444442</v>
      </c>
      <c r="O396">
        <f>step3_validation[[#This Row],[AI_FAC2]]</f>
        <v>7</v>
      </c>
      <c r="P396">
        <f t="shared" si="176"/>
        <v>0.66666666666666663</v>
      </c>
      <c r="Q396">
        <f>survey_responses[[#This Row],[So với trước đây, tôi thấy cách tính thuế và các bậc thuế trong phương án mới đơn giản, dễ hiểu và dễ thực hiện hơn. - HUMAN-FAC2]]</f>
        <v>7</v>
      </c>
      <c r="R396">
        <f t="shared" si="177"/>
        <v>0.66666666666666663</v>
      </c>
      <c r="S396" s="32">
        <f t="shared" si="178"/>
        <v>0.72222222222222221</v>
      </c>
      <c r="T396" s="32">
        <f t="shared" si="179"/>
        <v>0.55555555555555558</v>
      </c>
      <c r="U396">
        <f>step3_validation[[#This Row],[AI_TRU1]]</f>
        <v>6</v>
      </c>
      <c r="V396">
        <f t="shared" si="180"/>
        <v>0.55555555555555558</v>
      </c>
      <c r="W396">
        <f>survey_responses[[#This Row],[Tôi tin rằng Nhà nước, cơ quan thuế sẽ thực thi chính sách mới một cách khách quan, công tâm và đối xử bình đẳng với mọi người nộp thuế.  - HUMAN-TRU1]]</f>
        <v>5</v>
      </c>
      <c r="X396">
        <f t="shared" si="181"/>
        <v>0.44444444444444442</v>
      </c>
      <c r="Y396">
        <f>step3_validation[[#This Row],[AI_TRU2]]</f>
        <v>7</v>
      </c>
      <c r="Z396">
        <f t="shared" si="182"/>
        <v>0.66666666666666663</v>
      </c>
      <c r="AA396">
        <f>survey_responses[[#This Row],[Tôi thấy mức thuế tôi phải đóng theo phương án mới là công bằng (người thu nhập như tôi đóng mức này là hợp lý). - HUMAN-TRU2]]</f>
        <v>6</v>
      </c>
      <c r="AB396">
        <f t="shared" si="183"/>
        <v>0.55555555555555558</v>
      </c>
      <c r="AC396">
        <f>step3_validation[[#This Row],[AI_TRU3]]</f>
        <v>6</v>
      </c>
      <c r="AD396">
        <f t="shared" si="184"/>
        <v>0.55555555555555558</v>
      </c>
      <c r="AE396">
        <f>survey_responses[[#This Row],[Tôi tin tưởng số tiền thuế tôi đóng sẽ được Nhà nước sử dụng hiệu quả để cải thiện dịch vụ công (y tế, đường xá...). - HUMAN-TRU3]]</f>
        <v>5</v>
      </c>
      <c r="AF396">
        <f t="shared" si="185"/>
        <v>0.44444444444444442</v>
      </c>
      <c r="AG396">
        <f>step3_validation[[#This Row],[AI_TRU4]]</f>
        <v>5</v>
      </c>
      <c r="AH396">
        <f t="shared" si="186"/>
        <v>0.44444444444444442</v>
      </c>
      <c r="AI396">
        <f>survey_responses[[#This Row],[Tôi thấy Nhà nước đã giải thích rõ ràng, minh bạch về lý do và mục tiêu của việc sửa đổi thuế lần này. - HUMAN-TRU4]]</f>
        <v>6</v>
      </c>
      <c r="AJ396">
        <f t="shared" si="187"/>
        <v>0.55555555555555558</v>
      </c>
      <c r="AK396" s="32">
        <f t="shared" si="188"/>
        <v>0.55555555555555558</v>
      </c>
      <c r="AL396" s="32">
        <f t="shared" si="189"/>
        <v>0.5</v>
      </c>
      <c r="AM396" s="7">
        <f t="shared" si="190"/>
        <v>0.62962962962962965</v>
      </c>
      <c r="AN396" s="7">
        <f t="shared" si="191"/>
        <v>0.57407407407407407</v>
      </c>
      <c r="AO396">
        <f>step3_validation[[#This Row],[AI_OUT1]]</f>
        <v>8</v>
      </c>
      <c r="AP396">
        <f t="shared" si="192"/>
        <v>0.77777777777777779</v>
      </c>
      <c r="AQ396">
        <f>survey_responses[[#This Row],[Sau khi xem xét các quyền lợi và nghĩa vụ, bạn có ủng hộ và tuân thủ chính sách mới hiện nay? - HUMAN-OUT1]]</f>
        <v>6</v>
      </c>
      <c r="AR396">
        <f t="shared" si="193"/>
        <v>0.55555555555555558</v>
      </c>
      <c r="AS396" s="32">
        <f t="shared" si="194"/>
        <v>2</v>
      </c>
      <c r="AT396">
        <f t="shared" si="195"/>
        <v>1</v>
      </c>
    </row>
    <row r="397" spans="1:46" x14ac:dyDescent="0.45">
      <c r="A397">
        <f>step3_validation[[#This Row],[AI_ENF1]]</f>
        <v>7</v>
      </c>
      <c r="B397">
        <f t="shared" si="168"/>
        <v>0.66666666666666663</v>
      </c>
      <c r="C397">
        <f>survey_responses[[#This Row],[Tôi tin rằng với các quy định quản lý thuế hiện nay, hành vi gian lận hoặc trốn thuế sẽ dễ dàng bị phát hiện và xử lý nghiêm. - HUMAN-ENF1]]</f>
        <v>2</v>
      </c>
      <c r="D397">
        <f t="shared" si="169"/>
        <v>0.1111111111111111</v>
      </c>
      <c r="E397">
        <f>step3_validation[[#This Row],[AI_ENF2]]</f>
        <v>8</v>
      </c>
      <c r="F397">
        <f t="shared" si="170"/>
        <v>0.77777777777777779</v>
      </c>
      <c r="G397">
        <f>survey_responses[[#This Row],[Tôi tin rằng Nhà nước, cơ quan thuế có đủ khả năng và công nghệ để phát hiện, xử lý nghiêm các hành vi trốn thuế. - HUMAN-ENF2]]</f>
        <v>2</v>
      </c>
      <c r="H397">
        <f t="shared" si="171"/>
        <v>0.1111111111111111</v>
      </c>
      <c r="I397" s="32">
        <f t="shared" si="172"/>
        <v>0.72222222222222221</v>
      </c>
      <c r="J397" s="32">
        <f t="shared" si="173"/>
        <v>0.1111111111111111</v>
      </c>
      <c r="K397">
        <f>step3_validation[[#This Row],[AI_FAC1]]</f>
        <v>6</v>
      </c>
      <c r="L397">
        <f t="shared" si="174"/>
        <v>0.55555555555555558</v>
      </c>
      <c r="M397">
        <f>survey_responses[[#This Row],[Các thủ tục khai báo thuế VÀ/HOẶC quy trình làm việc với cơ quan thuế đơn giản, tiện lợi, nhanh chóng hơn so với trước đây. - HUMAN-FAC1]]</f>
        <v>4</v>
      </c>
      <c r="N397">
        <f t="shared" si="175"/>
        <v>0.33333333333333331</v>
      </c>
      <c r="O397">
        <f>step3_validation[[#This Row],[AI_FAC2]]</f>
        <v>9</v>
      </c>
      <c r="P397">
        <f t="shared" si="176"/>
        <v>0.88888888888888884</v>
      </c>
      <c r="Q397">
        <f>survey_responses[[#This Row],[So với trước đây, tôi thấy cách tính thuế và các bậc thuế trong phương án mới đơn giản, dễ hiểu và dễ thực hiện hơn. - HUMAN-FAC2]]</f>
        <v>5</v>
      </c>
      <c r="R397">
        <f t="shared" si="177"/>
        <v>0.44444444444444442</v>
      </c>
      <c r="S397" s="32">
        <f t="shared" si="178"/>
        <v>0.72222222222222221</v>
      </c>
      <c r="T397" s="32">
        <f t="shared" si="179"/>
        <v>0.38888888888888884</v>
      </c>
      <c r="U397">
        <f>step3_validation[[#This Row],[AI_TRU1]]</f>
        <v>8</v>
      </c>
      <c r="V397">
        <f t="shared" si="180"/>
        <v>0.77777777777777779</v>
      </c>
      <c r="W397">
        <f>survey_responses[[#This Row],[Tôi tin rằng Nhà nước, cơ quan thuế sẽ thực thi chính sách mới một cách khách quan, công tâm và đối xử bình đẳng với mọi người nộp thuế.  - HUMAN-TRU1]]</f>
        <v>5</v>
      </c>
      <c r="X397">
        <f t="shared" si="181"/>
        <v>0.44444444444444442</v>
      </c>
      <c r="Y397">
        <f>step3_validation[[#This Row],[AI_TRU2]]</f>
        <v>9</v>
      </c>
      <c r="Z397">
        <f t="shared" si="182"/>
        <v>0.88888888888888884</v>
      </c>
      <c r="AA397">
        <f>survey_responses[[#This Row],[Tôi thấy mức thuế tôi phải đóng theo phương án mới là công bằng (người thu nhập như tôi đóng mức này là hợp lý). - HUMAN-TRU2]]</f>
        <v>3</v>
      </c>
      <c r="AB397">
        <f t="shared" si="183"/>
        <v>0.22222222222222221</v>
      </c>
      <c r="AC397">
        <f>step3_validation[[#This Row],[AI_TRU3]]</f>
        <v>7</v>
      </c>
      <c r="AD397">
        <f t="shared" si="184"/>
        <v>0.66666666666666663</v>
      </c>
      <c r="AE397">
        <f>survey_responses[[#This Row],[Tôi tin tưởng số tiền thuế tôi đóng sẽ được Nhà nước sử dụng hiệu quả để cải thiện dịch vụ công (y tế, đường xá...). - HUMAN-TRU3]]</f>
        <v>5</v>
      </c>
      <c r="AF397">
        <f t="shared" si="185"/>
        <v>0.44444444444444442</v>
      </c>
      <c r="AG397">
        <f>step3_validation[[#This Row],[AI_TRU4]]</f>
        <v>8</v>
      </c>
      <c r="AH397">
        <f t="shared" si="186"/>
        <v>0.77777777777777779</v>
      </c>
      <c r="AI397">
        <f>survey_responses[[#This Row],[Tôi thấy Nhà nước đã giải thích rõ ràng, minh bạch về lý do và mục tiêu của việc sửa đổi thuế lần này. - HUMAN-TRU4]]</f>
        <v>5</v>
      </c>
      <c r="AJ397">
        <f t="shared" si="187"/>
        <v>0.44444444444444442</v>
      </c>
      <c r="AK397" s="32">
        <f t="shared" si="188"/>
        <v>0.77777777777777768</v>
      </c>
      <c r="AL397" s="32">
        <f t="shared" si="189"/>
        <v>0.3888888888888889</v>
      </c>
      <c r="AM397" s="7">
        <f t="shared" si="190"/>
        <v>0.74074074074074081</v>
      </c>
      <c r="AN397" s="7">
        <f t="shared" si="191"/>
        <v>0.29629629629629628</v>
      </c>
      <c r="AO397">
        <f>step3_validation[[#This Row],[AI_OUT1]]</f>
        <v>9</v>
      </c>
      <c r="AP397">
        <f t="shared" si="192"/>
        <v>0.88888888888888884</v>
      </c>
      <c r="AQ397">
        <f>survey_responses[[#This Row],[Sau khi xem xét các quyền lợi và nghĩa vụ, bạn có ủng hộ và tuân thủ chính sách mới hiện nay? - HUMAN-OUT1]]</f>
        <v>5</v>
      </c>
      <c r="AR397">
        <f t="shared" si="193"/>
        <v>0.44444444444444442</v>
      </c>
      <c r="AS397" s="32">
        <f t="shared" si="194"/>
        <v>4</v>
      </c>
      <c r="AT397">
        <f t="shared" si="195"/>
        <v>0</v>
      </c>
    </row>
    <row r="398" spans="1:46" x14ac:dyDescent="0.45">
      <c r="A398">
        <f>step3_validation[[#This Row],[AI_ENF1]]</f>
        <v>7</v>
      </c>
      <c r="B398">
        <f t="shared" si="168"/>
        <v>0.66666666666666663</v>
      </c>
      <c r="C398">
        <f>survey_responses[[#This Row],[Tôi tin rằng với các quy định quản lý thuế hiện nay, hành vi gian lận hoặc trốn thuế sẽ dễ dàng bị phát hiện và xử lý nghiêm. - HUMAN-ENF1]]</f>
        <v>8</v>
      </c>
      <c r="D398">
        <f t="shared" si="169"/>
        <v>0.77777777777777779</v>
      </c>
      <c r="E398">
        <f>step3_validation[[#This Row],[AI_ENF2]]</f>
        <v>8</v>
      </c>
      <c r="F398">
        <f t="shared" si="170"/>
        <v>0.77777777777777779</v>
      </c>
      <c r="G398">
        <f>survey_responses[[#This Row],[Tôi tin rằng Nhà nước, cơ quan thuế có đủ khả năng và công nghệ để phát hiện, xử lý nghiêm các hành vi trốn thuế. - HUMAN-ENF2]]</f>
        <v>8</v>
      </c>
      <c r="H398">
        <f t="shared" si="171"/>
        <v>0.77777777777777779</v>
      </c>
      <c r="I398" s="32">
        <f t="shared" si="172"/>
        <v>0.72222222222222221</v>
      </c>
      <c r="J398" s="32">
        <f t="shared" si="173"/>
        <v>0.77777777777777779</v>
      </c>
      <c r="K398">
        <f>step3_validation[[#This Row],[AI_FAC1]]</f>
        <v>9</v>
      </c>
      <c r="L398">
        <f t="shared" si="174"/>
        <v>0.88888888888888884</v>
      </c>
      <c r="M398">
        <f>survey_responses[[#This Row],[Các thủ tục khai báo thuế VÀ/HOẶC quy trình làm việc với cơ quan thuế đơn giản, tiện lợi, nhanh chóng hơn so với trước đây. - HUMAN-FAC1]]</f>
        <v>7</v>
      </c>
      <c r="N398">
        <f t="shared" si="175"/>
        <v>0.66666666666666663</v>
      </c>
      <c r="O398">
        <f>step3_validation[[#This Row],[AI_FAC2]]</f>
        <v>8</v>
      </c>
      <c r="P398">
        <f t="shared" si="176"/>
        <v>0.77777777777777779</v>
      </c>
      <c r="Q398">
        <f>survey_responses[[#This Row],[So với trước đây, tôi thấy cách tính thuế và các bậc thuế trong phương án mới đơn giản, dễ hiểu và dễ thực hiện hơn. - HUMAN-FAC2]]</f>
        <v>7</v>
      </c>
      <c r="R398">
        <f t="shared" si="177"/>
        <v>0.66666666666666663</v>
      </c>
      <c r="S398" s="32">
        <f t="shared" si="178"/>
        <v>0.83333333333333326</v>
      </c>
      <c r="T398" s="32">
        <f t="shared" si="179"/>
        <v>0.66666666666666663</v>
      </c>
      <c r="U398">
        <f>step3_validation[[#This Row],[AI_TRU1]]</f>
        <v>7</v>
      </c>
      <c r="V398">
        <f t="shared" si="180"/>
        <v>0.66666666666666663</v>
      </c>
      <c r="W398">
        <f>survey_responses[[#This Row],[Tôi tin rằng Nhà nước, cơ quan thuế sẽ thực thi chính sách mới một cách khách quan, công tâm và đối xử bình đẳng với mọi người nộp thuế.  - HUMAN-TRU1]]</f>
        <v>7</v>
      </c>
      <c r="X398">
        <f t="shared" si="181"/>
        <v>0.66666666666666663</v>
      </c>
      <c r="Y398">
        <f>step3_validation[[#This Row],[AI_TRU2]]</f>
        <v>9</v>
      </c>
      <c r="Z398">
        <f t="shared" si="182"/>
        <v>0.88888888888888884</v>
      </c>
      <c r="AA398">
        <f>survey_responses[[#This Row],[Tôi thấy mức thuế tôi phải đóng theo phương án mới là công bằng (người thu nhập như tôi đóng mức này là hợp lý). - HUMAN-TRU2]]</f>
        <v>8</v>
      </c>
      <c r="AB398">
        <f t="shared" si="183"/>
        <v>0.77777777777777779</v>
      </c>
      <c r="AC398">
        <f>step3_validation[[#This Row],[AI_TRU3]]</f>
        <v>7</v>
      </c>
      <c r="AD398">
        <f t="shared" si="184"/>
        <v>0.66666666666666663</v>
      </c>
      <c r="AE398">
        <f>survey_responses[[#This Row],[Tôi tin tưởng số tiền thuế tôi đóng sẽ được Nhà nước sử dụng hiệu quả để cải thiện dịch vụ công (y tế, đường xá...). - HUMAN-TRU3]]</f>
        <v>7</v>
      </c>
      <c r="AF398">
        <f t="shared" si="185"/>
        <v>0.66666666666666663</v>
      </c>
      <c r="AG398">
        <f>step3_validation[[#This Row],[AI_TRU4]]</f>
        <v>6</v>
      </c>
      <c r="AH398">
        <f t="shared" si="186"/>
        <v>0.55555555555555558</v>
      </c>
      <c r="AI398">
        <f>survey_responses[[#This Row],[Tôi thấy Nhà nước đã giải thích rõ ràng, minh bạch về lý do và mục tiêu của việc sửa đổi thuế lần này. - HUMAN-TRU4]]</f>
        <v>8</v>
      </c>
      <c r="AJ398">
        <f t="shared" si="187"/>
        <v>0.77777777777777779</v>
      </c>
      <c r="AK398" s="32">
        <f t="shared" si="188"/>
        <v>0.69444444444444442</v>
      </c>
      <c r="AL398" s="32">
        <f t="shared" si="189"/>
        <v>0.72222222222222221</v>
      </c>
      <c r="AM398" s="7">
        <f t="shared" si="190"/>
        <v>0.75</v>
      </c>
      <c r="AN398" s="7">
        <f t="shared" si="191"/>
        <v>0.72222222222222221</v>
      </c>
      <c r="AO398">
        <f>step3_validation[[#This Row],[AI_OUT1]]</f>
        <v>8</v>
      </c>
      <c r="AP398">
        <f t="shared" si="192"/>
        <v>0.77777777777777779</v>
      </c>
      <c r="AQ398">
        <f>survey_responses[[#This Row],[Sau khi xem xét các quyền lợi và nghĩa vụ, bạn có ủng hộ và tuân thủ chính sách mới hiện nay? - HUMAN-OUT1]]</f>
        <v>8</v>
      </c>
      <c r="AR398">
        <f t="shared" si="193"/>
        <v>0.77777777777777779</v>
      </c>
      <c r="AS398" s="32">
        <f t="shared" si="194"/>
        <v>0</v>
      </c>
      <c r="AT398">
        <f t="shared" si="195"/>
        <v>1</v>
      </c>
    </row>
    <row r="399" spans="1:46" x14ac:dyDescent="0.45">
      <c r="A399">
        <f>step3_validation[[#This Row],[AI_ENF1]]</f>
        <v>5</v>
      </c>
      <c r="B399">
        <f t="shared" si="168"/>
        <v>0.44444444444444442</v>
      </c>
      <c r="C399">
        <f>survey_responses[[#This Row],[Tôi tin rằng với các quy định quản lý thuế hiện nay, hành vi gian lận hoặc trốn thuế sẽ dễ dàng bị phát hiện và xử lý nghiêm. - HUMAN-ENF1]]</f>
        <v>9</v>
      </c>
      <c r="D399">
        <f t="shared" si="169"/>
        <v>0.88888888888888884</v>
      </c>
      <c r="E399">
        <f>step3_validation[[#This Row],[AI_ENF2]]</f>
        <v>6</v>
      </c>
      <c r="F399">
        <f t="shared" si="170"/>
        <v>0.55555555555555558</v>
      </c>
      <c r="G399">
        <f>survey_responses[[#This Row],[Tôi tin rằng Nhà nước, cơ quan thuế có đủ khả năng và công nghệ để phát hiện, xử lý nghiêm các hành vi trốn thuế. - HUMAN-ENF2]]</f>
        <v>9</v>
      </c>
      <c r="H399">
        <f t="shared" si="171"/>
        <v>0.88888888888888884</v>
      </c>
      <c r="I399" s="32">
        <f t="shared" si="172"/>
        <v>0.5</v>
      </c>
      <c r="J399" s="32">
        <f t="shared" si="173"/>
        <v>0.88888888888888884</v>
      </c>
      <c r="K399">
        <f>step3_validation[[#This Row],[AI_FAC1]]</f>
        <v>4</v>
      </c>
      <c r="L399">
        <f t="shared" si="174"/>
        <v>0.33333333333333331</v>
      </c>
      <c r="M399">
        <f>survey_responses[[#This Row],[Các thủ tục khai báo thuế VÀ/HOẶC quy trình làm việc với cơ quan thuế đơn giản, tiện lợi, nhanh chóng hơn so với trước đây. - HUMAN-FAC1]]</f>
        <v>8</v>
      </c>
      <c r="N399">
        <f t="shared" si="175"/>
        <v>0.77777777777777779</v>
      </c>
      <c r="O399">
        <f>step3_validation[[#This Row],[AI_FAC2]]</f>
        <v>7</v>
      </c>
      <c r="P399">
        <f t="shared" si="176"/>
        <v>0.66666666666666663</v>
      </c>
      <c r="Q399">
        <f>survey_responses[[#This Row],[So với trước đây, tôi thấy cách tính thuế và các bậc thuế trong phương án mới đơn giản, dễ hiểu và dễ thực hiện hơn. - HUMAN-FAC2]]</f>
        <v>9</v>
      </c>
      <c r="R399">
        <f t="shared" si="177"/>
        <v>0.88888888888888884</v>
      </c>
      <c r="S399" s="32">
        <f t="shared" si="178"/>
        <v>0.5</v>
      </c>
      <c r="T399" s="32">
        <f t="shared" si="179"/>
        <v>0.83333333333333326</v>
      </c>
      <c r="U399">
        <f>step3_validation[[#This Row],[AI_TRU1]]</f>
        <v>5</v>
      </c>
      <c r="V399">
        <f t="shared" si="180"/>
        <v>0.44444444444444442</v>
      </c>
      <c r="W399">
        <f>survey_responses[[#This Row],[Tôi tin rằng Nhà nước, cơ quan thuế sẽ thực thi chính sách mới một cách khách quan, công tâm và đối xử bình đẳng với mọi người nộp thuế.  - HUMAN-TRU1]]</f>
        <v>7</v>
      </c>
      <c r="X399">
        <f t="shared" si="181"/>
        <v>0.66666666666666663</v>
      </c>
      <c r="Y399">
        <f>step3_validation[[#This Row],[AI_TRU2]]</f>
        <v>6</v>
      </c>
      <c r="Z399">
        <f t="shared" si="182"/>
        <v>0.55555555555555558</v>
      </c>
      <c r="AA399">
        <f>survey_responses[[#This Row],[Tôi thấy mức thuế tôi phải đóng theo phương án mới là công bằng (người thu nhập như tôi đóng mức này là hợp lý). - HUMAN-TRU2]]</f>
        <v>9</v>
      </c>
      <c r="AB399">
        <f t="shared" si="183"/>
        <v>0.88888888888888884</v>
      </c>
      <c r="AC399">
        <f>step3_validation[[#This Row],[AI_TRU3]]</f>
        <v>4</v>
      </c>
      <c r="AD399">
        <f t="shared" si="184"/>
        <v>0.33333333333333331</v>
      </c>
      <c r="AE399">
        <f>survey_responses[[#This Row],[Tôi tin tưởng số tiền thuế tôi đóng sẽ được Nhà nước sử dụng hiệu quả để cải thiện dịch vụ công (y tế, đường xá...). - HUMAN-TRU3]]</f>
        <v>8</v>
      </c>
      <c r="AF399">
        <f t="shared" si="185"/>
        <v>0.77777777777777779</v>
      </c>
      <c r="AG399">
        <f>step3_validation[[#This Row],[AI_TRU4]]</f>
        <v>5</v>
      </c>
      <c r="AH399">
        <f t="shared" si="186"/>
        <v>0.44444444444444442</v>
      </c>
      <c r="AI399">
        <f>survey_responses[[#This Row],[Tôi thấy Nhà nước đã giải thích rõ ràng, minh bạch về lý do và mục tiêu của việc sửa đổi thuế lần này. - HUMAN-TRU4]]</f>
        <v>8</v>
      </c>
      <c r="AJ399">
        <f t="shared" si="187"/>
        <v>0.77777777777777779</v>
      </c>
      <c r="AK399" s="32">
        <f t="shared" si="188"/>
        <v>0.44444444444444442</v>
      </c>
      <c r="AL399" s="32">
        <f t="shared" si="189"/>
        <v>0.77777777777777768</v>
      </c>
      <c r="AM399" s="7">
        <f t="shared" si="190"/>
        <v>0.48148148148148145</v>
      </c>
      <c r="AN399" s="7">
        <f t="shared" si="191"/>
        <v>0.83333333333333337</v>
      </c>
      <c r="AO399">
        <f>step3_validation[[#This Row],[AI_OUT1]]</f>
        <v>4</v>
      </c>
      <c r="AP399">
        <f t="shared" si="192"/>
        <v>0.33333333333333331</v>
      </c>
      <c r="AQ399">
        <f>survey_responses[[#This Row],[Sau khi xem xét các quyền lợi và nghĩa vụ, bạn có ủng hộ và tuân thủ chính sách mới hiện nay? - HUMAN-OUT1]]</f>
        <v>8</v>
      </c>
      <c r="AR399">
        <f t="shared" si="193"/>
        <v>0.77777777777777779</v>
      </c>
      <c r="AS399" s="32">
        <f t="shared" si="194"/>
        <v>4</v>
      </c>
      <c r="AT399">
        <f t="shared" si="195"/>
        <v>1</v>
      </c>
    </row>
    <row r="400" spans="1:46" x14ac:dyDescent="0.45">
      <c r="A400">
        <f>step3_validation[[#This Row],[AI_ENF1]]</f>
        <v>5</v>
      </c>
      <c r="B400">
        <f t="shared" si="168"/>
        <v>0.44444444444444442</v>
      </c>
      <c r="C400">
        <f>survey_responses[[#This Row],[Tôi tin rằng với các quy định quản lý thuế hiện nay, hành vi gian lận hoặc trốn thuế sẽ dễ dàng bị phát hiện và xử lý nghiêm. - HUMAN-ENF1]]</f>
        <v>7</v>
      </c>
      <c r="D400">
        <f t="shared" si="169"/>
        <v>0.66666666666666663</v>
      </c>
      <c r="E400">
        <f>step3_validation[[#This Row],[AI_ENF2]]</f>
        <v>6</v>
      </c>
      <c r="F400">
        <f t="shared" si="170"/>
        <v>0.55555555555555558</v>
      </c>
      <c r="G400">
        <f>survey_responses[[#This Row],[Tôi tin rằng Nhà nước, cơ quan thuế có đủ khả năng và công nghệ để phát hiện, xử lý nghiêm các hành vi trốn thuế. - HUMAN-ENF2]]</f>
        <v>7</v>
      </c>
      <c r="H400">
        <f t="shared" si="171"/>
        <v>0.66666666666666663</v>
      </c>
      <c r="I400" s="32">
        <f t="shared" si="172"/>
        <v>0.5</v>
      </c>
      <c r="J400" s="32">
        <f t="shared" si="173"/>
        <v>0.66666666666666663</v>
      </c>
      <c r="K400">
        <f>step3_validation[[#This Row],[AI_FAC1]]</f>
        <v>8</v>
      </c>
      <c r="L400">
        <f t="shared" si="174"/>
        <v>0.77777777777777779</v>
      </c>
      <c r="M400">
        <f>survey_responses[[#This Row],[Các thủ tục khai báo thuế VÀ/HOẶC quy trình làm việc với cơ quan thuế đơn giản, tiện lợi, nhanh chóng hơn so với trước đây. - HUMAN-FAC1]]</f>
        <v>5</v>
      </c>
      <c r="N400">
        <f t="shared" si="175"/>
        <v>0.44444444444444442</v>
      </c>
      <c r="O400">
        <f>step3_validation[[#This Row],[AI_FAC2]]</f>
        <v>7</v>
      </c>
      <c r="P400">
        <f t="shared" si="176"/>
        <v>0.66666666666666663</v>
      </c>
      <c r="Q400">
        <f>survey_responses[[#This Row],[So với trước đây, tôi thấy cách tính thuế và các bậc thuế trong phương án mới đơn giản, dễ hiểu và dễ thực hiện hơn. - HUMAN-FAC2]]</f>
        <v>8</v>
      </c>
      <c r="R400">
        <f t="shared" si="177"/>
        <v>0.77777777777777779</v>
      </c>
      <c r="S400" s="32">
        <f t="shared" si="178"/>
        <v>0.72222222222222221</v>
      </c>
      <c r="T400" s="32">
        <f t="shared" si="179"/>
        <v>0.61111111111111116</v>
      </c>
      <c r="U400">
        <f>step3_validation[[#This Row],[AI_TRU1]]</f>
        <v>6</v>
      </c>
      <c r="V400">
        <f t="shared" si="180"/>
        <v>0.55555555555555558</v>
      </c>
      <c r="W400">
        <f>survey_responses[[#This Row],[Tôi tin rằng Nhà nước, cơ quan thuế sẽ thực thi chính sách mới một cách khách quan, công tâm và đối xử bình đẳng với mọi người nộp thuế.  - HUMAN-TRU1]]</f>
        <v>7</v>
      </c>
      <c r="X400">
        <f t="shared" si="181"/>
        <v>0.66666666666666663</v>
      </c>
      <c r="Y400">
        <f>step3_validation[[#This Row],[AI_TRU2]]</f>
        <v>5</v>
      </c>
      <c r="Z400">
        <f t="shared" si="182"/>
        <v>0.44444444444444442</v>
      </c>
      <c r="AA400">
        <f>survey_responses[[#This Row],[Tôi thấy mức thuế tôi phải đóng theo phương án mới là công bằng (người thu nhập như tôi đóng mức này là hợp lý). - HUMAN-TRU2]]</f>
        <v>8</v>
      </c>
      <c r="AB400">
        <f t="shared" si="183"/>
        <v>0.77777777777777779</v>
      </c>
      <c r="AC400">
        <f>step3_validation[[#This Row],[AI_TRU3]]</f>
        <v>4</v>
      </c>
      <c r="AD400">
        <f t="shared" si="184"/>
        <v>0.33333333333333331</v>
      </c>
      <c r="AE400">
        <f>survey_responses[[#This Row],[Tôi tin tưởng số tiền thuế tôi đóng sẽ được Nhà nước sử dụng hiệu quả để cải thiện dịch vụ công (y tế, đường xá...). - HUMAN-TRU3]]</f>
        <v>6</v>
      </c>
      <c r="AF400">
        <f t="shared" si="185"/>
        <v>0.55555555555555558</v>
      </c>
      <c r="AG400">
        <f>step3_validation[[#This Row],[AI_TRU4]]</f>
        <v>5</v>
      </c>
      <c r="AH400">
        <f t="shared" si="186"/>
        <v>0.44444444444444442</v>
      </c>
      <c r="AI400">
        <f>survey_responses[[#This Row],[Tôi thấy Nhà nước đã giải thích rõ ràng, minh bạch về lý do và mục tiêu của việc sửa đổi thuế lần này. - HUMAN-TRU4]]</f>
        <v>6</v>
      </c>
      <c r="AJ400">
        <f t="shared" si="187"/>
        <v>0.55555555555555558</v>
      </c>
      <c r="AK400" s="32">
        <f t="shared" si="188"/>
        <v>0.44444444444444442</v>
      </c>
      <c r="AL400" s="32">
        <f t="shared" si="189"/>
        <v>0.63888888888888884</v>
      </c>
      <c r="AM400" s="7">
        <f t="shared" si="190"/>
        <v>0.55555555555555558</v>
      </c>
      <c r="AN400" s="7">
        <f t="shared" si="191"/>
        <v>0.63888888888888884</v>
      </c>
      <c r="AO400">
        <f>step3_validation[[#This Row],[AI_OUT1]]</f>
        <v>6</v>
      </c>
      <c r="AP400">
        <f t="shared" si="192"/>
        <v>0.55555555555555558</v>
      </c>
      <c r="AQ400">
        <f>survey_responses[[#This Row],[Sau khi xem xét các quyền lợi và nghĩa vụ, bạn có ủng hộ và tuân thủ chính sách mới hiện nay? - HUMAN-OUT1]]</f>
        <v>8</v>
      </c>
      <c r="AR400">
        <f t="shared" si="193"/>
        <v>0.77777777777777779</v>
      </c>
      <c r="AS400" s="32">
        <f t="shared" si="194"/>
        <v>2</v>
      </c>
      <c r="AT400">
        <f t="shared" si="195"/>
        <v>1</v>
      </c>
    </row>
    <row r="401" spans="1:46" x14ac:dyDescent="0.45">
      <c r="A401">
        <f>step3_validation[[#This Row],[AI_ENF1]]</f>
        <v>3</v>
      </c>
      <c r="B401">
        <f t="shared" si="168"/>
        <v>0.22222222222222221</v>
      </c>
      <c r="C401">
        <f>survey_responses[[#This Row],[Tôi tin rằng với các quy định quản lý thuế hiện nay, hành vi gian lận hoặc trốn thuế sẽ dễ dàng bị phát hiện và xử lý nghiêm. - HUMAN-ENF1]]</f>
        <v>8</v>
      </c>
      <c r="D401">
        <f t="shared" si="169"/>
        <v>0.77777777777777779</v>
      </c>
      <c r="E401">
        <f>step3_validation[[#This Row],[AI_ENF2]]</f>
        <v>4</v>
      </c>
      <c r="F401">
        <f t="shared" si="170"/>
        <v>0.33333333333333331</v>
      </c>
      <c r="G401">
        <f>survey_responses[[#This Row],[Tôi tin rằng Nhà nước, cơ quan thuế có đủ khả năng và công nghệ để phát hiện, xử lý nghiêm các hành vi trốn thuế. - HUMAN-ENF2]]</f>
        <v>9</v>
      </c>
      <c r="H401">
        <f t="shared" si="171"/>
        <v>0.88888888888888884</v>
      </c>
      <c r="I401" s="32">
        <f t="shared" si="172"/>
        <v>0.27777777777777779</v>
      </c>
      <c r="J401" s="32">
        <f t="shared" si="173"/>
        <v>0.83333333333333326</v>
      </c>
      <c r="K401">
        <f>step3_validation[[#This Row],[AI_FAC1]]</f>
        <v>6</v>
      </c>
      <c r="L401">
        <f t="shared" si="174"/>
        <v>0.55555555555555558</v>
      </c>
      <c r="M401">
        <f>survey_responses[[#This Row],[Các thủ tục khai báo thuế VÀ/HOẶC quy trình làm việc với cơ quan thuế đơn giản, tiện lợi, nhanh chóng hơn so với trước đây. - HUMAN-FAC1]]</f>
        <v>8</v>
      </c>
      <c r="N401">
        <f t="shared" si="175"/>
        <v>0.77777777777777779</v>
      </c>
      <c r="O401">
        <f>step3_validation[[#This Row],[AI_FAC2]]</f>
        <v>8</v>
      </c>
      <c r="P401">
        <f t="shared" si="176"/>
        <v>0.77777777777777779</v>
      </c>
      <c r="Q401">
        <f>survey_responses[[#This Row],[So với trước đây, tôi thấy cách tính thuế và các bậc thuế trong phương án mới đơn giản, dễ hiểu và dễ thực hiện hơn. - HUMAN-FAC2]]</f>
        <v>8</v>
      </c>
      <c r="R401">
        <f t="shared" si="177"/>
        <v>0.77777777777777779</v>
      </c>
      <c r="S401" s="32">
        <f t="shared" si="178"/>
        <v>0.66666666666666674</v>
      </c>
      <c r="T401" s="32">
        <f t="shared" si="179"/>
        <v>0.77777777777777779</v>
      </c>
      <c r="U401">
        <f>step3_validation[[#This Row],[AI_TRU1]]</f>
        <v>7</v>
      </c>
      <c r="V401">
        <f t="shared" si="180"/>
        <v>0.66666666666666663</v>
      </c>
      <c r="W401">
        <f>survey_responses[[#This Row],[Tôi tin rằng Nhà nước, cơ quan thuế sẽ thực thi chính sách mới một cách khách quan, công tâm và đối xử bình đẳng với mọi người nộp thuế.  - HUMAN-TRU1]]</f>
        <v>7</v>
      </c>
      <c r="X401">
        <f t="shared" si="181"/>
        <v>0.66666666666666663</v>
      </c>
      <c r="Y401">
        <f>step3_validation[[#This Row],[AI_TRU2]]</f>
        <v>6</v>
      </c>
      <c r="Z401">
        <f t="shared" si="182"/>
        <v>0.55555555555555558</v>
      </c>
      <c r="AA401">
        <f>survey_responses[[#This Row],[Tôi thấy mức thuế tôi phải đóng theo phương án mới là công bằng (người thu nhập như tôi đóng mức này là hợp lý). - HUMAN-TRU2]]</f>
        <v>7</v>
      </c>
      <c r="AB401">
        <f t="shared" si="183"/>
        <v>0.66666666666666663</v>
      </c>
      <c r="AC401">
        <f>step3_validation[[#This Row],[AI_TRU3]]</f>
        <v>5</v>
      </c>
      <c r="AD401">
        <f t="shared" si="184"/>
        <v>0.44444444444444442</v>
      </c>
      <c r="AE401">
        <f>survey_responses[[#This Row],[Tôi tin tưởng số tiền thuế tôi đóng sẽ được Nhà nước sử dụng hiệu quả để cải thiện dịch vụ công (y tế, đường xá...). - HUMAN-TRU3]]</f>
        <v>7</v>
      </c>
      <c r="AF401">
        <f t="shared" si="185"/>
        <v>0.66666666666666663</v>
      </c>
      <c r="AG401">
        <f>step3_validation[[#This Row],[AI_TRU4]]</f>
        <v>4</v>
      </c>
      <c r="AH401">
        <f t="shared" si="186"/>
        <v>0.33333333333333331</v>
      </c>
      <c r="AI401">
        <f>survey_responses[[#This Row],[Tôi thấy Nhà nước đã giải thích rõ ràng, minh bạch về lý do và mục tiêu của việc sửa đổi thuế lần này. - HUMAN-TRU4]]</f>
        <v>7</v>
      </c>
      <c r="AJ401">
        <f t="shared" si="187"/>
        <v>0.66666666666666663</v>
      </c>
      <c r="AK401" s="32">
        <f t="shared" si="188"/>
        <v>0.5</v>
      </c>
      <c r="AL401" s="32">
        <f t="shared" si="189"/>
        <v>0.66666666666666663</v>
      </c>
      <c r="AM401" s="7">
        <f t="shared" si="190"/>
        <v>0.48148148148148157</v>
      </c>
      <c r="AN401" s="7">
        <f t="shared" si="191"/>
        <v>0.75925925925925919</v>
      </c>
      <c r="AO401">
        <f>step3_validation[[#This Row],[AI_OUT1]]</f>
        <v>5</v>
      </c>
      <c r="AP401">
        <f t="shared" si="192"/>
        <v>0.44444444444444442</v>
      </c>
      <c r="AQ401">
        <f>survey_responses[[#This Row],[Sau khi xem xét các quyền lợi và nghĩa vụ, bạn có ủng hộ và tuân thủ chính sách mới hiện nay? - HUMAN-OUT1]]</f>
        <v>8</v>
      </c>
      <c r="AR401">
        <f t="shared" si="193"/>
        <v>0.77777777777777779</v>
      </c>
      <c r="AS401" s="32">
        <f t="shared" si="194"/>
        <v>3</v>
      </c>
      <c r="AT401">
        <f t="shared" si="195"/>
        <v>1</v>
      </c>
    </row>
    <row r="402" spans="1:46" x14ac:dyDescent="0.45">
      <c r="A402">
        <f>step3_validation[[#This Row],[AI_ENF1]]</f>
        <v>8</v>
      </c>
      <c r="B402">
        <f t="shared" si="168"/>
        <v>0.77777777777777779</v>
      </c>
      <c r="C402">
        <f>survey_responses[[#This Row],[Tôi tin rằng với các quy định quản lý thuế hiện nay, hành vi gian lận hoặc trốn thuế sẽ dễ dàng bị phát hiện và xử lý nghiêm. - HUMAN-ENF1]]</f>
        <v>4</v>
      </c>
      <c r="D402">
        <f t="shared" si="169"/>
        <v>0.33333333333333331</v>
      </c>
      <c r="E402">
        <f>step3_validation[[#This Row],[AI_ENF2]]</f>
        <v>7</v>
      </c>
      <c r="F402">
        <f t="shared" si="170"/>
        <v>0.66666666666666663</v>
      </c>
      <c r="G402">
        <f>survey_responses[[#This Row],[Tôi tin rằng Nhà nước, cơ quan thuế có đủ khả năng và công nghệ để phát hiện, xử lý nghiêm các hành vi trốn thuế. - HUMAN-ENF2]]</f>
        <v>4</v>
      </c>
      <c r="H402">
        <f t="shared" si="171"/>
        <v>0.33333333333333331</v>
      </c>
      <c r="I402" s="32">
        <f t="shared" si="172"/>
        <v>0.72222222222222221</v>
      </c>
      <c r="J402" s="32">
        <f t="shared" si="173"/>
        <v>0.33333333333333331</v>
      </c>
      <c r="K402">
        <f>step3_validation[[#This Row],[AI_FAC1]]</f>
        <v>6</v>
      </c>
      <c r="L402">
        <f t="shared" si="174"/>
        <v>0.55555555555555558</v>
      </c>
      <c r="M402">
        <f>survey_responses[[#This Row],[Các thủ tục khai báo thuế VÀ/HOẶC quy trình làm việc với cơ quan thuế đơn giản, tiện lợi, nhanh chóng hơn so với trước đây. - HUMAN-FAC1]]</f>
        <v>3</v>
      </c>
      <c r="N402">
        <f t="shared" si="175"/>
        <v>0.22222222222222221</v>
      </c>
      <c r="O402">
        <f>step3_validation[[#This Row],[AI_FAC2]]</f>
        <v>8</v>
      </c>
      <c r="P402">
        <f t="shared" si="176"/>
        <v>0.77777777777777779</v>
      </c>
      <c r="Q402">
        <f>survey_responses[[#This Row],[So với trước đây, tôi thấy cách tính thuế và các bậc thuế trong phương án mới đơn giản, dễ hiểu và dễ thực hiện hơn. - HUMAN-FAC2]]</f>
        <v>5</v>
      </c>
      <c r="R402">
        <f t="shared" si="177"/>
        <v>0.44444444444444442</v>
      </c>
      <c r="S402" s="32">
        <f t="shared" si="178"/>
        <v>0.66666666666666674</v>
      </c>
      <c r="T402" s="32">
        <f t="shared" si="179"/>
        <v>0.33333333333333331</v>
      </c>
      <c r="U402">
        <f>step3_validation[[#This Row],[AI_TRU1]]</f>
        <v>6</v>
      </c>
      <c r="V402">
        <f t="shared" si="180"/>
        <v>0.55555555555555558</v>
      </c>
      <c r="W402">
        <f>survey_responses[[#This Row],[Tôi tin rằng Nhà nước, cơ quan thuế sẽ thực thi chính sách mới một cách khách quan, công tâm và đối xử bình đẳng với mọi người nộp thuế.  - HUMAN-TRU1]]</f>
        <v>5</v>
      </c>
      <c r="X402">
        <f t="shared" si="181"/>
        <v>0.44444444444444442</v>
      </c>
      <c r="Y402">
        <f>step3_validation[[#This Row],[AI_TRU2]]</f>
        <v>7</v>
      </c>
      <c r="Z402">
        <f t="shared" si="182"/>
        <v>0.66666666666666663</v>
      </c>
      <c r="AA402">
        <f>survey_responses[[#This Row],[Tôi thấy mức thuế tôi phải đóng theo phương án mới là công bằng (người thu nhập như tôi đóng mức này là hợp lý). - HUMAN-TRU2]]</f>
        <v>2</v>
      </c>
      <c r="AB402">
        <f t="shared" si="183"/>
        <v>0.1111111111111111</v>
      </c>
      <c r="AC402">
        <f>step3_validation[[#This Row],[AI_TRU3]]</f>
        <v>6</v>
      </c>
      <c r="AD402">
        <f t="shared" si="184"/>
        <v>0.55555555555555558</v>
      </c>
      <c r="AE402">
        <f>survey_responses[[#This Row],[Tôi tin tưởng số tiền thuế tôi đóng sẽ được Nhà nước sử dụng hiệu quả để cải thiện dịch vụ công (y tế, đường xá...). - HUMAN-TRU3]]</f>
        <v>2</v>
      </c>
      <c r="AF402">
        <f t="shared" si="185"/>
        <v>0.1111111111111111</v>
      </c>
      <c r="AG402">
        <f>step3_validation[[#This Row],[AI_TRU4]]</f>
        <v>5</v>
      </c>
      <c r="AH402">
        <f t="shared" si="186"/>
        <v>0.44444444444444442</v>
      </c>
      <c r="AI402">
        <f>survey_responses[[#This Row],[Tôi thấy Nhà nước đã giải thích rõ ràng, minh bạch về lý do và mục tiêu của việc sửa đổi thuế lần này. - HUMAN-TRU4]]</f>
        <v>5</v>
      </c>
      <c r="AJ402">
        <f t="shared" si="187"/>
        <v>0.44444444444444442</v>
      </c>
      <c r="AK402" s="32">
        <f t="shared" si="188"/>
        <v>0.55555555555555558</v>
      </c>
      <c r="AL402" s="32">
        <f t="shared" si="189"/>
        <v>0.27777777777777779</v>
      </c>
      <c r="AM402" s="7">
        <f t="shared" si="190"/>
        <v>0.64814814814814814</v>
      </c>
      <c r="AN402" s="7">
        <f t="shared" si="191"/>
        <v>0.31481481481481483</v>
      </c>
      <c r="AO402">
        <f>step3_validation[[#This Row],[AI_OUT1]]</f>
        <v>5</v>
      </c>
      <c r="AP402">
        <f t="shared" si="192"/>
        <v>0.44444444444444442</v>
      </c>
      <c r="AQ402">
        <f>survey_responses[[#This Row],[Sau khi xem xét các quyền lợi và nghĩa vụ, bạn có ủng hộ và tuân thủ chính sách mới hiện nay? - HUMAN-OUT1]]</f>
        <v>2</v>
      </c>
      <c r="AR402">
        <f t="shared" si="193"/>
        <v>0.1111111111111111</v>
      </c>
      <c r="AS402" s="32">
        <f t="shared" si="194"/>
        <v>3</v>
      </c>
      <c r="AT402">
        <f t="shared" si="195"/>
        <v>0</v>
      </c>
    </row>
    <row r="403" spans="1:46" x14ac:dyDescent="0.45">
      <c r="A403">
        <f>step3_validation[[#This Row],[AI_ENF1]]</f>
        <v>7</v>
      </c>
      <c r="B403">
        <f t="shared" si="168"/>
        <v>0.66666666666666663</v>
      </c>
      <c r="C403">
        <f>survey_responses[[#This Row],[Tôi tin rằng với các quy định quản lý thuế hiện nay, hành vi gian lận hoặc trốn thuế sẽ dễ dàng bị phát hiện và xử lý nghiêm. - HUMAN-ENF1]]</f>
        <v>7</v>
      </c>
      <c r="D403">
        <f t="shared" si="169"/>
        <v>0.66666666666666663</v>
      </c>
      <c r="E403">
        <f>step3_validation[[#This Row],[AI_ENF2]]</f>
        <v>6</v>
      </c>
      <c r="F403">
        <f t="shared" si="170"/>
        <v>0.55555555555555558</v>
      </c>
      <c r="G403">
        <f>survey_responses[[#This Row],[Tôi tin rằng Nhà nước, cơ quan thuế có đủ khả năng và công nghệ để phát hiện, xử lý nghiêm các hành vi trốn thuế. - HUMAN-ENF2]]</f>
        <v>7</v>
      </c>
      <c r="H403">
        <f t="shared" si="171"/>
        <v>0.66666666666666663</v>
      </c>
      <c r="I403" s="32">
        <f t="shared" si="172"/>
        <v>0.61111111111111116</v>
      </c>
      <c r="J403" s="32">
        <f t="shared" si="173"/>
        <v>0.66666666666666663</v>
      </c>
      <c r="K403">
        <f>step3_validation[[#This Row],[AI_FAC1]]</f>
        <v>8</v>
      </c>
      <c r="L403">
        <f t="shared" si="174"/>
        <v>0.77777777777777779</v>
      </c>
      <c r="M403">
        <f>survey_responses[[#This Row],[Các thủ tục khai báo thuế VÀ/HOẶC quy trình làm việc với cơ quan thuế đơn giản, tiện lợi, nhanh chóng hơn so với trước đây. - HUMAN-FAC1]]</f>
        <v>4</v>
      </c>
      <c r="N403">
        <f t="shared" si="175"/>
        <v>0.33333333333333331</v>
      </c>
      <c r="O403">
        <f>step3_validation[[#This Row],[AI_FAC2]]</f>
        <v>7</v>
      </c>
      <c r="P403">
        <f t="shared" si="176"/>
        <v>0.66666666666666663</v>
      </c>
      <c r="Q403">
        <f>survey_responses[[#This Row],[So với trước đây, tôi thấy cách tính thuế và các bậc thuế trong phương án mới đơn giản, dễ hiểu và dễ thực hiện hơn. - HUMAN-FAC2]]</f>
        <v>6</v>
      </c>
      <c r="R403">
        <f t="shared" si="177"/>
        <v>0.55555555555555558</v>
      </c>
      <c r="S403" s="32">
        <f t="shared" si="178"/>
        <v>0.72222222222222221</v>
      </c>
      <c r="T403" s="32">
        <f t="shared" si="179"/>
        <v>0.44444444444444442</v>
      </c>
      <c r="U403">
        <f>step3_validation[[#This Row],[AI_TRU1]]</f>
        <v>8</v>
      </c>
      <c r="V403">
        <f t="shared" si="180"/>
        <v>0.77777777777777779</v>
      </c>
      <c r="W403">
        <f>survey_responses[[#This Row],[Tôi tin rằng Nhà nước, cơ quan thuế sẽ thực thi chính sách mới một cách khách quan, công tâm và đối xử bình đẳng với mọi người nộp thuế.  - HUMAN-TRU1]]</f>
        <v>5</v>
      </c>
      <c r="X403">
        <f t="shared" si="181"/>
        <v>0.44444444444444442</v>
      </c>
      <c r="Y403">
        <f>step3_validation[[#This Row],[AI_TRU2]]</f>
        <v>7</v>
      </c>
      <c r="Z403">
        <f t="shared" si="182"/>
        <v>0.66666666666666663</v>
      </c>
      <c r="AA403">
        <f>survey_responses[[#This Row],[Tôi thấy mức thuế tôi phải đóng theo phương án mới là công bằng (người thu nhập như tôi đóng mức này là hợp lý). - HUMAN-TRU2]]</f>
        <v>4</v>
      </c>
      <c r="AB403">
        <f t="shared" si="183"/>
        <v>0.33333333333333331</v>
      </c>
      <c r="AC403">
        <f>step3_validation[[#This Row],[AI_TRU3]]</f>
        <v>8</v>
      </c>
      <c r="AD403">
        <f t="shared" si="184"/>
        <v>0.77777777777777779</v>
      </c>
      <c r="AE403">
        <f>survey_responses[[#This Row],[Tôi tin tưởng số tiền thuế tôi đóng sẽ được Nhà nước sử dụng hiệu quả để cải thiện dịch vụ công (y tế, đường xá...). - HUMAN-TRU3]]</f>
        <v>5</v>
      </c>
      <c r="AF403">
        <f t="shared" si="185"/>
        <v>0.44444444444444442</v>
      </c>
      <c r="AG403">
        <f>step3_validation[[#This Row],[AI_TRU4]]</f>
        <v>6</v>
      </c>
      <c r="AH403">
        <f t="shared" si="186"/>
        <v>0.55555555555555558</v>
      </c>
      <c r="AI403">
        <f>survey_responses[[#This Row],[Tôi thấy Nhà nước đã giải thích rõ ràng, minh bạch về lý do và mục tiêu của việc sửa đổi thuế lần này. - HUMAN-TRU4]]</f>
        <v>5</v>
      </c>
      <c r="AJ403">
        <f t="shared" si="187"/>
        <v>0.44444444444444442</v>
      </c>
      <c r="AK403" s="32">
        <f t="shared" si="188"/>
        <v>0.69444444444444442</v>
      </c>
      <c r="AL403" s="32">
        <f t="shared" si="189"/>
        <v>0.41666666666666663</v>
      </c>
      <c r="AM403" s="7">
        <f t="shared" si="190"/>
        <v>0.67592592592592593</v>
      </c>
      <c r="AN403" s="7">
        <f t="shared" si="191"/>
        <v>0.50925925925925919</v>
      </c>
      <c r="AO403">
        <f>step3_validation[[#This Row],[AI_OUT1]]</f>
        <v>8</v>
      </c>
      <c r="AP403">
        <f t="shared" si="192"/>
        <v>0.77777777777777779</v>
      </c>
      <c r="AQ403">
        <f>survey_responses[[#This Row],[Sau khi xem xét các quyền lợi và nghĩa vụ, bạn có ủng hộ và tuân thủ chính sách mới hiện nay? - HUMAN-OUT1]]</f>
        <v>5</v>
      </c>
      <c r="AR403">
        <f t="shared" si="193"/>
        <v>0.44444444444444442</v>
      </c>
      <c r="AS403" s="32">
        <f t="shared" si="194"/>
        <v>3</v>
      </c>
      <c r="AT403">
        <f t="shared" si="195"/>
        <v>0</v>
      </c>
    </row>
    <row r="404" spans="1:46" x14ac:dyDescent="0.45">
      <c r="A404">
        <f>step3_validation[[#This Row],[AI_ENF1]]</f>
        <v>7</v>
      </c>
      <c r="B404">
        <f t="shared" si="168"/>
        <v>0.66666666666666663</v>
      </c>
      <c r="C404">
        <f>survey_responses[[#This Row],[Tôi tin rằng với các quy định quản lý thuế hiện nay, hành vi gian lận hoặc trốn thuế sẽ dễ dàng bị phát hiện và xử lý nghiêm. - HUMAN-ENF1]]</f>
        <v>7</v>
      </c>
      <c r="D404">
        <f t="shared" si="169"/>
        <v>0.66666666666666663</v>
      </c>
      <c r="E404">
        <f>step3_validation[[#This Row],[AI_ENF2]]</f>
        <v>6</v>
      </c>
      <c r="F404">
        <f t="shared" si="170"/>
        <v>0.55555555555555558</v>
      </c>
      <c r="G404">
        <f>survey_responses[[#This Row],[Tôi tin rằng Nhà nước, cơ quan thuế có đủ khả năng và công nghệ để phát hiện, xử lý nghiêm các hành vi trốn thuế. - HUMAN-ENF2]]</f>
        <v>7</v>
      </c>
      <c r="H404">
        <f t="shared" si="171"/>
        <v>0.66666666666666663</v>
      </c>
      <c r="I404" s="32">
        <f t="shared" si="172"/>
        <v>0.61111111111111116</v>
      </c>
      <c r="J404" s="32">
        <f t="shared" si="173"/>
        <v>0.66666666666666663</v>
      </c>
      <c r="K404">
        <f>step3_validation[[#This Row],[AI_FAC1]]</f>
        <v>5</v>
      </c>
      <c r="L404">
        <f t="shared" si="174"/>
        <v>0.44444444444444442</v>
      </c>
      <c r="M404">
        <f>survey_responses[[#This Row],[Các thủ tục khai báo thuế VÀ/HOẶC quy trình làm việc với cơ quan thuế đơn giản, tiện lợi, nhanh chóng hơn so với trước đây. - HUMAN-FAC1]]</f>
        <v>7</v>
      </c>
      <c r="N404">
        <f t="shared" si="175"/>
        <v>0.66666666666666663</v>
      </c>
      <c r="O404">
        <f>step3_validation[[#This Row],[AI_FAC2]]</f>
        <v>8</v>
      </c>
      <c r="P404">
        <f t="shared" si="176"/>
        <v>0.77777777777777779</v>
      </c>
      <c r="Q404">
        <f>survey_responses[[#This Row],[So với trước đây, tôi thấy cách tính thuế và các bậc thuế trong phương án mới đơn giản, dễ hiểu và dễ thực hiện hơn. - HUMAN-FAC2]]</f>
        <v>7</v>
      </c>
      <c r="R404">
        <f t="shared" si="177"/>
        <v>0.66666666666666663</v>
      </c>
      <c r="S404" s="32">
        <f t="shared" si="178"/>
        <v>0.61111111111111116</v>
      </c>
      <c r="T404" s="32">
        <f t="shared" si="179"/>
        <v>0.66666666666666663</v>
      </c>
      <c r="U404">
        <f>step3_validation[[#This Row],[AI_TRU1]]</f>
        <v>7</v>
      </c>
      <c r="V404">
        <f t="shared" si="180"/>
        <v>0.66666666666666663</v>
      </c>
      <c r="W404">
        <f>survey_responses[[#This Row],[Tôi tin rằng Nhà nước, cơ quan thuế sẽ thực thi chính sách mới một cách khách quan, công tâm và đối xử bình đẳng với mọi người nộp thuế.  - HUMAN-TRU1]]</f>
        <v>7</v>
      </c>
      <c r="X404">
        <f t="shared" si="181"/>
        <v>0.66666666666666663</v>
      </c>
      <c r="Y404">
        <f>step3_validation[[#This Row],[AI_TRU2]]</f>
        <v>6</v>
      </c>
      <c r="Z404">
        <f t="shared" si="182"/>
        <v>0.55555555555555558</v>
      </c>
      <c r="AA404">
        <f>survey_responses[[#This Row],[Tôi thấy mức thuế tôi phải đóng theo phương án mới là công bằng (người thu nhập như tôi đóng mức này là hợp lý). - HUMAN-TRU2]]</f>
        <v>7</v>
      </c>
      <c r="AB404">
        <f t="shared" si="183"/>
        <v>0.66666666666666663</v>
      </c>
      <c r="AC404">
        <f>step3_validation[[#This Row],[AI_TRU3]]</f>
        <v>7</v>
      </c>
      <c r="AD404">
        <f t="shared" si="184"/>
        <v>0.66666666666666663</v>
      </c>
      <c r="AE404">
        <f>survey_responses[[#This Row],[Tôi tin tưởng số tiền thuế tôi đóng sẽ được Nhà nước sử dụng hiệu quả để cải thiện dịch vụ công (y tế, đường xá...). - HUMAN-TRU3]]</f>
        <v>7</v>
      </c>
      <c r="AF404">
        <f t="shared" si="185"/>
        <v>0.66666666666666663</v>
      </c>
      <c r="AG404">
        <f>step3_validation[[#This Row],[AI_TRU4]]</f>
        <v>6</v>
      </c>
      <c r="AH404">
        <f t="shared" si="186"/>
        <v>0.55555555555555558</v>
      </c>
      <c r="AI404">
        <f>survey_responses[[#This Row],[Tôi thấy Nhà nước đã giải thích rõ ràng, minh bạch về lý do và mục tiêu của việc sửa đổi thuế lần này. - HUMAN-TRU4]]</f>
        <v>7</v>
      </c>
      <c r="AJ404">
        <f t="shared" si="187"/>
        <v>0.66666666666666663</v>
      </c>
      <c r="AK404" s="32">
        <f t="shared" si="188"/>
        <v>0.61111111111111116</v>
      </c>
      <c r="AL404" s="32">
        <f t="shared" si="189"/>
        <v>0.66666666666666663</v>
      </c>
      <c r="AM404" s="7">
        <f t="shared" si="190"/>
        <v>0.61111111111111116</v>
      </c>
      <c r="AN404" s="7">
        <f t="shared" si="191"/>
        <v>0.66666666666666663</v>
      </c>
      <c r="AO404">
        <f>step3_validation[[#This Row],[AI_OUT1]]</f>
        <v>7</v>
      </c>
      <c r="AP404">
        <f t="shared" si="192"/>
        <v>0.66666666666666663</v>
      </c>
      <c r="AQ404">
        <f>survey_responses[[#This Row],[Sau khi xem xét các quyền lợi và nghĩa vụ, bạn có ủng hộ và tuân thủ chính sách mới hiện nay? - HUMAN-OUT1]]</f>
        <v>7</v>
      </c>
      <c r="AR404">
        <f t="shared" si="193"/>
        <v>0.66666666666666663</v>
      </c>
      <c r="AS404" s="32">
        <f t="shared" si="194"/>
        <v>0</v>
      </c>
      <c r="AT404">
        <f t="shared" si="195"/>
        <v>1</v>
      </c>
    </row>
    <row r="405" spans="1:46" x14ac:dyDescent="0.45">
      <c r="AM405" s="7">
        <f>AVERAGE(AM2:AM404)</f>
        <v>0.68254296480102938</v>
      </c>
      <c r="AN405" s="7">
        <f>AVERAGE(AN2:AN404)</f>
        <v>0.62937689550592735</v>
      </c>
      <c r="AP405" s="7">
        <f>AVERAGE(AP2:AP404)</f>
        <v>0.67190515577612053</v>
      </c>
      <c r="AR405" s="7">
        <f>AVERAGE(AR2:AR404)</f>
        <v>0.65977391783843187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2DB3-78F8-4882-B370-3D0242ABDA9E}">
  <dimension ref="A1:I18"/>
  <sheetViews>
    <sheetView tabSelected="1" workbookViewId="0">
      <selection activeCell="A16" sqref="A16:E18"/>
    </sheetView>
  </sheetViews>
  <sheetFormatPr defaultRowHeight="14.25" x14ac:dyDescent="0.45"/>
  <cols>
    <col min="1" max="1" width="9.19921875" customWidth="1"/>
    <col min="3" max="3" width="13" bestFit="1" customWidth="1"/>
    <col min="4" max="5" width="11.73046875" bestFit="1" customWidth="1"/>
    <col min="6" max="6" width="12.1328125" bestFit="1" customWidth="1"/>
    <col min="7" max="7" width="9.06640625" customWidth="1"/>
    <col min="8" max="9" width="11.73046875" bestFit="1" customWidth="1"/>
  </cols>
  <sheetData>
    <row r="1" spans="1:9" x14ac:dyDescent="0.45">
      <c r="A1" t="s">
        <v>3822</v>
      </c>
    </row>
    <row r="2" spans="1:9" ht="14.65" thickBot="1" x14ac:dyDescent="0.5"/>
    <row r="3" spans="1:9" x14ac:dyDescent="0.45">
      <c r="A3" s="47" t="s">
        <v>3823</v>
      </c>
      <c r="B3" s="47"/>
    </row>
    <row r="4" spans="1:9" x14ac:dyDescent="0.45">
      <c r="A4" s="44" t="s">
        <v>3824</v>
      </c>
      <c r="B4" s="44">
        <v>0.82690001589630946</v>
      </c>
    </row>
    <row r="5" spans="1:9" x14ac:dyDescent="0.45">
      <c r="A5" s="44" t="s">
        <v>3825</v>
      </c>
      <c r="B5" s="44">
        <v>0.6837636362893168</v>
      </c>
    </row>
    <row r="6" spans="1:9" x14ac:dyDescent="0.45">
      <c r="A6" s="44" t="s">
        <v>3826</v>
      </c>
      <c r="B6" s="44">
        <v>0.68297501692844231</v>
      </c>
    </row>
    <row r="7" spans="1:9" x14ac:dyDescent="0.45">
      <c r="A7" s="44" t="s">
        <v>3827</v>
      </c>
      <c r="B7" s="44">
        <v>0.1328018972212669</v>
      </c>
    </row>
    <row r="8" spans="1:9" ht="14.65" thickBot="1" x14ac:dyDescent="0.5">
      <c r="A8" s="45" t="s">
        <v>3828</v>
      </c>
      <c r="B8" s="45">
        <v>403</v>
      </c>
    </row>
    <row r="10" spans="1:9" ht="14.65" thickBot="1" x14ac:dyDescent="0.5">
      <c r="A10" t="s">
        <v>3829</v>
      </c>
    </row>
    <row r="11" spans="1:9" x14ac:dyDescent="0.45">
      <c r="A11" s="46"/>
      <c r="B11" s="46" t="s">
        <v>3833</v>
      </c>
      <c r="C11" s="46" t="s">
        <v>3834</v>
      </c>
      <c r="D11" s="46" t="s">
        <v>3835</v>
      </c>
      <c r="E11" s="46" t="s">
        <v>3836</v>
      </c>
      <c r="F11" s="46" t="s">
        <v>3837</v>
      </c>
    </row>
    <row r="12" spans="1:9" x14ac:dyDescent="0.45">
      <c r="A12" s="44" t="s">
        <v>3830</v>
      </c>
      <c r="B12" s="44">
        <v>1</v>
      </c>
      <c r="C12" s="44">
        <v>15.291395618727151</v>
      </c>
      <c r="D12" s="44">
        <v>15.291395618727151</v>
      </c>
      <c r="E12" s="44">
        <v>867.03886591253956</v>
      </c>
      <c r="F12" s="44">
        <v>2.7196595409753457E-102</v>
      </c>
    </row>
    <row r="13" spans="1:9" x14ac:dyDescent="0.45">
      <c r="A13" s="44" t="s">
        <v>3831</v>
      </c>
      <c r="B13" s="44">
        <v>401</v>
      </c>
      <c r="C13" s="44">
        <v>7.0721739061327424</v>
      </c>
      <c r="D13" s="44">
        <v>1.7636343905567935E-2</v>
      </c>
      <c r="E13" s="44"/>
      <c r="F13" s="44"/>
    </row>
    <row r="14" spans="1:9" ht="14.65" thickBot="1" x14ac:dyDescent="0.5">
      <c r="A14" s="45" t="s">
        <v>34</v>
      </c>
      <c r="B14" s="45">
        <v>402</v>
      </c>
      <c r="C14" s="45">
        <v>22.363569524859894</v>
      </c>
      <c r="D14" s="45"/>
      <c r="E14" s="45"/>
      <c r="F14" s="45"/>
    </row>
    <row r="15" spans="1:9" ht="14.65" thickBot="1" x14ac:dyDescent="0.5"/>
    <row r="16" spans="1:9" x14ac:dyDescent="0.45">
      <c r="A16" s="46"/>
      <c r="B16" s="46" t="s">
        <v>3838</v>
      </c>
      <c r="C16" s="46" t="s">
        <v>3827</v>
      </c>
      <c r="D16" s="46" t="s">
        <v>3839</v>
      </c>
      <c r="E16" s="46" t="s">
        <v>3840</v>
      </c>
      <c r="F16" s="46" t="s">
        <v>3841</v>
      </c>
      <c r="G16" s="46" t="s">
        <v>3842</v>
      </c>
      <c r="H16" s="46" t="s">
        <v>3843</v>
      </c>
      <c r="I16" s="46" t="s">
        <v>3844</v>
      </c>
    </row>
    <row r="17" spans="1:9" x14ac:dyDescent="0.45">
      <c r="A17" s="44" t="s">
        <v>3832</v>
      </c>
      <c r="B17" s="44">
        <v>6.5542630001767743E-2</v>
      </c>
      <c r="C17" s="44">
        <v>2.1237309223156732E-2</v>
      </c>
      <c r="D17" s="44">
        <v>3.0862021790548395</v>
      </c>
      <c r="E17" s="44">
        <v>2.1679841558557376E-3</v>
      </c>
      <c r="F17" s="44">
        <v>2.3792257629396123E-2</v>
      </c>
      <c r="G17" s="44">
        <v>0.10729300237413936</v>
      </c>
      <c r="H17" s="44">
        <v>2.3792257629396123E-2</v>
      </c>
      <c r="I17" s="44">
        <v>0.10729300237413936</v>
      </c>
    </row>
    <row r="18" spans="1:9" ht="14.65" thickBot="1" x14ac:dyDescent="0.5">
      <c r="A18" s="45" t="s">
        <v>3846</v>
      </c>
      <c r="B18" s="45">
        <v>0.94415809045387467</v>
      </c>
      <c r="C18" s="45">
        <v>3.2064571175674836E-2</v>
      </c>
      <c r="D18" s="45">
        <v>29.445523699070762</v>
      </c>
      <c r="E18" s="48">
        <v>2.7196595409761198E-102</v>
      </c>
      <c r="F18" s="45">
        <v>0.88112243125251322</v>
      </c>
      <c r="G18" s="45">
        <v>1.0071937496552361</v>
      </c>
      <c r="H18" s="45">
        <v>0.88112243125251322</v>
      </c>
      <c r="I18" s="45">
        <v>1.0071937496552361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H1" workbookViewId="0">
      <selection activeCell="Y2" sqref="Y2:Y404"/>
    </sheetView>
  </sheetViews>
  <sheetFormatPr defaultRowHeight="14.25" x14ac:dyDescent="0.45"/>
  <sheetData>
    <row r="1" spans="1:27" x14ac:dyDescent="0.45">
      <c r="A1" s="8" t="s">
        <v>45</v>
      </c>
      <c r="B1" s="35" t="s">
        <v>125</v>
      </c>
      <c r="C1" s="8" t="s">
        <v>200</v>
      </c>
      <c r="D1" s="8" t="s">
        <v>48</v>
      </c>
      <c r="E1" s="8" t="s">
        <v>130</v>
      </c>
      <c r="F1" s="8" t="s">
        <v>201</v>
      </c>
      <c r="G1" s="8" t="s">
        <v>51</v>
      </c>
      <c r="H1" s="8" t="s">
        <v>134</v>
      </c>
      <c r="I1" s="8" t="s">
        <v>202</v>
      </c>
      <c r="J1" s="8" t="s">
        <v>54</v>
      </c>
      <c r="K1" s="8" t="s">
        <v>138</v>
      </c>
      <c r="L1" s="8" t="s">
        <v>203</v>
      </c>
      <c r="M1" t="s">
        <v>57</v>
      </c>
      <c r="N1" t="s">
        <v>142</v>
      </c>
      <c r="O1" s="8" t="s">
        <v>204</v>
      </c>
      <c r="P1" t="s">
        <v>60</v>
      </c>
      <c r="Q1" t="s">
        <v>146</v>
      </c>
      <c r="R1" s="8" t="s">
        <v>205</v>
      </c>
      <c r="S1" t="s">
        <v>63</v>
      </c>
      <c r="T1" t="s">
        <v>150</v>
      </c>
      <c r="U1" s="8" t="s">
        <v>206</v>
      </c>
      <c r="V1" t="s">
        <v>66</v>
      </c>
      <c r="W1" t="s">
        <v>154</v>
      </c>
      <c r="X1" s="8" t="s">
        <v>207</v>
      </c>
      <c r="Y1" t="s">
        <v>69</v>
      </c>
      <c r="Z1" t="s">
        <v>158</v>
      </c>
      <c r="AA1" s="8" t="s">
        <v>208</v>
      </c>
    </row>
    <row r="2" spans="1:27" x14ac:dyDescent="0.45">
      <c r="A2">
        <v>3</v>
      </c>
      <c r="B2" s="36">
        <v>1</v>
      </c>
      <c r="C2" s="32">
        <f>ABS(B2-A2)</f>
        <v>2</v>
      </c>
      <c r="D2">
        <v>3</v>
      </c>
      <c r="E2" s="36">
        <v>1</v>
      </c>
      <c r="F2" s="32">
        <f>ABS(E2-D2)</f>
        <v>2</v>
      </c>
      <c r="G2">
        <v>5</v>
      </c>
      <c r="H2" s="36">
        <v>1</v>
      </c>
      <c r="I2" s="32">
        <f>ABS(H2-G2)</f>
        <v>4</v>
      </c>
      <c r="J2">
        <v>5</v>
      </c>
      <c r="K2" s="36">
        <v>1</v>
      </c>
      <c r="L2" s="32">
        <f>ABS(K2-J2)</f>
        <v>4</v>
      </c>
      <c r="M2">
        <v>3</v>
      </c>
      <c r="N2" s="36">
        <v>1</v>
      </c>
      <c r="O2" s="32">
        <f>ABS(N2-M2)</f>
        <v>2</v>
      </c>
      <c r="P2">
        <v>4</v>
      </c>
      <c r="Q2" s="36">
        <v>1</v>
      </c>
      <c r="R2" s="32">
        <f>ABS(Q2-P2)</f>
        <v>3</v>
      </c>
      <c r="S2">
        <v>3</v>
      </c>
      <c r="T2" s="36">
        <v>1</v>
      </c>
      <c r="U2" s="32">
        <f>ABS(T2-S2)</f>
        <v>2</v>
      </c>
      <c r="V2">
        <v>4</v>
      </c>
      <c r="W2" s="36">
        <v>1</v>
      </c>
      <c r="X2" s="32">
        <f>ABS(W2-V2)</f>
        <v>3</v>
      </c>
      <c r="Y2">
        <v>3</v>
      </c>
      <c r="Z2" s="36">
        <v>1</v>
      </c>
      <c r="AA2" s="32">
        <f>ABS(Z2-Y2)</f>
        <v>2</v>
      </c>
    </row>
    <row r="3" spans="1:27" x14ac:dyDescent="0.45">
      <c r="A3">
        <v>3</v>
      </c>
      <c r="B3" s="36">
        <v>1</v>
      </c>
      <c r="C3" s="32">
        <f t="shared" ref="C3:C66" si="0">ABS(B3-A3)</f>
        <v>2</v>
      </c>
      <c r="D3">
        <v>3</v>
      </c>
      <c r="E3" s="36">
        <v>1</v>
      </c>
      <c r="F3" s="32">
        <f t="shared" ref="F3:F66" si="1">ABS(E3-D3)</f>
        <v>2</v>
      </c>
      <c r="G3">
        <v>5</v>
      </c>
      <c r="H3" s="36">
        <v>1</v>
      </c>
      <c r="I3" s="32">
        <f t="shared" ref="I3:I66" si="2">ABS(H3-G3)</f>
        <v>4</v>
      </c>
      <c r="J3">
        <v>5</v>
      </c>
      <c r="K3" s="36">
        <v>1</v>
      </c>
      <c r="L3" s="32">
        <f t="shared" ref="L3:L66" si="3">ABS(K3-J3)</f>
        <v>4</v>
      </c>
      <c r="M3">
        <v>3</v>
      </c>
      <c r="N3" s="36">
        <v>1</v>
      </c>
      <c r="O3" s="32">
        <f t="shared" ref="O3:O66" si="4">ABS(N3-M3)</f>
        <v>2</v>
      </c>
      <c r="P3">
        <v>4</v>
      </c>
      <c r="Q3" s="36">
        <v>1</v>
      </c>
      <c r="R3" s="32">
        <f t="shared" ref="R3:R66" si="5">ABS(Q3-P3)</f>
        <v>3</v>
      </c>
      <c r="S3">
        <v>3</v>
      </c>
      <c r="T3" s="36">
        <v>1</v>
      </c>
      <c r="U3" s="32">
        <f t="shared" ref="U3:U66" si="6">ABS(T3-S3)</f>
        <v>2</v>
      </c>
      <c r="V3">
        <v>4</v>
      </c>
      <c r="W3" s="36">
        <v>1</v>
      </c>
      <c r="X3" s="32">
        <f t="shared" ref="X3:X66" si="7">ABS(W3-V3)</f>
        <v>3</v>
      </c>
      <c r="Y3">
        <v>3</v>
      </c>
      <c r="Z3" s="36">
        <v>1</v>
      </c>
      <c r="AA3" s="32">
        <f t="shared" ref="AA3:AA66" si="8">ABS(Z3-Y3)</f>
        <v>2</v>
      </c>
    </row>
    <row r="4" spans="1:27" x14ac:dyDescent="0.45">
      <c r="A4">
        <v>3</v>
      </c>
      <c r="B4" s="36">
        <v>1</v>
      </c>
      <c r="C4" s="32">
        <f t="shared" si="0"/>
        <v>2</v>
      </c>
      <c r="D4">
        <v>3</v>
      </c>
      <c r="E4" s="36">
        <v>1</v>
      </c>
      <c r="F4" s="32">
        <f t="shared" si="1"/>
        <v>2</v>
      </c>
      <c r="G4">
        <v>6</v>
      </c>
      <c r="H4" s="36">
        <v>1</v>
      </c>
      <c r="I4" s="32">
        <f t="shared" si="2"/>
        <v>5</v>
      </c>
      <c r="J4">
        <v>6</v>
      </c>
      <c r="K4" s="36">
        <v>1</v>
      </c>
      <c r="L4" s="32">
        <f t="shared" si="3"/>
        <v>5</v>
      </c>
      <c r="M4">
        <v>3</v>
      </c>
      <c r="N4" s="36">
        <v>1</v>
      </c>
      <c r="O4" s="32">
        <f t="shared" si="4"/>
        <v>2</v>
      </c>
      <c r="P4">
        <v>4</v>
      </c>
      <c r="Q4" s="36">
        <v>1</v>
      </c>
      <c r="R4" s="32">
        <f t="shared" si="5"/>
        <v>3</v>
      </c>
      <c r="S4">
        <v>3</v>
      </c>
      <c r="T4" s="36">
        <v>1</v>
      </c>
      <c r="U4" s="32">
        <f t="shared" si="6"/>
        <v>2</v>
      </c>
      <c r="V4">
        <v>4</v>
      </c>
      <c r="W4" s="36">
        <v>1</v>
      </c>
      <c r="X4" s="32">
        <f t="shared" si="7"/>
        <v>3</v>
      </c>
      <c r="Y4">
        <v>3</v>
      </c>
      <c r="Z4" s="36">
        <v>1</v>
      </c>
      <c r="AA4" s="32">
        <f t="shared" si="8"/>
        <v>2</v>
      </c>
    </row>
    <row r="5" spans="1:27" x14ac:dyDescent="0.45">
      <c r="A5">
        <v>3</v>
      </c>
      <c r="B5" s="36">
        <v>1</v>
      </c>
      <c r="C5" s="32">
        <f t="shared" si="0"/>
        <v>2</v>
      </c>
      <c r="D5">
        <v>3</v>
      </c>
      <c r="E5" s="36">
        <v>1</v>
      </c>
      <c r="F5" s="32">
        <f t="shared" si="1"/>
        <v>2</v>
      </c>
      <c r="G5">
        <v>6</v>
      </c>
      <c r="H5" s="36">
        <v>1</v>
      </c>
      <c r="I5" s="32">
        <f t="shared" si="2"/>
        <v>5</v>
      </c>
      <c r="J5">
        <v>6</v>
      </c>
      <c r="K5" s="36">
        <v>1</v>
      </c>
      <c r="L5" s="32">
        <f t="shared" si="3"/>
        <v>5</v>
      </c>
      <c r="M5">
        <v>3</v>
      </c>
      <c r="N5" s="36">
        <v>1</v>
      </c>
      <c r="O5" s="32">
        <f t="shared" si="4"/>
        <v>2</v>
      </c>
      <c r="P5">
        <v>4</v>
      </c>
      <c r="Q5" s="36">
        <v>1</v>
      </c>
      <c r="R5" s="32">
        <f t="shared" si="5"/>
        <v>3</v>
      </c>
      <c r="S5">
        <v>3</v>
      </c>
      <c r="T5" s="36">
        <v>1</v>
      </c>
      <c r="U5" s="32">
        <f t="shared" si="6"/>
        <v>2</v>
      </c>
      <c r="V5">
        <v>5</v>
      </c>
      <c r="W5" s="36">
        <v>1</v>
      </c>
      <c r="X5" s="32">
        <f t="shared" si="7"/>
        <v>4</v>
      </c>
      <c r="Y5">
        <v>3</v>
      </c>
      <c r="Z5" s="36">
        <v>1</v>
      </c>
      <c r="AA5" s="32">
        <f t="shared" si="8"/>
        <v>2</v>
      </c>
    </row>
    <row r="6" spans="1:27" x14ac:dyDescent="0.45">
      <c r="A6">
        <v>3</v>
      </c>
      <c r="B6" s="36">
        <v>1</v>
      </c>
      <c r="C6" s="32">
        <f t="shared" si="0"/>
        <v>2</v>
      </c>
      <c r="D6">
        <v>3</v>
      </c>
      <c r="E6" s="36">
        <v>1</v>
      </c>
      <c r="F6" s="32">
        <f t="shared" si="1"/>
        <v>2</v>
      </c>
      <c r="G6">
        <v>6</v>
      </c>
      <c r="H6" s="36">
        <v>1</v>
      </c>
      <c r="I6" s="32">
        <f t="shared" si="2"/>
        <v>5</v>
      </c>
      <c r="J6">
        <v>6</v>
      </c>
      <c r="K6" s="36">
        <v>1</v>
      </c>
      <c r="L6" s="32">
        <f t="shared" si="3"/>
        <v>5</v>
      </c>
      <c r="M6">
        <v>4</v>
      </c>
      <c r="N6" s="36">
        <v>1</v>
      </c>
      <c r="O6" s="32">
        <f t="shared" si="4"/>
        <v>3</v>
      </c>
      <c r="P6">
        <v>4</v>
      </c>
      <c r="Q6" s="36">
        <v>1</v>
      </c>
      <c r="R6" s="32">
        <f t="shared" si="5"/>
        <v>3</v>
      </c>
      <c r="S6">
        <v>3</v>
      </c>
      <c r="T6" s="36">
        <v>1</v>
      </c>
      <c r="U6" s="32">
        <f t="shared" si="6"/>
        <v>2</v>
      </c>
      <c r="V6">
        <v>5</v>
      </c>
      <c r="W6" s="36">
        <v>1</v>
      </c>
      <c r="X6" s="32">
        <f t="shared" si="7"/>
        <v>4</v>
      </c>
      <c r="Y6">
        <v>3</v>
      </c>
      <c r="Z6" s="36">
        <v>1</v>
      </c>
      <c r="AA6" s="32">
        <f t="shared" si="8"/>
        <v>2</v>
      </c>
    </row>
    <row r="7" spans="1:27" x14ac:dyDescent="0.45">
      <c r="A7">
        <v>3</v>
      </c>
      <c r="B7" s="36">
        <v>1</v>
      </c>
      <c r="C7" s="32">
        <f t="shared" si="0"/>
        <v>2</v>
      </c>
      <c r="D7">
        <v>3</v>
      </c>
      <c r="E7" s="36">
        <v>1</v>
      </c>
      <c r="F7" s="32">
        <f t="shared" si="1"/>
        <v>2</v>
      </c>
      <c r="G7">
        <v>6</v>
      </c>
      <c r="H7" s="36">
        <v>1</v>
      </c>
      <c r="I7" s="32">
        <f t="shared" si="2"/>
        <v>5</v>
      </c>
      <c r="J7">
        <v>6</v>
      </c>
      <c r="K7" s="36">
        <v>1</v>
      </c>
      <c r="L7" s="32">
        <f t="shared" si="3"/>
        <v>5</v>
      </c>
      <c r="M7">
        <v>4</v>
      </c>
      <c r="N7" s="36">
        <v>1</v>
      </c>
      <c r="O7" s="32">
        <f t="shared" si="4"/>
        <v>3</v>
      </c>
      <c r="P7">
        <v>4</v>
      </c>
      <c r="Q7" s="36">
        <v>1</v>
      </c>
      <c r="R7" s="32">
        <f t="shared" si="5"/>
        <v>3</v>
      </c>
      <c r="S7">
        <v>4</v>
      </c>
      <c r="T7" s="36">
        <v>1</v>
      </c>
      <c r="U7" s="32">
        <f t="shared" si="6"/>
        <v>3</v>
      </c>
      <c r="V7">
        <v>5</v>
      </c>
      <c r="W7" s="36">
        <v>1</v>
      </c>
      <c r="X7" s="32">
        <f t="shared" si="7"/>
        <v>4</v>
      </c>
      <c r="Y7">
        <v>3</v>
      </c>
      <c r="Z7" s="36">
        <v>1</v>
      </c>
      <c r="AA7" s="32">
        <f t="shared" si="8"/>
        <v>2</v>
      </c>
    </row>
    <row r="8" spans="1:27" x14ac:dyDescent="0.45">
      <c r="A8">
        <v>3</v>
      </c>
      <c r="B8" s="36">
        <v>1</v>
      </c>
      <c r="C8" s="32">
        <f t="shared" si="0"/>
        <v>2</v>
      </c>
      <c r="D8">
        <v>3</v>
      </c>
      <c r="E8" s="36">
        <v>1</v>
      </c>
      <c r="F8" s="32">
        <f t="shared" si="1"/>
        <v>2</v>
      </c>
      <c r="G8">
        <v>6</v>
      </c>
      <c r="H8" s="36">
        <v>1</v>
      </c>
      <c r="I8" s="32">
        <f t="shared" si="2"/>
        <v>5</v>
      </c>
      <c r="J8">
        <v>6</v>
      </c>
      <c r="K8" s="36">
        <v>2</v>
      </c>
      <c r="L8" s="32">
        <f t="shared" si="3"/>
        <v>4</v>
      </c>
      <c r="M8">
        <v>4</v>
      </c>
      <c r="N8" s="36">
        <v>1</v>
      </c>
      <c r="O8" s="32">
        <f t="shared" si="4"/>
        <v>3</v>
      </c>
      <c r="P8">
        <v>4</v>
      </c>
      <c r="Q8" s="36">
        <v>1</v>
      </c>
      <c r="R8" s="32">
        <f t="shared" si="5"/>
        <v>3</v>
      </c>
      <c r="S8">
        <v>4</v>
      </c>
      <c r="T8" s="36">
        <v>1</v>
      </c>
      <c r="U8" s="32">
        <f t="shared" si="6"/>
        <v>3</v>
      </c>
      <c r="V8">
        <v>5</v>
      </c>
      <c r="W8" s="36">
        <v>1</v>
      </c>
      <c r="X8" s="32">
        <f t="shared" si="7"/>
        <v>4</v>
      </c>
      <c r="Y8">
        <v>3</v>
      </c>
      <c r="Z8" s="36">
        <v>1</v>
      </c>
      <c r="AA8" s="32">
        <f t="shared" si="8"/>
        <v>2</v>
      </c>
    </row>
    <row r="9" spans="1:27" x14ac:dyDescent="0.45">
      <c r="A9">
        <v>3</v>
      </c>
      <c r="B9" s="36">
        <v>1</v>
      </c>
      <c r="C9" s="32">
        <f t="shared" si="0"/>
        <v>2</v>
      </c>
      <c r="D9">
        <v>3</v>
      </c>
      <c r="E9" s="36">
        <v>1</v>
      </c>
      <c r="F9" s="32">
        <f t="shared" si="1"/>
        <v>2</v>
      </c>
      <c r="G9">
        <v>6</v>
      </c>
      <c r="H9" s="36">
        <v>1</v>
      </c>
      <c r="I9" s="32">
        <f t="shared" si="2"/>
        <v>5</v>
      </c>
      <c r="J9">
        <v>6</v>
      </c>
      <c r="K9" s="36">
        <v>2</v>
      </c>
      <c r="L9" s="32">
        <f t="shared" si="3"/>
        <v>4</v>
      </c>
      <c r="M9">
        <v>4</v>
      </c>
      <c r="N9" s="36">
        <v>1</v>
      </c>
      <c r="O9" s="32">
        <f t="shared" si="4"/>
        <v>3</v>
      </c>
      <c r="P9">
        <v>4</v>
      </c>
      <c r="Q9" s="36">
        <v>1</v>
      </c>
      <c r="R9" s="32">
        <f t="shared" si="5"/>
        <v>3</v>
      </c>
      <c r="S9">
        <v>4</v>
      </c>
      <c r="T9" s="36">
        <v>1</v>
      </c>
      <c r="U9" s="32">
        <f t="shared" si="6"/>
        <v>3</v>
      </c>
      <c r="V9">
        <v>5</v>
      </c>
      <c r="W9" s="36">
        <v>1</v>
      </c>
      <c r="X9" s="32">
        <f t="shared" si="7"/>
        <v>4</v>
      </c>
      <c r="Y9">
        <v>3</v>
      </c>
      <c r="Z9" s="36">
        <v>1</v>
      </c>
      <c r="AA9" s="32">
        <f t="shared" si="8"/>
        <v>2</v>
      </c>
    </row>
    <row r="10" spans="1:27" x14ac:dyDescent="0.45">
      <c r="A10">
        <v>3</v>
      </c>
      <c r="B10" s="36">
        <v>1</v>
      </c>
      <c r="C10" s="32">
        <f t="shared" si="0"/>
        <v>2</v>
      </c>
      <c r="D10">
        <v>4</v>
      </c>
      <c r="E10" s="36">
        <v>1</v>
      </c>
      <c r="F10" s="32">
        <f t="shared" si="1"/>
        <v>3</v>
      </c>
      <c r="G10">
        <v>6</v>
      </c>
      <c r="H10" s="36">
        <v>1</v>
      </c>
      <c r="I10" s="32">
        <f t="shared" si="2"/>
        <v>5</v>
      </c>
      <c r="J10">
        <v>6</v>
      </c>
      <c r="K10" s="36">
        <v>2</v>
      </c>
      <c r="L10" s="32">
        <f t="shared" si="3"/>
        <v>4</v>
      </c>
      <c r="M10">
        <v>4</v>
      </c>
      <c r="N10" s="36">
        <v>1</v>
      </c>
      <c r="O10" s="32">
        <f t="shared" si="4"/>
        <v>3</v>
      </c>
      <c r="P10">
        <v>5</v>
      </c>
      <c r="Q10" s="36">
        <v>1</v>
      </c>
      <c r="R10" s="32">
        <f t="shared" si="5"/>
        <v>4</v>
      </c>
      <c r="S10">
        <v>4</v>
      </c>
      <c r="T10" s="36">
        <v>1</v>
      </c>
      <c r="U10" s="32">
        <f t="shared" si="6"/>
        <v>3</v>
      </c>
      <c r="V10">
        <v>5</v>
      </c>
      <c r="W10" s="36">
        <v>1</v>
      </c>
      <c r="X10" s="32">
        <f t="shared" si="7"/>
        <v>4</v>
      </c>
      <c r="Y10">
        <v>3</v>
      </c>
      <c r="Z10" s="36">
        <v>1</v>
      </c>
      <c r="AA10" s="32">
        <f t="shared" si="8"/>
        <v>2</v>
      </c>
    </row>
    <row r="11" spans="1:27" x14ac:dyDescent="0.45">
      <c r="A11">
        <v>3</v>
      </c>
      <c r="B11" s="36">
        <v>1</v>
      </c>
      <c r="C11" s="32">
        <f t="shared" si="0"/>
        <v>2</v>
      </c>
      <c r="D11">
        <v>4</v>
      </c>
      <c r="E11" s="36">
        <v>1</v>
      </c>
      <c r="F11" s="32">
        <f t="shared" si="1"/>
        <v>3</v>
      </c>
      <c r="G11">
        <v>6</v>
      </c>
      <c r="H11" s="36">
        <v>1</v>
      </c>
      <c r="I11" s="32">
        <f t="shared" si="2"/>
        <v>5</v>
      </c>
      <c r="J11">
        <v>6</v>
      </c>
      <c r="K11" s="36">
        <v>2</v>
      </c>
      <c r="L11" s="32">
        <f t="shared" si="3"/>
        <v>4</v>
      </c>
      <c r="M11">
        <v>4</v>
      </c>
      <c r="N11" s="36">
        <v>1</v>
      </c>
      <c r="O11" s="32">
        <f t="shared" si="4"/>
        <v>3</v>
      </c>
      <c r="P11">
        <v>5</v>
      </c>
      <c r="Q11" s="36">
        <v>1</v>
      </c>
      <c r="R11" s="32">
        <f t="shared" si="5"/>
        <v>4</v>
      </c>
      <c r="S11">
        <v>4</v>
      </c>
      <c r="T11" s="36">
        <v>1</v>
      </c>
      <c r="U11" s="32">
        <f t="shared" si="6"/>
        <v>3</v>
      </c>
      <c r="V11">
        <v>5</v>
      </c>
      <c r="W11" s="36">
        <v>1</v>
      </c>
      <c r="X11" s="32">
        <f t="shared" si="7"/>
        <v>4</v>
      </c>
      <c r="Y11">
        <v>3</v>
      </c>
      <c r="Z11" s="36">
        <v>1</v>
      </c>
      <c r="AA11" s="32">
        <f t="shared" si="8"/>
        <v>2</v>
      </c>
    </row>
    <row r="12" spans="1:27" x14ac:dyDescent="0.45">
      <c r="A12">
        <v>3</v>
      </c>
      <c r="B12" s="36">
        <v>1</v>
      </c>
      <c r="C12" s="32">
        <f t="shared" si="0"/>
        <v>2</v>
      </c>
      <c r="D12">
        <v>4</v>
      </c>
      <c r="E12" s="36">
        <v>1</v>
      </c>
      <c r="F12" s="32">
        <f t="shared" si="1"/>
        <v>3</v>
      </c>
      <c r="G12">
        <v>6</v>
      </c>
      <c r="H12" s="36">
        <v>1</v>
      </c>
      <c r="I12" s="32">
        <f t="shared" si="2"/>
        <v>5</v>
      </c>
      <c r="J12">
        <v>6</v>
      </c>
      <c r="K12" s="36">
        <v>2</v>
      </c>
      <c r="L12" s="32">
        <f t="shared" si="3"/>
        <v>4</v>
      </c>
      <c r="M12">
        <v>4</v>
      </c>
      <c r="N12" s="36">
        <v>1</v>
      </c>
      <c r="O12" s="32">
        <f t="shared" si="4"/>
        <v>3</v>
      </c>
      <c r="P12">
        <v>5</v>
      </c>
      <c r="Q12" s="36">
        <v>1</v>
      </c>
      <c r="R12" s="32">
        <f t="shared" si="5"/>
        <v>4</v>
      </c>
      <c r="S12">
        <v>4</v>
      </c>
      <c r="T12" s="36">
        <v>1</v>
      </c>
      <c r="U12" s="32">
        <f t="shared" si="6"/>
        <v>3</v>
      </c>
      <c r="V12">
        <v>5</v>
      </c>
      <c r="W12" s="36">
        <v>1</v>
      </c>
      <c r="X12" s="32">
        <f t="shared" si="7"/>
        <v>4</v>
      </c>
      <c r="Y12">
        <v>3</v>
      </c>
      <c r="Z12" s="36">
        <v>1</v>
      </c>
      <c r="AA12" s="32">
        <f t="shared" si="8"/>
        <v>2</v>
      </c>
    </row>
    <row r="13" spans="1:27" x14ac:dyDescent="0.45">
      <c r="A13">
        <v>3</v>
      </c>
      <c r="B13" s="36">
        <v>2</v>
      </c>
      <c r="C13" s="32">
        <f t="shared" si="0"/>
        <v>1</v>
      </c>
      <c r="D13">
        <v>4</v>
      </c>
      <c r="E13" s="36">
        <v>1</v>
      </c>
      <c r="F13" s="32">
        <f t="shared" si="1"/>
        <v>3</v>
      </c>
      <c r="G13">
        <v>7</v>
      </c>
      <c r="H13" s="36">
        <v>1</v>
      </c>
      <c r="I13" s="32">
        <f t="shared" si="2"/>
        <v>6</v>
      </c>
      <c r="J13">
        <v>6</v>
      </c>
      <c r="K13" s="36">
        <v>3</v>
      </c>
      <c r="L13" s="32">
        <f t="shared" si="3"/>
        <v>3</v>
      </c>
      <c r="M13">
        <v>4</v>
      </c>
      <c r="N13" s="36">
        <v>1</v>
      </c>
      <c r="O13" s="32">
        <f t="shared" si="4"/>
        <v>3</v>
      </c>
      <c r="P13">
        <v>5</v>
      </c>
      <c r="Q13" s="36">
        <v>1</v>
      </c>
      <c r="R13" s="32">
        <f t="shared" si="5"/>
        <v>4</v>
      </c>
      <c r="S13">
        <v>4</v>
      </c>
      <c r="T13" s="36">
        <v>1</v>
      </c>
      <c r="U13" s="32">
        <f t="shared" si="6"/>
        <v>3</v>
      </c>
      <c r="V13">
        <v>5</v>
      </c>
      <c r="W13" s="36">
        <v>1</v>
      </c>
      <c r="X13" s="32">
        <f t="shared" si="7"/>
        <v>4</v>
      </c>
      <c r="Y13">
        <v>3</v>
      </c>
      <c r="Z13" s="36">
        <v>1</v>
      </c>
      <c r="AA13" s="32">
        <f t="shared" si="8"/>
        <v>2</v>
      </c>
    </row>
    <row r="14" spans="1:27" x14ac:dyDescent="0.45">
      <c r="A14">
        <v>3</v>
      </c>
      <c r="B14" s="36">
        <v>2</v>
      </c>
      <c r="C14" s="32">
        <f t="shared" si="0"/>
        <v>1</v>
      </c>
      <c r="D14">
        <v>4</v>
      </c>
      <c r="E14" s="36">
        <v>1</v>
      </c>
      <c r="F14" s="32">
        <f t="shared" si="1"/>
        <v>3</v>
      </c>
      <c r="G14">
        <v>7</v>
      </c>
      <c r="H14" s="36">
        <v>1</v>
      </c>
      <c r="I14" s="32">
        <f t="shared" si="2"/>
        <v>6</v>
      </c>
      <c r="J14">
        <v>6</v>
      </c>
      <c r="K14" s="36">
        <v>4</v>
      </c>
      <c r="L14" s="32">
        <f t="shared" si="3"/>
        <v>2</v>
      </c>
      <c r="M14">
        <v>4</v>
      </c>
      <c r="N14" s="36">
        <v>1</v>
      </c>
      <c r="O14" s="32">
        <f t="shared" si="4"/>
        <v>3</v>
      </c>
      <c r="P14">
        <v>5</v>
      </c>
      <c r="Q14" s="36">
        <v>1</v>
      </c>
      <c r="R14" s="32">
        <f t="shared" si="5"/>
        <v>4</v>
      </c>
      <c r="S14">
        <v>4</v>
      </c>
      <c r="T14" s="36">
        <v>1</v>
      </c>
      <c r="U14" s="32">
        <f t="shared" si="6"/>
        <v>3</v>
      </c>
      <c r="V14">
        <v>5</v>
      </c>
      <c r="W14" s="36">
        <v>1</v>
      </c>
      <c r="X14" s="32">
        <f t="shared" si="7"/>
        <v>4</v>
      </c>
      <c r="Y14">
        <v>4</v>
      </c>
      <c r="Z14" s="36">
        <v>1</v>
      </c>
      <c r="AA14" s="32">
        <f t="shared" si="8"/>
        <v>3</v>
      </c>
    </row>
    <row r="15" spans="1:27" x14ac:dyDescent="0.45">
      <c r="A15">
        <v>4</v>
      </c>
      <c r="B15" s="36">
        <v>2</v>
      </c>
      <c r="C15" s="32">
        <f t="shared" si="0"/>
        <v>2</v>
      </c>
      <c r="D15">
        <v>4</v>
      </c>
      <c r="E15" s="36">
        <v>1</v>
      </c>
      <c r="F15" s="32">
        <f t="shared" si="1"/>
        <v>3</v>
      </c>
      <c r="G15">
        <v>7</v>
      </c>
      <c r="H15" s="36">
        <v>1</v>
      </c>
      <c r="I15" s="32">
        <f t="shared" si="2"/>
        <v>6</v>
      </c>
      <c r="J15">
        <v>6</v>
      </c>
      <c r="K15" s="36">
        <v>4</v>
      </c>
      <c r="L15" s="32">
        <f t="shared" si="3"/>
        <v>2</v>
      </c>
      <c r="M15">
        <v>4</v>
      </c>
      <c r="N15" s="36">
        <v>1</v>
      </c>
      <c r="O15" s="32">
        <f t="shared" si="4"/>
        <v>3</v>
      </c>
      <c r="P15">
        <v>5</v>
      </c>
      <c r="Q15" s="36">
        <v>1</v>
      </c>
      <c r="R15" s="32">
        <f t="shared" si="5"/>
        <v>4</v>
      </c>
      <c r="S15">
        <v>4</v>
      </c>
      <c r="T15" s="36">
        <v>1</v>
      </c>
      <c r="U15" s="32">
        <f t="shared" si="6"/>
        <v>3</v>
      </c>
      <c r="V15">
        <v>5</v>
      </c>
      <c r="W15" s="36">
        <v>1</v>
      </c>
      <c r="X15" s="32">
        <f t="shared" si="7"/>
        <v>4</v>
      </c>
      <c r="Y15">
        <v>4</v>
      </c>
      <c r="Z15" s="36">
        <v>2</v>
      </c>
      <c r="AA15" s="32">
        <f t="shared" si="8"/>
        <v>2</v>
      </c>
    </row>
    <row r="16" spans="1:27" x14ac:dyDescent="0.45">
      <c r="A16">
        <v>4</v>
      </c>
      <c r="B16" s="36">
        <v>2</v>
      </c>
      <c r="C16" s="32">
        <f t="shared" si="0"/>
        <v>2</v>
      </c>
      <c r="D16">
        <v>4</v>
      </c>
      <c r="E16" s="36">
        <v>2</v>
      </c>
      <c r="F16" s="32">
        <f t="shared" si="1"/>
        <v>2</v>
      </c>
      <c r="G16">
        <v>7</v>
      </c>
      <c r="H16" s="36">
        <v>1</v>
      </c>
      <c r="I16" s="32">
        <f t="shared" si="2"/>
        <v>6</v>
      </c>
      <c r="J16">
        <v>6</v>
      </c>
      <c r="K16" s="36">
        <v>4</v>
      </c>
      <c r="L16" s="32">
        <f t="shared" si="3"/>
        <v>2</v>
      </c>
      <c r="M16">
        <v>4</v>
      </c>
      <c r="N16" s="36">
        <v>1</v>
      </c>
      <c r="O16" s="32">
        <f t="shared" si="4"/>
        <v>3</v>
      </c>
      <c r="P16">
        <v>5</v>
      </c>
      <c r="Q16" s="36">
        <v>1</v>
      </c>
      <c r="R16" s="32">
        <f t="shared" si="5"/>
        <v>4</v>
      </c>
      <c r="S16">
        <v>4</v>
      </c>
      <c r="T16" s="36">
        <v>1</v>
      </c>
      <c r="U16" s="32">
        <f t="shared" si="6"/>
        <v>3</v>
      </c>
      <c r="V16">
        <v>5</v>
      </c>
      <c r="W16" s="36">
        <v>2</v>
      </c>
      <c r="X16" s="32">
        <f t="shared" si="7"/>
        <v>3</v>
      </c>
      <c r="Y16">
        <v>4</v>
      </c>
      <c r="Z16" s="36">
        <v>2</v>
      </c>
      <c r="AA16" s="32">
        <f t="shared" si="8"/>
        <v>2</v>
      </c>
    </row>
    <row r="17" spans="1:27" x14ac:dyDescent="0.45">
      <c r="A17">
        <v>4</v>
      </c>
      <c r="B17" s="36">
        <v>2</v>
      </c>
      <c r="C17" s="32">
        <f t="shared" si="0"/>
        <v>2</v>
      </c>
      <c r="D17">
        <v>4</v>
      </c>
      <c r="E17" s="36">
        <v>2</v>
      </c>
      <c r="F17" s="32">
        <f t="shared" si="1"/>
        <v>2</v>
      </c>
      <c r="G17">
        <v>7</v>
      </c>
      <c r="H17" s="36">
        <v>1</v>
      </c>
      <c r="I17" s="32">
        <f t="shared" si="2"/>
        <v>6</v>
      </c>
      <c r="J17">
        <v>6</v>
      </c>
      <c r="K17" s="36">
        <v>4</v>
      </c>
      <c r="L17" s="32">
        <f t="shared" si="3"/>
        <v>2</v>
      </c>
      <c r="M17">
        <v>4</v>
      </c>
      <c r="N17" s="36">
        <v>1</v>
      </c>
      <c r="O17" s="32">
        <f t="shared" si="4"/>
        <v>3</v>
      </c>
      <c r="P17">
        <v>5</v>
      </c>
      <c r="Q17" s="36">
        <v>1</v>
      </c>
      <c r="R17" s="32">
        <f t="shared" si="5"/>
        <v>4</v>
      </c>
      <c r="S17">
        <v>4</v>
      </c>
      <c r="T17" s="36">
        <v>1</v>
      </c>
      <c r="U17" s="32">
        <f t="shared" si="6"/>
        <v>3</v>
      </c>
      <c r="V17">
        <v>5</v>
      </c>
      <c r="W17" s="36">
        <v>2</v>
      </c>
      <c r="X17" s="32">
        <f t="shared" si="7"/>
        <v>3</v>
      </c>
      <c r="Y17">
        <v>4</v>
      </c>
      <c r="Z17" s="36">
        <v>2</v>
      </c>
      <c r="AA17" s="32">
        <f t="shared" si="8"/>
        <v>2</v>
      </c>
    </row>
    <row r="18" spans="1:27" x14ac:dyDescent="0.45">
      <c r="A18">
        <v>4</v>
      </c>
      <c r="B18" s="36">
        <v>2</v>
      </c>
      <c r="C18" s="32">
        <f t="shared" si="0"/>
        <v>2</v>
      </c>
      <c r="D18">
        <v>4</v>
      </c>
      <c r="E18" s="36">
        <v>2</v>
      </c>
      <c r="F18" s="32">
        <f t="shared" si="1"/>
        <v>2</v>
      </c>
      <c r="G18">
        <v>7</v>
      </c>
      <c r="H18" s="36">
        <v>1</v>
      </c>
      <c r="I18" s="32">
        <f t="shared" si="2"/>
        <v>6</v>
      </c>
      <c r="J18">
        <v>6</v>
      </c>
      <c r="K18" s="36">
        <v>4</v>
      </c>
      <c r="L18" s="32">
        <f t="shared" si="3"/>
        <v>2</v>
      </c>
      <c r="M18">
        <v>4</v>
      </c>
      <c r="N18" s="36">
        <v>1</v>
      </c>
      <c r="O18" s="32">
        <f t="shared" si="4"/>
        <v>3</v>
      </c>
      <c r="P18">
        <v>5</v>
      </c>
      <c r="Q18" s="36">
        <v>1</v>
      </c>
      <c r="R18" s="32">
        <f t="shared" si="5"/>
        <v>4</v>
      </c>
      <c r="S18">
        <v>4</v>
      </c>
      <c r="T18" s="36">
        <v>1</v>
      </c>
      <c r="U18" s="32">
        <f t="shared" si="6"/>
        <v>3</v>
      </c>
      <c r="V18">
        <v>5</v>
      </c>
      <c r="W18" s="36">
        <v>3</v>
      </c>
      <c r="X18" s="32">
        <f t="shared" si="7"/>
        <v>2</v>
      </c>
      <c r="Y18">
        <v>4</v>
      </c>
      <c r="Z18" s="36">
        <v>3</v>
      </c>
      <c r="AA18" s="32">
        <f t="shared" si="8"/>
        <v>1</v>
      </c>
    </row>
    <row r="19" spans="1:27" x14ac:dyDescent="0.45">
      <c r="A19">
        <v>4</v>
      </c>
      <c r="B19" s="36">
        <v>2</v>
      </c>
      <c r="C19" s="32">
        <f t="shared" si="0"/>
        <v>2</v>
      </c>
      <c r="D19">
        <v>4</v>
      </c>
      <c r="E19" s="36">
        <v>2</v>
      </c>
      <c r="F19" s="32">
        <f t="shared" si="1"/>
        <v>2</v>
      </c>
      <c r="G19">
        <v>7</v>
      </c>
      <c r="H19" s="36">
        <v>1</v>
      </c>
      <c r="I19" s="32">
        <f t="shared" si="2"/>
        <v>6</v>
      </c>
      <c r="J19">
        <v>6</v>
      </c>
      <c r="K19" s="36">
        <v>4</v>
      </c>
      <c r="L19" s="32">
        <f t="shared" si="3"/>
        <v>2</v>
      </c>
      <c r="M19">
        <v>4</v>
      </c>
      <c r="N19" s="36">
        <v>1</v>
      </c>
      <c r="O19" s="32">
        <f t="shared" si="4"/>
        <v>3</v>
      </c>
      <c r="P19">
        <v>5</v>
      </c>
      <c r="Q19" s="36">
        <v>1</v>
      </c>
      <c r="R19" s="32">
        <f t="shared" si="5"/>
        <v>4</v>
      </c>
      <c r="S19">
        <v>4</v>
      </c>
      <c r="T19" s="36">
        <v>1</v>
      </c>
      <c r="U19" s="32">
        <f t="shared" si="6"/>
        <v>3</v>
      </c>
      <c r="V19">
        <v>5</v>
      </c>
      <c r="W19" s="36">
        <v>3</v>
      </c>
      <c r="X19" s="32">
        <f t="shared" si="7"/>
        <v>2</v>
      </c>
      <c r="Y19">
        <v>4</v>
      </c>
      <c r="Z19" s="36">
        <v>3</v>
      </c>
      <c r="AA19" s="32">
        <f t="shared" si="8"/>
        <v>1</v>
      </c>
    </row>
    <row r="20" spans="1:27" x14ac:dyDescent="0.45">
      <c r="A20">
        <v>4</v>
      </c>
      <c r="B20" s="36">
        <v>2</v>
      </c>
      <c r="C20" s="32">
        <f t="shared" si="0"/>
        <v>2</v>
      </c>
      <c r="D20">
        <v>4</v>
      </c>
      <c r="E20" s="36">
        <v>2</v>
      </c>
      <c r="F20" s="32">
        <f t="shared" si="1"/>
        <v>2</v>
      </c>
      <c r="G20">
        <v>7</v>
      </c>
      <c r="H20" s="36">
        <v>1</v>
      </c>
      <c r="I20" s="32">
        <f t="shared" si="2"/>
        <v>6</v>
      </c>
      <c r="J20">
        <v>6</v>
      </c>
      <c r="K20" s="36">
        <v>4</v>
      </c>
      <c r="L20" s="32">
        <f t="shared" si="3"/>
        <v>2</v>
      </c>
      <c r="M20">
        <v>4</v>
      </c>
      <c r="N20" s="36">
        <v>2</v>
      </c>
      <c r="O20" s="32">
        <f t="shared" si="4"/>
        <v>2</v>
      </c>
      <c r="P20">
        <v>5</v>
      </c>
      <c r="Q20" s="36">
        <v>1</v>
      </c>
      <c r="R20" s="32">
        <f t="shared" si="5"/>
        <v>4</v>
      </c>
      <c r="S20">
        <v>4</v>
      </c>
      <c r="T20" s="36">
        <v>1</v>
      </c>
      <c r="U20" s="32">
        <f t="shared" si="6"/>
        <v>3</v>
      </c>
      <c r="V20">
        <v>5</v>
      </c>
      <c r="W20" s="36">
        <v>3</v>
      </c>
      <c r="X20" s="32">
        <f t="shared" si="7"/>
        <v>2</v>
      </c>
      <c r="Y20">
        <v>4</v>
      </c>
      <c r="Z20" s="36">
        <v>3</v>
      </c>
      <c r="AA20" s="32">
        <f t="shared" si="8"/>
        <v>1</v>
      </c>
    </row>
    <row r="21" spans="1:27" x14ac:dyDescent="0.45">
      <c r="A21">
        <v>4</v>
      </c>
      <c r="B21" s="36">
        <v>2</v>
      </c>
      <c r="C21" s="32">
        <f t="shared" si="0"/>
        <v>2</v>
      </c>
      <c r="D21">
        <v>4</v>
      </c>
      <c r="E21" s="36">
        <v>3</v>
      </c>
      <c r="F21" s="32">
        <f t="shared" si="1"/>
        <v>1</v>
      </c>
      <c r="G21">
        <v>7</v>
      </c>
      <c r="H21" s="36">
        <v>1</v>
      </c>
      <c r="I21" s="32">
        <f t="shared" si="2"/>
        <v>6</v>
      </c>
      <c r="J21">
        <v>6</v>
      </c>
      <c r="K21" s="36">
        <v>4</v>
      </c>
      <c r="L21" s="32">
        <f t="shared" si="3"/>
        <v>2</v>
      </c>
      <c r="M21">
        <v>4</v>
      </c>
      <c r="N21" s="36">
        <v>2</v>
      </c>
      <c r="O21" s="32">
        <f t="shared" si="4"/>
        <v>2</v>
      </c>
      <c r="P21">
        <v>5</v>
      </c>
      <c r="Q21" s="36">
        <v>1</v>
      </c>
      <c r="R21" s="32">
        <f t="shared" si="5"/>
        <v>4</v>
      </c>
      <c r="S21">
        <v>4</v>
      </c>
      <c r="T21" s="36">
        <v>1</v>
      </c>
      <c r="U21" s="32">
        <f t="shared" si="6"/>
        <v>3</v>
      </c>
      <c r="V21">
        <v>5</v>
      </c>
      <c r="W21" s="36">
        <v>3</v>
      </c>
      <c r="X21" s="32">
        <f t="shared" si="7"/>
        <v>2</v>
      </c>
      <c r="Y21">
        <v>4</v>
      </c>
      <c r="Z21" s="36">
        <v>3</v>
      </c>
      <c r="AA21" s="32">
        <f t="shared" si="8"/>
        <v>1</v>
      </c>
    </row>
    <row r="22" spans="1:27" x14ac:dyDescent="0.45">
      <c r="A22">
        <v>4</v>
      </c>
      <c r="B22" s="36">
        <v>3</v>
      </c>
      <c r="C22" s="32">
        <f t="shared" si="0"/>
        <v>1</v>
      </c>
      <c r="D22">
        <v>4</v>
      </c>
      <c r="E22" s="36">
        <v>3</v>
      </c>
      <c r="F22" s="32">
        <f t="shared" si="1"/>
        <v>1</v>
      </c>
      <c r="G22">
        <v>7</v>
      </c>
      <c r="H22" s="36">
        <v>1</v>
      </c>
      <c r="I22" s="32">
        <f t="shared" si="2"/>
        <v>6</v>
      </c>
      <c r="J22">
        <v>6</v>
      </c>
      <c r="K22" s="36">
        <v>4</v>
      </c>
      <c r="L22" s="32">
        <f t="shared" si="3"/>
        <v>2</v>
      </c>
      <c r="M22">
        <v>4</v>
      </c>
      <c r="N22" s="36">
        <v>2</v>
      </c>
      <c r="O22" s="32">
        <f t="shared" si="4"/>
        <v>2</v>
      </c>
      <c r="P22">
        <v>5</v>
      </c>
      <c r="Q22" s="36">
        <v>1</v>
      </c>
      <c r="R22" s="32">
        <f t="shared" si="5"/>
        <v>4</v>
      </c>
      <c r="S22">
        <v>4</v>
      </c>
      <c r="T22" s="36">
        <v>1</v>
      </c>
      <c r="U22" s="32">
        <f t="shared" si="6"/>
        <v>3</v>
      </c>
      <c r="V22">
        <v>5</v>
      </c>
      <c r="W22" s="36">
        <v>3</v>
      </c>
      <c r="X22" s="32">
        <f t="shared" si="7"/>
        <v>2</v>
      </c>
      <c r="Y22">
        <v>4</v>
      </c>
      <c r="Z22" s="36">
        <v>3</v>
      </c>
      <c r="AA22" s="32">
        <f t="shared" si="8"/>
        <v>1</v>
      </c>
    </row>
    <row r="23" spans="1:27" x14ac:dyDescent="0.45">
      <c r="A23">
        <v>4</v>
      </c>
      <c r="B23" s="36">
        <v>3</v>
      </c>
      <c r="C23" s="32">
        <f t="shared" si="0"/>
        <v>1</v>
      </c>
      <c r="D23">
        <v>4</v>
      </c>
      <c r="E23" s="36">
        <v>3</v>
      </c>
      <c r="F23" s="32">
        <f t="shared" si="1"/>
        <v>1</v>
      </c>
      <c r="G23">
        <v>7</v>
      </c>
      <c r="H23" s="36">
        <v>1</v>
      </c>
      <c r="I23" s="32">
        <f t="shared" si="2"/>
        <v>6</v>
      </c>
      <c r="J23">
        <v>6</v>
      </c>
      <c r="K23" s="36">
        <v>5</v>
      </c>
      <c r="L23" s="32">
        <f t="shared" si="3"/>
        <v>1</v>
      </c>
      <c r="M23">
        <v>4</v>
      </c>
      <c r="N23" s="36">
        <v>2</v>
      </c>
      <c r="O23" s="32">
        <f t="shared" si="4"/>
        <v>2</v>
      </c>
      <c r="P23">
        <v>5</v>
      </c>
      <c r="Q23" s="36">
        <v>1</v>
      </c>
      <c r="R23" s="32">
        <f t="shared" si="5"/>
        <v>4</v>
      </c>
      <c r="S23">
        <v>4</v>
      </c>
      <c r="T23" s="36">
        <v>1</v>
      </c>
      <c r="U23" s="32">
        <f t="shared" si="6"/>
        <v>3</v>
      </c>
      <c r="V23">
        <v>5</v>
      </c>
      <c r="W23" s="36">
        <v>3</v>
      </c>
      <c r="X23" s="32">
        <f t="shared" si="7"/>
        <v>2</v>
      </c>
      <c r="Y23">
        <v>4</v>
      </c>
      <c r="Z23" s="36">
        <v>3</v>
      </c>
      <c r="AA23" s="32">
        <f t="shared" si="8"/>
        <v>1</v>
      </c>
    </row>
    <row r="24" spans="1:27" x14ac:dyDescent="0.45">
      <c r="A24">
        <v>4</v>
      </c>
      <c r="B24" s="36">
        <v>3</v>
      </c>
      <c r="C24" s="32">
        <f t="shared" si="0"/>
        <v>1</v>
      </c>
      <c r="D24">
        <v>4</v>
      </c>
      <c r="E24" s="36">
        <v>3</v>
      </c>
      <c r="F24" s="32">
        <f t="shared" si="1"/>
        <v>1</v>
      </c>
      <c r="G24">
        <v>7</v>
      </c>
      <c r="H24" s="36">
        <v>1</v>
      </c>
      <c r="I24" s="32">
        <f t="shared" si="2"/>
        <v>6</v>
      </c>
      <c r="J24">
        <v>6</v>
      </c>
      <c r="K24" s="36">
        <v>5</v>
      </c>
      <c r="L24" s="32">
        <f t="shared" si="3"/>
        <v>1</v>
      </c>
      <c r="M24">
        <v>4</v>
      </c>
      <c r="N24" s="36">
        <v>2</v>
      </c>
      <c r="O24" s="32">
        <f t="shared" si="4"/>
        <v>2</v>
      </c>
      <c r="P24">
        <v>5</v>
      </c>
      <c r="Q24" s="36">
        <v>1</v>
      </c>
      <c r="R24" s="32">
        <f t="shared" si="5"/>
        <v>4</v>
      </c>
      <c r="S24">
        <v>4</v>
      </c>
      <c r="T24" s="36">
        <v>1</v>
      </c>
      <c r="U24" s="32">
        <f t="shared" si="6"/>
        <v>3</v>
      </c>
      <c r="V24">
        <v>5</v>
      </c>
      <c r="W24" s="36">
        <v>3</v>
      </c>
      <c r="X24" s="32">
        <f t="shared" si="7"/>
        <v>2</v>
      </c>
      <c r="Y24">
        <v>5</v>
      </c>
      <c r="Z24" s="36">
        <v>3</v>
      </c>
      <c r="AA24" s="32">
        <f t="shared" si="8"/>
        <v>2</v>
      </c>
    </row>
    <row r="25" spans="1:27" x14ac:dyDescent="0.45">
      <c r="A25">
        <v>4</v>
      </c>
      <c r="B25" s="36">
        <v>3</v>
      </c>
      <c r="C25" s="32">
        <f t="shared" si="0"/>
        <v>1</v>
      </c>
      <c r="D25">
        <v>4</v>
      </c>
      <c r="E25" s="36">
        <v>3</v>
      </c>
      <c r="F25" s="32">
        <f t="shared" si="1"/>
        <v>1</v>
      </c>
      <c r="G25">
        <v>7</v>
      </c>
      <c r="H25" s="36">
        <v>1</v>
      </c>
      <c r="I25" s="32">
        <f t="shared" si="2"/>
        <v>6</v>
      </c>
      <c r="J25">
        <v>6</v>
      </c>
      <c r="K25" s="36">
        <v>5</v>
      </c>
      <c r="L25" s="32">
        <f t="shared" si="3"/>
        <v>1</v>
      </c>
      <c r="M25">
        <v>4</v>
      </c>
      <c r="N25" s="36">
        <v>2</v>
      </c>
      <c r="O25" s="32">
        <f t="shared" si="4"/>
        <v>2</v>
      </c>
      <c r="P25">
        <v>5</v>
      </c>
      <c r="Q25" s="36">
        <v>2</v>
      </c>
      <c r="R25" s="32">
        <f t="shared" si="5"/>
        <v>3</v>
      </c>
      <c r="S25">
        <v>4</v>
      </c>
      <c r="T25" s="36">
        <v>1</v>
      </c>
      <c r="U25" s="32">
        <f t="shared" si="6"/>
        <v>3</v>
      </c>
      <c r="V25">
        <v>5</v>
      </c>
      <c r="W25" s="36">
        <v>3</v>
      </c>
      <c r="X25" s="32">
        <f t="shared" si="7"/>
        <v>2</v>
      </c>
      <c r="Y25">
        <v>5</v>
      </c>
      <c r="Z25" s="36">
        <v>4</v>
      </c>
      <c r="AA25" s="32">
        <f t="shared" si="8"/>
        <v>1</v>
      </c>
    </row>
    <row r="26" spans="1:27" x14ac:dyDescent="0.45">
      <c r="A26">
        <v>4</v>
      </c>
      <c r="B26">
        <v>3</v>
      </c>
      <c r="C26" s="32">
        <f t="shared" si="0"/>
        <v>1</v>
      </c>
      <c r="D26">
        <v>4</v>
      </c>
      <c r="E26" s="36">
        <v>3</v>
      </c>
      <c r="F26" s="32">
        <f t="shared" si="1"/>
        <v>1</v>
      </c>
      <c r="G26">
        <v>7</v>
      </c>
      <c r="H26" s="36">
        <v>1</v>
      </c>
      <c r="I26" s="32">
        <f t="shared" si="2"/>
        <v>6</v>
      </c>
      <c r="J26">
        <v>6</v>
      </c>
      <c r="K26" s="36">
        <v>5</v>
      </c>
      <c r="L26" s="32">
        <f t="shared" si="3"/>
        <v>1</v>
      </c>
      <c r="M26">
        <v>4</v>
      </c>
      <c r="N26" s="36">
        <v>3</v>
      </c>
      <c r="O26" s="32">
        <f t="shared" si="4"/>
        <v>1</v>
      </c>
      <c r="P26">
        <v>5</v>
      </c>
      <c r="Q26" s="36">
        <v>2</v>
      </c>
      <c r="R26" s="32">
        <f t="shared" si="5"/>
        <v>3</v>
      </c>
      <c r="S26">
        <v>4</v>
      </c>
      <c r="T26" s="36">
        <v>1</v>
      </c>
      <c r="U26" s="32">
        <f t="shared" si="6"/>
        <v>3</v>
      </c>
      <c r="V26">
        <v>5</v>
      </c>
      <c r="W26" s="36">
        <v>3</v>
      </c>
      <c r="X26" s="32">
        <f t="shared" si="7"/>
        <v>2</v>
      </c>
      <c r="Y26">
        <v>5</v>
      </c>
      <c r="Z26" s="36">
        <v>4</v>
      </c>
      <c r="AA26" s="32">
        <f t="shared" si="8"/>
        <v>1</v>
      </c>
    </row>
    <row r="27" spans="1:27" x14ac:dyDescent="0.45">
      <c r="A27">
        <v>4</v>
      </c>
      <c r="B27">
        <v>3</v>
      </c>
      <c r="C27" s="32">
        <f t="shared" si="0"/>
        <v>1</v>
      </c>
      <c r="D27">
        <v>4</v>
      </c>
      <c r="E27">
        <v>3</v>
      </c>
      <c r="F27" s="32">
        <f t="shared" si="1"/>
        <v>1</v>
      </c>
      <c r="G27">
        <v>7</v>
      </c>
      <c r="H27">
        <v>1</v>
      </c>
      <c r="I27" s="32">
        <f t="shared" si="2"/>
        <v>6</v>
      </c>
      <c r="J27">
        <v>6</v>
      </c>
      <c r="K27">
        <v>5</v>
      </c>
      <c r="L27" s="32">
        <f t="shared" si="3"/>
        <v>1</v>
      </c>
      <c r="M27">
        <v>4</v>
      </c>
      <c r="N27">
        <v>3</v>
      </c>
      <c r="O27" s="32">
        <f t="shared" si="4"/>
        <v>1</v>
      </c>
      <c r="P27">
        <v>5</v>
      </c>
      <c r="Q27">
        <v>2</v>
      </c>
      <c r="R27" s="32">
        <f t="shared" si="5"/>
        <v>3</v>
      </c>
      <c r="S27">
        <v>4</v>
      </c>
      <c r="T27">
        <v>1</v>
      </c>
      <c r="U27" s="32">
        <f t="shared" si="6"/>
        <v>3</v>
      </c>
      <c r="V27">
        <v>5</v>
      </c>
      <c r="W27">
        <v>3</v>
      </c>
      <c r="X27" s="32">
        <f t="shared" si="7"/>
        <v>2</v>
      </c>
      <c r="Y27">
        <v>5</v>
      </c>
      <c r="Z27">
        <v>4</v>
      </c>
      <c r="AA27" s="32">
        <f t="shared" si="8"/>
        <v>1</v>
      </c>
    </row>
    <row r="28" spans="1:27" x14ac:dyDescent="0.45">
      <c r="A28">
        <v>4</v>
      </c>
      <c r="B28">
        <v>3</v>
      </c>
      <c r="C28" s="32">
        <f t="shared" si="0"/>
        <v>1</v>
      </c>
      <c r="D28">
        <v>4</v>
      </c>
      <c r="E28">
        <v>3</v>
      </c>
      <c r="F28" s="32">
        <f t="shared" si="1"/>
        <v>1</v>
      </c>
      <c r="G28">
        <v>7</v>
      </c>
      <c r="H28">
        <v>1</v>
      </c>
      <c r="I28" s="32">
        <f t="shared" si="2"/>
        <v>6</v>
      </c>
      <c r="J28">
        <v>6</v>
      </c>
      <c r="K28">
        <v>5</v>
      </c>
      <c r="L28" s="32">
        <f t="shared" si="3"/>
        <v>1</v>
      </c>
      <c r="M28">
        <v>4</v>
      </c>
      <c r="N28">
        <v>3</v>
      </c>
      <c r="O28" s="32">
        <f t="shared" si="4"/>
        <v>1</v>
      </c>
      <c r="P28">
        <v>5</v>
      </c>
      <c r="Q28">
        <v>2</v>
      </c>
      <c r="R28" s="32">
        <f t="shared" si="5"/>
        <v>3</v>
      </c>
      <c r="S28">
        <v>4</v>
      </c>
      <c r="T28">
        <v>1</v>
      </c>
      <c r="U28" s="32">
        <f t="shared" si="6"/>
        <v>3</v>
      </c>
      <c r="V28">
        <v>5</v>
      </c>
      <c r="W28">
        <v>3</v>
      </c>
      <c r="X28" s="32">
        <f t="shared" si="7"/>
        <v>2</v>
      </c>
      <c r="Y28">
        <v>5</v>
      </c>
      <c r="Z28">
        <v>4</v>
      </c>
      <c r="AA28" s="32">
        <f t="shared" si="8"/>
        <v>1</v>
      </c>
    </row>
    <row r="29" spans="1:27" x14ac:dyDescent="0.45">
      <c r="A29">
        <v>4</v>
      </c>
      <c r="B29">
        <v>3</v>
      </c>
      <c r="C29" s="32">
        <f t="shared" si="0"/>
        <v>1</v>
      </c>
      <c r="D29">
        <v>4</v>
      </c>
      <c r="E29">
        <v>3</v>
      </c>
      <c r="F29" s="32">
        <f t="shared" si="1"/>
        <v>1</v>
      </c>
      <c r="G29">
        <v>7</v>
      </c>
      <c r="H29">
        <v>1</v>
      </c>
      <c r="I29" s="32">
        <f t="shared" si="2"/>
        <v>6</v>
      </c>
      <c r="J29">
        <v>6</v>
      </c>
      <c r="K29">
        <v>5</v>
      </c>
      <c r="L29" s="32">
        <f t="shared" si="3"/>
        <v>1</v>
      </c>
      <c r="M29">
        <v>4</v>
      </c>
      <c r="N29">
        <v>3</v>
      </c>
      <c r="O29" s="32">
        <f t="shared" si="4"/>
        <v>1</v>
      </c>
      <c r="P29">
        <v>5</v>
      </c>
      <c r="Q29">
        <v>2</v>
      </c>
      <c r="R29" s="32">
        <f t="shared" si="5"/>
        <v>3</v>
      </c>
      <c r="S29">
        <v>4</v>
      </c>
      <c r="T29">
        <v>1</v>
      </c>
      <c r="U29" s="32">
        <f t="shared" si="6"/>
        <v>3</v>
      </c>
      <c r="V29">
        <v>5</v>
      </c>
      <c r="W29">
        <v>3</v>
      </c>
      <c r="X29" s="32">
        <f t="shared" si="7"/>
        <v>2</v>
      </c>
      <c r="Y29">
        <v>5</v>
      </c>
      <c r="Z29">
        <v>4</v>
      </c>
      <c r="AA29" s="32">
        <f t="shared" si="8"/>
        <v>1</v>
      </c>
    </row>
    <row r="30" spans="1:27" x14ac:dyDescent="0.45">
      <c r="A30">
        <v>4</v>
      </c>
      <c r="B30">
        <v>4</v>
      </c>
      <c r="C30" s="32">
        <f t="shared" si="0"/>
        <v>0</v>
      </c>
      <c r="D30">
        <v>4</v>
      </c>
      <c r="E30">
        <v>3</v>
      </c>
      <c r="F30" s="32">
        <f t="shared" si="1"/>
        <v>1</v>
      </c>
      <c r="G30">
        <v>7</v>
      </c>
      <c r="H30">
        <v>1</v>
      </c>
      <c r="I30" s="32">
        <f t="shared" si="2"/>
        <v>6</v>
      </c>
      <c r="J30">
        <v>6</v>
      </c>
      <c r="K30">
        <v>5</v>
      </c>
      <c r="L30" s="32">
        <f t="shared" si="3"/>
        <v>1</v>
      </c>
      <c r="M30">
        <v>4</v>
      </c>
      <c r="N30">
        <v>3</v>
      </c>
      <c r="O30" s="32">
        <f t="shared" si="4"/>
        <v>1</v>
      </c>
      <c r="P30">
        <v>5</v>
      </c>
      <c r="Q30">
        <v>2</v>
      </c>
      <c r="R30" s="32">
        <f t="shared" si="5"/>
        <v>3</v>
      </c>
      <c r="S30">
        <v>4</v>
      </c>
      <c r="T30">
        <v>1</v>
      </c>
      <c r="U30" s="32">
        <f t="shared" si="6"/>
        <v>3</v>
      </c>
      <c r="V30">
        <v>5</v>
      </c>
      <c r="W30">
        <v>3</v>
      </c>
      <c r="X30" s="32">
        <f t="shared" si="7"/>
        <v>2</v>
      </c>
      <c r="Y30">
        <v>5</v>
      </c>
      <c r="Z30">
        <v>4</v>
      </c>
      <c r="AA30" s="32">
        <f t="shared" si="8"/>
        <v>1</v>
      </c>
    </row>
    <row r="31" spans="1:27" x14ac:dyDescent="0.45">
      <c r="A31">
        <v>4</v>
      </c>
      <c r="B31">
        <v>4</v>
      </c>
      <c r="C31" s="32">
        <f t="shared" si="0"/>
        <v>0</v>
      </c>
      <c r="D31">
        <v>4</v>
      </c>
      <c r="E31">
        <v>4</v>
      </c>
      <c r="F31" s="32">
        <f t="shared" si="1"/>
        <v>0</v>
      </c>
      <c r="G31">
        <v>7</v>
      </c>
      <c r="H31">
        <v>2</v>
      </c>
      <c r="I31" s="32">
        <f t="shared" si="2"/>
        <v>5</v>
      </c>
      <c r="J31">
        <v>6</v>
      </c>
      <c r="K31">
        <v>5</v>
      </c>
      <c r="L31" s="32">
        <f t="shared" si="3"/>
        <v>1</v>
      </c>
      <c r="M31">
        <v>4</v>
      </c>
      <c r="N31">
        <v>3</v>
      </c>
      <c r="O31" s="32">
        <f t="shared" si="4"/>
        <v>1</v>
      </c>
      <c r="P31">
        <v>5</v>
      </c>
      <c r="Q31">
        <v>2</v>
      </c>
      <c r="R31" s="32">
        <f t="shared" si="5"/>
        <v>3</v>
      </c>
      <c r="S31">
        <v>4</v>
      </c>
      <c r="T31">
        <v>1</v>
      </c>
      <c r="U31" s="32">
        <f t="shared" si="6"/>
        <v>3</v>
      </c>
      <c r="V31">
        <v>5</v>
      </c>
      <c r="W31">
        <v>3</v>
      </c>
      <c r="X31" s="32">
        <f t="shared" si="7"/>
        <v>2</v>
      </c>
      <c r="Y31">
        <v>5</v>
      </c>
      <c r="Z31">
        <v>4</v>
      </c>
      <c r="AA31" s="32">
        <f t="shared" si="8"/>
        <v>1</v>
      </c>
    </row>
    <row r="32" spans="1:27" x14ac:dyDescent="0.45">
      <c r="A32">
        <v>4</v>
      </c>
      <c r="B32">
        <v>4</v>
      </c>
      <c r="C32" s="32">
        <f t="shared" si="0"/>
        <v>0</v>
      </c>
      <c r="D32">
        <v>4</v>
      </c>
      <c r="E32">
        <v>4</v>
      </c>
      <c r="F32" s="32">
        <f t="shared" si="1"/>
        <v>0</v>
      </c>
      <c r="G32">
        <v>7</v>
      </c>
      <c r="H32">
        <v>2</v>
      </c>
      <c r="I32" s="32">
        <f t="shared" si="2"/>
        <v>5</v>
      </c>
      <c r="J32">
        <v>6</v>
      </c>
      <c r="K32">
        <v>5</v>
      </c>
      <c r="L32" s="32">
        <f t="shared" si="3"/>
        <v>1</v>
      </c>
      <c r="M32">
        <v>4</v>
      </c>
      <c r="N32">
        <v>3</v>
      </c>
      <c r="O32" s="32">
        <f t="shared" si="4"/>
        <v>1</v>
      </c>
      <c r="P32">
        <v>5</v>
      </c>
      <c r="Q32">
        <v>2</v>
      </c>
      <c r="R32" s="32">
        <f t="shared" si="5"/>
        <v>3</v>
      </c>
      <c r="S32">
        <v>4</v>
      </c>
      <c r="T32">
        <v>1</v>
      </c>
      <c r="U32" s="32">
        <f t="shared" si="6"/>
        <v>3</v>
      </c>
      <c r="V32">
        <v>5</v>
      </c>
      <c r="W32">
        <v>3</v>
      </c>
      <c r="X32" s="32">
        <f t="shared" si="7"/>
        <v>2</v>
      </c>
      <c r="Y32">
        <v>5</v>
      </c>
      <c r="Z32">
        <v>4</v>
      </c>
      <c r="AA32" s="32">
        <f t="shared" si="8"/>
        <v>1</v>
      </c>
    </row>
    <row r="33" spans="1:27" x14ac:dyDescent="0.45">
      <c r="A33">
        <v>4</v>
      </c>
      <c r="B33">
        <v>4</v>
      </c>
      <c r="C33" s="32">
        <f t="shared" si="0"/>
        <v>0</v>
      </c>
      <c r="D33">
        <v>4</v>
      </c>
      <c r="E33">
        <v>4</v>
      </c>
      <c r="F33" s="32">
        <f t="shared" si="1"/>
        <v>0</v>
      </c>
      <c r="G33">
        <v>7</v>
      </c>
      <c r="H33">
        <v>2</v>
      </c>
      <c r="I33" s="32">
        <f t="shared" si="2"/>
        <v>5</v>
      </c>
      <c r="J33">
        <v>6</v>
      </c>
      <c r="K33">
        <v>5</v>
      </c>
      <c r="L33" s="32">
        <f t="shared" si="3"/>
        <v>1</v>
      </c>
      <c r="M33">
        <v>4</v>
      </c>
      <c r="N33">
        <v>3</v>
      </c>
      <c r="O33" s="32">
        <f t="shared" si="4"/>
        <v>1</v>
      </c>
      <c r="P33">
        <v>5</v>
      </c>
      <c r="Q33">
        <v>3</v>
      </c>
      <c r="R33" s="32">
        <f t="shared" si="5"/>
        <v>2</v>
      </c>
      <c r="S33">
        <v>4</v>
      </c>
      <c r="T33">
        <v>1</v>
      </c>
      <c r="U33" s="32">
        <f t="shared" si="6"/>
        <v>3</v>
      </c>
      <c r="V33">
        <v>5</v>
      </c>
      <c r="W33">
        <v>4</v>
      </c>
      <c r="X33" s="32">
        <f t="shared" si="7"/>
        <v>1</v>
      </c>
      <c r="Y33">
        <v>5</v>
      </c>
      <c r="Z33">
        <v>4</v>
      </c>
      <c r="AA33" s="32">
        <f t="shared" si="8"/>
        <v>1</v>
      </c>
    </row>
    <row r="34" spans="1:27" x14ac:dyDescent="0.45">
      <c r="A34">
        <v>4</v>
      </c>
      <c r="B34">
        <v>4</v>
      </c>
      <c r="C34" s="32">
        <f t="shared" si="0"/>
        <v>0</v>
      </c>
      <c r="D34">
        <v>4</v>
      </c>
      <c r="E34">
        <v>4</v>
      </c>
      <c r="F34" s="32">
        <f t="shared" si="1"/>
        <v>0</v>
      </c>
      <c r="G34">
        <v>7</v>
      </c>
      <c r="H34">
        <v>2</v>
      </c>
      <c r="I34" s="32">
        <f t="shared" si="2"/>
        <v>5</v>
      </c>
      <c r="J34">
        <v>6</v>
      </c>
      <c r="K34">
        <v>5</v>
      </c>
      <c r="L34" s="32">
        <f t="shared" si="3"/>
        <v>1</v>
      </c>
      <c r="M34">
        <v>4</v>
      </c>
      <c r="N34">
        <v>3</v>
      </c>
      <c r="O34" s="32">
        <f t="shared" si="4"/>
        <v>1</v>
      </c>
      <c r="P34">
        <v>5</v>
      </c>
      <c r="Q34">
        <v>3</v>
      </c>
      <c r="R34" s="32">
        <f t="shared" si="5"/>
        <v>2</v>
      </c>
      <c r="S34">
        <v>4</v>
      </c>
      <c r="T34">
        <v>1</v>
      </c>
      <c r="U34" s="32">
        <f t="shared" si="6"/>
        <v>3</v>
      </c>
      <c r="V34">
        <v>5</v>
      </c>
      <c r="W34">
        <v>4</v>
      </c>
      <c r="X34" s="32">
        <f t="shared" si="7"/>
        <v>1</v>
      </c>
      <c r="Y34">
        <v>5</v>
      </c>
      <c r="Z34">
        <v>4</v>
      </c>
      <c r="AA34" s="32">
        <f t="shared" si="8"/>
        <v>1</v>
      </c>
    </row>
    <row r="35" spans="1:27" x14ac:dyDescent="0.45">
      <c r="A35">
        <v>4</v>
      </c>
      <c r="B35">
        <v>4</v>
      </c>
      <c r="C35" s="32">
        <f t="shared" si="0"/>
        <v>0</v>
      </c>
      <c r="D35">
        <v>4</v>
      </c>
      <c r="E35">
        <v>4</v>
      </c>
      <c r="F35" s="32">
        <f t="shared" si="1"/>
        <v>0</v>
      </c>
      <c r="G35">
        <v>7</v>
      </c>
      <c r="H35">
        <v>2</v>
      </c>
      <c r="I35" s="32">
        <f t="shared" si="2"/>
        <v>5</v>
      </c>
      <c r="J35">
        <v>6</v>
      </c>
      <c r="K35">
        <v>5</v>
      </c>
      <c r="L35" s="32">
        <f t="shared" si="3"/>
        <v>1</v>
      </c>
      <c r="M35">
        <v>4</v>
      </c>
      <c r="N35">
        <v>3</v>
      </c>
      <c r="O35" s="32">
        <f t="shared" si="4"/>
        <v>1</v>
      </c>
      <c r="P35">
        <v>5</v>
      </c>
      <c r="Q35">
        <v>3</v>
      </c>
      <c r="R35" s="32">
        <f t="shared" si="5"/>
        <v>2</v>
      </c>
      <c r="S35">
        <v>4</v>
      </c>
      <c r="T35">
        <v>1</v>
      </c>
      <c r="U35" s="32">
        <f t="shared" si="6"/>
        <v>3</v>
      </c>
      <c r="V35">
        <v>5</v>
      </c>
      <c r="W35">
        <v>4</v>
      </c>
      <c r="X35" s="32">
        <f t="shared" si="7"/>
        <v>1</v>
      </c>
      <c r="Y35">
        <v>5</v>
      </c>
      <c r="Z35">
        <v>4</v>
      </c>
      <c r="AA35" s="32">
        <f t="shared" si="8"/>
        <v>1</v>
      </c>
    </row>
    <row r="36" spans="1:27" x14ac:dyDescent="0.45">
      <c r="A36">
        <v>4</v>
      </c>
      <c r="B36">
        <v>4</v>
      </c>
      <c r="C36" s="32">
        <f t="shared" si="0"/>
        <v>0</v>
      </c>
      <c r="D36">
        <v>4</v>
      </c>
      <c r="E36">
        <v>4</v>
      </c>
      <c r="F36" s="32">
        <f t="shared" si="1"/>
        <v>0</v>
      </c>
      <c r="G36">
        <v>7</v>
      </c>
      <c r="H36">
        <v>2</v>
      </c>
      <c r="I36" s="32">
        <f t="shared" si="2"/>
        <v>5</v>
      </c>
      <c r="J36">
        <v>6</v>
      </c>
      <c r="K36">
        <v>5</v>
      </c>
      <c r="L36" s="32">
        <f t="shared" si="3"/>
        <v>1</v>
      </c>
      <c r="M36">
        <v>4</v>
      </c>
      <c r="N36">
        <v>3</v>
      </c>
      <c r="O36" s="32">
        <f t="shared" si="4"/>
        <v>1</v>
      </c>
      <c r="P36">
        <v>5</v>
      </c>
      <c r="Q36">
        <v>3</v>
      </c>
      <c r="R36" s="32">
        <f t="shared" si="5"/>
        <v>2</v>
      </c>
      <c r="S36">
        <v>4</v>
      </c>
      <c r="T36">
        <v>1</v>
      </c>
      <c r="U36" s="32">
        <f t="shared" si="6"/>
        <v>3</v>
      </c>
      <c r="V36">
        <v>5</v>
      </c>
      <c r="W36">
        <v>4</v>
      </c>
      <c r="X36" s="32">
        <f t="shared" si="7"/>
        <v>1</v>
      </c>
      <c r="Y36">
        <v>5</v>
      </c>
      <c r="Z36">
        <v>4</v>
      </c>
      <c r="AA36" s="32">
        <f t="shared" si="8"/>
        <v>1</v>
      </c>
    </row>
    <row r="37" spans="1:27" x14ac:dyDescent="0.45">
      <c r="A37">
        <v>4</v>
      </c>
      <c r="B37">
        <v>4</v>
      </c>
      <c r="C37" s="32">
        <f t="shared" si="0"/>
        <v>0</v>
      </c>
      <c r="D37">
        <v>4</v>
      </c>
      <c r="E37">
        <v>4</v>
      </c>
      <c r="F37" s="32">
        <f t="shared" si="1"/>
        <v>0</v>
      </c>
      <c r="G37">
        <v>7</v>
      </c>
      <c r="H37">
        <v>2</v>
      </c>
      <c r="I37" s="32">
        <f t="shared" si="2"/>
        <v>5</v>
      </c>
      <c r="J37">
        <v>7</v>
      </c>
      <c r="K37">
        <v>5</v>
      </c>
      <c r="L37" s="32">
        <f t="shared" si="3"/>
        <v>2</v>
      </c>
      <c r="M37">
        <v>4</v>
      </c>
      <c r="N37">
        <v>3</v>
      </c>
      <c r="O37" s="32">
        <f t="shared" si="4"/>
        <v>1</v>
      </c>
      <c r="P37">
        <v>5</v>
      </c>
      <c r="Q37">
        <v>3</v>
      </c>
      <c r="R37" s="32">
        <f t="shared" si="5"/>
        <v>2</v>
      </c>
      <c r="S37">
        <v>4</v>
      </c>
      <c r="T37">
        <v>2</v>
      </c>
      <c r="U37" s="32">
        <f t="shared" si="6"/>
        <v>2</v>
      </c>
      <c r="V37">
        <v>5</v>
      </c>
      <c r="W37">
        <v>4</v>
      </c>
      <c r="X37" s="32">
        <f t="shared" si="7"/>
        <v>1</v>
      </c>
      <c r="Y37">
        <v>5</v>
      </c>
      <c r="Z37">
        <v>5</v>
      </c>
      <c r="AA37" s="32">
        <f t="shared" si="8"/>
        <v>0</v>
      </c>
    </row>
    <row r="38" spans="1:27" x14ac:dyDescent="0.45">
      <c r="A38">
        <v>4</v>
      </c>
      <c r="B38">
        <v>4</v>
      </c>
      <c r="C38" s="32">
        <f t="shared" si="0"/>
        <v>0</v>
      </c>
      <c r="D38">
        <v>4</v>
      </c>
      <c r="E38">
        <v>4</v>
      </c>
      <c r="F38" s="32">
        <f t="shared" si="1"/>
        <v>0</v>
      </c>
      <c r="G38">
        <v>7</v>
      </c>
      <c r="H38">
        <v>2</v>
      </c>
      <c r="I38" s="32">
        <f t="shared" si="2"/>
        <v>5</v>
      </c>
      <c r="J38">
        <v>7</v>
      </c>
      <c r="K38">
        <v>5</v>
      </c>
      <c r="L38" s="32">
        <f t="shared" si="3"/>
        <v>2</v>
      </c>
      <c r="M38">
        <v>4</v>
      </c>
      <c r="N38">
        <v>3</v>
      </c>
      <c r="O38" s="32">
        <f t="shared" si="4"/>
        <v>1</v>
      </c>
      <c r="P38">
        <v>5</v>
      </c>
      <c r="Q38">
        <v>3</v>
      </c>
      <c r="R38" s="32">
        <f t="shared" si="5"/>
        <v>2</v>
      </c>
      <c r="S38">
        <v>4</v>
      </c>
      <c r="T38">
        <v>2</v>
      </c>
      <c r="U38" s="32">
        <f t="shared" si="6"/>
        <v>2</v>
      </c>
      <c r="V38">
        <v>5</v>
      </c>
      <c r="W38">
        <v>4</v>
      </c>
      <c r="X38" s="32">
        <f t="shared" si="7"/>
        <v>1</v>
      </c>
      <c r="Y38">
        <v>5</v>
      </c>
      <c r="Z38">
        <v>5</v>
      </c>
      <c r="AA38" s="32">
        <f t="shared" si="8"/>
        <v>0</v>
      </c>
    </row>
    <row r="39" spans="1:27" x14ac:dyDescent="0.45">
      <c r="A39">
        <v>4</v>
      </c>
      <c r="B39">
        <v>4</v>
      </c>
      <c r="C39" s="32">
        <f t="shared" si="0"/>
        <v>0</v>
      </c>
      <c r="D39">
        <v>4</v>
      </c>
      <c r="E39">
        <v>4</v>
      </c>
      <c r="F39" s="32">
        <f t="shared" si="1"/>
        <v>0</v>
      </c>
      <c r="G39">
        <v>7</v>
      </c>
      <c r="H39">
        <v>2</v>
      </c>
      <c r="I39" s="32">
        <f t="shared" si="2"/>
        <v>5</v>
      </c>
      <c r="J39">
        <v>7</v>
      </c>
      <c r="K39">
        <v>5</v>
      </c>
      <c r="L39" s="32">
        <f t="shared" si="3"/>
        <v>2</v>
      </c>
      <c r="M39">
        <v>4</v>
      </c>
      <c r="N39">
        <v>3</v>
      </c>
      <c r="O39" s="32">
        <f t="shared" si="4"/>
        <v>1</v>
      </c>
      <c r="P39">
        <v>5</v>
      </c>
      <c r="Q39">
        <v>3</v>
      </c>
      <c r="R39" s="32">
        <f t="shared" si="5"/>
        <v>2</v>
      </c>
      <c r="S39">
        <v>4</v>
      </c>
      <c r="T39">
        <v>2</v>
      </c>
      <c r="U39" s="32">
        <f t="shared" si="6"/>
        <v>2</v>
      </c>
      <c r="V39">
        <v>5</v>
      </c>
      <c r="W39">
        <v>4</v>
      </c>
      <c r="X39" s="32">
        <f t="shared" si="7"/>
        <v>1</v>
      </c>
      <c r="Y39">
        <v>5</v>
      </c>
      <c r="Z39">
        <v>5</v>
      </c>
      <c r="AA39" s="32">
        <f t="shared" si="8"/>
        <v>0</v>
      </c>
    </row>
    <row r="40" spans="1:27" x14ac:dyDescent="0.45">
      <c r="A40">
        <v>4</v>
      </c>
      <c r="B40">
        <v>4</v>
      </c>
      <c r="C40" s="32">
        <f t="shared" si="0"/>
        <v>0</v>
      </c>
      <c r="D40">
        <v>4</v>
      </c>
      <c r="E40">
        <v>4</v>
      </c>
      <c r="F40" s="32">
        <f t="shared" si="1"/>
        <v>0</v>
      </c>
      <c r="G40">
        <v>7</v>
      </c>
      <c r="H40">
        <v>2</v>
      </c>
      <c r="I40" s="32">
        <f t="shared" si="2"/>
        <v>5</v>
      </c>
      <c r="J40">
        <v>7</v>
      </c>
      <c r="K40">
        <v>5</v>
      </c>
      <c r="L40" s="32">
        <f t="shared" si="3"/>
        <v>2</v>
      </c>
      <c r="M40">
        <v>4</v>
      </c>
      <c r="N40">
        <v>3</v>
      </c>
      <c r="O40" s="32">
        <f t="shared" si="4"/>
        <v>1</v>
      </c>
      <c r="P40">
        <v>5</v>
      </c>
      <c r="Q40">
        <v>3</v>
      </c>
      <c r="R40" s="32">
        <f t="shared" si="5"/>
        <v>2</v>
      </c>
      <c r="S40">
        <v>4</v>
      </c>
      <c r="T40">
        <v>2</v>
      </c>
      <c r="U40" s="32">
        <f t="shared" si="6"/>
        <v>2</v>
      </c>
      <c r="V40">
        <v>5</v>
      </c>
      <c r="W40">
        <v>4</v>
      </c>
      <c r="X40" s="32">
        <f t="shared" si="7"/>
        <v>1</v>
      </c>
      <c r="Y40">
        <v>5</v>
      </c>
      <c r="Z40">
        <v>5</v>
      </c>
      <c r="AA40" s="32">
        <f t="shared" si="8"/>
        <v>0</v>
      </c>
    </row>
    <row r="41" spans="1:27" x14ac:dyDescent="0.45">
      <c r="A41">
        <v>5</v>
      </c>
      <c r="B41">
        <v>4</v>
      </c>
      <c r="C41" s="32">
        <f t="shared" si="0"/>
        <v>1</v>
      </c>
      <c r="D41">
        <v>4</v>
      </c>
      <c r="E41">
        <v>4</v>
      </c>
      <c r="F41" s="32">
        <f t="shared" si="1"/>
        <v>0</v>
      </c>
      <c r="G41">
        <v>7</v>
      </c>
      <c r="H41">
        <v>2</v>
      </c>
      <c r="I41" s="32">
        <f t="shared" si="2"/>
        <v>5</v>
      </c>
      <c r="J41">
        <v>7</v>
      </c>
      <c r="K41">
        <v>5</v>
      </c>
      <c r="L41" s="32">
        <f t="shared" si="3"/>
        <v>2</v>
      </c>
      <c r="M41">
        <v>4</v>
      </c>
      <c r="N41">
        <v>3</v>
      </c>
      <c r="O41" s="32">
        <f t="shared" si="4"/>
        <v>1</v>
      </c>
      <c r="P41">
        <v>5</v>
      </c>
      <c r="Q41">
        <v>3</v>
      </c>
      <c r="R41" s="32">
        <f t="shared" si="5"/>
        <v>2</v>
      </c>
      <c r="S41">
        <v>4</v>
      </c>
      <c r="T41">
        <v>2</v>
      </c>
      <c r="U41" s="32">
        <f t="shared" si="6"/>
        <v>2</v>
      </c>
      <c r="V41">
        <v>5</v>
      </c>
      <c r="W41">
        <v>4</v>
      </c>
      <c r="X41" s="32">
        <f t="shared" si="7"/>
        <v>1</v>
      </c>
      <c r="Y41">
        <v>5</v>
      </c>
      <c r="Z41">
        <v>5</v>
      </c>
      <c r="AA41" s="32">
        <f t="shared" si="8"/>
        <v>0</v>
      </c>
    </row>
    <row r="42" spans="1:27" x14ac:dyDescent="0.45">
      <c r="A42">
        <v>5</v>
      </c>
      <c r="B42">
        <v>4</v>
      </c>
      <c r="C42" s="32">
        <f t="shared" si="0"/>
        <v>1</v>
      </c>
      <c r="D42">
        <v>4</v>
      </c>
      <c r="E42">
        <v>4</v>
      </c>
      <c r="F42" s="32">
        <f t="shared" si="1"/>
        <v>0</v>
      </c>
      <c r="G42">
        <v>7</v>
      </c>
      <c r="H42">
        <v>3</v>
      </c>
      <c r="I42" s="32">
        <f t="shared" si="2"/>
        <v>4</v>
      </c>
      <c r="J42">
        <v>7</v>
      </c>
      <c r="K42">
        <v>5</v>
      </c>
      <c r="L42" s="32">
        <f t="shared" si="3"/>
        <v>2</v>
      </c>
      <c r="M42">
        <v>4</v>
      </c>
      <c r="N42">
        <v>4</v>
      </c>
      <c r="O42" s="32">
        <f t="shared" si="4"/>
        <v>0</v>
      </c>
      <c r="P42">
        <v>5</v>
      </c>
      <c r="Q42">
        <v>3</v>
      </c>
      <c r="R42" s="32">
        <f t="shared" si="5"/>
        <v>2</v>
      </c>
      <c r="S42">
        <v>4</v>
      </c>
      <c r="T42">
        <v>2</v>
      </c>
      <c r="U42" s="32">
        <f t="shared" si="6"/>
        <v>2</v>
      </c>
      <c r="V42">
        <v>5</v>
      </c>
      <c r="W42">
        <v>4</v>
      </c>
      <c r="X42" s="32">
        <f t="shared" si="7"/>
        <v>1</v>
      </c>
      <c r="Y42">
        <v>5</v>
      </c>
      <c r="Z42">
        <v>5</v>
      </c>
      <c r="AA42" s="32">
        <f t="shared" si="8"/>
        <v>0</v>
      </c>
    </row>
    <row r="43" spans="1:27" x14ac:dyDescent="0.45">
      <c r="A43">
        <v>5</v>
      </c>
      <c r="B43">
        <v>4</v>
      </c>
      <c r="C43" s="32">
        <f t="shared" si="0"/>
        <v>1</v>
      </c>
      <c r="D43">
        <v>4</v>
      </c>
      <c r="E43">
        <v>4</v>
      </c>
      <c r="F43" s="32">
        <f t="shared" si="1"/>
        <v>0</v>
      </c>
      <c r="G43">
        <v>7</v>
      </c>
      <c r="H43">
        <v>3</v>
      </c>
      <c r="I43" s="32">
        <f t="shared" si="2"/>
        <v>4</v>
      </c>
      <c r="J43">
        <v>7</v>
      </c>
      <c r="K43">
        <v>5</v>
      </c>
      <c r="L43" s="32">
        <f t="shared" si="3"/>
        <v>2</v>
      </c>
      <c r="M43">
        <v>4</v>
      </c>
      <c r="N43">
        <v>4</v>
      </c>
      <c r="O43" s="32">
        <f t="shared" si="4"/>
        <v>0</v>
      </c>
      <c r="P43">
        <v>5</v>
      </c>
      <c r="Q43">
        <v>3</v>
      </c>
      <c r="R43" s="32">
        <f t="shared" si="5"/>
        <v>2</v>
      </c>
      <c r="S43">
        <v>4</v>
      </c>
      <c r="T43">
        <v>2</v>
      </c>
      <c r="U43" s="32">
        <f t="shared" si="6"/>
        <v>2</v>
      </c>
      <c r="V43">
        <v>5</v>
      </c>
      <c r="W43">
        <v>4</v>
      </c>
      <c r="X43" s="32">
        <f t="shared" si="7"/>
        <v>1</v>
      </c>
      <c r="Y43">
        <v>5</v>
      </c>
      <c r="Z43">
        <v>5</v>
      </c>
      <c r="AA43" s="32">
        <f t="shared" si="8"/>
        <v>0</v>
      </c>
    </row>
    <row r="44" spans="1:27" x14ac:dyDescent="0.45">
      <c r="A44">
        <v>5</v>
      </c>
      <c r="B44">
        <v>4</v>
      </c>
      <c r="C44" s="32">
        <f t="shared" si="0"/>
        <v>1</v>
      </c>
      <c r="D44">
        <v>4</v>
      </c>
      <c r="E44">
        <v>4</v>
      </c>
      <c r="F44" s="32">
        <f t="shared" si="1"/>
        <v>0</v>
      </c>
      <c r="G44">
        <v>7</v>
      </c>
      <c r="H44">
        <v>3</v>
      </c>
      <c r="I44" s="32">
        <f t="shared" si="2"/>
        <v>4</v>
      </c>
      <c r="J44">
        <v>7</v>
      </c>
      <c r="K44">
        <v>5</v>
      </c>
      <c r="L44" s="32">
        <f t="shared" si="3"/>
        <v>2</v>
      </c>
      <c r="M44">
        <v>4</v>
      </c>
      <c r="N44">
        <v>4</v>
      </c>
      <c r="O44" s="32">
        <f t="shared" si="4"/>
        <v>0</v>
      </c>
      <c r="P44">
        <v>5</v>
      </c>
      <c r="Q44">
        <v>3</v>
      </c>
      <c r="R44" s="32">
        <f t="shared" si="5"/>
        <v>2</v>
      </c>
      <c r="S44">
        <v>4</v>
      </c>
      <c r="T44">
        <v>2</v>
      </c>
      <c r="U44" s="32">
        <f t="shared" si="6"/>
        <v>2</v>
      </c>
      <c r="V44">
        <v>5</v>
      </c>
      <c r="W44">
        <v>4</v>
      </c>
      <c r="X44" s="32">
        <f t="shared" si="7"/>
        <v>1</v>
      </c>
      <c r="Y44">
        <v>5</v>
      </c>
      <c r="Z44">
        <v>5</v>
      </c>
      <c r="AA44" s="32">
        <f t="shared" si="8"/>
        <v>0</v>
      </c>
    </row>
    <row r="45" spans="1:27" x14ac:dyDescent="0.45">
      <c r="A45">
        <v>5</v>
      </c>
      <c r="B45">
        <v>4</v>
      </c>
      <c r="C45" s="32">
        <f t="shared" si="0"/>
        <v>1</v>
      </c>
      <c r="D45">
        <v>4</v>
      </c>
      <c r="E45">
        <v>4</v>
      </c>
      <c r="F45" s="32">
        <f t="shared" si="1"/>
        <v>0</v>
      </c>
      <c r="G45">
        <v>7</v>
      </c>
      <c r="H45">
        <v>3</v>
      </c>
      <c r="I45" s="32">
        <f t="shared" si="2"/>
        <v>4</v>
      </c>
      <c r="J45">
        <v>7</v>
      </c>
      <c r="K45">
        <v>5</v>
      </c>
      <c r="L45" s="32">
        <f t="shared" si="3"/>
        <v>2</v>
      </c>
      <c r="M45">
        <v>4</v>
      </c>
      <c r="N45">
        <v>4</v>
      </c>
      <c r="O45" s="32">
        <f t="shared" si="4"/>
        <v>0</v>
      </c>
      <c r="P45">
        <v>5</v>
      </c>
      <c r="Q45">
        <v>3</v>
      </c>
      <c r="R45" s="32">
        <f t="shared" si="5"/>
        <v>2</v>
      </c>
      <c r="S45">
        <v>5</v>
      </c>
      <c r="T45">
        <v>2</v>
      </c>
      <c r="U45" s="32">
        <f t="shared" si="6"/>
        <v>3</v>
      </c>
      <c r="V45">
        <v>5</v>
      </c>
      <c r="W45">
        <v>4</v>
      </c>
      <c r="X45" s="32">
        <f t="shared" si="7"/>
        <v>1</v>
      </c>
      <c r="Y45">
        <v>5</v>
      </c>
      <c r="Z45">
        <v>5</v>
      </c>
      <c r="AA45" s="32">
        <f t="shared" si="8"/>
        <v>0</v>
      </c>
    </row>
    <row r="46" spans="1:27" x14ac:dyDescent="0.45">
      <c r="A46">
        <v>5</v>
      </c>
      <c r="B46">
        <v>4</v>
      </c>
      <c r="C46" s="32">
        <f t="shared" si="0"/>
        <v>1</v>
      </c>
      <c r="D46">
        <v>4</v>
      </c>
      <c r="E46">
        <v>4</v>
      </c>
      <c r="F46" s="32">
        <f t="shared" si="1"/>
        <v>0</v>
      </c>
      <c r="G46">
        <v>7</v>
      </c>
      <c r="H46">
        <v>3</v>
      </c>
      <c r="I46" s="32">
        <f t="shared" si="2"/>
        <v>4</v>
      </c>
      <c r="J46">
        <v>7</v>
      </c>
      <c r="K46">
        <v>5</v>
      </c>
      <c r="L46" s="32">
        <f t="shared" si="3"/>
        <v>2</v>
      </c>
      <c r="M46">
        <v>4</v>
      </c>
      <c r="N46">
        <v>4</v>
      </c>
      <c r="O46" s="32">
        <f t="shared" si="4"/>
        <v>0</v>
      </c>
      <c r="P46">
        <v>5</v>
      </c>
      <c r="Q46">
        <v>3</v>
      </c>
      <c r="R46" s="32">
        <f t="shared" si="5"/>
        <v>2</v>
      </c>
      <c r="S46">
        <v>5</v>
      </c>
      <c r="T46">
        <v>2</v>
      </c>
      <c r="U46" s="32">
        <f t="shared" si="6"/>
        <v>3</v>
      </c>
      <c r="V46">
        <v>5</v>
      </c>
      <c r="W46">
        <v>4</v>
      </c>
      <c r="X46" s="32">
        <f t="shared" si="7"/>
        <v>1</v>
      </c>
      <c r="Y46">
        <v>5</v>
      </c>
      <c r="Z46">
        <v>5</v>
      </c>
      <c r="AA46" s="32">
        <f t="shared" si="8"/>
        <v>0</v>
      </c>
    </row>
    <row r="47" spans="1:27" x14ac:dyDescent="0.45">
      <c r="A47">
        <v>5</v>
      </c>
      <c r="B47">
        <v>4</v>
      </c>
      <c r="C47" s="32">
        <f t="shared" si="0"/>
        <v>1</v>
      </c>
      <c r="D47">
        <v>4</v>
      </c>
      <c r="E47">
        <v>5</v>
      </c>
      <c r="F47" s="32">
        <f t="shared" si="1"/>
        <v>1</v>
      </c>
      <c r="G47">
        <v>7</v>
      </c>
      <c r="H47">
        <v>3</v>
      </c>
      <c r="I47" s="32">
        <f t="shared" si="2"/>
        <v>4</v>
      </c>
      <c r="J47">
        <v>7</v>
      </c>
      <c r="K47">
        <v>5</v>
      </c>
      <c r="L47" s="32">
        <f t="shared" si="3"/>
        <v>2</v>
      </c>
      <c r="M47">
        <v>4</v>
      </c>
      <c r="N47">
        <v>4</v>
      </c>
      <c r="O47" s="32">
        <f t="shared" si="4"/>
        <v>0</v>
      </c>
      <c r="P47">
        <v>5</v>
      </c>
      <c r="Q47">
        <v>3</v>
      </c>
      <c r="R47" s="32">
        <f t="shared" si="5"/>
        <v>2</v>
      </c>
      <c r="S47">
        <v>5</v>
      </c>
      <c r="T47">
        <v>2</v>
      </c>
      <c r="U47" s="32">
        <f t="shared" si="6"/>
        <v>3</v>
      </c>
      <c r="V47">
        <v>5</v>
      </c>
      <c r="W47">
        <v>4</v>
      </c>
      <c r="X47" s="32">
        <f t="shared" si="7"/>
        <v>1</v>
      </c>
      <c r="Y47">
        <v>5</v>
      </c>
      <c r="Z47">
        <v>5</v>
      </c>
      <c r="AA47" s="32">
        <f t="shared" si="8"/>
        <v>0</v>
      </c>
    </row>
    <row r="48" spans="1:27" x14ac:dyDescent="0.45">
      <c r="A48">
        <v>5</v>
      </c>
      <c r="B48">
        <v>4</v>
      </c>
      <c r="C48" s="32">
        <f t="shared" si="0"/>
        <v>1</v>
      </c>
      <c r="D48">
        <v>5</v>
      </c>
      <c r="E48">
        <v>5</v>
      </c>
      <c r="F48" s="32">
        <f t="shared" si="1"/>
        <v>0</v>
      </c>
      <c r="G48">
        <v>7</v>
      </c>
      <c r="H48">
        <v>3</v>
      </c>
      <c r="I48" s="32">
        <f t="shared" si="2"/>
        <v>4</v>
      </c>
      <c r="J48">
        <v>7</v>
      </c>
      <c r="K48">
        <v>5</v>
      </c>
      <c r="L48" s="32">
        <f t="shared" si="3"/>
        <v>2</v>
      </c>
      <c r="M48">
        <v>4</v>
      </c>
      <c r="N48">
        <v>4</v>
      </c>
      <c r="O48" s="32">
        <f t="shared" si="4"/>
        <v>0</v>
      </c>
      <c r="P48">
        <v>5</v>
      </c>
      <c r="Q48">
        <v>3</v>
      </c>
      <c r="R48" s="32">
        <f t="shared" si="5"/>
        <v>2</v>
      </c>
      <c r="S48">
        <v>5</v>
      </c>
      <c r="T48">
        <v>2</v>
      </c>
      <c r="U48" s="32">
        <f t="shared" si="6"/>
        <v>3</v>
      </c>
      <c r="V48">
        <v>5</v>
      </c>
      <c r="W48">
        <v>5</v>
      </c>
      <c r="X48" s="32">
        <f t="shared" si="7"/>
        <v>0</v>
      </c>
      <c r="Y48">
        <v>5</v>
      </c>
      <c r="Z48">
        <v>5</v>
      </c>
      <c r="AA48" s="32">
        <f t="shared" si="8"/>
        <v>0</v>
      </c>
    </row>
    <row r="49" spans="1:27" x14ac:dyDescent="0.45">
      <c r="A49">
        <v>5</v>
      </c>
      <c r="B49">
        <v>4</v>
      </c>
      <c r="C49" s="32">
        <f t="shared" si="0"/>
        <v>1</v>
      </c>
      <c r="D49">
        <v>5</v>
      </c>
      <c r="E49">
        <v>5</v>
      </c>
      <c r="F49" s="32">
        <f t="shared" si="1"/>
        <v>0</v>
      </c>
      <c r="G49">
        <v>7</v>
      </c>
      <c r="H49">
        <v>3</v>
      </c>
      <c r="I49" s="32">
        <f t="shared" si="2"/>
        <v>4</v>
      </c>
      <c r="J49">
        <v>7</v>
      </c>
      <c r="K49">
        <v>5</v>
      </c>
      <c r="L49" s="32">
        <f t="shared" si="3"/>
        <v>2</v>
      </c>
      <c r="M49">
        <v>4</v>
      </c>
      <c r="N49">
        <v>4</v>
      </c>
      <c r="O49" s="32">
        <f t="shared" si="4"/>
        <v>0</v>
      </c>
      <c r="P49">
        <v>5</v>
      </c>
      <c r="Q49">
        <v>3</v>
      </c>
      <c r="R49" s="32">
        <f t="shared" si="5"/>
        <v>2</v>
      </c>
      <c r="S49">
        <v>5</v>
      </c>
      <c r="T49">
        <v>2</v>
      </c>
      <c r="U49" s="32">
        <f t="shared" si="6"/>
        <v>3</v>
      </c>
      <c r="V49">
        <v>5</v>
      </c>
      <c r="W49">
        <v>5</v>
      </c>
      <c r="X49" s="32">
        <f t="shared" si="7"/>
        <v>0</v>
      </c>
      <c r="Y49">
        <v>5</v>
      </c>
      <c r="Z49">
        <v>5</v>
      </c>
      <c r="AA49" s="32">
        <f t="shared" si="8"/>
        <v>0</v>
      </c>
    </row>
    <row r="50" spans="1:27" x14ac:dyDescent="0.45">
      <c r="A50">
        <v>5</v>
      </c>
      <c r="B50">
        <v>4</v>
      </c>
      <c r="C50" s="32">
        <f t="shared" si="0"/>
        <v>1</v>
      </c>
      <c r="D50">
        <v>5</v>
      </c>
      <c r="E50">
        <v>5</v>
      </c>
      <c r="F50" s="32">
        <f t="shared" si="1"/>
        <v>0</v>
      </c>
      <c r="G50">
        <v>7</v>
      </c>
      <c r="H50">
        <v>3</v>
      </c>
      <c r="I50" s="32">
        <f t="shared" si="2"/>
        <v>4</v>
      </c>
      <c r="J50">
        <v>7</v>
      </c>
      <c r="K50">
        <v>5</v>
      </c>
      <c r="L50" s="32">
        <f t="shared" si="3"/>
        <v>2</v>
      </c>
      <c r="M50">
        <v>4</v>
      </c>
      <c r="N50">
        <v>4</v>
      </c>
      <c r="O50" s="32">
        <f t="shared" si="4"/>
        <v>0</v>
      </c>
      <c r="P50">
        <v>5</v>
      </c>
      <c r="Q50">
        <v>3</v>
      </c>
      <c r="R50" s="32">
        <f t="shared" si="5"/>
        <v>2</v>
      </c>
      <c r="S50">
        <v>5</v>
      </c>
      <c r="T50">
        <v>3</v>
      </c>
      <c r="U50" s="32">
        <f t="shared" si="6"/>
        <v>2</v>
      </c>
      <c r="V50">
        <v>5</v>
      </c>
      <c r="W50">
        <v>5</v>
      </c>
      <c r="X50" s="32">
        <f t="shared" si="7"/>
        <v>0</v>
      </c>
      <c r="Y50">
        <v>5</v>
      </c>
      <c r="Z50">
        <v>5</v>
      </c>
      <c r="AA50" s="32">
        <f t="shared" si="8"/>
        <v>0</v>
      </c>
    </row>
    <row r="51" spans="1:27" x14ac:dyDescent="0.45">
      <c r="A51">
        <v>5</v>
      </c>
      <c r="B51">
        <v>4</v>
      </c>
      <c r="C51" s="32">
        <f t="shared" si="0"/>
        <v>1</v>
      </c>
      <c r="D51">
        <v>5</v>
      </c>
      <c r="E51">
        <v>5</v>
      </c>
      <c r="F51" s="32">
        <f t="shared" si="1"/>
        <v>0</v>
      </c>
      <c r="G51">
        <v>7</v>
      </c>
      <c r="H51">
        <v>3</v>
      </c>
      <c r="I51" s="32">
        <f t="shared" si="2"/>
        <v>4</v>
      </c>
      <c r="J51">
        <v>7</v>
      </c>
      <c r="K51">
        <v>5</v>
      </c>
      <c r="L51" s="32">
        <f t="shared" si="3"/>
        <v>2</v>
      </c>
      <c r="M51">
        <v>4</v>
      </c>
      <c r="N51">
        <v>4</v>
      </c>
      <c r="O51" s="32">
        <f t="shared" si="4"/>
        <v>0</v>
      </c>
      <c r="P51">
        <v>5</v>
      </c>
      <c r="Q51">
        <v>3</v>
      </c>
      <c r="R51" s="32">
        <f t="shared" si="5"/>
        <v>2</v>
      </c>
      <c r="S51">
        <v>5</v>
      </c>
      <c r="T51">
        <v>3</v>
      </c>
      <c r="U51" s="32">
        <f t="shared" si="6"/>
        <v>2</v>
      </c>
      <c r="V51">
        <v>5</v>
      </c>
      <c r="W51">
        <v>5</v>
      </c>
      <c r="X51" s="32">
        <f t="shared" si="7"/>
        <v>0</v>
      </c>
      <c r="Y51">
        <v>5</v>
      </c>
      <c r="Z51">
        <v>5</v>
      </c>
      <c r="AA51" s="32">
        <f t="shared" si="8"/>
        <v>0</v>
      </c>
    </row>
    <row r="52" spans="1:27" x14ac:dyDescent="0.45">
      <c r="A52">
        <v>5</v>
      </c>
      <c r="B52">
        <v>4</v>
      </c>
      <c r="C52" s="32">
        <f t="shared" si="0"/>
        <v>1</v>
      </c>
      <c r="D52">
        <v>5</v>
      </c>
      <c r="E52">
        <v>5</v>
      </c>
      <c r="F52" s="32">
        <f t="shared" si="1"/>
        <v>0</v>
      </c>
      <c r="G52">
        <v>7</v>
      </c>
      <c r="H52">
        <v>3</v>
      </c>
      <c r="I52" s="32">
        <f t="shared" si="2"/>
        <v>4</v>
      </c>
      <c r="J52">
        <v>7</v>
      </c>
      <c r="K52">
        <v>5</v>
      </c>
      <c r="L52" s="32">
        <f t="shared" si="3"/>
        <v>2</v>
      </c>
      <c r="M52">
        <v>4</v>
      </c>
      <c r="N52">
        <v>4</v>
      </c>
      <c r="O52" s="32">
        <f t="shared" si="4"/>
        <v>0</v>
      </c>
      <c r="P52">
        <v>5</v>
      </c>
      <c r="Q52">
        <v>3</v>
      </c>
      <c r="R52" s="32">
        <f t="shared" si="5"/>
        <v>2</v>
      </c>
      <c r="S52">
        <v>5</v>
      </c>
      <c r="T52">
        <v>3</v>
      </c>
      <c r="U52" s="32">
        <f t="shared" si="6"/>
        <v>2</v>
      </c>
      <c r="V52">
        <v>5</v>
      </c>
      <c r="W52">
        <v>5</v>
      </c>
      <c r="X52" s="32">
        <f t="shared" si="7"/>
        <v>0</v>
      </c>
      <c r="Y52">
        <v>5</v>
      </c>
      <c r="Z52">
        <v>5</v>
      </c>
      <c r="AA52" s="32">
        <f t="shared" si="8"/>
        <v>0</v>
      </c>
    </row>
    <row r="53" spans="1:27" x14ac:dyDescent="0.45">
      <c r="A53">
        <v>5</v>
      </c>
      <c r="B53">
        <v>4</v>
      </c>
      <c r="C53" s="32">
        <f t="shared" si="0"/>
        <v>1</v>
      </c>
      <c r="D53">
        <v>5</v>
      </c>
      <c r="E53">
        <v>5</v>
      </c>
      <c r="F53" s="32">
        <f t="shared" si="1"/>
        <v>0</v>
      </c>
      <c r="G53">
        <v>7</v>
      </c>
      <c r="H53">
        <v>3</v>
      </c>
      <c r="I53" s="32">
        <f t="shared" si="2"/>
        <v>4</v>
      </c>
      <c r="J53">
        <v>7</v>
      </c>
      <c r="K53">
        <v>5</v>
      </c>
      <c r="L53" s="32">
        <f t="shared" si="3"/>
        <v>2</v>
      </c>
      <c r="M53">
        <v>4</v>
      </c>
      <c r="N53">
        <v>4</v>
      </c>
      <c r="O53" s="32">
        <f t="shared" si="4"/>
        <v>0</v>
      </c>
      <c r="P53">
        <v>5</v>
      </c>
      <c r="Q53">
        <v>3</v>
      </c>
      <c r="R53" s="32">
        <f t="shared" si="5"/>
        <v>2</v>
      </c>
      <c r="S53">
        <v>5</v>
      </c>
      <c r="T53">
        <v>3</v>
      </c>
      <c r="U53" s="32">
        <f t="shared" si="6"/>
        <v>2</v>
      </c>
      <c r="V53">
        <v>5</v>
      </c>
      <c r="W53">
        <v>5</v>
      </c>
      <c r="X53" s="32">
        <f t="shared" si="7"/>
        <v>0</v>
      </c>
      <c r="Y53">
        <v>5</v>
      </c>
      <c r="Z53">
        <v>5</v>
      </c>
      <c r="AA53" s="32">
        <f t="shared" si="8"/>
        <v>0</v>
      </c>
    </row>
    <row r="54" spans="1:27" x14ac:dyDescent="0.45">
      <c r="A54">
        <v>5</v>
      </c>
      <c r="B54">
        <v>4</v>
      </c>
      <c r="C54" s="32">
        <f t="shared" si="0"/>
        <v>1</v>
      </c>
      <c r="D54">
        <v>5</v>
      </c>
      <c r="E54">
        <v>5</v>
      </c>
      <c r="F54" s="32">
        <f t="shared" si="1"/>
        <v>0</v>
      </c>
      <c r="G54">
        <v>7</v>
      </c>
      <c r="H54">
        <v>3</v>
      </c>
      <c r="I54" s="32">
        <f t="shared" si="2"/>
        <v>4</v>
      </c>
      <c r="J54">
        <v>7</v>
      </c>
      <c r="K54">
        <v>5</v>
      </c>
      <c r="L54" s="32">
        <f t="shared" si="3"/>
        <v>2</v>
      </c>
      <c r="M54">
        <v>4</v>
      </c>
      <c r="N54">
        <v>4</v>
      </c>
      <c r="O54" s="32">
        <f t="shared" si="4"/>
        <v>0</v>
      </c>
      <c r="P54">
        <v>5</v>
      </c>
      <c r="Q54">
        <v>3</v>
      </c>
      <c r="R54" s="32">
        <f t="shared" si="5"/>
        <v>2</v>
      </c>
      <c r="S54">
        <v>5</v>
      </c>
      <c r="T54">
        <v>3</v>
      </c>
      <c r="U54" s="32">
        <f t="shared" si="6"/>
        <v>2</v>
      </c>
      <c r="V54">
        <v>5</v>
      </c>
      <c r="W54">
        <v>5</v>
      </c>
      <c r="X54" s="32">
        <f t="shared" si="7"/>
        <v>0</v>
      </c>
      <c r="Y54">
        <v>5</v>
      </c>
      <c r="Z54">
        <v>5</v>
      </c>
      <c r="AA54" s="32">
        <f t="shared" si="8"/>
        <v>0</v>
      </c>
    </row>
    <row r="55" spans="1:27" x14ac:dyDescent="0.45">
      <c r="A55">
        <v>5</v>
      </c>
      <c r="B55">
        <v>4</v>
      </c>
      <c r="C55" s="32">
        <f t="shared" si="0"/>
        <v>1</v>
      </c>
      <c r="D55">
        <v>5</v>
      </c>
      <c r="E55">
        <v>5</v>
      </c>
      <c r="F55" s="32">
        <f t="shared" si="1"/>
        <v>0</v>
      </c>
      <c r="G55">
        <v>7</v>
      </c>
      <c r="H55">
        <v>3</v>
      </c>
      <c r="I55" s="32">
        <f t="shared" si="2"/>
        <v>4</v>
      </c>
      <c r="J55">
        <v>7</v>
      </c>
      <c r="K55">
        <v>5</v>
      </c>
      <c r="L55" s="32">
        <f t="shared" si="3"/>
        <v>2</v>
      </c>
      <c r="M55">
        <v>4</v>
      </c>
      <c r="N55">
        <v>4</v>
      </c>
      <c r="O55" s="32">
        <f t="shared" si="4"/>
        <v>0</v>
      </c>
      <c r="P55">
        <v>6</v>
      </c>
      <c r="Q55">
        <v>4</v>
      </c>
      <c r="R55" s="32">
        <f t="shared" si="5"/>
        <v>2</v>
      </c>
      <c r="S55">
        <v>5</v>
      </c>
      <c r="T55">
        <v>3</v>
      </c>
      <c r="U55" s="32">
        <f t="shared" si="6"/>
        <v>2</v>
      </c>
      <c r="V55">
        <v>5</v>
      </c>
      <c r="W55">
        <v>5</v>
      </c>
      <c r="X55" s="32">
        <f t="shared" si="7"/>
        <v>0</v>
      </c>
      <c r="Y55">
        <v>5</v>
      </c>
      <c r="Z55">
        <v>5</v>
      </c>
      <c r="AA55" s="32">
        <f t="shared" si="8"/>
        <v>0</v>
      </c>
    </row>
    <row r="56" spans="1:27" x14ac:dyDescent="0.45">
      <c r="A56">
        <v>5</v>
      </c>
      <c r="B56">
        <v>4</v>
      </c>
      <c r="C56" s="32">
        <f t="shared" si="0"/>
        <v>1</v>
      </c>
      <c r="D56">
        <v>5</v>
      </c>
      <c r="E56">
        <v>5</v>
      </c>
      <c r="F56" s="32">
        <f t="shared" si="1"/>
        <v>0</v>
      </c>
      <c r="G56">
        <v>7</v>
      </c>
      <c r="H56">
        <v>3</v>
      </c>
      <c r="I56" s="32">
        <f t="shared" si="2"/>
        <v>4</v>
      </c>
      <c r="J56">
        <v>7</v>
      </c>
      <c r="K56">
        <v>5</v>
      </c>
      <c r="L56" s="32">
        <f t="shared" si="3"/>
        <v>2</v>
      </c>
      <c r="M56">
        <v>4</v>
      </c>
      <c r="N56">
        <v>4</v>
      </c>
      <c r="O56" s="32">
        <f t="shared" si="4"/>
        <v>0</v>
      </c>
      <c r="P56">
        <v>6</v>
      </c>
      <c r="Q56">
        <v>4</v>
      </c>
      <c r="R56" s="32">
        <f t="shared" si="5"/>
        <v>2</v>
      </c>
      <c r="S56">
        <v>5</v>
      </c>
      <c r="T56">
        <v>3</v>
      </c>
      <c r="U56" s="32">
        <f t="shared" si="6"/>
        <v>2</v>
      </c>
      <c r="V56">
        <v>5</v>
      </c>
      <c r="W56">
        <v>5</v>
      </c>
      <c r="X56" s="32">
        <f t="shared" si="7"/>
        <v>0</v>
      </c>
      <c r="Y56">
        <v>5</v>
      </c>
      <c r="Z56">
        <v>5</v>
      </c>
      <c r="AA56" s="32">
        <f t="shared" si="8"/>
        <v>0</v>
      </c>
    </row>
    <row r="57" spans="1:27" x14ac:dyDescent="0.45">
      <c r="A57">
        <v>5</v>
      </c>
      <c r="B57">
        <v>5</v>
      </c>
      <c r="C57" s="32">
        <f t="shared" si="0"/>
        <v>0</v>
      </c>
      <c r="D57">
        <v>5</v>
      </c>
      <c r="E57">
        <v>5</v>
      </c>
      <c r="F57" s="32">
        <f t="shared" si="1"/>
        <v>0</v>
      </c>
      <c r="G57">
        <v>7</v>
      </c>
      <c r="H57">
        <v>3</v>
      </c>
      <c r="I57" s="32">
        <f t="shared" si="2"/>
        <v>4</v>
      </c>
      <c r="J57">
        <v>7</v>
      </c>
      <c r="K57">
        <v>5</v>
      </c>
      <c r="L57" s="32">
        <f t="shared" si="3"/>
        <v>2</v>
      </c>
      <c r="M57">
        <v>5</v>
      </c>
      <c r="N57">
        <v>4</v>
      </c>
      <c r="O57" s="32">
        <f t="shared" si="4"/>
        <v>1</v>
      </c>
      <c r="P57">
        <v>6</v>
      </c>
      <c r="Q57">
        <v>4</v>
      </c>
      <c r="R57" s="32">
        <f t="shared" si="5"/>
        <v>2</v>
      </c>
      <c r="S57">
        <v>5</v>
      </c>
      <c r="T57">
        <v>3</v>
      </c>
      <c r="U57" s="32">
        <f t="shared" si="6"/>
        <v>2</v>
      </c>
      <c r="V57">
        <v>5</v>
      </c>
      <c r="W57">
        <v>5</v>
      </c>
      <c r="X57" s="32">
        <f t="shared" si="7"/>
        <v>0</v>
      </c>
      <c r="Y57">
        <v>5</v>
      </c>
      <c r="Z57">
        <v>5</v>
      </c>
      <c r="AA57" s="32">
        <f t="shared" si="8"/>
        <v>0</v>
      </c>
    </row>
    <row r="58" spans="1:27" x14ac:dyDescent="0.45">
      <c r="A58">
        <v>5</v>
      </c>
      <c r="B58">
        <v>5</v>
      </c>
      <c r="C58" s="32">
        <f t="shared" si="0"/>
        <v>0</v>
      </c>
      <c r="D58">
        <v>5</v>
      </c>
      <c r="E58">
        <v>5</v>
      </c>
      <c r="F58" s="32">
        <f t="shared" si="1"/>
        <v>0</v>
      </c>
      <c r="G58">
        <v>7</v>
      </c>
      <c r="H58">
        <v>3</v>
      </c>
      <c r="I58" s="32">
        <f t="shared" si="2"/>
        <v>4</v>
      </c>
      <c r="J58">
        <v>7</v>
      </c>
      <c r="K58">
        <v>5</v>
      </c>
      <c r="L58" s="32">
        <f t="shared" si="3"/>
        <v>2</v>
      </c>
      <c r="M58">
        <v>5</v>
      </c>
      <c r="N58">
        <v>4</v>
      </c>
      <c r="O58" s="32">
        <f t="shared" si="4"/>
        <v>1</v>
      </c>
      <c r="P58">
        <v>6</v>
      </c>
      <c r="Q58">
        <v>4</v>
      </c>
      <c r="R58" s="32">
        <f t="shared" si="5"/>
        <v>2</v>
      </c>
      <c r="S58">
        <v>5</v>
      </c>
      <c r="T58">
        <v>3</v>
      </c>
      <c r="U58" s="32">
        <f t="shared" si="6"/>
        <v>2</v>
      </c>
      <c r="V58">
        <v>5</v>
      </c>
      <c r="W58">
        <v>5</v>
      </c>
      <c r="X58" s="32">
        <f t="shared" si="7"/>
        <v>0</v>
      </c>
      <c r="Y58">
        <v>5</v>
      </c>
      <c r="Z58">
        <v>5</v>
      </c>
      <c r="AA58" s="32">
        <f t="shared" si="8"/>
        <v>0</v>
      </c>
    </row>
    <row r="59" spans="1:27" x14ac:dyDescent="0.45">
      <c r="A59">
        <v>5</v>
      </c>
      <c r="B59">
        <v>5</v>
      </c>
      <c r="C59" s="32">
        <f t="shared" si="0"/>
        <v>0</v>
      </c>
      <c r="D59">
        <v>5</v>
      </c>
      <c r="E59">
        <v>5</v>
      </c>
      <c r="F59" s="32">
        <f t="shared" si="1"/>
        <v>0</v>
      </c>
      <c r="G59">
        <v>7</v>
      </c>
      <c r="H59">
        <v>3</v>
      </c>
      <c r="I59" s="32">
        <f t="shared" si="2"/>
        <v>4</v>
      </c>
      <c r="J59">
        <v>7</v>
      </c>
      <c r="K59">
        <v>5</v>
      </c>
      <c r="L59" s="32">
        <f t="shared" si="3"/>
        <v>2</v>
      </c>
      <c r="M59">
        <v>5</v>
      </c>
      <c r="N59">
        <v>5</v>
      </c>
      <c r="O59" s="32">
        <f t="shared" si="4"/>
        <v>0</v>
      </c>
      <c r="P59">
        <v>6</v>
      </c>
      <c r="Q59">
        <v>4</v>
      </c>
      <c r="R59" s="32">
        <f t="shared" si="5"/>
        <v>2</v>
      </c>
      <c r="S59">
        <v>5</v>
      </c>
      <c r="T59">
        <v>4</v>
      </c>
      <c r="U59" s="32">
        <f t="shared" si="6"/>
        <v>1</v>
      </c>
      <c r="V59">
        <v>5</v>
      </c>
      <c r="W59">
        <v>5</v>
      </c>
      <c r="X59" s="32">
        <f t="shared" si="7"/>
        <v>0</v>
      </c>
      <c r="Y59">
        <v>5</v>
      </c>
      <c r="Z59">
        <v>5</v>
      </c>
      <c r="AA59" s="32">
        <f t="shared" si="8"/>
        <v>0</v>
      </c>
    </row>
    <row r="60" spans="1:27" x14ac:dyDescent="0.45">
      <c r="A60">
        <v>5</v>
      </c>
      <c r="B60">
        <v>5</v>
      </c>
      <c r="C60" s="32">
        <f t="shared" si="0"/>
        <v>0</v>
      </c>
      <c r="D60">
        <v>5</v>
      </c>
      <c r="E60">
        <v>5</v>
      </c>
      <c r="F60" s="32">
        <f t="shared" si="1"/>
        <v>0</v>
      </c>
      <c r="G60">
        <v>7</v>
      </c>
      <c r="H60">
        <v>4</v>
      </c>
      <c r="I60" s="32">
        <f t="shared" si="2"/>
        <v>3</v>
      </c>
      <c r="J60">
        <v>7</v>
      </c>
      <c r="K60">
        <v>5</v>
      </c>
      <c r="L60" s="32">
        <f t="shared" si="3"/>
        <v>2</v>
      </c>
      <c r="M60">
        <v>5</v>
      </c>
      <c r="N60">
        <v>5</v>
      </c>
      <c r="O60" s="32">
        <f t="shared" si="4"/>
        <v>0</v>
      </c>
      <c r="P60">
        <v>6</v>
      </c>
      <c r="Q60">
        <v>4</v>
      </c>
      <c r="R60" s="32">
        <f t="shared" si="5"/>
        <v>2</v>
      </c>
      <c r="S60">
        <v>5</v>
      </c>
      <c r="T60">
        <v>4</v>
      </c>
      <c r="U60" s="32">
        <f t="shared" si="6"/>
        <v>1</v>
      </c>
      <c r="V60">
        <v>5</v>
      </c>
      <c r="W60">
        <v>5</v>
      </c>
      <c r="X60" s="32">
        <f t="shared" si="7"/>
        <v>0</v>
      </c>
      <c r="Y60">
        <v>5</v>
      </c>
      <c r="Z60">
        <v>5</v>
      </c>
      <c r="AA60" s="32">
        <f t="shared" si="8"/>
        <v>0</v>
      </c>
    </row>
    <row r="61" spans="1:27" x14ac:dyDescent="0.45">
      <c r="A61">
        <v>5</v>
      </c>
      <c r="B61">
        <v>5</v>
      </c>
      <c r="C61" s="32">
        <f t="shared" si="0"/>
        <v>0</v>
      </c>
      <c r="D61">
        <v>5</v>
      </c>
      <c r="E61">
        <v>5</v>
      </c>
      <c r="F61" s="32">
        <f t="shared" si="1"/>
        <v>0</v>
      </c>
      <c r="G61">
        <v>7</v>
      </c>
      <c r="H61">
        <v>4</v>
      </c>
      <c r="I61" s="32">
        <f t="shared" si="2"/>
        <v>3</v>
      </c>
      <c r="J61">
        <v>7</v>
      </c>
      <c r="K61">
        <v>5</v>
      </c>
      <c r="L61" s="32">
        <f t="shared" si="3"/>
        <v>2</v>
      </c>
      <c r="M61">
        <v>5</v>
      </c>
      <c r="N61">
        <v>5</v>
      </c>
      <c r="O61" s="32">
        <f t="shared" si="4"/>
        <v>0</v>
      </c>
      <c r="P61">
        <v>6</v>
      </c>
      <c r="Q61">
        <v>4</v>
      </c>
      <c r="R61" s="32">
        <f t="shared" si="5"/>
        <v>2</v>
      </c>
      <c r="S61">
        <v>5</v>
      </c>
      <c r="T61">
        <v>4</v>
      </c>
      <c r="U61" s="32">
        <f t="shared" si="6"/>
        <v>1</v>
      </c>
      <c r="V61">
        <v>5</v>
      </c>
      <c r="W61">
        <v>5</v>
      </c>
      <c r="X61" s="32">
        <f t="shared" si="7"/>
        <v>0</v>
      </c>
      <c r="Y61">
        <v>5</v>
      </c>
      <c r="Z61">
        <v>5</v>
      </c>
      <c r="AA61" s="32">
        <f t="shared" si="8"/>
        <v>0</v>
      </c>
    </row>
    <row r="62" spans="1:27" x14ac:dyDescent="0.45">
      <c r="A62">
        <v>5</v>
      </c>
      <c r="B62">
        <v>5</v>
      </c>
      <c r="C62" s="32">
        <f t="shared" si="0"/>
        <v>0</v>
      </c>
      <c r="D62">
        <v>5</v>
      </c>
      <c r="E62">
        <v>5</v>
      </c>
      <c r="F62" s="32">
        <f t="shared" si="1"/>
        <v>0</v>
      </c>
      <c r="G62">
        <v>7</v>
      </c>
      <c r="H62">
        <v>4</v>
      </c>
      <c r="I62" s="32">
        <f t="shared" si="2"/>
        <v>3</v>
      </c>
      <c r="J62">
        <v>7</v>
      </c>
      <c r="K62">
        <v>5</v>
      </c>
      <c r="L62" s="32">
        <f t="shared" si="3"/>
        <v>2</v>
      </c>
      <c r="M62">
        <v>5</v>
      </c>
      <c r="N62">
        <v>5</v>
      </c>
      <c r="O62" s="32">
        <f t="shared" si="4"/>
        <v>0</v>
      </c>
      <c r="P62">
        <v>6</v>
      </c>
      <c r="Q62">
        <v>4</v>
      </c>
      <c r="R62" s="32">
        <f t="shared" si="5"/>
        <v>2</v>
      </c>
      <c r="S62">
        <v>5</v>
      </c>
      <c r="T62">
        <v>4</v>
      </c>
      <c r="U62" s="32">
        <f t="shared" si="6"/>
        <v>1</v>
      </c>
      <c r="V62">
        <v>5</v>
      </c>
      <c r="W62">
        <v>5</v>
      </c>
      <c r="X62" s="32">
        <f t="shared" si="7"/>
        <v>0</v>
      </c>
      <c r="Y62">
        <v>5</v>
      </c>
      <c r="Z62">
        <v>5</v>
      </c>
      <c r="AA62" s="32">
        <f t="shared" si="8"/>
        <v>0</v>
      </c>
    </row>
    <row r="63" spans="1:27" x14ac:dyDescent="0.45">
      <c r="A63">
        <v>5</v>
      </c>
      <c r="B63">
        <v>5</v>
      </c>
      <c r="C63" s="32">
        <f t="shared" si="0"/>
        <v>0</v>
      </c>
      <c r="D63">
        <v>5</v>
      </c>
      <c r="E63">
        <v>5</v>
      </c>
      <c r="F63" s="32">
        <f t="shared" si="1"/>
        <v>0</v>
      </c>
      <c r="G63">
        <v>7</v>
      </c>
      <c r="H63">
        <v>4</v>
      </c>
      <c r="I63" s="32">
        <f t="shared" si="2"/>
        <v>3</v>
      </c>
      <c r="J63">
        <v>7</v>
      </c>
      <c r="K63">
        <v>5</v>
      </c>
      <c r="L63" s="32">
        <f t="shared" si="3"/>
        <v>2</v>
      </c>
      <c r="M63">
        <v>5</v>
      </c>
      <c r="N63">
        <v>5</v>
      </c>
      <c r="O63" s="32">
        <f t="shared" si="4"/>
        <v>0</v>
      </c>
      <c r="P63">
        <v>6</v>
      </c>
      <c r="Q63">
        <v>4</v>
      </c>
      <c r="R63" s="32">
        <f t="shared" si="5"/>
        <v>2</v>
      </c>
      <c r="S63">
        <v>5</v>
      </c>
      <c r="T63">
        <v>4</v>
      </c>
      <c r="U63" s="32">
        <f t="shared" si="6"/>
        <v>1</v>
      </c>
      <c r="V63">
        <v>5</v>
      </c>
      <c r="W63">
        <v>5</v>
      </c>
      <c r="X63" s="32">
        <f t="shared" si="7"/>
        <v>0</v>
      </c>
      <c r="Y63">
        <v>5</v>
      </c>
      <c r="Z63">
        <v>5</v>
      </c>
      <c r="AA63" s="32">
        <f t="shared" si="8"/>
        <v>0</v>
      </c>
    </row>
    <row r="64" spans="1:27" x14ac:dyDescent="0.45">
      <c r="A64">
        <v>5</v>
      </c>
      <c r="B64">
        <v>5</v>
      </c>
      <c r="C64" s="32">
        <f t="shared" si="0"/>
        <v>0</v>
      </c>
      <c r="D64">
        <v>5</v>
      </c>
      <c r="E64">
        <v>5</v>
      </c>
      <c r="F64" s="32">
        <f t="shared" si="1"/>
        <v>0</v>
      </c>
      <c r="G64">
        <v>7</v>
      </c>
      <c r="H64">
        <v>4</v>
      </c>
      <c r="I64" s="32">
        <f t="shared" si="2"/>
        <v>3</v>
      </c>
      <c r="J64">
        <v>7</v>
      </c>
      <c r="K64">
        <v>5</v>
      </c>
      <c r="L64" s="32">
        <f t="shared" si="3"/>
        <v>2</v>
      </c>
      <c r="M64">
        <v>5</v>
      </c>
      <c r="N64">
        <v>5</v>
      </c>
      <c r="O64" s="32">
        <f t="shared" si="4"/>
        <v>0</v>
      </c>
      <c r="P64">
        <v>6</v>
      </c>
      <c r="Q64">
        <v>4</v>
      </c>
      <c r="R64" s="32">
        <f t="shared" si="5"/>
        <v>2</v>
      </c>
      <c r="S64">
        <v>5</v>
      </c>
      <c r="T64">
        <v>4</v>
      </c>
      <c r="U64" s="32">
        <f t="shared" si="6"/>
        <v>1</v>
      </c>
      <c r="V64">
        <v>5</v>
      </c>
      <c r="W64">
        <v>5</v>
      </c>
      <c r="X64" s="32">
        <f t="shared" si="7"/>
        <v>0</v>
      </c>
      <c r="Y64">
        <v>5</v>
      </c>
      <c r="Z64">
        <v>5</v>
      </c>
      <c r="AA64" s="32">
        <f t="shared" si="8"/>
        <v>0</v>
      </c>
    </row>
    <row r="65" spans="1:27" x14ac:dyDescent="0.45">
      <c r="A65">
        <v>5</v>
      </c>
      <c r="B65">
        <v>5</v>
      </c>
      <c r="C65" s="32">
        <f t="shared" si="0"/>
        <v>0</v>
      </c>
      <c r="D65">
        <v>5</v>
      </c>
      <c r="E65">
        <v>5</v>
      </c>
      <c r="F65" s="32">
        <f t="shared" si="1"/>
        <v>0</v>
      </c>
      <c r="G65">
        <v>7</v>
      </c>
      <c r="H65">
        <v>4</v>
      </c>
      <c r="I65" s="32">
        <f t="shared" si="2"/>
        <v>3</v>
      </c>
      <c r="J65">
        <v>7</v>
      </c>
      <c r="K65">
        <v>5</v>
      </c>
      <c r="L65" s="32">
        <f t="shared" si="3"/>
        <v>2</v>
      </c>
      <c r="M65">
        <v>5</v>
      </c>
      <c r="N65">
        <v>5</v>
      </c>
      <c r="O65" s="32">
        <f t="shared" si="4"/>
        <v>0</v>
      </c>
      <c r="P65">
        <v>6</v>
      </c>
      <c r="Q65">
        <v>4</v>
      </c>
      <c r="R65" s="32">
        <f t="shared" si="5"/>
        <v>2</v>
      </c>
      <c r="S65">
        <v>5</v>
      </c>
      <c r="T65">
        <v>4</v>
      </c>
      <c r="U65" s="32">
        <f t="shared" si="6"/>
        <v>1</v>
      </c>
      <c r="V65">
        <v>5</v>
      </c>
      <c r="W65">
        <v>5</v>
      </c>
      <c r="X65" s="32">
        <f t="shared" si="7"/>
        <v>0</v>
      </c>
      <c r="Y65">
        <v>5</v>
      </c>
      <c r="Z65">
        <v>5</v>
      </c>
      <c r="AA65" s="32">
        <f t="shared" si="8"/>
        <v>0</v>
      </c>
    </row>
    <row r="66" spans="1:27" x14ac:dyDescent="0.45">
      <c r="A66">
        <v>5</v>
      </c>
      <c r="B66">
        <v>5</v>
      </c>
      <c r="C66" s="32">
        <f t="shared" si="0"/>
        <v>0</v>
      </c>
      <c r="D66">
        <v>5</v>
      </c>
      <c r="E66">
        <v>5</v>
      </c>
      <c r="F66" s="32">
        <f t="shared" si="1"/>
        <v>0</v>
      </c>
      <c r="G66">
        <v>7</v>
      </c>
      <c r="H66">
        <v>4</v>
      </c>
      <c r="I66" s="32">
        <f t="shared" si="2"/>
        <v>3</v>
      </c>
      <c r="J66">
        <v>7</v>
      </c>
      <c r="K66">
        <v>5</v>
      </c>
      <c r="L66" s="32">
        <f t="shared" si="3"/>
        <v>2</v>
      </c>
      <c r="M66">
        <v>5</v>
      </c>
      <c r="N66">
        <v>5</v>
      </c>
      <c r="O66" s="32">
        <f t="shared" si="4"/>
        <v>0</v>
      </c>
      <c r="P66">
        <v>6</v>
      </c>
      <c r="Q66">
        <v>4</v>
      </c>
      <c r="R66" s="32">
        <f t="shared" si="5"/>
        <v>2</v>
      </c>
      <c r="S66">
        <v>5</v>
      </c>
      <c r="T66">
        <v>4</v>
      </c>
      <c r="U66" s="32">
        <f t="shared" si="6"/>
        <v>1</v>
      </c>
      <c r="V66">
        <v>5</v>
      </c>
      <c r="W66">
        <v>5</v>
      </c>
      <c r="X66" s="32">
        <f t="shared" si="7"/>
        <v>0</v>
      </c>
      <c r="Y66">
        <v>5</v>
      </c>
      <c r="Z66">
        <v>5</v>
      </c>
      <c r="AA66" s="32">
        <f t="shared" si="8"/>
        <v>0</v>
      </c>
    </row>
    <row r="67" spans="1:27" x14ac:dyDescent="0.45">
      <c r="A67">
        <v>5</v>
      </c>
      <c r="B67">
        <v>5</v>
      </c>
      <c r="C67" s="32">
        <f t="shared" ref="C67:C130" si="9">ABS(B67-A67)</f>
        <v>0</v>
      </c>
      <c r="D67">
        <v>5</v>
      </c>
      <c r="E67">
        <v>5</v>
      </c>
      <c r="F67" s="32">
        <f t="shared" ref="F67:F130" si="10">ABS(E67-D67)</f>
        <v>0</v>
      </c>
      <c r="G67">
        <v>7</v>
      </c>
      <c r="H67">
        <v>4</v>
      </c>
      <c r="I67" s="32">
        <f t="shared" ref="I67:I130" si="11">ABS(H67-G67)</f>
        <v>3</v>
      </c>
      <c r="J67">
        <v>7</v>
      </c>
      <c r="K67">
        <v>5</v>
      </c>
      <c r="L67" s="32">
        <f t="shared" ref="L67:L130" si="12">ABS(K67-J67)</f>
        <v>2</v>
      </c>
      <c r="M67">
        <v>5</v>
      </c>
      <c r="N67">
        <v>5</v>
      </c>
      <c r="O67" s="32">
        <f t="shared" ref="O67:O130" si="13">ABS(N67-M67)</f>
        <v>0</v>
      </c>
      <c r="P67">
        <v>6</v>
      </c>
      <c r="Q67">
        <v>4</v>
      </c>
      <c r="R67" s="32">
        <f t="shared" ref="R67:R130" si="14">ABS(Q67-P67)</f>
        <v>2</v>
      </c>
      <c r="S67">
        <v>5</v>
      </c>
      <c r="T67">
        <v>4</v>
      </c>
      <c r="U67" s="32">
        <f t="shared" ref="U67:U130" si="15">ABS(T67-S67)</f>
        <v>1</v>
      </c>
      <c r="V67">
        <v>5</v>
      </c>
      <c r="W67">
        <v>5</v>
      </c>
      <c r="X67" s="32">
        <f t="shared" ref="X67:X130" si="16">ABS(W67-V67)</f>
        <v>0</v>
      </c>
      <c r="Y67">
        <v>5</v>
      </c>
      <c r="Z67">
        <v>5</v>
      </c>
      <c r="AA67" s="32">
        <f t="shared" ref="AA67:AA130" si="17">ABS(Z67-Y67)</f>
        <v>0</v>
      </c>
    </row>
    <row r="68" spans="1:27" x14ac:dyDescent="0.45">
      <c r="A68">
        <v>5</v>
      </c>
      <c r="B68">
        <v>5</v>
      </c>
      <c r="C68" s="32">
        <f t="shared" si="9"/>
        <v>0</v>
      </c>
      <c r="D68">
        <v>5</v>
      </c>
      <c r="E68">
        <v>5</v>
      </c>
      <c r="F68" s="32">
        <f t="shared" si="10"/>
        <v>0</v>
      </c>
      <c r="G68">
        <v>7</v>
      </c>
      <c r="H68">
        <v>4</v>
      </c>
      <c r="I68" s="32">
        <f t="shared" si="11"/>
        <v>3</v>
      </c>
      <c r="J68">
        <v>7</v>
      </c>
      <c r="K68">
        <v>5</v>
      </c>
      <c r="L68" s="32">
        <f t="shared" si="12"/>
        <v>2</v>
      </c>
      <c r="M68">
        <v>5</v>
      </c>
      <c r="N68">
        <v>5</v>
      </c>
      <c r="O68" s="32">
        <f t="shared" si="13"/>
        <v>0</v>
      </c>
      <c r="P68">
        <v>6</v>
      </c>
      <c r="Q68">
        <v>4</v>
      </c>
      <c r="R68" s="32">
        <f t="shared" si="14"/>
        <v>2</v>
      </c>
      <c r="S68">
        <v>5</v>
      </c>
      <c r="T68">
        <v>4</v>
      </c>
      <c r="U68" s="32">
        <f t="shared" si="15"/>
        <v>1</v>
      </c>
      <c r="V68">
        <v>5</v>
      </c>
      <c r="W68">
        <v>5</v>
      </c>
      <c r="X68" s="32">
        <f t="shared" si="16"/>
        <v>0</v>
      </c>
      <c r="Y68">
        <v>5</v>
      </c>
      <c r="Z68">
        <v>5</v>
      </c>
      <c r="AA68" s="32">
        <f t="shared" si="17"/>
        <v>0</v>
      </c>
    </row>
    <row r="69" spans="1:27" x14ac:dyDescent="0.45">
      <c r="A69">
        <v>5</v>
      </c>
      <c r="B69">
        <v>5</v>
      </c>
      <c r="C69" s="32">
        <f t="shared" si="9"/>
        <v>0</v>
      </c>
      <c r="D69">
        <v>5</v>
      </c>
      <c r="E69">
        <v>5</v>
      </c>
      <c r="F69" s="32">
        <f t="shared" si="10"/>
        <v>0</v>
      </c>
      <c r="G69">
        <v>7</v>
      </c>
      <c r="H69">
        <v>4</v>
      </c>
      <c r="I69" s="32">
        <f t="shared" si="11"/>
        <v>3</v>
      </c>
      <c r="J69">
        <v>7</v>
      </c>
      <c r="K69">
        <v>5</v>
      </c>
      <c r="L69" s="32">
        <f t="shared" si="12"/>
        <v>2</v>
      </c>
      <c r="M69">
        <v>5</v>
      </c>
      <c r="N69">
        <v>5</v>
      </c>
      <c r="O69" s="32">
        <f t="shared" si="13"/>
        <v>0</v>
      </c>
      <c r="P69">
        <v>6</v>
      </c>
      <c r="Q69">
        <v>4</v>
      </c>
      <c r="R69" s="32">
        <f t="shared" si="14"/>
        <v>2</v>
      </c>
      <c r="S69">
        <v>5</v>
      </c>
      <c r="T69">
        <v>4</v>
      </c>
      <c r="U69" s="32">
        <f t="shared" si="15"/>
        <v>1</v>
      </c>
      <c r="V69">
        <v>5</v>
      </c>
      <c r="W69">
        <v>5</v>
      </c>
      <c r="X69" s="32">
        <f t="shared" si="16"/>
        <v>0</v>
      </c>
      <c r="Y69">
        <v>6</v>
      </c>
      <c r="Z69">
        <v>5</v>
      </c>
      <c r="AA69" s="32">
        <f t="shared" si="17"/>
        <v>1</v>
      </c>
    </row>
    <row r="70" spans="1:27" x14ac:dyDescent="0.45">
      <c r="A70">
        <v>5</v>
      </c>
      <c r="B70">
        <v>5</v>
      </c>
      <c r="C70" s="32">
        <f t="shared" si="9"/>
        <v>0</v>
      </c>
      <c r="D70">
        <v>5</v>
      </c>
      <c r="E70">
        <v>5</v>
      </c>
      <c r="F70" s="32">
        <f t="shared" si="10"/>
        <v>0</v>
      </c>
      <c r="G70">
        <v>7</v>
      </c>
      <c r="H70">
        <v>4</v>
      </c>
      <c r="I70" s="32">
        <f t="shared" si="11"/>
        <v>3</v>
      </c>
      <c r="J70">
        <v>7</v>
      </c>
      <c r="K70">
        <v>5</v>
      </c>
      <c r="L70" s="32">
        <f t="shared" si="12"/>
        <v>2</v>
      </c>
      <c r="M70">
        <v>5</v>
      </c>
      <c r="N70">
        <v>5</v>
      </c>
      <c r="O70" s="32">
        <f t="shared" si="13"/>
        <v>0</v>
      </c>
      <c r="P70">
        <v>6</v>
      </c>
      <c r="Q70">
        <v>4</v>
      </c>
      <c r="R70" s="32">
        <f t="shared" si="14"/>
        <v>2</v>
      </c>
      <c r="S70">
        <v>5</v>
      </c>
      <c r="T70">
        <v>4</v>
      </c>
      <c r="U70" s="32">
        <f t="shared" si="15"/>
        <v>1</v>
      </c>
      <c r="V70">
        <v>5</v>
      </c>
      <c r="W70">
        <v>5</v>
      </c>
      <c r="X70" s="32">
        <f t="shared" si="16"/>
        <v>0</v>
      </c>
      <c r="Y70">
        <v>6</v>
      </c>
      <c r="Z70">
        <v>5</v>
      </c>
      <c r="AA70" s="32">
        <f t="shared" si="17"/>
        <v>1</v>
      </c>
    </row>
    <row r="71" spans="1:27" x14ac:dyDescent="0.45">
      <c r="A71">
        <v>5</v>
      </c>
      <c r="B71">
        <v>5</v>
      </c>
      <c r="C71" s="32">
        <f t="shared" si="9"/>
        <v>0</v>
      </c>
      <c r="D71">
        <v>5</v>
      </c>
      <c r="E71">
        <v>5</v>
      </c>
      <c r="F71" s="32">
        <f t="shared" si="10"/>
        <v>0</v>
      </c>
      <c r="G71">
        <v>7</v>
      </c>
      <c r="H71">
        <v>4</v>
      </c>
      <c r="I71" s="32">
        <f t="shared" si="11"/>
        <v>3</v>
      </c>
      <c r="J71">
        <v>7</v>
      </c>
      <c r="K71">
        <v>5</v>
      </c>
      <c r="L71" s="32">
        <f t="shared" si="12"/>
        <v>2</v>
      </c>
      <c r="M71">
        <v>5</v>
      </c>
      <c r="N71">
        <v>5</v>
      </c>
      <c r="O71" s="32">
        <f t="shared" si="13"/>
        <v>0</v>
      </c>
      <c r="P71">
        <v>6</v>
      </c>
      <c r="Q71">
        <v>4</v>
      </c>
      <c r="R71" s="32">
        <f t="shared" si="14"/>
        <v>2</v>
      </c>
      <c r="S71">
        <v>5</v>
      </c>
      <c r="T71">
        <v>4</v>
      </c>
      <c r="U71" s="32">
        <f t="shared" si="15"/>
        <v>1</v>
      </c>
      <c r="V71">
        <v>5</v>
      </c>
      <c r="W71">
        <v>5</v>
      </c>
      <c r="X71" s="32">
        <f t="shared" si="16"/>
        <v>0</v>
      </c>
      <c r="Y71">
        <v>6</v>
      </c>
      <c r="Z71">
        <v>5</v>
      </c>
      <c r="AA71" s="32">
        <f t="shared" si="17"/>
        <v>1</v>
      </c>
    </row>
    <row r="72" spans="1:27" x14ac:dyDescent="0.45">
      <c r="A72">
        <v>5</v>
      </c>
      <c r="B72">
        <v>5</v>
      </c>
      <c r="C72" s="32">
        <f t="shared" si="9"/>
        <v>0</v>
      </c>
      <c r="D72">
        <v>5</v>
      </c>
      <c r="E72">
        <v>5</v>
      </c>
      <c r="F72" s="32">
        <f t="shared" si="10"/>
        <v>0</v>
      </c>
      <c r="G72">
        <v>7</v>
      </c>
      <c r="H72">
        <v>4</v>
      </c>
      <c r="I72" s="32">
        <f t="shared" si="11"/>
        <v>3</v>
      </c>
      <c r="J72">
        <v>7</v>
      </c>
      <c r="K72">
        <v>5</v>
      </c>
      <c r="L72" s="32">
        <f t="shared" si="12"/>
        <v>2</v>
      </c>
      <c r="M72">
        <v>5</v>
      </c>
      <c r="N72">
        <v>5</v>
      </c>
      <c r="O72" s="32">
        <f t="shared" si="13"/>
        <v>0</v>
      </c>
      <c r="P72">
        <v>6</v>
      </c>
      <c r="Q72">
        <v>5</v>
      </c>
      <c r="R72" s="32">
        <f t="shared" si="14"/>
        <v>1</v>
      </c>
      <c r="S72">
        <v>5</v>
      </c>
      <c r="T72">
        <v>4</v>
      </c>
      <c r="U72" s="32">
        <f t="shared" si="15"/>
        <v>1</v>
      </c>
      <c r="V72">
        <v>5</v>
      </c>
      <c r="W72">
        <v>5</v>
      </c>
      <c r="X72" s="32">
        <f t="shared" si="16"/>
        <v>0</v>
      </c>
      <c r="Y72">
        <v>6</v>
      </c>
      <c r="Z72">
        <v>5</v>
      </c>
      <c r="AA72" s="32">
        <f t="shared" si="17"/>
        <v>1</v>
      </c>
    </row>
    <row r="73" spans="1:27" x14ac:dyDescent="0.45">
      <c r="A73">
        <v>5</v>
      </c>
      <c r="B73">
        <v>5</v>
      </c>
      <c r="C73" s="32">
        <f t="shared" si="9"/>
        <v>0</v>
      </c>
      <c r="D73">
        <v>5</v>
      </c>
      <c r="E73">
        <v>5</v>
      </c>
      <c r="F73" s="32">
        <f t="shared" si="10"/>
        <v>0</v>
      </c>
      <c r="G73">
        <v>7</v>
      </c>
      <c r="H73">
        <v>4</v>
      </c>
      <c r="I73" s="32">
        <f t="shared" si="11"/>
        <v>3</v>
      </c>
      <c r="J73">
        <v>7</v>
      </c>
      <c r="K73">
        <v>5</v>
      </c>
      <c r="L73" s="32">
        <f t="shared" si="12"/>
        <v>2</v>
      </c>
      <c r="M73">
        <v>5</v>
      </c>
      <c r="N73">
        <v>5</v>
      </c>
      <c r="O73" s="32">
        <f t="shared" si="13"/>
        <v>0</v>
      </c>
      <c r="P73">
        <v>6</v>
      </c>
      <c r="Q73">
        <v>5</v>
      </c>
      <c r="R73" s="32">
        <f t="shared" si="14"/>
        <v>1</v>
      </c>
      <c r="S73">
        <v>5</v>
      </c>
      <c r="T73">
        <v>4</v>
      </c>
      <c r="U73" s="32">
        <f t="shared" si="15"/>
        <v>1</v>
      </c>
      <c r="V73">
        <v>5</v>
      </c>
      <c r="W73">
        <v>5</v>
      </c>
      <c r="X73" s="32">
        <f t="shared" si="16"/>
        <v>0</v>
      </c>
      <c r="Y73">
        <v>6</v>
      </c>
      <c r="Z73">
        <v>5</v>
      </c>
      <c r="AA73" s="32">
        <f t="shared" si="17"/>
        <v>1</v>
      </c>
    </row>
    <row r="74" spans="1:27" x14ac:dyDescent="0.45">
      <c r="A74">
        <v>5</v>
      </c>
      <c r="B74">
        <v>5</v>
      </c>
      <c r="C74" s="32">
        <f t="shared" si="9"/>
        <v>0</v>
      </c>
      <c r="D74">
        <v>5</v>
      </c>
      <c r="E74">
        <v>5</v>
      </c>
      <c r="F74" s="32">
        <f t="shared" si="10"/>
        <v>0</v>
      </c>
      <c r="G74">
        <v>7</v>
      </c>
      <c r="H74">
        <v>4</v>
      </c>
      <c r="I74" s="32">
        <f t="shared" si="11"/>
        <v>3</v>
      </c>
      <c r="J74">
        <v>7</v>
      </c>
      <c r="K74">
        <v>5</v>
      </c>
      <c r="L74" s="32">
        <f t="shared" si="12"/>
        <v>2</v>
      </c>
      <c r="M74">
        <v>5</v>
      </c>
      <c r="N74">
        <v>5</v>
      </c>
      <c r="O74" s="32">
        <f t="shared" si="13"/>
        <v>0</v>
      </c>
      <c r="P74">
        <v>6</v>
      </c>
      <c r="Q74">
        <v>5</v>
      </c>
      <c r="R74" s="32">
        <f t="shared" si="14"/>
        <v>1</v>
      </c>
      <c r="S74">
        <v>5</v>
      </c>
      <c r="T74">
        <v>5</v>
      </c>
      <c r="U74" s="32">
        <f t="shared" si="15"/>
        <v>0</v>
      </c>
      <c r="V74">
        <v>5</v>
      </c>
      <c r="W74">
        <v>5</v>
      </c>
      <c r="X74" s="32">
        <f t="shared" si="16"/>
        <v>0</v>
      </c>
      <c r="Y74">
        <v>6</v>
      </c>
      <c r="Z74">
        <v>5</v>
      </c>
      <c r="AA74" s="32">
        <f t="shared" si="17"/>
        <v>1</v>
      </c>
    </row>
    <row r="75" spans="1:27" x14ac:dyDescent="0.45">
      <c r="A75">
        <v>5</v>
      </c>
      <c r="B75">
        <v>5</v>
      </c>
      <c r="C75" s="32">
        <f t="shared" si="9"/>
        <v>0</v>
      </c>
      <c r="D75">
        <v>5</v>
      </c>
      <c r="E75">
        <v>5</v>
      </c>
      <c r="F75" s="32">
        <f t="shared" si="10"/>
        <v>0</v>
      </c>
      <c r="G75">
        <v>7</v>
      </c>
      <c r="H75">
        <v>4</v>
      </c>
      <c r="I75" s="32">
        <f t="shared" si="11"/>
        <v>3</v>
      </c>
      <c r="J75">
        <v>7</v>
      </c>
      <c r="K75">
        <v>5</v>
      </c>
      <c r="L75" s="32">
        <f t="shared" si="12"/>
        <v>2</v>
      </c>
      <c r="M75">
        <v>5</v>
      </c>
      <c r="N75">
        <v>5</v>
      </c>
      <c r="O75" s="32">
        <f t="shared" si="13"/>
        <v>0</v>
      </c>
      <c r="P75">
        <v>6</v>
      </c>
      <c r="Q75">
        <v>5</v>
      </c>
      <c r="R75" s="32">
        <f t="shared" si="14"/>
        <v>1</v>
      </c>
      <c r="S75">
        <v>5</v>
      </c>
      <c r="T75">
        <v>5</v>
      </c>
      <c r="U75" s="32">
        <f t="shared" si="15"/>
        <v>0</v>
      </c>
      <c r="V75">
        <v>5</v>
      </c>
      <c r="W75">
        <v>5</v>
      </c>
      <c r="X75" s="32">
        <f t="shared" si="16"/>
        <v>0</v>
      </c>
      <c r="Y75">
        <v>6</v>
      </c>
      <c r="Z75">
        <v>5</v>
      </c>
      <c r="AA75" s="32">
        <f t="shared" si="17"/>
        <v>1</v>
      </c>
    </row>
    <row r="76" spans="1:27" x14ac:dyDescent="0.45">
      <c r="A76">
        <v>5</v>
      </c>
      <c r="B76">
        <v>5</v>
      </c>
      <c r="C76" s="32">
        <f t="shared" si="9"/>
        <v>0</v>
      </c>
      <c r="D76">
        <v>5</v>
      </c>
      <c r="E76">
        <v>5</v>
      </c>
      <c r="F76" s="32">
        <f t="shared" si="10"/>
        <v>0</v>
      </c>
      <c r="G76">
        <v>7</v>
      </c>
      <c r="H76">
        <v>4</v>
      </c>
      <c r="I76" s="32">
        <f t="shared" si="11"/>
        <v>3</v>
      </c>
      <c r="J76">
        <v>7</v>
      </c>
      <c r="K76">
        <v>5</v>
      </c>
      <c r="L76" s="32">
        <f t="shared" si="12"/>
        <v>2</v>
      </c>
      <c r="M76">
        <v>5</v>
      </c>
      <c r="N76">
        <v>5</v>
      </c>
      <c r="O76" s="32">
        <f t="shared" si="13"/>
        <v>0</v>
      </c>
      <c r="P76">
        <v>6</v>
      </c>
      <c r="Q76">
        <v>5</v>
      </c>
      <c r="R76" s="32">
        <f t="shared" si="14"/>
        <v>1</v>
      </c>
      <c r="S76">
        <v>5</v>
      </c>
      <c r="T76">
        <v>5</v>
      </c>
      <c r="U76" s="32">
        <f t="shared" si="15"/>
        <v>0</v>
      </c>
      <c r="V76">
        <v>5</v>
      </c>
      <c r="W76">
        <v>5</v>
      </c>
      <c r="X76" s="32">
        <f t="shared" si="16"/>
        <v>0</v>
      </c>
      <c r="Y76">
        <v>6</v>
      </c>
      <c r="Z76">
        <v>5</v>
      </c>
      <c r="AA76" s="32">
        <f t="shared" si="17"/>
        <v>1</v>
      </c>
    </row>
    <row r="77" spans="1:27" x14ac:dyDescent="0.45">
      <c r="A77">
        <v>5</v>
      </c>
      <c r="B77">
        <v>5</v>
      </c>
      <c r="C77" s="32">
        <f t="shared" si="9"/>
        <v>0</v>
      </c>
      <c r="D77">
        <v>5</v>
      </c>
      <c r="E77">
        <v>5</v>
      </c>
      <c r="F77" s="32">
        <f t="shared" si="10"/>
        <v>0</v>
      </c>
      <c r="G77">
        <v>7</v>
      </c>
      <c r="H77">
        <v>4</v>
      </c>
      <c r="I77" s="32">
        <f t="shared" si="11"/>
        <v>3</v>
      </c>
      <c r="J77">
        <v>7</v>
      </c>
      <c r="K77">
        <v>6</v>
      </c>
      <c r="L77" s="32">
        <f t="shared" si="12"/>
        <v>1</v>
      </c>
      <c r="M77">
        <v>5</v>
      </c>
      <c r="N77">
        <v>5</v>
      </c>
      <c r="O77" s="32">
        <f t="shared" si="13"/>
        <v>0</v>
      </c>
      <c r="P77">
        <v>6</v>
      </c>
      <c r="Q77">
        <v>5</v>
      </c>
      <c r="R77" s="32">
        <f t="shared" si="14"/>
        <v>1</v>
      </c>
      <c r="S77">
        <v>5</v>
      </c>
      <c r="T77">
        <v>5</v>
      </c>
      <c r="U77" s="32">
        <f t="shared" si="15"/>
        <v>0</v>
      </c>
      <c r="V77">
        <v>5</v>
      </c>
      <c r="W77">
        <v>5</v>
      </c>
      <c r="X77" s="32">
        <f t="shared" si="16"/>
        <v>0</v>
      </c>
      <c r="Y77">
        <v>6</v>
      </c>
      <c r="Z77">
        <v>5</v>
      </c>
      <c r="AA77" s="32">
        <f t="shared" si="17"/>
        <v>1</v>
      </c>
    </row>
    <row r="78" spans="1:27" x14ac:dyDescent="0.45">
      <c r="A78">
        <v>5</v>
      </c>
      <c r="B78">
        <v>5</v>
      </c>
      <c r="C78" s="32">
        <f t="shared" si="9"/>
        <v>0</v>
      </c>
      <c r="D78">
        <v>5</v>
      </c>
      <c r="E78">
        <v>5</v>
      </c>
      <c r="F78" s="32">
        <f t="shared" si="10"/>
        <v>0</v>
      </c>
      <c r="G78">
        <v>7</v>
      </c>
      <c r="H78">
        <v>4</v>
      </c>
      <c r="I78" s="32">
        <f t="shared" si="11"/>
        <v>3</v>
      </c>
      <c r="J78">
        <v>7</v>
      </c>
      <c r="K78">
        <v>6</v>
      </c>
      <c r="L78" s="32">
        <f t="shared" si="12"/>
        <v>1</v>
      </c>
      <c r="M78">
        <v>5</v>
      </c>
      <c r="N78">
        <v>5</v>
      </c>
      <c r="O78" s="32">
        <f t="shared" si="13"/>
        <v>0</v>
      </c>
      <c r="P78">
        <v>6</v>
      </c>
      <c r="Q78">
        <v>5</v>
      </c>
      <c r="R78" s="32">
        <f t="shared" si="14"/>
        <v>1</v>
      </c>
      <c r="S78">
        <v>5</v>
      </c>
      <c r="T78">
        <v>5</v>
      </c>
      <c r="U78" s="32">
        <f t="shared" si="15"/>
        <v>0</v>
      </c>
      <c r="V78">
        <v>5</v>
      </c>
      <c r="W78">
        <v>5</v>
      </c>
      <c r="X78" s="32">
        <f t="shared" si="16"/>
        <v>0</v>
      </c>
      <c r="Y78">
        <v>6</v>
      </c>
      <c r="Z78">
        <v>5</v>
      </c>
      <c r="AA78" s="32">
        <f t="shared" si="17"/>
        <v>1</v>
      </c>
    </row>
    <row r="79" spans="1:27" x14ac:dyDescent="0.45">
      <c r="A79">
        <v>5</v>
      </c>
      <c r="B79">
        <v>5</v>
      </c>
      <c r="C79" s="32">
        <f t="shared" si="9"/>
        <v>0</v>
      </c>
      <c r="D79">
        <v>5</v>
      </c>
      <c r="E79">
        <v>5</v>
      </c>
      <c r="F79" s="32">
        <f t="shared" si="10"/>
        <v>0</v>
      </c>
      <c r="G79">
        <v>7</v>
      </c>
      <c r="H79">
        <v>4</v>
      </c>
      <c r="I79" s="32">
        <f t="shared" si="11"/>
        <v>3</v>
      </c>
      <c r="J79">
        <v>7</v>
      </c>
      <c r="K79">
        <v>6</v>
      </c>
      <c r="L79" s="32">
        <f t="shared" si="12"/>
        <v>1</v>
      </c>
      <c r="M79">
        <v>5</v>
      </c>
      <c r="N79">
        <v>5</v>
      </c>
      <c r="O79" s="32">
        <f t="shared" si="13"/>
        <v>0</v>
      </c>
      <c r="P79">
        <v>6</v>
      </c>
      <c r="Q79">
        <v>5</v>
      </c>
      <c r="R79" s="32">
        <f t="shared" si="14"/>
        <v>1</v>
      </c>
      <c r="S79">
        <v>5</v>
      </c>
      <c r="T79">
        <v>5</v>
      </c>
      <c r="U79" s="32">
        <f t="shared" si="15"/>
        <v>0</v>
      </c>
      <c r="V79">
        <v>5</v>
      </c>
      <c r="W79">
        <v>5</v>
      </c>
      <c r="X79" s="32">
        <f t="shared" si="16"/>
        <v>0</v>
      </c>
      <c r="Y79">
        <v>6</v>
      </c>
      <c r="Z79">
        <v>5</v>
      </c>
      <c r="AA79" s="32">
        <f t="shared" si="17"/>
        <v>1</v>
      </c>
    </row>
    <row r="80" spans="1:27" x14ac:dyDescent="0.45">
      <c r="A80">
        <v>5</v>
      </c>
      <c r="B80">
        <v>5</v>
      </c>
      <c r="C80" s="32">
        <f t="shared" si="9"/>
        <v>0</v>
      </c>
      <c r="D80">
        <v>5</v>
      </c>
      <c r="E80">
        <v>5</v>
      </c>
      <c r="F80" s="32">
        <f t="shared" si="10"/>
        <v>0</v>
      </c>
      <c r="G80">
        <v>7</v>
      </c>
      <c r="H80">
        <v>4</v>
      </c>
      <c r="I80" s="32">
        <f t="shared" si="11"/>
        <v>3</v>
      </c>
      <c r="J80">
        <v>7</v>
      </c>
      <c r="K80">
        <v>6</v>
      </c>
      <c r="L80" s="32">
        <f t="shared" si="12"/>
        <v>1</v>
      </c>
      <c r="M80">
        <v>5</v>
      </c>
      <c r="N80">
        <v>5</v>
      </c>
      <c r="O80" s="32">
        <f t="shared" si="13"/>
        <v>0</v>
      </c>
      <c r="P80">
        <v>6</v>
      </c>
      <c r="Q80">
        <v>5</v>
      </c>
      <c r="R80" s="32">
        <f t="shared" si="14"/>
        <v>1</v>
      </c>
      <c r="S80">
        <v>5</v>
      </c>
      <c r="T80">
        <v>5</v>
      </c>
      <c r="U80" s="32">
        <f t="shared" si="15"/>
        <v>0</v>
      </c>
      <c r="V80">
        <v>5</v>
      </c>
      <c r="W80">
        <v>5</v>
      </c>
      <c r="X80" s="32">
        <f t="shared" si="16"/>
        <v>0</v>
      </c>
      <c r="Y80">
        <v>6</v>
      </c>
      <c r="Z80">
        <v>5</v>
      </c>
      <c r="AA80" s="32">
        <f t="shared" si="17"/>
        <v>1</v>
      </c>
    </row>
    <row r="81" spans="1:27" x14ac:dyDescent="0.45">
      <c r="A81">
        <v>5</v>
      </c>
      <c r="B81">
        <v>5</v>
      </c>
      <c r="C81" s="32">
        <f t="shared" si="9"/>
        <v>0</v>
      </c>
      <c r="D81">
        <v>5</v>
      </c>
      <c r="E81">
        <v>5</v>
      </c>
      <c r="F81" s="32">
        <f t="shared" si="10"/>
        <v>0</v>
      </c>
      <c r="G81">
        <v>7</v>
      </c>
      <c r="H81">
        <v>4</v>
      </c>
      <c r="I81" s="32">
        <f t="shared" si="11"/>
        <v>3</v>
      </c>
      <c r="J81">
        <v>7</v>
      </c>
      <c r="K81">
        <v>6</v>
      </c>
      <c r="L81" s="32">
        <f t="shared" si="12"/>
        <v>1</v>
      </c>
      <c r="M81">
        <v>5</v>
      </c>
      <c r="N81">
        <v>5</v>
      </c>
      <c r="O81" s="32">
        <f t="shared" si="13"/>
        <v>0</v>
      </c>
      <c r="P81">
        <v>6</v>
      </c>
      <c r="Q81">
        <v>5</v>
      </c>
      <c r="R81" s="32">
        <f t="shared" si="14"/>
        <v>1</v>
      </c>
      <c r="S81">
        <v>5</v>
      </c>
      <c r="T81">
        <v>5</v>
      </c>
      <c r="U81" s="32">
        <f t="shared" si="15"/>
        <v>0</v>
      </c>
      <c r="V81">
        <v>5</v>
      </c>
      <c r="W81">
        <v>5</v>
      </c>
      <c r="X81" s="32">
        <f t="shared" si="16"/>
        <v>0</v>
      </c>
      <c r="Y81">
        <v>6</v>
      </c>
      <c r="Z81">
        <v>5</v>
      </c>
      <c r="AA81" s="32">
        <f t="shared" si="17"/>
        <v>1</v>
      </c>
    </row>
    <row r="82" spans="1:27" x14ac:dyDescent="0.45">
      <c r="A82">
        <v>5</v>
      </c>
      <c r="B82">
        <v>5</v>
      </c>
      <c r="C82" s="32">
        <f t="shared" si="9"/>
        <v>0</v>
      </c>
      <c r="D82">
        <v>5</v>
      </c>
      <c r="E82">
        <v>5</v>
      </c>
      <c r="F82" s="32">
        <f t="shared" si="10"/>
        <v>0</v>
      </c>
      <c r="G82">
        <v>7</v>
      </c>
      <c r="H82">
        <v>4</v>
      </c>
      <c r="I82" s="32">
        <f t="shared" si="11"/>
        <v>3</v>
      </c>
      <c r="J82">
        <v>7</v>
      </c>
      <c r="K82">
        <v>6</v>
      </c>
      <c r="L82" s="32">
        <f t="shared" si="12"/>
        <v>1</v>
      </c>
      <c r="M82">
        <v>5</v>
      </c>
      <c r="N82">
        <v>5</v>
      </c>
      <c r="O82" s="32">
        <f t="shared" si="13"/>
        <v>0</v>
      </c>
      <c r="P82">
        <v>6</v>
      </c>
      <c r="Q82">
        <v>5</v>
      </c>
      <c r="R82" s="32">
        <f t="shared" si="14"/>
        <v>1</v>
      </c>
      <c r="S82">
        <v>5</v>
      </c>
      <c r="T82">
        <v>5</v>
      </c>
      <c r="U82" s="32">
        <f t="shared" si="15"/>
        <v>0</v>
      </c>
      <c r="V82">
        <v>6</v>
      </c>
      <c r="W82">
        <v>5</v>
      </c>
      <c r="X82" s="32">
        <f t="shared" si="16"/>
        <v>1</v>
      </c>
      <c r="Y82">
        <v>6</v>
      </c>
      <c r="Z82">
        <v>5</v>
      </c>
      <c r="AA82" s="32">
        <f t="shared" si="17"/>
        <v>1</v>
      </c>
    </row>
    <row r="83" spans="1:27" x14ac:dyDescent="0.45">
      <c r="A83">
        <v>5</v>
      </c>
      <c r="B83">
        <v>5</v>
      </c>
      <c r="C83" s="32">
        <f t="shared" si="9"/>
        <v>0</v>
      </c>
      <c r="D83">
        <v>5</v>
      </c>
      <c r="E83">
        <v>5</v>
      </c>
      <c r="F83" s="32">
        <f t="shared" si="10"/>
        <v>0</v>
      </c>
      <c r="G83">
        <v>7</v>
      </c>
      <c r="H83">
        <v>4</v>
      </c>
      <c r="I83" s="32">
        <f t="shared" si="11"/>
        <v>3</v>
      </c>
      <c r="J83">
        <v>7</v>
      </c>
      <c r="K83">
        <v>6</v>
      </c>
      <c r="L83" s="32">
        <f t="shared" si="12"/>
        <v>1</v>
      </c>
      <c r="M83">
        <v>5</v>
      </c>
      <c r="N83">
        <v>5</v>
      </c>
      <c r="O83" s="32">
        <f t="shared" si="13"/>
        <v>0</v>
      </c>
      <c r="P83">
        <v>6</v>
      </c>
      <c r="Q83">
        <v>5</v>
      </c>
      <c r="R83" s="32">
        <f t="shared" si="14"/>
        <v>1</v>
      </c>
      <c r="S83">
        <v>5</v>
      </c>
      <c r="T83">
        <v>5</v>
      </c>
      <c r="U83" s="32">
        <f t="shared" si="15"/>
        <v>0</v>
      </c>
      <c r="V83">
        <v>6</v>
      </c>
      <c r="W83">
        <v>5</v>
      </c>
      <c r="X83" s="32">
        <f t="shared" si="16"/>
        <v>1</v>
      </c>
      <c r="Y83">
        <v>6</v>
      </c>
      <c r="Z83">
        <v>5</v>
      </c>
      <c r="AA83" s="32">
        <f t="shared" si="17"/>
        <v>1</v>
      </c>
    </row>
    <row r="84" spans="1:27" x14ac:dyDescent="0.45">
      <c r="A84">
        <v>5</v>
      </c>
      <c r="B84">
        <v>5</v>
      </c>
      <c r="C84" s="32">
        <f t="shared" si="9"/>
        <v>0</v>
      </c>
      <c r="D84">
        <v>5</v>
      </c>
      <c r="E84">
        <v>5</v>
      </c>
      <c r="F84" s="32">
        <f t="shared" si="10"/>
        <v>0</v>
      </c>
      <c r="G84">
        <v>7</v>
      </c>
      <c r="H84">
        <v>4</v>
      </c>
      <c r="I84" s="32">
        <f t="shared" si="11"/>
        <v>3</v>
      </c>
      <c r="J84">
        <v>7</v>
      </c>
      <c r="K84">
        <v>6</v>
      </c>
      <c r="L84" s="32">
        <f t="shared" si="12"/>
        <v>1</v>
      </c>
      <c r="M84">
        <v>5</v>
      </c>
      <c r="N84">
        <v>5</v>
      </c>
      <c r="O84" s="32">
        <f t="shared" si="13"/>
        <v>0</v>
      </c>
      <c r="P84">
        <v>6</v>
      </c>
      <c r="Q84">
        <v>5</v>
      </c>
      <c r="R84" s="32">
        <f t="shared" si="14"/>
        <v>1</v>
      </c>
      <c r="S84">
        <v>5</v>
      </c>
      <c r="T84">
        <v>5</v>
      </c>
      <c r="U84" s="32">
        <f t="shared" si="15"/>
        <v>0</v>
      </c>
      <c r="V84">
        <v>6</v>
      </c>
      <c r="W84">
        <v>5</v>
      </c>
      <c r="X84" s="32">
        <f t="shared" si="16"/>
        <v>1</v>
      </c>
      <c r="Y84">
        <v>6</v>
      </c>
      <c r="Z84">
        <v>5</v>
      </c>
      <c r="AA84" s="32">
        <f t="shared" si="17"/>
        <v>1</v>
      </c>
    </row>
    <row r="85" spans="1:27" x14ac:dyDescent="0.45">
      <c r="A85">
        <v>5</v>
      </c>
      <c r="B85">
        <v>5</v>
      </c>
      <c r="C85" s="32">
        <f t="shared" si="9"/>
        <v>0</v>
      </c>
      <c r="D85">
        <v>5</v>
      </c>
      <c r="E85">
        <v>5</v>
      </c>
      <c r="F85" s="32">
        <f t="shared" si="10"/>
        <v>0</v>
      </c>
      <c r="G85">
        <v>7</v>
      </c>
      <c r="H85">
        <v>5</v>
      </c>
      <c r="I85" s="32">
        <f t="shared" si="11"/>
        <v>2</v>
      </c>
      <c r="J85">
        <v>7</v>
      </c>
      <c r="K85">
        <v>6</v>
      </c>
      <c r="L85" s="32">
        <f t="shared" si="12"/>
        <v>1</v>
      </c>
      <c r="M85">
        <v>5</v>
      </c>
      <c r="N85">
        <v>5</v>
      </c>
      <c r="O85" s="32">
        <f t="shared" si="13"/>
        <v>0</v>
      </c>
      <c r="P85">
        <v>6</v>
      </c>
      <c r="Q85">
        <v>5</v>
      </c>
      <c r="R85" s="32">
        <f t="shared" si="14"/>
        <v>1</v>
      </c>
      <c r="S85">
        <v>5</v>
      </c>
      <c r="T85">
        <v>5</v>
      </c>
      <c r="U85" s="32">
        <f t="shared" si="15"/>
        <v>0</v>
      </c>
      <c r="V85">
        <v>6</v>
      </c>
      <c r="W85">
        <v>5</v>
      </c>
      <c r="X85" s="32">
        <f t="shared" si="16"/>
        <v>1</v>
      </c>
      <c r="Y85">
        <v>6</v>
      </c>
      <c r="Z85">
        <v>5</v>
      </c>
      <c r="AA85" s="32">
        <f t="shared" si="17"/>
        <v>1</v>
      </c>
    </row>
    <row r="86" spans="1:27" x14ac:dyDescent="0.45">
      <c r="A86">
        <v>5</v>
      </c>
      <c r="B86">
        <v>5</v>
      </c>
      <c r="C86" s="32">
        <f t="shared" si="9"/>
        <v>0</v>
      </c>
      <c r="D86">
        <v>5</v>
      </c>
      <c r="E86">
        <v>5</v>
      </c>
      <c r="F86" s="32">
        <f t="shared" si="10"/>
        <v>0</v>
      </c>
      <c r="G86">
        <v>7</v>
      </c>
      <c r="H86">
        <v>5</v>
      </c>
      <c r="I86" s="32">
        <f t="shared" si="11"/>
        <v>2</v>
      </c>
      <c r="J86">
        <v>7</v>
      </c>
      <c r="K86">
        <v>6</v>
      </c>
      <c r="L86" s="32">
        <f t="shared" si="12"/>
        <v>1</v>
      </c>
      <c r="M86">
        <v>5</v>
      </c>
      <c r="N86">
        <v>5</v>
      </c>
      <c r="O86" s="32">
        <f t="shared" si="13"/>
        <v>0</v>
      </c>
      <c r="P86">
        <v>6</v>
      </c>
      <c r="Q86">
        <v>5</v>
      </c>
      <c r="R86" s="32">
        <f t="shared" si="14"/>
        <v>1</v>
      </c>
      <c r="S86">
        <v>5</v>
      </c>
      <c r="T86">
        <v>5</v>
      </c>
      <c r="U86" s="32">
        <f t="shared" si="15"/>
        <v>0</v>
      </c>
      <c r="V86">
        <v>6</v>
      </c>
      <c r="W86">
        <v>5</v>
      </c>
      <c r="X86" s="32">
        <f t="shared" si="16"/>
        <v>1</v>
      </c>
      <c r="Y86">
        <v>6</v>
      </c>
      <c r="Z86">
        <v>5</v>
      </c>
      <c r="AA86" s="32">
        <f t="shared" si="17"/>
        <v>1</v>
      </c>
    </row>
    <row r="87" spans="1:27" x14ac:dyDescent="0.45">
      <c r="A87">
        <v>5</v>
      </c>
      <c r="B87">
        <v>5</v>
      </c>
      <c r="C87" s="32">
        <f t="shared" si="9"/>
        <v>0</v>
      </c>
      <c r="D87">
        <v>5</v>
      </c>
      <c r="E87">
        <v>5</v>
      </c>
      <c r="F87" s="32">
        <f t="shared" si="10"/>
        <v>0</v>
      </c>
      <c r="G87">
        <v>7</v>
      </c>
      <c r="H87">
        <v>5</v>
      </c>
      <c r="I87" s="32">
        <f t="shared" si="11"/>
        <v>2</v>
      </c>
      <c r="J87">
        <v>7</v>
      </c>
      <c r="K87">
        <v>6</v>
      </c>
      <c r="L87" s="32">
        <f t="shared" si="12"/>
        <v>1</v>
      </c>
      <c r="M87">
        <v>5</v>
      </c>
      <c r="N87">
        <v>5</v>
      </c>
      <c r="O87" s="32">
        <f t="shared" si="13"/>
        <v>0</v>
      </c>
      <c r="P87">
        <v>6</v>
      </c>
      <c r="Q87">
        <v>5</v>
      </c>
      <c r="R87" s="32">
        <f t="shared" si="14"/>
        <v>1</v>
      </c>
      <c r="S87">
        <v>5</v>
      </c>
      <c r="T87">
        <v>5</v>
      </c>
      <c r="U87" s="32">
        <f t="shared" si="15"/>
        <v>0</v>
      </c>
      <c r="V87">
        <v>6</v>
      </c>
      <c r="W87">
        <v>5</v>
      </c>
      <c r="X87" s="32">
        <f t="shared" si="16"/>
        <v>1</v>
      </c>
      <c r="Y87">
        <v>6</v>
      </c>
      <c r="Z87">
        <v>5</v>
      </c>
      <c r="AA87" s="32">
        <f t="shared" si="17"/>
        <v>1</v>
      </c>
    </row>
    <row r="88" spans="1:27" x14ac:dyDescent="0.45">
      <c r="A88">
        <v>5</v>
      </c>
      <c r="B88">
        <v>5</v>
      </c>
      <c r="C88" s="32">
        <f t="shared" si="9"/>
        <v>0</v>
      </c>
      <c r="D88">
        <v>5</v>
      </c>
      <c r="E88">
        <v>5</v>
      </c>
      <c r="F88" s="32">
        <f t="shared" si="10"/>
        <v>0</v>
      </c>
      <c r="G88">
        <v>7</v>
      </c>
      <c r="H88">
        <v>5</v>
      </c>
      <c r="I88" s="32">
        <f t="shared" si="11"/>
        <v>2</v>
      </c>
      <c r="J88">
        <v>7</v>
      </c>
      <c r="K88">
        <v>6</v>
      </c>
      <c r="L88" s="32">
        <f t="shared" si="12"/>
        <v>1</v>
      </c>
      <c r="M88">
        <v>5</v>
      </c>
      <c r="N88">
        <v>5</v>
      </c>
      <c r="O88" s="32">
        <f t="shared" si="13"/>
        <v>0</v>
      </c>
      <c r="P88">
        <v>6</v>
      </c>
      <c r="Q88">
        <v>5</v>
      </c>
      <c r="R88" s="32">
        <f t="shared" si="14"/>
        <v>1</v>
      </c>
      <c r="S88">
        <v>5</v>
      </c>
      <c r="T88">
        <v>5</v>
      </c>
      <c r="U88" s="32">
        <f t="shared" si="15"/>
        <v>0</v>
      </c>
      <c r="V88">
        <v>6</v>
      </c>
      <c r="W88">
        <v>5</v>
      </c>
      <c r="X88" s="32">
        <f t="shared" si="16"/>
        <v>1</v>
      </c>
      <c r="Y88">
        <v>6</v>
      </c>
      <c r="Z88">
        <v>5</v>
      </c>
      <c r="AA88" s="32">
        <f t="shared" si="17"/>
        <v>1</v>
      </c>
    </row>
    <row r="89" spans="1:27" x14ac:dyDescent="0.45">
      <c r="A89">
        <v>5</v>
      </c>
      <c r="B89">
        <v>5</v>
      </c>
      <c r="C89" s="32">
        <f t="shared" si="9"/>
        <v>0</v>
      </c>
      <c r="D89">
        <v>5</v>
      </c>
      <c r="E89">
        <v>5</v>
      </c>
      <c r="F89" s="32">
        <f t="shared" si="10"/>
        <v>0</v>
      </c>
      <c r="G89">
        <v>7</v>
      </c>
      <c r="H89">
        <v>5</v>
      </c>
      <c r="I89" s="32">
        <f t="shared" si="11"/>
        <v>2</v>
      </c>
      <c r="J89">
        <v>7</v>
      </c>
      <c r="K89">
        <v>6</v>
      </c>
      <c r="L89" s="32">
        <f t="shared" si="12"/>
        <v>1</v>
      </c>
      <c r="M89">
        <v>5</v>
      </c>
      <c r="N89">
        <v>5</v>
      </c>
      <c r="O89" s="32">
        <f t="shared" si="13"/>
        <v>0</v>
      </c>
      <c r="P89">
        <v>6</v>
      </c>
      <c r="Q89">
        <v>5</v>
      </c>
      <c r="R89" s="32">
        <f t="shared" si="14"/>
        <v>1</v>
      </c>
      <c r="S89">
        <v>5</v>
      </c>
      <c r="T89">
        <v>5</v>
      </c>
      <c r="U89" s="32">
        <f t="shared" si="15"/>
        <v>0</v>
      </c>
      <c r="V89">
        <v>6</v>
      </c>
      <c r="W89">
        <v>5</v>
      </c>
      <c r="X89" s="32">
        <f t="shared" si="16"/>
        <v>1</v>
      </c>
      <c r="Y89">
        <v>6</v>
      </c>
      <c r="Z89">
        <v>5</v>
      </c>
      <c r="AA89" s="32">
        <f t="shared" si="17"/>
        <v>1</v>
      </c>
    </row>
    <row r="90" spans="1:27" x14ac:dyDescent="0.45">
      <c r="A90">
        <v>5</v>
      </c>
      <c r="B90">
        <v>5</v>
      </c>
      <c r="C90" s="32">
        <f t="shared" si="9"/>
        <v>0</v>
      </c>
      <c r="D90">
        <v>5</v>
      </c>
      <c r="E90">
        <v>5</v>
      </c>
      <c r="F90" s="32">
        <f t="shared" si="10"/>
        <v>0</v>
      </c>
      <c r="G90">
        <v>7</v>
      </c>
      <c r="H90">
        <v>5</v>
      </c>
      <c r="I90" s="32">
        <f t="shared" si="11"/>
        <v>2</v>
      </c>
      <c r="J90">
        <v>7</v>
      </c>
      <c r="K90">
        <v>6</v>
      </c>
      <c r="L90" s="32">
        <f t="shared" si="12"/>
        <v>1</v>
      </c>
      <c r="M90">
        <v>5</v>
      </c>
      <c r="N90">
        <v>5</v>
      </c>
      <c r="O90" s="32">
        <f t="shared" si="13"/>
        <v>0</v>
      </c>
      <c r="P90">
        <v>6</v>
      </c>
      <c r="Q90">
        <v>5</v>
      </c>
      <c r="R90" s="32">
        <f t="shared" si="14"/>
        <v>1</v>
      </c>
      <c r="S90">
        <v>5</v>
      </c>
      <c r="T90">
        <v>5</v>
      </c>
      <c r="U90" s="32">
        <f t="shared" si="15"/>
        <v>0</v>
      </c>
      <c r="V90">
        <v>6</v>
      </c>
      <c r="W90">
        <v>5</v>
      </c>
      <c r="X90" s="32">
        <f t="shared" si="16"/>
        <v>1</v>
      </c>
      <c r="Y90">
        <v>6</v>
      </c>
      <c r="Z90">
        <v>5</v>
      </c>
      <c r="AA90" s="32">
        <f t="shared" si="17"/>
        <v>1</v>
      </c>
    </row>
    <row r="91" spans="1:27" x14ac:dyDescent="0.45">
      <c r="A91">
        <v>5</v>
      </c>
      <c r="B91">
        <v>5</v>
      </c>
      <c r="C91" s="32">
        <f t="shared" si="9"/>
        <v>0</v>
      </c>
      <c r="D91">
        <v>5</v>
      </c>
      <c r="E91">
        <v>5</v>
      </c>
      <c r="F91" s="32">
        <f t="shared" si="10"/>
        <v>0</v>
      </c>
      <c r="G91">
        <v>7</v>
      </c>
      <c r="H91">
        <v>5</v>
      </c>
      <c r="I91" s="32">
        <f t="shared" si="11"/>
        <v>2</v>
      </c>
      <c r="J91">
        <v>7</v>
      </c>
      <c r="K91">
        <v>6</v>
      </c>
      <c r="L91" s="32">
        <f t="shared" si="12"/>
        <v>1</v>
      </c>
      <c r="M91">
        <v>5</v>
      </c>
      <c r="N91">
        <v>5</v>
      </c>
      <c r="O91" s="32">
        <f t="shared" si="13"/>
        <v>0</v>
      </c>
      <c r="P91">
        <v>6</v>
      </c>
      <c r="Q91">
        <v>5</v>
      </c>
      <c r="R91" s="32">
        <f t="shared" si="14"/>
        <v>1</v>
      </c>
      <c r="S91">
        <v>5</v>
      </c>
      <c r="T91">
        <v>5</v>
      </c>
      <c r="U91" s="32">
        <f t="shared" si="15"/>
        <v>0</v>
      </c>
      <c r="V91">
        <v>6</v>
      </c>
      <c r="W91">
        <v>5</v>
      </c>
      <c r="X91" s="32">
        <f t="shared" si="16"/>
        <v>1</v>
      </c>
      <c r="Y91">
        <v>6</v>
      </c>
      <c r="Z91">
        <v>5</v>
      </c>
      <c r="AA91" s="32">
        <f t="shared" si="17"/>
        <v>1</v>
      </c>
    </row>
    <row r="92" spans="1:27" x14ac:dyDescent="0.45">
      <c r="A92">
        <v>5</v>
      </c>
      <c r="B92">
        <v>5</v>
      </c>
      <c r="C92" s="32">
        <f t="shared" si="9"/>
        <v>0</v>
      </c>
      <c r="D92">
        <v>5</v>
      </c>
      <c r="E92">
        <v>6</v>
      </c>
      <c r="F92" s="32">
        <f t="shared" si="10"/>
        <v>1</v>
      </c>
      <c r="G92">
        <v>7</v>
      </c>
      <c r="H92">
        <v>5</v>
      </c>
      <c r="I92" s="32">
        <f t="shared" si="11"/>
        <v>2</v>
      </c>
      <c r="J92">
        <v>7</v>
      </c>
      <c r="K92">
        <v>6</v>
      </c>
      <c r="L92" s="32">
        <f t="shared" si="12"/>
        <v>1</v>
      </c>
      <c r="M92">
        <v>5</v>
      </c>
      <c r="N92">
        <v>5</v>
      </c>
      <c r="O92" s="32">
        <f t="shared" si="13"/>
        <v>0</v>
      </c>
      <c r="P92">
        <v>6</v>
      </c>
      <c r="Q92">
        <v>5</v>
      </c>
      <c r="R92" s="32">
        <f t="shared" si="14"/>
        <v>1</v>
      </c>
      <c r="S92">
        <v>5</v>
      </c>
      <c r="T92">
        <v>5</v>
      </c>
      <c r="U92" s="32">
        <f t="shared" si="15"/>
        <v>0</v>
      </c>
      <c r="V92">
        <v>6</v>
      </c>
      <c r="W92">
        <v>5</v>
      </c>
      <c r="X92" s="32">
        <f t="shared" si="16"/>
        <v>1</v>
      </c>
      <c r="Y92">
        <v>6</v>
      </c>
      <c r="Z92">
        <v>5</v>
      </c>
      <c r="AA92" s="32">
        <f t="shared" si="17"/>
        <v>1</v>
      </c>
    </row>
    <row r="93" spans="1:27" x14ac:dyDescent="0.45">
      <c r="A93">
        <v>5</v>
      </c>
      <c r="B93">
        <v>5</v>
      </c>
      <c r="C93" s="32">
        <f t="shared" si="9"/>
        <v>0</v>
      </c>
      <c r="D93">
        <v>5</v>
      </c>
      <c r="E93">
        <v>6</v>
      </c>
      <c r="F93" s="32">
        <f t="shared" si="10"/>
        <v>1</v>
      </c>
      <c r="G93">
        <v>7</v>
      </c>
      <c r="H93">
        <v>5</v>
      </c>
      <c r="I93" s="32">
        <f t="shared" si="11"/>
        <v>2</v>
      </c>
      <c r="J93">
        <v>7</v>
      </c>
      <c r="K93">
        <v>6</v>
      </c>
      <c r="L93" s="32">
        <f t="shared" si="12"/>
        <v>1</v>
      </c>
      <c r="M93">
        <v>5</v>
      </c>
      <c r="N93">
        <v>5</v>
      </c>
      <c r="O93" s="32">
        <f t="shared" si="13"/>
        <v>0</v>
      </c>
      <c r="P93">
        <v>6</v>
      </c>
      <c r="Q93">
        <v>5</v>
      </c>
      <c r="R93" s="32">
        <f t="shared" si="14"/>
        <v>1</v>
      </c>
      <c r="S93">
        <v>5</v>
      </c>
      <c r="T93">
        <v>5</v>
      </c>
      <c r="U93" s="32">
        <f t="shared" si="15"/>
        <v>0</v>
      </c>
      <c r="V93">
        <v>6</v>
      </c>
      <c r="W93">
        <v>5</v>
      </c>
      <c r="X93" s="32">
        <f t="shared" si="16"/>
        <v>1</v>
      </c>
      <c r="Y93">
        <v>6</v>
      </c>
      <c r="Z93">
        <v>5</v>
      </c>
      <c r="AA93" s="32">
        <f t="shared" si="17"/>
        <v>1</v>
      </c>
    </row>
    <row r="94" spans="1:27" x14ac:dyDescent="0.45">
      <c r="A94">
        <v>5</v>
      </c>
      <c r="B94">
        <v>5</v>
      </c>
      <c r="C94" s="32">
        <f t="shared" si="9"/>
        <v>0</v>
      </c>
      <c r="D94">
        <v>5</v>
      </c>
      <c r="E94">
        <v>6</v>
      </c>
      <c r="F94" s="32">
        <f t="shared" si="10"/>
        <v>1</v>
      </c>
      <c r="G94">
        <v>7</v>
      </c>
      <c r="H94">
        <v>5</v>
      </c>
      <c r="I94" s="32">
        <f t="shared" si="11"/>
        <v>2</v>
      </c>
      <c r="J94">
        <v>7</v>
      </c>
      <c r="K94">
        <v>6</v>
      </c>
      <c r="L94" s="32">
        <f t="shared" si="12"/>
        <v>1</v>
      </c>
      <c r="M94">
        <v>5</v>
      </c>
      <c r="N94">
        <v>5</v>
      </c>
      <c r="O94" s="32">
        <f t="shared" si="13"/>
        <v>0</v>
      </c>
      <c r="P94">
        <v>6</v>
      </c>
      <c r="Q94">
        <v>5</v>
      </c>
      <c r="R94" s="32">
        <f t="shared" si="14"/>
        <v>1</v>
      </c>
      <c r="S94">
        <v>5</v>
      </c>
      <c r="T94">
        <v>5</v>
      </c>
      <c r="U94" s="32">
        <f t="shared" si="15"/>
        <v>0</v>
      </c>
      <c r="V94">
        <v>6</v>
      </c>
      <c r="W94">
        <v>5</v>
      </c>
      <c r="X94" s="32">
        <f t="shared" si="16"/>
        <v>1</v>
      </c>
      <c r="Y94">
        <v>6</v>
      </c>
      <c r="Z94">
        <v>5</v>
      </c>
      <c r="AA94" s="32">
        <f t="shared" si="17"/>
        <v>1</v>
      </c>
    </row>
    <row r="95" spans="1:27" x14ac:dyDescent="0.45">
      <c r="A95">
        <v>5</v>
      </c>
      <c r="B95">
        <v>5</v>
      </c>
      <c r="C95" s="32">
        <f t="shared" si="9"/>
        <v>0</v>
      </c>
      <c r="D95">
        <v>5</v>
      </c>
      <c r="E95">
        <v>6</v>
      </c>
      <c r="F95" s="32">
        <f t="shared" si="10"/>
        <v>1</v>
      </c>
      <c r="G95">
        <v>7</v>
      </c>
      <c r="H95">
        <v>5</v>
      </c>
      <c r="I95" s="32">
        <f t="shared" si="11"/>
        <v>2</v>
      </c>
      <c r="J95">
        <v>7</v>
      </c>
      <c r="K95">
        <v>6</v>
      </c>
      <c r="L95" s="32">
        <f t="shared" si="12"/>
        <v>1</v>
      </c>
      <c r="M95">
        <v>5</v>
      </c>
      <c r="N95">
        <v>5</v>
      </c>
      <c r="O95" s="32">
        <f t="shared" si="13"/>
        <v>0</v>
      </c>
      <c r="P95">
        <v>6</v>
      </c>
      <c r="Q95">
        <v>5</v>
      </c>
      <c r="R95" s="32">
        <f t="shared" si="14"/>
        <v>1</v>
      </c>
      <c r="S95">
        <v>5</v>
      </c>
      <c r="T95">
        <v>5</v>
      </c>
      <c r="U95" s="32">
        <f t="shared" si="15"/>
        <v>0</v>
      </c>
      <c r="V95">
        <v>6</v>
      </c>
      <c r="W95">
        <v>5</v>
      </c>
      <c r="X95" s="32">
        <f t="shared" si="16"/>
        <v>1</v>
      </c>
      <c r="Y95">
        <v>6</v>
      </c>
      <c r="Z95">
        <v>5</v>
      </c>
      <c r="AA95" s="32">
        <f t="shared" si="17"/>
        <v>1</v>
      </c>
    </row>
    <row r="96" spans="1:27" x14ac:dyDescent="0.45">
      <c r="A96">
        <v>5</v>
      </c>
      <c r="B96">
        <v>6</v>
      </c>
      <c r="C96" s="32">
        <f t="shared" si="9"/>
        <v>1</v>
      </c>
      <c r="D96">
        <v>5</v>
      </c>
      <c r="E96">
        <v>6</v>
      </c>
      <c r="F96" s="32">
        <f t="shared" si="10"/>
        <v>1</v>
      </c>
      <c r="G96">
        <v>7</v>
      </c>
      <c r="H96">
        <v>5</v>
      </c>
      <c r="I96" s="32">
        <f t="shared" si="11"/>
        <v>2</v>
      </c>
      <c r="J96">
        <v>7</v>
      </c>
      <c r="K96">
        <v>6</v>
      </c>
      <c r="L96" s="32">
        <f t="shared" si="12"/>
        <v>1</v>
      </c>
      <c r="M96">
        <v>5</v>
      </c>
      <c r="N96">
        <v>5</v>
      </c>
      <c r="O96" s="32">
        <f t="shared" si="13"/>
        <v>0</v>
      </c>
      <c r="P96">
        <v>6</v>
      </c>
      <c r="Q96">
        <v>5</v>
      </c>
      <c r="R96" s="32">
        <f t="shared" si="14"/>
        <v>1</v>
      </c>
      <c r="S96">
        <v>5</v>
      </c>
      <c r="T96">
        <v>5</v>
      </c>
      <c r="U96" s="32">
        <f t="shared" si="15"/>
        <v>0</v>
      </c>
      <c r="V96">
        <v>6</v>
      </c>
      <c r="W96">
        <v>5</v>
      </c>
      <c r="X96" s="32">
        <f t="shared" si="16"/>
        <v>1</v>
      </c>
      <c r="Y96">
        <v>6</v>
      </c>
      <c r="Z96">
        <v>5</v>
      </c>
      <c r="AA96" s="32">
        <f t="shared" si="17"/>
        <v>1</v>
      </c>
    </row>
    <row r="97" spans="1:27" x14ac:dyDescent="0.45">
      <c r="A97">
        <v>5</v>
      </c>
      <c r="B97">
        <v>6</v>
      </c>
      <c r="C97" s="32">
        <f t="shared" si="9"/>
        <v>1</v>
      </c>
      <c r="D97">
        <v>5</v>
      </c>
      <c r="E97">
        <v>6</v>
      </c>
      <c r="F97" s="32">
        <f t="shared" si="10"/>
        <v>1</v>
      </c>
      <c r="G97">
        <v>7</v>
      </c>
      <c r="H97">
        <v>5</v>
      </c>
      <c r="I97" s="32">
        <f t="shared" si="11"/>
        <v>2</v>
      </c>
      <c r="J97">
        <v>7</v>
      </c>
      <c r="K97">
        <v>6</v>
      </c>
      <c r="L97" s="32">
        <f t="shared" si="12"/>
        <v>1</v>
      </c>
      <c r="M97">
        <v>5</v>
      </c>
      <c r="N97">
        <v>5</v>
      </c>
      <c r="O97" s="32">
        <f t="shared" si="13"/>
        <v>0</v>
      </c>
      <c r="P97">
        <v>6</v>
      </c>
      <c r="Q97">
        <v>5</v>
      </c>
      <c r="R97" s="32">
        <f t="shared" si="14"/>
        <v>1</v>
      </c>
      <c r="S97">
        <v>5</v>
      </c>
      <c r="T97">
        <v>5</v>
      </c>
      <c r="U97" s="32">
        <f t="shared" si="15"/>
        <v>0</v>
      </c>
      <c r="V97">
        <v>6</v>
      </c>
      <c r="W97">
        <v>5</v>
      </c>
      <c r="X97" s="32">
        <f t="shared" si="16"/>
        <v>1</v>
      </c>
      <c r="Y97">
        <v>6</v>
      </c>
      <c r="Z97">
        <v>5</v>
      </c>
      <c r="AA97" s="32">
        <f t="shared" si="17"/>
        <v>1</v>
      </c>
    </row>
    <row r="98" spans="1:27" x14ac:dyDescent="0.45">
      <c r="A98">
        <v>5</v>
      </c>
      <c r="B98">
        <v>6</v>
      </c>
      <c r="C98" s="32">
        <f t="shared" si="9"/>
        <v>1</v>
      </c>
      <c r="D98">
        <v>5</v>
      </c>
      <c r="E98">
        <v>6</v>
      </c>
      <c r="F98" s="32">
        <f t="shared" si="10"/>
        <v>1</v>
      </c>
      <c r="G98">
        <v>7</v>
      </c>
      <c r="H98">
        <v>5</v>
      </c>
      <c r="I98" s="32">
        <f t="shared" si="11"/>
        <v>2</v>
      </c>
      <c r="J98">
        <v>7</v>
      </c>
      <c r="K98">
        <v>6</v>
      </c>
      <c r="L98" s="32">
        <f t="shared" si="12"/>
        <v>1</v>
      </c>
      <c r="M98">
        <v>5</v>
      </c>
      <c r="N98">
        <v>5</v>
      </c>
      <c r="O98" s="32">
        <f t="shared" si="13"/>
        <v>0</v>
      </c>
      <c r="P98">
        <v>6</v>
      </c>
      <c r="Q98">
        <v>5</v>
      </c>
      <c r="R98" s="32">
        <f t="shared" si="14"/>
        <v>1</v>
      </c>
      <c r="S98">
        <v>5</v>
      </c>
      <c r="T98">
        <v>5</v>
      </c>
      <c r="U98" s="32">
        <f t="shared" si="15"/>
        <v>0</v>
      </c>
      <c r="V98">
        <v>6</v>
      </c>
      <c r="W98">
        <v>5</v>
      </c>
      <c r="X98" s="32">
        <f t="shared" si="16"/>
        <v>1</v>
      </c>
      <c r="Y98">
        <v>6</v>
      </c>
      <c r="Z98">
        <v>5</v>
      </c>
      <c r="AA98" s="32">
        <f t="shared" si="17"/>
        <v>1</v>
      </c>
    </row>
    <row r="99" spans="1:27" x14ac:dyDescent="0.45">
      <c r="A99">
        <v>5</v>
      </c>
      <c r="B99">
        <v>6</v>
      </c>
      <c r="C99" s="32">
        <f t="shared" si="9"/>
        <v>1</v>
      </c>
      <c r="D99">
        <v>5</v>
      </c>
      <c r="E99">
        <v>6</v>
      </c>
      <c r="F99" s="32">
        <f t="shared" si="10"/>
        <v>1</v>
      </c>
      <c r="G99">
        <v>7</v>
      </c>
      <c r="H99">
        <v>5</v>
      </c>
      <c r="I99" s="32">
        <f t="shared" si="11"/>
        <v>2</v>
      </c>
      <c r="J99">
        <v>7</v>
      </c>
      <c r="K99">
        <v>6</v>
      </c>
      <c r="L99" s="32">
        <f t="shared" si="12"/>
        <v>1</v>
      </c>
      <c r="M99">
        <v>5</v>
      </c>
      <c r="N99">
        <v>5</v>
      </c>
      <c r="O99" s="32">
        <f t="shared" si="13"/>
        <v>0</v>
      </c>
      <c r="P99">
        <v>6</v>
      </c>
      <c r="Q99">
        <v>5</v>
      </c>
      <c r="R99" s="32">
        <f t="shared" si="14"/>
        <v>1</v>
      </c>
      <c r="S99">
        <v>5</v>
      </c>
      <c r="T99">
        <v>5</v>
      </c>
      <c r="U99" s="32">
        <f t="shared" si="15"/>
        <v>0</v>
      </c>
      <c r="V99">
        <v>6</v>
      </c>
      <c r="W99">
        <v>5</v>
      </c>
      <c r="X99" s="32">
        <f t="shared" si="16"/>
        <v>1</v>
      </c>
      <c r="Y99">
        <v>6</v>
      </c>
      <c r="Z99">
        <v>5</v>
      </c>
      <c r="AA99" s="32">
        <f t="shared" si="17"/>
        <v>1</v>
      </c>
    </row>
    <row r="100" spans="1:27" x14ac:dyDescent="0.45">
      <c r="A100">
        <v>5</v>
      </c>
      <c r="B100">
        <v>6</v>
      </c>
      <c r="C100" s="32">
        <f t="shared" si="9"/>
        <v>1</v>
      </c>
      <c r="D100">
        <v>5</v>
      </c>
      <c r="E100">
        <v>6</v>
      </c>
      <c r="F100" s="32">
        <f t="shared" si="10"/>
        <v>1</v>
      </c>
      <c r="G100">
        <v>7</v>
      </c>
      <c r="H100">
        <v>5</v>
      </c>
      <c r="I100" s="32">
        <f t="shared" si="11"/>
        <v>2</v>
      </c>
      <c r="J100">
        <v>7</v>
      </c>
      <c r="K100">
        <v>6</v>
      </c>
      <c r="L100" s="32">
        <f t="shared" si="12"/>
        <v>1</v>
      </c>
      <c r="M100">
        <v>5</v>
      </c>
      <c r="N100">
        <v>5</v>
      </c>
      <c r="O100" s="32">
        <f t="shared" si="13"/>
        <v>0</v>
      </c>
      <c r="P100">
        <v>6</v>
      </c>
      <c r="Q100">
        <v>5</v>
      </c>
      <c r="R100" s="32">
        <f t="shared" si="14"/>
        <v>1</v>
      </c>
      <c r="S100">
        <v>5</v>
      </c>
      <c r="T100">
        <v>5</v>
      </c>
      <c r="U100" s="32">
        <f t="shared" si="15"/>
        <v>0</v>
      </c>
      <c r="V100">
        <v>6</v>
      </c>
      <c r="W100">
        <v>5</v>
      </c>
      <c r="X100" s="32">
        <f t="shared" si="16"/>
        <v>1</v>
      </c>
      <c r="Y100">
        <v>6</v>
      </c>
      <c r="Z100">
        <v>5</v>
      </c>
      <c r="AA100" s="32">
        <f t="shared" si="17"/>
        <v>1</v>
      </c>
    </row>
    <row r="101" spans="1:27" x14ac:dyDescent="0.45">
      <c r="A101">
        <v>5</v>
      </c>
      <c r="B101">
        <v>6</v>
      </c>
      <c r="C101" s="32">
        <f t="shared" si="9"/>
        <v>1</v>
      </c>
      <c r="D101">
        <v>5</v>
      </c>
      <c r="E101">
        <v>6</v>
      </c>
      <c r="F101" s="32">
        <f t="shared" si="10"/>
        <v>1</v>
      </c>
      <c r="G101">
        <v>7</v>
      </c>
      <c r="H101">
        <v>5</v>
      </c>
      <c r="I101" s="32">
        <f t="shared" si="11"/>
        <v>2</v>
      </c>
      <c r="J101">
        <v>7</v>
      </c>
      <c r="K101">
        <v>6</v>
      </c>
      <c r="L101" s="32">
        <f t="shared" si="12"/>
        <v>1</v>
      </c>
      <c r="M101">
        <v>5</v>
      </c>
      <c r="N101">
        <v>5</v>
      </c>
      <c r="O101" s="32">
        <f t="shared" si="13"/>
        <v>0</v>
      </c>
      <c r="P101">
        <v>6</v>
      </c>
      <c r="Q101">
        <v>5</v>
      </c>
      <c r="R101" s="32">
        <f t="shared" si="14"/>
        <v>1</v>
      </c>
      <c r="S101">
        <v>5</v>
      </c>
      <c r="T101">
        <v>5</v>
      </c>
      <c r="U101" s="32">
        <f t="shared" si="15"/>
        <v>0</v>
      </c>
      <c r="V101">
        <v>6</v>
      </c>
      <c r="W101">
        <v>5</v>
      </c>
      <c r="X101" s="32">
        <f t="shared" si="16"/>
        <v>1</v>
      </c>
      <c r="Y101">
        <v>6</v>
      </c>
      <c r="Z101">
        <v>5</v>
      </c>
      <c r="AA101" s="32">
        <f t="shared" si="17"/>
        <v>1</v>
      </c>
    </row>
    <row r="102" spans="1:27" x14ac:dyDescent="0.45">
      <c r="A102">
        <v>5</v>
      </c>
      <c r="B102">
        <v>6</v>
      </c>
      <c r="C102" s="32">
        <f t="shared" si="9"/>
        <v>1</v>
      </c>
      <c r="D102">
        <v>5</v>
      </c>
      <c r="E102">
        <v>6</v>
      </c>
      <c r="F102" s="32">
        <f t="shared" si="10"/>
        <v>1</v>
      </c>
      <c r="G102">
        <v>7</v>
      </c>
      <c r="H102">
        <v>5</v>
      </c>
      <c r="I102" s="32">
        <f t="shared" si="11"/>
        <v>2</v>
      </c>
      <c r="J102">
        <v>7</v>
      </c>
      <c r="K102">
        <v>6</v>
      </c>
      <c r="L102" s="32">
        <f t="shared" si="12"/>
        <v>1</v>
      </c>
      <c r="M102">
        <v>5</v>
      </c>
      <c r="N102">
        <v>5</v>
      </c>
      <c r="O102" s="32">
        <f t="shared" si="13"/>
        <v>0</v>
      </c>
      <c r="P102">
        <v>6</v>
      </c>
      <c r="Q102">
        <v>5</v>
      </c>
      <c r="R102" s="32">
        <f t="shared" si="14"/>
        <v>1</v>
      </c>
      <c r="S102">
        <v>5</v>
      </c>
      <c r="T102">
        <v>5</v>
      </c>
      <c r="U102" s="32">
        <f t="shared" si="15"/>
        <v>0</v>
      </c>
      <c r="V102">
        <v>6</v>
      </c>
      <c r="W102">
        <v>5</v>
      </c>
      <c r="X102" s="32">
        <f t="shared" si="16"/>
        <v>1</v>
      </c>
      <c r="Y102">
        <v>6</v>
      </c>
      <c r="Z102">
        <v>5</v>
      </c>
      <c r="AA102" s="32">
        <f t="shared" si="17"/>
        <v>1</v>
      </c>
    </row>
    <row r="103" spans="1:27" x14ac:dyDescent="0.45">
      <c r="A103">
        <v>5</v>
      </c>
      <c r="B103">
        <v>6</v>
      </c>
      <c r="C103" s="32">
        <f t="shared" si="9"/>
        <v>1</v>
      </c>
      <c r="D103">
        <v>5</v>
      </c>
      <c r="E103">
        <v>6</v>
      </c>
      <c r="F103" s="32">
        <f t="shared" si="10"/>
        <v>1</v>
      </c>
      <c r="G103">
        <v>7</v>
      </c>
      <c r="H103">
        <v>5</v>
      </c>
      <c r="I103" s="32">
        <f t="shared" si="11"/>
        <v>2</v>
      </c>
      <c r="J103">
        <v>7</v>
      </c>
      <c r="K103">
        <v>6</v>
      </c>
      <c r="L103" s="32">
        <f t="shared" si="12"/>
        <v>1</v>
      </c>
      <c r="M103">
        <v>5</v>
      </c>
      <c r="N103">
        <v>5</v>
      </c>
      <c r="O103" s="32">
        <f t="shared" si="13"/>
        <v>0</v>
      </c>
      <c r="P103">
        <v>6</v>
      </c>
      <c r="Q103">
        <v>5</v>
      </c>
      <c r="R103" s="32">
        <f t="shared" si="14"/>
        <v>1</v>
      </c>
      <c r="S103">
        <v>5</v>
      </c>
      <c r="T103">
        <v>5</v>
      </c>
      <c r="U103" s="32">
        <f t="shared" si="15"/>
        <v>0</v>
      </c>
      <c r="V103">
        <v>6</v>
      </c>
      <c r="W103">
        <v>5</v>
      </c>
      <c r="X103" s="32">
        <f t="shared" si="16"/>
        <v>1</v>
      </c>
      <c r="Y103">
        <v>6</v>
      </c>
      <c r="Z103">
        <v>5</v>
      </c>
      <c r="AA103" s="32">
        <f t="shared" si="17"/>
        <v>1</v>
      </c>
    </row>
    <row r="104" spans="1:27" x14ac:dyDescent="0.45">
      <c r="A104">
        <v>5</v>
      </c>
      <c r="B104">
        <v>6</v>
      </c>
      <c r="C104" s="32">
        <f t="shared" si="9"/>
        <v>1</v>
      </c>
      <c r="D104">
        <v>5</v>
      </c>
      <c r="E104">
        <v>6</v>
      </c>
      <c r="F104" s="32">
        <f t="shared" si="10"/>
        <v>1</v>
      </c>
      <c r="G104">
        <v>7</v>
      </c>
      <c r="H104">
        <v>5</v>
      </c>
      <c r="I104" s="32">
        <f t="shared" si="11"/>
        <v>2</v>
      </c>
      <c r="J104">
        <v>7</v>
      </c>
      <c r="K104">
        <v>6</v>
      </c>
      <c r="L104" s="32">
        <f t="shared" si="12"/>
        <v>1</v>
      </c>
      <c r="M104">
        <v>5</v>
      </c>
      <c r="N104">
        <v>5</v>
      </c>
      <c r="O104" s="32">
        <f t="shared" si="13"/>
        <v>0</v>
      </c>
      <c r="P104">
        <v>6</v>
      </c>
      <c r="Q104">
        <v>5</v>
      </c>
      <c r="R104" s="32">
        <f t="shared" si="14"/>
        <v>1</v>
      </c>
      <c r="S104">
        <v>5</v>
      </c>
      <c r="T104">
        <v>5</v>
      </c>
      <c r="U104" s="32">
        <f t="shared" si="15"/>
        <v>0</v>
      </c>
      <c r="V104">
        <v>6</v>
      </c>
      <c r="W104">
        <v>5</v>
      </c>
      <c r="X104" s="32">
        <f t="shared" si="16"/>
        <v>1</v>
      </c>
      <c r="Y104">
        <v>6</v>
      </c>
      <c r="Z104">
        <v>5</v>
      </c>
      <c r="AA104" s="32">
        <f t="shared" si="17"/>
        <v>1</v>
      </c>
    </row>
    <row r="105" spans="1:27" x14ac:dyDescent="0.45">
      <c r="A105">
        <v>5</v>
      </c>
      <c r="B105">
        <v>6</v>
      </c>
      <c r="C105" s="32">
        <f t="shared" si="9"/>
        <v>1</v>
      </c>
      <c r="D105">
        <v>5</v>
      </c>
      <c r="E105">
        <v>6</v>
      </c>
      <c r="F105" s="32">
        <f t="shared" si="10"/>
        <v>1</v>
      </c>
      <c r="G105">
        <v>7</v>
      </c>
      <c r="H105">
        <v>5</v>
      </c>
      <c r="I105" s="32">
        <f t="shared" si="11"/>
        <v>2</v>
      </c>
      <c r="J105">
        <v>7</v>
      </c>
      <c r="K105">
        <v>6</v>
      </c>
      <c r="L105" s="32">
        <f t="shared" si="12"/>
        <v>1</v>
      </c>
      <c r="M105">
        <v>5</v>
      </c>
      <c r="N105">
        <v>5</v>
      </c>
      <c r="O105" s="32">
        <f t="shared" si="13"/>
        <v>0</v>
      </c>
      <c r="P105">
        <v>6</v>
      </c>
      <c r="Q105">
        <v>5</v>
      </c>
      <c r="R105" s="32">
        <f t="shared" si="14"/>
        <v>1</v>
      </c>
      <c r="S105">
        <v>5</v>
      </c>
      <c r="T105">
        <v>5</v>
      </c>
      <c r="U105" s="32">
        <f t="shared" si="15"/>
        <v>0</v>
      </c>
      <c r="V105">
        <v>6</v>
      </c>
      <c r="W105">
        <v>5</v>
      </c>
      <c r="X105" s="32">
        <f t="shared" si="16"/>
        <v>1</v>
      </c>
      <c r="Y105">
        <v>6</v>
      </c>
      <c r="Z105">
        <v>6</v>
      </c>
      <c r="AA105" s="32">
        <f t="shared" si="17"/>
        <v>0</v>
      </c>
    </row>
    <row r="106" spans="1:27" x14ac:dyDescent="0.45">
      <c r="A106">
        <v>5</v>
      </c>
      <c r="B106">
        <v>6</v>
      </c>
      <c r="C106" s="32">
        <f t="shared" si="9"/>
        <v>1</v>
      </c>
      <c r="D106">
        <v>5</v>
      </c>
      <c r="E106">
        <v>6</v>
      </c>
      <c r="F106" s="32">
        <f t="shared" si="10"/>
        <v>1</v>
      </c>
      <c r="G106">
        <v>7</v>
      </c>
      <c r="H106">
        <v>5</v>
      </c>
      <c r="I106" s="32">
        <f t="shared" si="11"/>
        <v>2</v>
      </c>
      <c r="J106">
        <v>7</v>
      </c>
      <c r="K106">
        <v>6</v>
      </c>
      <c r="L106" s="32">
        <f t="shared" si="12"/>
        <v>1</v>
      </c>
      <c r="M106">
        <v>6</v>
      </c>
      <c r="N106">
        <v>5</v>
      </c>
      <c r="O106" s="32">
        <f t="shared" si="13"/>
        <v>1</v>
      </c>
      <c r="P106">
        <v>6</v>
      </c>
      <c r="Q106">
        <v>5</v>
      </c>
      <c r="R106" s="32">
        <f t="shared" si="14"/>
        <v>1</v>
      </c>
      <c r="S106">
        <v>5</v>
      </c>
      <c r="T106">
        <v>5</v>
      </c>
      <c r="U106" s="32">
        <f t="shared" si="15"/>
        <v>0</v>
      </c>
      <c r="V106">
        <v>6</v>
      </c>
      <c r="W106">
        <v>5</v>
      </c>
      <c r="X106" s="32">
        <f t="shared" si="16"/>
        <v>1</v>
      </c>
      <c r="Y106">
        <v>6</v>
      </c>
      <c r="Z106">
        <v>6</v>
      </c>
      <c r="AA106" s="32">
        <f t="shared" si="17"/>
        <v>0</v>
      </c>
    </row>
    <row r="107" spans="1:27" x14ac:dyDescent="0.45">
      <c r="A107">
        <v>5</v>
      </c>
      <c r="B107">
        <v>6</v>
      </c>
      <c r="C107" s="32">
        <f t="shared" si="9"/>
        <v>1</v>
      </c>
      <c r="D107">
        <v>5</v>
      </c>
      <c r="E107">
        <v>6</v>
      </c>
      <c r="F107" s="32">
        <f t="shared" si="10"/>
        <v>1</v>
      </c>
      <c r="G107">
        <v>7</v>
      </c>
      <c r="H107">
        <v>5</v>
      </c>
      <c r="I107" s="32">
        <f t="shared" si="11"/>
        <v>2</v>
      </c>
      <c r="J107">
        <v>7</v>
      </c>
      <c r="K107">
        <v>6</v>
      </c>
      <c r="L107" s="32">
        <f t="shared" si="12"/>
        <v>1</v>
      </c>
      <c r="M107">
        <v>6</v>
      </c>
      <c r="N107">
        <v>5</v>
      </c>
      <c r="O107" s="32">
        <f t="shared" si="13"/>
        <v>1</v>
      </c>
      <c r="P107">
        <v>6</v>
      </c>
      <c r="Q107">
        <v>5</v>
      </c>
      <c r="R107" s="32">
        <f t="shared" si="14"/>
        <v>1</v>
      </c>
      <c r="S107">
        <v>5</v>
      </c>
      <c r="T107">
        <v>5</v>
      </c>
      <c r="U107" s="32">
        <f t="shared" si="15"/>
        <v>0</v>
      </c>
      <c r="V107">
        <v>6</v>
      </c>
      <c r="W107">
        <v>5</v>
      </c>
      <c r="X107" s="32">
        <f t="shared" si="16"/>
        <v>1</v>
      </c>
      <c r="Y107">
        <v>6</v>
      </c>
      <c r="Z107">
        <v>6</v>
      </c>
      <c r="AA107" s="32">
        <f t="shared" si="17"/>
        <v>0</v>
      </c>
    </row>
    <row r="108" spans="1:27" x14ac:dyDescent="0.45">
      <c r="A108">
        <v>5</v>
      </c>
      <c r="B108">
        <v>6</v>
      </c>
      <c r="C108" s="32">
        <f t="shared" si="9"/>
        <v>1</v>
      </c>
      <c r="D108">
        <v>5</v>
      </c>
      <c r="E108">
        <v>6</v>
      </c>
      <c r="F108" s="32">
        <f t="shared" si="10"/>
        <v>1</v>
      </c>
      <c r="G108">
        <v>7</v>
      </c>
      <c r="H108">
        <v>5</v>
      </c>
      <c r="I108" s="32">
        <f t="shared" si="11"/>
        <v>2</v>
      </c>
      <c r="J108">
        <v>7</v>
      </c>
      <c r="K108">
        <v>6</v>
      </c>
      <c r="L108" s="32">
        <f t="shared" si="12"/>
        <v>1</v>
      </c>
      <c r="M108">
        <v>6</v>
      </c>
      <c r="N108">
        <v>5</v>
      </c>
      <c r="O108" s="32">
        <f t="shared" si="13"/>
        <v>1</v>
      </c>
      <c r="P108">
        <v>6</v>
      </c>
      <c r="Q108">
        <v>5</v>
      </c>
      <c r="R108" s="32">
        <f t="shared" si="14"/>
        <v>1</v>
      </c>
      <c r="S108">
        <v>5</v>
      </c>
      <c r="T108">
        <v>5</v>
      </c>
      <c r="U108" s="32">
        <f t="shared" si="15"/>
        <v>0</v>
      </c>
      <c r="V108">
        <v>6</v>
      </c>
      <c r="W108">
        <v>5</v>
      </c>
      <c r="X108" s="32">
        <f t="shared" si="16"/>
        <v>1</v>
      </c>
      <c r="Y108">
        <v>6</v>
      </c>
      <c r="Z108">
        <v>6</v>
      </c>
      <c r="AA108" s="32">
        <f t="shared" si="17"/>
        <v>0</v>
      </c>
    </row>
    <row r="109" spans="1:27" x14ac:dyDescent="0.45">
      <c r="A109">
        <v>5</v>
      </c>
      <c r="B109">
        <v>6</v>
      </c>
      <c r="C109" s="32">
        <f t="shared" si="9"/>
        <v>1</v>
      </c>
      <c r="D109">
        <v>5</v>
      </c>
      <c r="E109">
        <v>6</v>
      </c>
      <c r="F109" s="32">
        <f t="shared" si="10"/>
        <v>1</v>
      </c>
      <c r="G109">
        <v>7</v>
      </c>
      <c r="H109">
        <v>5</v>
      </c>
      <c r="I109" s="32">
        <f t="shared" si="11"/>
        <v>2</v>
      </c>
      <c r="J109">
        <v>7</v>
      </c>
      <c r="K109">
        <v>6</v>
      </c>
      <c r="L109" s="32">
        <f t="shared" si="12"/>
        <v>1</v>
      </c>
      <c r="M109">
        <v>6</v>
      </c>
      <c r="N109">
        <v>5</v>
      </c>
      <c r="O109" s="32">
        <f t="shared" si="13"/>
        <v>1</v>
      </c>
      <c r="P109">
        <v>6</v>
      </c>
      <c r="Q109">
        <v>5</v>
      </c>
      <c r="R109" s="32">
        <f t="shared" si="14"/>
        <v>1</v>
      </c>
      <c r="S109">
        <v>5</v>
      </c>
      <c r="T109">
        <v>5</v>
      </c>
      <c r="U109" s="32">
        <f t="shared" si="15"/>
        <v>0</v>
      </c>
      <c r="V109">
        <v>6</v>
      </c>
      <c r="W109">
        <v>5</v>
      </c>
      <c r="X109" s="32">
        <f t="shared" si="16"/>
        <v>1</v>
      </c>
      <c r="Y109">
        <v>6</v>
      </c>
      <c r="Z109">
        <v>6</v>
      </c>
      <c r="AA109" s="32">
        <f t="shared" si="17"/>
        <v>0</v>
      </c>
    </row>
    <row r="110" spans="1:27" x14ac:dyDescent="0.45">
      <c r="A110">
        <v>6</v>
      </c>
      <c r="B110">
        <v>6</v>
      </c>
      <c r="C110" s="32">
        <f t="shared" si="9"/>
        <v>0</v>
      </c>
      <c r="D110">
        <v>5</v>
      </c>
      <c r="E110">
        <v>6</v>
      </c>
      <c r="F110" s="32">
        <f t="shared" si="10"/>
        <v>1</v>
      </c>
      <c r="G110">
        <v>7</v>
      </c>
      <c r="H110">
        <v>5</v>
      </c>
      <c r="I110" s="32">
        <f t="shared" si="11"/>
        <v>2</v>
      </c>
      <c r="J110">
        <v>7</v>
      </c>
      <c r="K110">
        <v>6</v>
      </c>
      <c r="L110" s="32">
        <f t="shared" si="12"/>
        <v>1</v>
      </c>
      <c r="M110">
        <v>6</v>
      </c>
      <c r="N110">
        <v>5</v>
      </c>
      <c r="O110" s="32">
        <f t="shared" si="13"/>
        <v>1</v>
      </c>
      <c r="P110">
        <v>6</v>
      </c>
      <c r="Q110">
        <v>5</v>
      </c>
      <c r="R110" s="32">
        <f t="shared" si="14"/>
        <v>1</v>
      </c>
      <c r="S110">
        <v>5</v>
      </c>
      <c r="T110">
        <v>5</v>
      </c>
      <c r="U110" s="32">
        <f t="shared" si="15"/>
        <v>0</v>
      </c>
      <c r="V110">
        <v>6</v>
      </c>
      <c r="W110">
        <v>5</v>
      </c>
      <c r="X110" s="32">
        <f t="shared" si="16"/>
        <v>1</v>
      </c>
      <c r="Y110">
        <v>6</v>
      </c>
      <c r="Z110">
        <v>6</v>
      </c>
      <c r="AA110" s="32">
        <f t="shared" si="17"/>
        <v>0</v>
      </c>
    </row>
    <row r="111" spans="1:27" x14ac:dyDescent="0.45">
      <c r="A111">
        <v>6</v>
      </c>
      <c r="B111">
        <v>6</v>
      </c>
      <c r="C111" s="32">
        <f t="shared" si="9"/>
        <v>0</v>
      </c>
      <c r="D111">
        <v>5</v>
      </c>
      <c r="E111">
        <v>6</v>
      </c>
      <c r="F111" s="32">
        <f t="shared" si="10"/>
        <v>1</v>
      </c>
      <c r="G111">
        <v>7</v>
      </c>
      <c r="H111">
        <v>5</v>
      </c>
      <c r="I111" s="32">
        <f t="shared" si="11"/>
        <v>2</v>
      </c>
      <c r="J111">
        <v>7</v>
      </c>
      <c r="K111">
        <v>6</v>
      </c>
      <c r="L111" s="32">
        <f t="shared" si="12"/>
        <v>1</v>
      </c>
      <c r="M111">
        <v>6</v>
      </c>
      <c r="N111">
        <v>5</v>
      </c>
      <c r="O111" s="32">
        <f t="shared" si="13"/>
        <v>1</v>
      </c>
      <c r="P111">
        <v>6</v>
      </c>
      <c r="Q111">
        <v>5</v>
      </c>
      <c r="R111" s="32">
        <f t="shared" si="14"/>
        <v>1</v>
      </c>
      <c r="S111">
        <v>5</v>
      </c>
      <c r="T111">
        <v>5</v>
      </c>
      <c r="U111" s="32">
        <f t="shared" si="15"/>
        <v>0</v>
      </c>
      <c r="V111">
        <v>6</v>
      </c>
      <c r="W111">
        <v>5</v>
      </c>
      <c r="X111" s="32">
        <f t="shared" si="16"/>
        <v>1</v>
      </c>
      <c r="Y111">
        <v>6</v>
      </c>
      <c r="Z111">
        <v>6</v>
      </c>
      <c r="AA111" s="32">
        <f t="shared" si="17"/>
        <v>0</v>
      </c>
    </row>
    <row r="112" spans="1:27" x14ac:dyDescent="0.45">
      <c r="A112">
        <v>6</v>
      </c>
      <c r="B112">
        <v>6</v>
      </c>
      <c r="C112" s="32">
        <f t="shared" si="9"/>
        <v>0</v>
      </c>
      <c r="D112">
        <v>5</v>
      </c>
      <c r="E112">
        <v>6</v>
      </c>
      <c r="F112" s="32">
        <f t="shared" si="10"/>
        <v>1</v>
      </c>
      <c r="G112">
        <v>7</v>
      </c>
      <c r="H112">
        <v>5</v>
      </c>
      <c r="I112" s="32">
        <f t="shared" si="11"/>
        <v>2</v>
      </c>
      <c r="J112">
        <v>7</v>
      </c>
      <c r="K112">
        <v>6</v>
      </c>
      <c r="L112" s="32">
        <f t="shared" si="12"/>
        <v>1</v>
      </c>
      <c r="M112">
        <v>6</v>
      </c>
      <c r="N112">
        <v>5</v>
      </c>
      <c r="O112" s="32">
        <f t="shared" si="13"/>
        <v>1</v>
      </c>
      <c r="P112">
        <v>6</v>
      </c>
      <c r="Q112">
        <v>5</v>
      </c>
      <c r="R112" s="32">
        <f t="shared" si="14"/>
        <v>1</v>
      </c>
      <c r="S112">
        <v>5</v>
      </c>
      <c r="T112">
        <v>5</v>
      </c>
      <c r="U112" s="32">
        <f t="shared" si="15"/>
        <v>0</v>
      </c>
      <c r="V112">
        <v>6</v>
      </c>
      <c r="W112">
        <v>5</v>
      </c>
      <c r="X112" s="32">
        <f t="shared" si="16"/>
        <v>1</v>
      </c>
      <c r="Y112">
        <v>6</v>
      </c>
      <c r="Z112">
        <v>6</v>
      </c>
      <c r="AA112" s="32">
        <f t="shared" si="17"/>
        <v>0</v>
      </c>
    </row>
    <row r="113" spans="1:27" x14ac:dyDescent="0.45">
      <c r="A113">
        <v>6</v>
      </c>
      <c r="B113">
        <v>6</v>
      </c>
      <c r="C113" s="32">
        <f t="shared" si="9"/>
        <v>0</v>
      </c>
      <c r="D113">
        <v>5</v>
      </c>
      <c r="E113">
        <v>6</v>
      </c>
      <c r="F113" s="32">
        <f t="shared" si="10"/>
        <v>1</v>
      </c>
      <c r="G113">
        <v>7</v>
      </c>
      <c r="H113">
        <v>5</v>
      </c>
      <c r="I113" s="32">
        <f t="shared" si="11"/>
        <v>2</v>
      </c>
      <c r="J113">
        <v>7</v>
      </c>
      <c r="K113">
        <v>6</v>
      </c>
      <c r="L113" s="32">
        <f t="shared" si="12"/>
        <v>1</v>
      </c>
      <c r="M113">
        <v>6</v>
      </c>
      <c r="N113">
        <v>5</v>
      </c>
      <c r="O113" s="32">
        <f t="shared" si="13"/>
        <v>1</v>
      </c>
      <c r="P113">
        <v>6</v>
      </c>
      <c r="Q113">
        <v>5</v>
      </c>
      <c r="R113" s="32">
        <f t="shared" si="14"/>
        <v>1</v>
      </c>
      <c r="S113">
        <v>5</v>
      </c>
      <c r="T113">
        <v>5</v>
      </c>
      <c r="U113" s="32">
        <f t="shared" si="15"/>
        <v>0</v>
      </c>
      <c r="V113">
        <v>6</v>
      </c>
      <c r="W113">
        <v>5</v>
      </c>
      <c r="X113" s="32">
        <f t="shared" si="16"/>
        <v>1</v>
      </c>
      <c r="Y113">
        <v>6</v>
      </c>
      <c r="Z113">
        <v>6</v>
      </c>
      <c r="AA113" s="32">
        <f t="shared" si="17"/>
        <v>0</v>
      </c>
    </row>
    <row r="114" spans="1:27" x14ac:dyDescent="0.45">
      <c r="A114">
        <v>6</v>
      </c>
      <c r="B114">
        <v>6</v>
      </c>
      <c r="C114" s="32">
        <f t="shared" si="9"/>
        <v>0</v>
      </c>
      <c r="D114">
        <v>5</v>
      </c>
      <c r="E114">
        <v>6</v>
      </c>
      <c r="F114" s="32">
        <f t="shared" si="10"/>
        <v>1</v>
      </c>
      <c r="G114">
        <v>7</v>
      </c>
      <c r="H114">
        <v>5</v>
      </c>
      <c r="I114" s="32">
        <f t="shared" si="11"/>
        <v>2</v>
      </c>
      <c r="J114">
        <v>7</v>
      </c>
      <c r="K114">
        <v>6</v>
      </c>
      <c r="L114" s="32">
        <f t="shared" si="12"/>
        <v>1</v>
      </c>
      <c r="M114">
        <v>6</v>
      </c>
      <c r="N114">
        <v>5</v>
      </c>
      <c r="O114" s="32">
        <f t="shared" si="13"/>
        <v>1</v>
      </c>
      <c r="P114">
        <v>6</v>
      </c>
      <c r="Q114">
        <v>5</v>
      </c>
      <c r="R114" s="32">
        <f t="shared" si="14"/>
        <v>1</v>
      </c>
      <c r="S114">
        <v>5</v>
      </c>
      <c r="T114">
        <v>5</v>
      </c>
      <c r="U114" s="32">
        <f t="shared" si="15"/>
        <v>0</v>
      </c>
      <c r="V114">
        <v>6</v>
      </c>
      <c r="W114">
        <v>5</v>
      </c>
      <c r="X114" s="32">
        <f t="shared" si="16"/>
        <v>1</v>
      </c>
      <c r="Y114">
        <v>6</v>
      </c>
      <c r="Z114">
        <v>6</v>
      </c>
      <c r="AA114" s="32">
        <f t="shared" si="17"/>
        <v>0</v>
      </c>
    </row>
    <row r="115" spans="1:27" x14ac:dyDescent="0.45">
      <c r="A115">
        <v>6</v>
      </c>
      <c r="B115">
        <v>6</v>
      </c>
      <c r="C115" s="32">
        <f t="shared" si="9"/>
        <v>0</v>
      </c>
      <c r="D115">
        <v>5</v>
      </c>
      <c r="E115">
        <v>6</v>
      </c>
      <c r="F115" s="32">
        <f t="shared" si="10"/>
        <v>1</v>
      </c>
      <c r="G115">
        <v>7</v>
      </c>
      <c r="H115">
        <v>5</v>
      </c>
      <c r="I115" s="32">
        <f t="shared" si="11"/>
        <v>2</v>
      </c>
      <c r="J115">
        <v>7</v>
      </c>
      <c r="K115">
        <v>6</v>
      </c>
      <c r="L115" s="32">
        <f t="shared" si="12"/>
        <v>1</v>
      </c>
      <c r="M115">
        <v>6</v>
      </c>
      <c r="N115">
        <v>5</v>
      </c>
      <c r="O115" s="32">
        <f t="shared" si="13"/>
        <v>1</v>
      </c>
      <c r="P115">
        <v>6</v>
      </c>
      <c r="Q115">
        <v>5</v>
      </c>
      <c r="R115" s="32">
        <f t="shared" si="14"/>
        <v>1</v>
      </c>
      <c r="S115">
        <v>5</v>
      </c>
      <c r="T115">
        <v>5</v>
      </c>
      <c r="U115" s="32">
        <f t="shared" si="15"/>
        <v>0</v>
      </c>
      <c r="V115">
        <v>6</v>
      </c>
      <c r="W115">
        <v>5</v>
      </c>
      <c r="X115" s="32">
        <f t="shared" si="16"/>
        <v>1</v>
      </c>
      <c r="Y115">
        <v>6</v>
      </c>
      <c r="Z115">
        <v>6</v>
      </c>
      <c r="AA115" s="32">
        <f t="shared" si="17"/>
        <v>0</v>
      </c>
    </row>
    <row r="116" spans="1:27" x14ac:dyDescent="0.45">
      <c r="A116">
        <v>6</v>
      </c>
      <c r="B116">
        <v>6</v>
      </c>
      <c r="C116" s="32">
        <f t="shared" si="9"/>
        <v>0</v>
      </c>
      <c r="D116">
        <v>5</v>
      </c>
      <c r="E116">
        <v>6</v>
      </c>
      <c r="F116" s="32">
        <f t="shared" si="10"/>
        <v>1</v>
      </c>
      <c r="G116">
        <v>7</v>
      </c>
      <c r="H116">
        <v>5</v>
      </c>
      <c r="I116" s="32">
        <f t="shared" si="11"/>
        <v>2</v>
      </c>
      <c r="J116">
        <v>7</v>
      </c>
      <c r="K116">
        <v>6</v>
      </c>
      <c r="L116" s="32">
        <f t="shared" si="12"/>
        <v>1</v>
      </c>
      <c r="M116">
        <v>6</v>
      </c>
      <c r="N116">
        <v>5</v>
      </c>
      <c r="O116" s="32">
        <f t="shared" si="13"/>
        <v>1</v>
      </c>
      <c r="P116">
        <v>6</v>
      </c>
      <c r="Q116">
        <v>5</v>
      </c>
      <c r="R116" s="32">
        <f t="shared" si="14"/>
        <v>1</v>
      </c>
      <c r="S116">
        <v>5</v>
      </c>
      <c r="T116">
        <v>5</v>
      </c>
      <c r="U116" s="32">
        <f t="shared" si="15"/>
        <v>0</v>
      </c>
      <c r="V116">
        <v>6</v>
      </c>
      <c r="W116">
        <v>5</v>
      </c>
      <c r="X116" s="32">
        <f t="shared" si="16"/>
        <v>1</v>
      </c>
      <c r="Y116">
        <v>6</v>
      </c>
      <c r="Z116">
        <v>6</v>
      </c>
      <c r="AA116" s="32">
        <f t="shared" si="17"/>
        <v>0</v>
      </c>
    </row>
    <row r="117" spans="1:27" x14ac:dyDescent="0.45">
      <c r="A117">
        <v>6</v>
      </c>
      <c r="B117">
        <v>6</v>
      </c>
      <c r="C117" s="32">
        <f t="shared" si="9"/>
        <v>0</v>
      </c>
      <c r="D117">
        <v>5</v>
      </c>
      <c r="E117">
        <v>6</v>
      </c>
      <c r="F117" s="32">
        <f t="shared" si="10"/>
        <v>1</v>
      </c>
      <c r="G117">
        <v>7</v>
      </c>
      <c r="H117">
        <v>5</v>
      </c>
      <c r="I117" s="32">
        <f t="shared" si="11"/>
        <v>2</v>
      </c>
      <c r="J117">
        <v>7</v>
      </c>
      <c r="K117">
        <v>6</v>
      </c>
      <c r="L117" s="32">
        <f t="shared" si="12"/>
        <v>1</v>
      </c>
      <c r="M117">
        <v>6</v>
      </c>
      <c r="N117">
        <v>5</v>
      </c>
      <c r="O117" s="32">
        <f t="shared" si="13"/>
        <v>1</v>
      </c>
      <c r="P117">
        <v>6</v>
      </c>
      <c r="Q117">
        <v>5</v>
      </c>
      <c r="R117" s="32">
        <f t="shared" si="14"/>
        <v>1</v>
      </c>
      <c r="S117">
        <v>5</v>
      </c>
      <c r="T117">
        <v>5</v>
      </c>
      <c r="U117" s="32">
        <f t="shared" si="15"/>
        <v>0</v>
      </c>
      <c r="V117">
        <v>6</v>
      </c>
      <c r="W117">
        <v>5</v>
      </c>
      <c r="X117" s="32">
        <f t="shared" si="16"/>
        <v>1</v>
      </c>
      <c r="Y117">
        <v>6</v>
      </c>
      <c r="Z117">
        <v>6</v>
      </c>
      <c r="AA117" s="32">
        <f t="shared" si="17"/>
        <v>0</v>
      </c>
    </row>
    <row r="118" spans="1:27" x14ac:dyDescent="0.45">
      <c r="A118">
        <v>6</v>
      </c>
      <c r="B118">
        <v>6</v>
      </c>
      <c r="C118" s="32">
        <f t="shared" si="9"/>
        <v>0</v>
      </c>
      <c r="D118">
        <v>5</v>
      </c>
      <c r="E118">
        <v>6</v>
      </c>
      <c r="F118" s="32">
        <f t="shared" si="10"/>
        <v>1</v>
      </c>
      <c r="G118">
        <v>7</v>
      </c>
      <c r="H118">
        <v>5</v>
      </c>
      <c r="I118" s="32">
        <f t="shared" si="11"/>
        <v>2</v>
      </c>
      <c r="J118">
        <v>7</v>
      </c>
      <c r="K118">
        <v>6</v>
      </c>
      <c r="L118" s="32">
        <f t="shared" si="12"/>
        <v>1</v>
      </c>
      <c r="M118">
        <v>6</v>
      </c>
      <c r="N118">
        <v>5</v>
      </c>
      <c r="O118" s="32">
        <f t="shared" si="13"/>
        <v>1</v>
      </c>
      <c r="P118">
        <v>6</v>
      </c>
      <c r="Q118">
        <v>5</v>
      </c>
      <c r="R118" s="32">
        <f t="shared" si="14"/>
        <v>1</v>
      </c>
      <c r="S118">
        <v>5</v>
      </c>
      <c r="T118">
        <v>5</v>
      </c>
      <c r="U118" s="32">
        <f t="shared" si="15"/>
        <v>0</v>
      </c>
      <c r="V118">
        <v>6</v>
      </c>
      <c r="W118">
        <v>5</v>
      </c>
      <c r="X118" s="32">
        <f t="shared" si="16"/>
        <v>1</v>
      </c>
      <c r="Y118">
        <v>6</v>
      </c>
      <c r="Z118">
        <v>6</v>
      </c>
      <c r="AA118" s="32">
        <f t="shared" si="17"/>
        <v>0</v>
      </c>
    </row>
    <row r="119" spans="1:27" x14ac:dyDescent="0.45">
      <c r="A119">
        <v>6</v>
      </c>
      <c r="B119">
        <v>6</v>
      </c>
      <c r="C119" s="32">
        <f t="shared" si="9"/>
        <v>0</v>
      </c>
      <c r="D119">
        <v>5</v>
      </c>
      <c r="E119">
        <v>6</v>
      </c>
      <c r="F119" s="32">
        <f t="shared" si="10"/>
        <v>1</v>
      </c>
      <c r="G119">
        <v>7</v>
      </c>
      <c r="H119">
        <v>5</v>
      </c>
      <c r="I119" s="32">
        <f t="shared" si="11"/>
        <v>2</v>
      </c>
      <c r="J119">
        <v>7</v>
      </c>
      <c r="K119">
        <v>6</v>
      </c>
      <c r="L119" s="32">
        <f t="shared" si="12"/>
        <v>1</v>
      </c>
      <c r="M119">
        <v>6</v>
      </c>
      <c r="N119">
        <v>5</v>
      </c>
      <c r="O119" s="32">
        <f t="shared" si="13"/>
        <v>1</v>
      </c>
      <c r="P119">
        <v>6</v>
      </c>
      <c r="Q119">
        <v>5</v>
      </c>
      <c r="R119" s="32">
        <f t="shared" si="14"/>
        <v>1</v>
      </c>
      <c r="S119">
        <v>5</v>
      </c>
      <c r="T119">
        <v>5</v>
      </c>
      <c r="U119" s="32">
        <f t="shared" si="15"/>
        <v>0</v>
      </c>
      <c r="V119">
        <v>6</v>
      </c>
      <c r="W119">
        <v>5</v>
      </c>
      <c r="X119" s="32">
        <f t="shared" si="16"/>
        <v>1</v>
      </c>
      <c r="Y119">
        <v>6</v>
      </c>
      <c r="Z119">
        <v>6</v>
      </c>
      <c r="AA119" s="32">
        <f t="shared" si="17"/>
        <v>0</v>
      </c>
    </row>
    <row r="120" spans="1:27" x14ac:dyDescent="0.45">
      <c r="A120">
        <v>6</v>
      </c>
      <c r="B120">
        <v>6</v>
      </c>
      <c r="C120" s="32">
        <f t="shared" si="9"/>
        <v>0</v>
      </c>
      <c r="D120">
        <v>5</v>
      </c>
      <c r="E120">
        <v>6</v>
      </c>
      <c r="F120" s="32">
        <f t="shared" si="10"/>
        <v>1</v>
      </c>
      <c r="G120">
        <v>7</v>
      </c>
      <c r="H120">
        <v>5</v>
      </c>
      <c r="I120" s="32">
        <f t="shared" si="11"/>
        <v>2</v>
      </c>
      <c r="J120">
        <v>7</v>
      </c>
      <c r="K120">
        <v>6</v>
      </c>
      <c r="L120" s="32">
        <f t="shared" si="12"/>
        <v>1</v>
      </c>
      <c r="M120">
        <v>6</v>
      </c>
      <c r="N120">
        <v>5</v>
      </c>
      <c r="O120" s="32">
        <f t="shared" si="13"/>
        <v>1</v>
      </c>
      <c r="P120">
        <v>6</v>
      </c>
      <c r="Q120">
        <v>5</v>
      </c>
      <c r="R120" s="32">
        <f t="shared" si="14"/>
        <v>1</v>
      </c>
      <c r="S120">
        <v>5</v>
      </c>
      <c r="T120">
        <v>5</v>
      </c>
      <c r="U120" s="32">
        <f t="shared" si="15"/>
        <v>0</v>
      </c>
      <c r="V120">
        <v>6</v>
      </c>
      <c r="W120">
        <v>5</v>
      </c>
      <c r="X120" s="32">
        <f t="shared" si="16"/>
        <v>1</v>
      </c>
      <c r="Y120">
        <v>6</v>
      </c>
      <c r="Z120">
        <v>6</v>
      </c>
      <c r="AA120" s="32">
        <f t="shared" si="17"/>
        <v>0</v>
      </c>
    </row>
    <row r="121" spans="1:27" x14ac:dyDescent="0.45">
      <c r="A121">
        <v>6</v>
      </c>
      <c r="B121">
        <v>6</v>
      </c>
      <c r="C121" s="32">
        <f t="shared" si="9"/>
        <v>0</v>
      </c>
      <c r="D121">
        <v>5</v>
      </c>
      <c r="E121">
        <v>6</v>
      </c>
      <c r="F121" s="32">
        <f t="shared" si="10"/>
        <v>1</v>
      </c>
      <c r="G121">
        <v>7</v>
      </c>
      <c r="H121">
        <v>5</v>
      </c>
      <c r="I121" s="32">
        <f t="shared" si="11"/>
        <v>2</v>
      </c>
      <c r="J121">
        <v>7</v>
      </c>
      <c r="K121">
        <v>6</v>
      </c>
      <c r="L121" s="32">
        <f t="shared" si="12"/>
        <v>1</v>
      </c>
      <c r="M121">
        <v>6</v>
      </c>
      <c r="N121">
        <v>5</v>
      </c>
      <c r="O121" s="32">
        <f t="shared" si="13"/>
        <v>1</v>
      </c>
      <c r="P121">
        <v>6</v>
      </c>
      <c r="Q121">
        <v>5</v>
      </c>
      <c r="R121" s="32">
        <f t="shared" si="14"/>
        <v>1</v>
      </c>
      <c r="S121">
        <v>5</v>
      </c>
      <c r="T121">
        <v>5</v>
      </c>
      <c r="U121" s="32">
        <f t="shared" si="15"/>
        <v>0</v>
      </c>
      <c r="V121">
        <v>6</v>
      </c>
      <c r="W121">
        <v>5</v>
      </c>
      <c r="X121" s="32">
        <f t="shared" si="16"/>
        <v>1</v>
      </c>
      <c r="Y121">
        <v>6</v>
      </c>
      <c r="Z121">
        <v>6</v>
      </c>
      <c r="AA121" s="32">
        <f t="shared" si="17"/>
        <v>0</v>
      </c>
    </row>
    <row r="122" spans="1:27" x14ac:dyDescent="0.45">
      <c r="A122">
        <v>6</v>
      </c>
      <c r="B122">
        <v>6</v>
      </c>
      <c r="C122" s="32">
        <f t="shared" si="9"/>
        <v>0</v>
      </c>
      <c r="D122">
        <v>5</v>
      </c>
      <c r="E122">
        <v>6</v>
      </c>
      <c r="F122" s="32">
        <f t="shared" si="10"/>
        <v>1</v>
      </c>
      <c r="G122">
        <v>7</v>
      </c>
      <c r="H122">
        <v>5</v>
      </c>
      <c r="I122" s="32">
        <f t="shared" si="11"/>
        <v>2</v>
      </c>
      <c r="J122">
        <v>7</v>
      </c>
      <c r="K122">
        <v>6</v>
      </c>
      <c r="L122" s="32">
        <f t="shared" si="12"/>
        <v>1</v>
      </c>
      <c r="M122">
        <v>6</v>
      </c>
      <c r="N122">
        <v>5</v>
      </c>
      <c r="O122" s="32">
        <f t="shared" si="13"/>
        <v>1</v>
      </c>
      <c r="P122">
        <v>6</v>
      </c>
      <c r="Q122">
        <v>5</v>
      </c>
      <c r="R122" s="32">
        <f t="shared" si="14"/>
        <v>1</v>
      </c>
      <c r="S122">
        <v>5</v>
      </c>
      <c r="T122">
        <v>5</v>
      </c>
      <c r="U122" s="32">
        <f t="shared" si="15"/>
        <v>0</v>
      </c>
      <c r="V122">
        <v>6</v>
      </c>
      <c r="W122">
        <v>5</v>
      </c>
      <c r="X122" s="32">
        <f t="shared" si="16"/>
        <v>1</v>
      </c>
      <c r="Y122">
        <v>7</v>
      </c>
      <c r="Z122">
        <v>6</v>
      </c>
      <c r="AA122" s="32">
        <f t="shared" si="17"/>
        <v>1</v>
      </c>
    </row>
    <row r="123" spans="1:27" x14ac:dyDescent="0.45">
      <c r="A123">
        <v>6</v>
      </c>
      <c r="B123">
        <v>6</v>
      </c>
      <c r="C123" s="32">
        <f t="shared" si="9"/>
        <v>0</v>
      </c>
      <c r="D123">
        <v>5</v>
      </c>
      <c r="E123">
        <v>6</v>
      </c>
      <c r="F123" s="32">
        <f t="shared" si="10"/>
        <v>1</v>
      </c>
      <c r="G123">
        <v>7</v>
      </c>
      <c r="H123">
        <v>5</v>
      </c>
      <c r="I123" s="32">
        <f t="shared" si="11"/>
        <v>2</v>
      </c>
      <c r="J123">
        <v>7</v>
      </c>
      <c r="K123">
        <v>6</v>
      </c>
      <c r="L123" s="32">
        <f t="shared" si="12"/>
        <v>1</v>
      </c>
      <c r="M123">
        <v>6</v>
      </c>
      <c r="N123">
        <v>5</v>
      </c>
      <c r="O123" s="32">
        <f t="shared" si="13"/>
        <v>1</v>
      </c>
      <c r="P123">
        <v>6</v>
      </c>
      <c r="Q123">
        <v>5</v>
      </c>
      <c r="R123" s="32">
        <f t="shared" si="14"/>
        <v>1</v>
      </c>
      <c r="S123">
        <v>5</v>
      </c>
      <c r="T123">
        <v>5</v>
      </c>
      <c r="U123" s="32">
        <f t="shared" si="15"/>
        <v>0</v>
      </c>
      <c r="V123">
        <v>6</v>
      </c>
      <c r="W123">
        <v>5</v>
      </c>
      <c r="X123" s="32">
        <f t="shared" si="16"/>
        <v>1</v>
      </c>
      <c r="Y123">
        <v>7</v>
      </c>
      <c r="Z123">
        <v>6</v>
      </c>
      <c r="AA123" s="32">
        <f t="shared" si="17"/>
        <v>1</v>
      </c>
    </row>
    <row r="124" spans="1:27" x14ac:dyDescent="0.45">
      <c r="A124">
        <v>6</v>
      </c>
      <c r="B124">
        <v>6</v>
      </c>
      <c r="C124" s="32">
        <f t="shared" si="9"/>
        <v>0</v>
      </c>
      <c r="D124">
        <v>5</v>
      </c>
      <c r="E124">
        <v>6</v>
      </c>
      <c r="F124" s="32">
        <f t="shared" si="10"/>
        <v>1</v>
      </c>
      <c r="G124">
        <v>7</v>
      </c>
      <c r="H124">
        <v>5</v>
      </c>
      <c r="I124" s="32">
        <f t="shared" si="11"/>
        <v>2</v>
      </c>
      <c r="J124">
        <v>7</v>
      </c>
      <c r="K124">
        <v>6</v>
      </c>
      <c r="L124" s="32">
        <f t="shared" si="12"/>
        <v>1</v>
      </c>
      <c r="M124">
        <v>6</v>
      </c>
      <c r="N124">
        <v>5</v>
      </c>
      <c r="O124" s="32">
        <f t="shared" si="13"/>
        <v>1</v>
      </c>
      <c r="P124">
        <v>6</v>
      </c>
      <c r="Q124">
        <v>5</v>
      </c>
      <c r="R124" s="32">
        <f t="shared" si="14"/>
        <v>1</v>
      </c>
      <c r="S124">
        <v>5</v>
      </c>
      <c r="T124">
        <v>5</v>
      </c>
      <c r="U124" s="32">
        <f t="shared" si="15"/>
        <v>0</v>
      </c>
      <c r="V124">
        <v>6</v>
      </c>
      <c r="W124">
        <v>5</v>
      </c>
      <c r="X124" s="32">
        <f t="shared" si="16"/>
        <v>1</v>
      </c>
      <c r="Y124">
        <v>7</v>
      </c>
      <c r="Z124">
        <v>6</v>
      </c>
      <c r="AA124" s="32">
        <f t="shared" si="17"/>
        <v>1</v>
      </c>
    </row>
    <row r="125" spans="1:27" x14ac:dyDescent="0.45">
      <c r="A125">
        <v>6</v>
      </c>
      <c r="B125">
        <v>6</v>
      </c>
      <c r="C125" s="32">
        <f t="shared" si="9"/>
        <v>0</v>
      </c>
      <c r="D125">
        <v>5</v>
      </c>
      <c r="E125">
        <v>6</v>
      </c>
      <c r="F125" s="32">
        <f t="shared" si="10"/>
        <v>1</v>
      </c>
      <c r="G125">
        <v>7</v>
      </c>
      <c r="H125">
        <v>5</v>
      </c>
      <c r="I125" s="32">
        <f t="shared" si="11"/>
        <v>2</v>
      </c>
      <c r="J125">
        <v>7</v>
      </c>
      <c r="K125">
        <v>6</v>
      </c>
      <c r="L125" s="32">
        <f t="shared" si="12"/>
        <v>1</v>
      </c>
      <c r="M125">
        <v>6</v>
      </c>
      <c r="N125">
        <v>5</v>
      </c>
      <c r="O125" s="32">
        <f t="shared" si="13"/>
        <v>1</v>
      </c>
      <c r="P125">
        <v>6</v>
      </c>
      <c r="Q125">
        <v>5</v>
      </c>
      <c r="R125" s="32">
        <f t="shared" si="14"/>
        <v>1</v>
      </c>
      <c r="S125">
        <v>5</v>
      </c>
      <c r="T125">
        <v>5</v>
      </c>
      <c r="U125" s="32">
        <f t="shared" si="15"/>
        <v>0</v>
      </c>
      <c r="V125">
        <v>6</v>
      </c>
      <c r="W125">
        <v>5</v>
      </c>
      <c r="X125" s="32">
        <f t="shared" si="16"/>
        <v>1</v>
      </c>
      <c r="Y125">
        <v>7</v>
      </c>
      <c r="Z125">
        <v>6</v>
      </c>
      <c r="AA125" s="32">
        <f t="shared" si="17"/>
        <v>1</v>
      </c>
    </row>
    <row r="126" spans="1:27" x14ac:dyDescent="0.45">
      <c r="A126">
        <v>6</v>
      </c>
      <c r="B126">
        <v>6</v>
      </c>
      <c r="C126" s="32">
        <f t="shared" si="9"/>
        <v>0</v>
      </c>
      <c r="D126">
        <v>5</v>
      </c>
      <c r="E126">
        <v>6</v>
      </c>
      <c r="F126" s="32">
        <f t="shared" si="10"/>
        <v>1</v>
      </c>
      <c r="G126">
        <v>7</v>
      </c>
      <c r="H126">
        <v>5</v>
      </c>
      <c r="I126" s="32">
        <f t="shared" si="11"/>
        <v>2</v>
      </c>
      <c r="J126">
        <v>7</v>
      </c>
      <c r="K126">
        <v>6</v>
      </c>
      <c r="L126" s="32">
        <f t="shared" si="12"/>
        <v>1</v>
      </c>
      <c r="M126">
        <v>6</v>
      </c>
      <c r="N126">
        <v>5</v>
      </c>
      <c r="O126" s="32">
        <f t="shared" si="13"/>
        <v>1</v>
      </c>
      <c r="P126">
        <v>6</v>
      </c>
      <c r="Q126">
        <v>6</v>
      </c>
      <c r="R126" s="32">
        <f t="shared" si="14"/>
        <v>0</v>
      </c>
      <c r="S126">
        <v>5</v>
      </c>
      <c r="T126">
        <v>5</v>
      </c>
      <c r="U126" s="32">
        <f t="shared" si="15"/>
        <v>0</v>
      </c>
      <c r="V126">
        <v>6</v>
      </c>
      <c r="W126">
        <v>5</v>
      </c>
      <c r="X126" s="32">
        <f t="shared" si="16"/>
        <v>1</v>
      </c>
      <c r="Y126">
        <v>7</v>
      </c>
      <c r="Z126">
        <v>6</v>
      </c>
      <c r="AA126" s="32">
        <f t="shared" si="17"/>
        <v>1</v>
      </c>
    </row>
    <row r="127" spans="1:27" x14ac:dyDescent="0.45">
      <c r="A127">
        <v>6</v>
      </c>
      <c r="B127">
        <v>6</v>
      </c>
      <c r="C127" s="32">
        <f t="shared" si="9"/>
        <v>0</v>
      </c>
      <c r="D127">
        <v>5</v>
      </c>
      <c r="E127">
        <v>6</v>
      </c>
      <c r="F127" s="32">
        <f t="shared" si="10"/>
        <v>1</v>
      </c>
      <c r="G127">
        <v>7</v>
      </c>
      <c r="H127">
        <v>5</v>
      </c>
      <c r="I127" s="32">
        <f t="shared" si="11"/>
        <v>2</v>
      </c>
      <c r="J127">
        <v>7</v>
      </c>
      <c r="K127">
        <v>6</v>
      </c>
      <c r="L127" s="32">
        <f t="shared" si="12"/>
        <v>1</v>
      </c>
      <c r="M127">
        <v>6</v>
      </c>
      <c r="N127">
        <v>5</v>
      </c>
      <c r="O127" s="32">
        <f t="shared" si="13"/>
        <v>1</v>
      </c>
      <c r="P127">
        <v>6</v>
      </c>
      <c r="Q127">
        <v>6</v>
      </c>
      <c r="R127" s="32">
        <f t="shared" si="14"/>
        <v>0</v>
      </c>
      <c r="S127">
        <v>5</v>
      </c>
      <c r="T127">
        <v>5</v>
      </c>
      <c r="U127" s="32">
        <f t="shared" si="15"/>
        <v>0</v>
      </c>
      <c r="V127">
        <v>6</v>
      </c>
      <c r="W127">
        <v>5</v>
      </c>
      <c r="X127" s="32">
        <f t="shared" si="16"/>
        <v>1</v>
      </c>
      <c r="Y127">
        <v>7</v>
      </c>
      <c r="Z127">
        <v>6</v>
      </c>
      <c r="AA127" s="32">
        <f t="shared" si="17"/>
        <v>1</v>
      </c>
    </row>
    <row r="128" spans="1:27" x14ac:dyDescent="0.45">
      <c r="A128">
        <v>6</v>
      </c>
      <c r="B128">
        <v>6</v>
      </c>
      <c r="C128" s="32">
        <f t="shared" si="9"/>
        <v>0</v>
      </c>
      <c r="D128">
        <v>5</v>
      </c>
      <c r="E128">
        <v>6</v>
      </c>
      <c r="F128" s="32">
        <f t="shared" si="10"/>
        <v>1</v>
      </c>
      <c r="G128">
        <v>7</v>
      </c>
      <c r="H128">
        <v>5</v>
      </c>
      <c r="I128" s="32">
        <f t="shared" si="11"/>
        <v>2</v>
      </c>
      <c r="J128">
        <v>7</v>
      </c>
      <c r="K128">
        <v>6</v>
      </c>
      <c r="L128" s="32">
        <f t="shared" si="12"/>
        <v>1</v>
      </c>
      <c r="M128">
        <v>6</v>
      </c>
      <c r="N128">
        <v>5</v>
      </c>
      <c r="O128" s="32">
        <f t="shared" si="13"/>
        <v>1</v>
      </c>
      <c r="P128">
        <v>6</v>
      </c>
      <c r="Q128">
        <v>6</v>
      </c>
      <c r="R128" s="32">
        <f t="shared" si="14"/>
        <v>0</v>
      </c>
      <c r="S128">
        <v>5</v>
      </c>
      <c r="T128">
        <v>5</v>
      </c>
      <c r="U128" s="32">
        <f t="shared" si="15"/>
        <v>0</v>
      </c>
      <c r="V128">
        <v>6</v>
      </c>
      <c r="W128">
        <v>5</v>
      </c>
      <c r="X128" s="32">
        <f t="shared" si="16"/>
        <v>1</v>
      </c>
      <c r="Y128">
        <v>7</v>
      </c>
      <c r="Z128">
        <v>6</v>
      </c>
      <c r="AA128" s="32">
        <f t="shared" si="17"/>
        <v>1</v>
      </c>
    </row>
    <row r="129" spans="1:27" x14ac:dyDescent="0.45">
      <c r="A129">
        <v>6</v>
      </c>
      <c r="B129">
        <v>6</v>
      </c>
      <c r="C129" s="32">
        <f t="shared" si="9"/>
        <v>0</v>
      </c>
      <c r="D129">
        <v>5</v>
      </c>
      <c r="E129">
        <v>6</v>
      </c>
      <c r="F129" s="32">
        <f t="shared" si="10"/>
        <v>1</v>
      </c>
      <c r="G129">
        <v>7</v>
      </c>
      <c r="H129">
        <v>5</v>
      </c>
      <c r="I129" s="32">
        <f t="shared" si="11"/>
        <v>2</v>
      </c>
      <c r="J129">
        <v>7</v>
      </c>
      <c r="K129">
        <v>6</v>
      </c>
      <c r="L129" s="32">
        <f t="shared" si="12"/>
        <v>1</v>
      </c>
      <c r="M129">
        <v>6</v>
      </c>
      <c r="N129">
        <v>5</v>
      </c>
      <c r="O129" s="32">
        <f t="shared" si="13"/>
        <v>1</v>
      </c>
      <c r="P129">
        <v>6</v>
      </c>
      <c r="Q129">
        <v>6</v>
      </c>
      <c r="R129" s="32">
        <f t="shared" si="14"/>
        <v>0</v>
      </c>
      <c r="S129">
        <v>5</v>
      </c>
      <c r="T129">
        <v>5</v>
      </c>
      <c r="U129" s="32">
        <f t="shared" si="15"/>
        <v>0</v>
      </c>
      <c r="V129">
        <v>6</v>
      </c>
      <c r="W129">
        <v>5</v>
      </c>
      <c r="X129" s="32">
        <f t="shared" si="16"/>
        <v>1</v>
      </c>
      <c r="Y129">
        <v>7</v>
      </c>
      <c r="Z129">
        <v>6</v>
      </c>
      <c r="AA129" s="32">
        <f t="shared" si="17"/>
        <v>1</v>
      </c>
    </row>
    <row r="130" spans="1:27" x14ac:dyDescent="0.45">
      <c r="A130">
        <v>6</v>
      </c>
      <c r="B130">
        <v>6</v>
      </c>
      <c r="C130" s="32">
        <f t="shared" si="9"/>
        <v>0</v>
      </c>
      <c r="D130">
        <v>5</v>
      </c>
      <c r="E130">
        <v>6</v>
      </c>
      <c r="F130" s="32">
        <f t="shared" si="10"/>
        <v>1</v>
      </c>
      <c r="G130">
        <v>7</v>
      </c>
      <c r="H130">
        <v>5</v>
      </c>
      <c r="I130" s="32">
        <f t="shared" si="11"/>
        <v>2</v>
      </c>
      <c r="J130">
        <v>7</v>
      </c>
      <c r="K130">
        <v>6</v>
      </c>
      <c r="L130" s="32">
        <f t="shared" si="12"/>
        <v>1</v>
      </c>
      <c r="M130">
        <v>6</v>
      </c>
      <c r="N130">
        <v>5</v>
      </c>
      <c r="O130" s="32">
        <f t="shared" si="13"/>
        <v>1</v>
      </c>
      <c r="P130">
        <v>6</v>
      </c>
      <c r="Q130">
        <v>6</v>
      </c>
      <c r="R130" s="32">
        <f t="shared" si="14"/>
        <v>0</v>
      </c>
      <c r="S130">
        <v>5</v>
      </c>
      <c r="T130">
        <v>5</v>
      </c>
      <c r="U130" s="32">
        <f t="shared" si="15"/>
        <v>0</v>
      </c>
      <c r="V130">
        <v>6</v>
      </c>
      <c r="W130">
        <v>5</v>
      </c>
      <c r="X130" s="32">
        <f t="shared" si="16"/>
        <v>1</v>
      </c>
      <c r="Y130">
        <v>7</v>
      </c>
      <c r="Z130">
        <v>6</v>
      </c>
      <c r="AA130" s="32">
        <f t="shared" si="17"/>
        <v>1</v>
      </c>
    </row>
    <row r="131" spans="1:27" x14ac:dyDescent="0.45">
      <c r="A131">
        <v>6</v>
      </c>
      <c r="B131">
        <v>6</v>
      </c>
      <c r="C131" s="32">
        <f t="shared" ref="C131:C194" si="18">ABS(B131-A131)</f>
        <v>0</v>
      </c>
      <c r="D131">
        <v>5</v>
      </c>
      <c r="E131">
        <v>6</v>
      </c>
      <c r="F131" s="32">
        <f t="shared" ref="F131:F194" si="19">ABS(E131-D131)</f>
        <v>1</v>
      </c>
      <c r="G131">
        <v>7</v>
      </c>
      <c r="H131">
        <v>5</v>
      </c>
      <c r="I131" s="32">
        <f t="shared" ref="I131:I194" si="20">ABS(H131-G131)</f>
        <v>2</v>
      </c>
      <c r="J131">
        <v>7</v>
      </c>
      <c r="K131">
        <v>7</v>
      </c>
      <c r="L131" s="32">
        <f t="shared" ref="L131:L194" si="21">ABS(K131-J131)</f>
        <v>0</v>
      </c>
      <c r="M131">
        <v>6</v>
      </c>
      <c r="N131">
        <v>5</v>
      </c>
      <c r="O131" s="32">
        <f t="shared" ref="O131:O194" si="22">ABS(N131-M131)</f>
        <v>1</v>
      </c>
      <c r="P131">
        <v>6</v>
      </c>
      <c r="Q131">
        <v>6</v>
      </c>
      <c r="R131" s="32">
        <f t="shared" ref="R131:R194" si="23">ABS(Q131-P131)</f>
        <v>0</v>
      </c>
      <c r="S131">
        <v>5</v>
      </c>
      <c r="T131">
        <v>5</v>
      </c>
      <c r="U131" s="32">
        <f t="shared" ref="U131:U194" si="24">ABS(T131-S131)</f>
        <v>0</v>
      </c>
      <c r="V131">
        <v>6</v>
      </c>
      <c r="W131">
        <v>5</v>
      </c>
      <c r="X131" s="32">
        <f t="shared" ref="X131:X194" si="25">ABS(W131-V131)</f>
        <v>1</v>
      </c>
      <c r="Y131">
        <v>7</v>
      </c>
      <c r="Z131">
        <v>6</v>
      </c>
      <c r="AA131" s="32">
        <f t="shared" ref="AA131:AA194" si="26">ABS(Z131-Y131)</f>
        <v>1</v>
      </c>
    </row>
    <row r="132" spans="1:27" x14ac:dyDescent="0.45">
      <c r="A132">
        <v>6</v>
      </c>
      <c r="B132">
        <v>6</v>
      </c>
      <c r="C132" s="32">
        <f t="shared" si="18"/>
        <v>0</v>
      </c>
      <c r="D132">
        <v>5</v>
      </c>
      <c r="E132">
        <v>7</v>
      </c>
      <c r="F132" s="32">
        <f t="shared" si="19"/>
        <v>2</v>
      </c>
      <c r="G132">
        <v>7</v>
      </c>
      <c r="H132">
        <v>5</v>
      </c>
      <c r="I132" s="32">
        <f t="shared" si="20"/>
        <v>2</v>
      </c>
      <c r="J132">
        <v>7</v>
      </c>
      <c r="K132">
        <v>7</v>
      </c>
      <c r="L132" s="32">
        <f t="shared" si="21"/>
        <v>0</v>
      </c>
      <c r="M132">
        <v>6</v>
      </c>
      <c r="N132">
        <v>5</v>
      </c>
      <c r="O132" s="32">
        <f t="shared" si="22"/>
        <v>1</v>
      </c>
      <c r="P132">
        <v>6</v>
      </c>
      <c r="Q132">
        <v>6</v>
      </c>
      <c r="R132" s="32">
        <f t="shared" si="23"/>
        <v>0</v>
      </c>
      <c r="S132">
        <v>5</v>
      </c>
      <c r="T132">
        <v>5</v>
      </c>
      <c r="U132" s="32">
        <f t="shared" si="24"/>
        <v>0</v>
      </c>
      <c r="V132">
        <v>6</v>
      </c>
      <c r="W132">
        <v>6</v>
      </c>
      <c r="X132" s="32">
        <f t="shared" si="25"/>
        <v>0</v>
      </c>
      <c r="Y132">
        <v>7</v>
      </c>
      <c r="Z132">
        <v>6</v>
      </c>
      <c r="AA132" s="32">
        <f t="shared" si="26"/>
        <v>1</v>
      </c>
    </row>
    <row r="133" spans="1:27" x14ac:dyDescent="0.45">
      <c r="A133">
        <v>6</v>
      </c>
      <c r="B133">
        <v>6</v>
      </c>
      <c r="C133" s="32">
        <f t="shared" si="18"/>
        <v>0</v>
      </c>
      <c r="D133">
        <v>5</v>
      </c>
      <c r="E133">
        <v>7</v>
      </c>
      <c r="F133" s="32">
        <f t="shared" si="19"/>
        <v>2</v>
      </c>
      <c r="G133">
        <v>7</v>
      </c>
      <c r="H133">
        <v>5</v>
      </c>
      <c r="I133" s="32">
        <f t="shared" si="20"/>
        <v>2</v>
      </c>
      <c r="J133">
        <v>7</v>
      </c>
      <c r="K133">
        <v>7</v>
      </c>
      <c r="L133" s="32">
        <f t="shared" si="21"/>
        <v>0</v>
      </c>
      <c r="M133">
        <v>6</v>
      </c>
      <c r="N133">
        <v>5</v>
      </c>
      <c r="O133" s="32">
        <f t="shared" si="22"/>
        <v>1</v>
      </c>
      <c r="P133">
        <v>6</v>
      </c>
      <c r="Q133">
        <v>6</v>
      </c>
      <c r="R133" s="32">
        <f t="shared" si="23"/>
        <v>0</v>
      </c>
      <c r="S133">
        <v>5</v>
      </c>
      <c r="T133">
        <v>5</v>
      </c>
      <c r="U133" s="32">
        <f t="shared" si="24"/>
        <v>0</v>
      </c>
      <c r="V133">
        <v>6</v>
      </c>
      <c r="W133">
        <v>6</v>
      </c>
      <c r="X133" s="32">
        <f t="shared" si="25"/>
        <v>0</v>
      </c>
      <c r="Y133">
        <v>7</v>
      </c>
      <c r="Z133">
        <v>6</v>
      </c>
      <c r="AA133" s="32">
        <f t="shared" si="26"/>
        <v>1</v>
      </c>
    </row>
    <row r="134" spans="1:27" x14ac:dyDescent="0.45">
      <c r="A134">
        <v>6</v>
      </c>
      <c r="B134">
        <v>6</v>
      </c>
      <c r="C134" s="32">
        <f t="shared" si="18"/>
        <v>0</v>
      </c>
      <c r="D134">
        <v>5</v>
      </c>
      <c r="E134">
        <v>7</v>
      </c>
      <c r="F134" s="32">
        <f t="shared" si="19"/>
        <v>2</v>
      </c>
      <c r="G134">
        <v>7</v>
      </c>
      <c r="H134">
        <v>5</v>
      </c>
      <c r="I134" s="32">
        <f t="shared" si="20"/>
        <v>2</v>
      </c>
      <c r="J134">
        <v>7</v>
      </c>
      <c r="K134">
        <v>7</v>
      </c>
      <c r="L134" s="32">
        <f t="shared" si="21"/>
        <v>0</v>
      </c>
      <c r="M134">
        <v>6</v>
      </c>
      <c r="N134">
        <v>5</v>
      </c>
      <c r="O134" s="32">
        <f t="shared" si="22"/>
        <v>1</v>
      </c>
      <c r="P134">
        <v>6</v>
      </c>
      <c r="Q134">
        <v>6</v>
      </c>
      <c r="R134" s="32">
        <f t="shared" si="23"/>
        <v>0</v>
      </c>
      <c r="S134">
        <v>5</v>
      </c>
      <c r="T134">
        <v>5</v>
      </c>
      <c r="U134" s="32">
        <f t="shared" si="24"/>
        <v>0</v>
      </c>
      <c r="V134">
        <v>6</v>
      </c>
      <c r="W134">
        <v>6</v>
      </c>
      <c r="X134" s="32">
        <f t="shared" si="25"/>
        <v>0</v>
      </c>
      <c r="Y134">
        <v>7</v>
      </c>
      <c r="Z134">
        <v>6</v>
      </c>
      <c r="AA134" s="32">
        <f t="shared" si="26"/>
        <v>1</v>
      </c>
    </row>
    <row r="135" spans="1:27" x14ac:dyDescent="0.45">
      <c r="A135">
        <v>6</v>
      </c>
      <c r="B135">
        <v>6</v>
      </c>
      <c r="C135" s="32">
        <f t="shared" si="18"/>
        <v>0</v>
      </c>
      <c r="D135">
        <v>5</v>
      </c>
      <c r="E135">
        <v>7</v>
      </c>
      <c r="F135" s="32">
        <f t="shared" si="19"/>
        <v>2</v>
      </c>
      <c r="G135">
        <v>7</v>
      </c>
      <c r="H135">
        <v>5</v>
      </c>
      <c r="I135" s="32">
        <f t="shared" si="20"/>
        <v>2</v>
      </c>
      <c r="J135">
        <v>7</v>
      </c>
      <c r="K135">
        <v>7</v>
      </c>
      <c r="L135" s="32">
        <f t="shared" si="21"/>
        <v>0</v>
      </c>
      <c r="M135">
        <v>6</v>
      </c>
      <c r="N135">
        <v>5</v>
      </c>
      <c r="O135" s="32">
        <f t="shared" si="22"/>
        <v>1</v>
      </c>
      <c r="P135">
        <v>6</v>
      </c>
      <c r="Q135">
        <v>6</v>
      </c>
      <c r="R135" s="32">
        <f t="shared" si="23"/>
        <v>0</v>
      </c>
      <c r="S135">
        <v>5</v>
      </c>
      <c r="T135">
        <v>5</v>
      </c>
      <c r="U135" s="32">
        <f t="shared" si="24"/>
        <v>0</v>
      </c>
      <c r="V135">
        <v>6</v>
      </c>
      <c r="W135">
        <v>6</v>
      </c>
      <c r="X135" s="32">
        <f t="shared" si="25"/>
        <v>0</v>
      </c>
      <c r="Y135">
        <v>7</v>
      </c>
      <c r="Z135">
        <v>6</v>
      </c>
      <c r="AA135" s="32">
        <f t="shared" si="26"/>
        <v>1</v>
      </c>
    </row>
    <row r="136" spans="1:27" x14ac:dyDescent="0.45">
      <c r="A136">
        <v>6</v>
      </c>
      <c r="B136">
        <v>6</v>
      </c>
      <c r="C136" s="32">
        <f t="shared" si="18"/>
        <v>0</v>
      </c>
      <c r="D136">
        <v>5</v>
      </c>
      <c r="E136">
        <v>7</v>
      </c>
      <c r="F136" s="32">
        <f t="shared" si="19"/>
        <v>2</v>
      </c>
      <c r="G136">
        <v>7</v>
      </c>
      <c r="H136">
        <v>5</v>
      </c>
      <c r="I136" s="32">
        <f t="shared" si="20"/>
        <v>2</v>
      </c>
      <c r="J136">
        <v>7</v>
      </c>
      <c r="K136">
        <v>7</v>
      </c>
      <c r="L136" s="32">
        <f t="shared" si="21"/>
        <v>0</v>
      </c>
      <c r="M136">
        <v>6</v>
      </c>
      <c r="N136">
        <v>5</v>
      </c>
      <c r="O136" s="32">
        <f t="shared" si="22"/>
        <v>1</v>
      </c>
      <c r="P136">
        <v>6</v>
      </c>
      <c r="Q136">
        <v>6</v>
      </c>
      <c r="R136" s="32">
        <f t="shared" si="23"/>
        <v>0</v>
      </c>
      <c r="S136">
        <v>5</v>
      </c>
      <c r="T136">
        <v>5</v>
      </c>
      <c r="U136" s="32">
        <f t="shared" si="24"/>
        <v>0</v>
      </c>
      <c r="V136">
        <v>6</v>
      </c>
      <c r="W136">
        <v>6</v>
      </c>
      <c r="X136" s="32">
        <f t="shared" si="25"/>
        <v>0</v>
      </c>
      <c r="Y136">
        <v>7</v>
      </c>
      <c r="Z136">
        <v>6</v>
      </c>
      <c r="AA136" s="32">
        <f t="shared" si="26"/>
        <v>1</v>
      </c>
    </row>
    <row r="137" spans="1:27" x14ac:dyDescent="0.45">
      <c r="A137">
        <v>6</v>
      </c>
      <c r="B137">
        <v>6</v>
      </c>
      <c r="C137" s="32">
        <f t="shared" si="18"/>
        <v>0</v>
      </c>
      <c r="D137">
        <v>5</v>
      </c>
      <c r="E137">
        <v>7</v>
      </c>
      <c r="F137" s="32">
        <f t="shared" si="19"/>
        <v>2</v>
      </c>
      <c r="G137">
        <v>7</v>
      </c>
      <c r="H137">
        <v>5</v>
      </c>
      <c r="I137" s="32">
        <f t="shared" si="20"/>
        <v>2</v>
      </c>
      <c r="J137">
        <v>7</v>
      </c>
      <c r="K137">
        <v>7</v>
      </c>
      <c r="L137" s="32">
        <f t="shared" si="21"/>
        <v>0</v>
      </c>
      <c r="M137">
        <v>6</v>
      </c>
      <c r="N137">
        <v>5</v>
      </c>
      <c r="O137" s="32">
        <f t="shared" si="22"/>
        <v>1</v>
      </c>
      <c r="P137">
        <v>6</v>
      </c>
      <c r="Q137">
        <v>6</v>
      </c>
      <c r="R137" s="32">
        <f t="shared" si="23"/>
        <v>0</v>
      </c>
      <c r="S137">
        <v>5</v>
      </c>
      <c r="T137">
        <v>5</v>
      </c>
      <c r="U137" s="32">
        <f t="shared" si="24"/>
        <v>0</v>
      </c>
      <c r="V137">
        <v>6</v>
      </c>
      <c r="W137">
        <v>6</v>
      </c>
      <c r="X137" s="32">
        <f t="shared" si="25"/>
        <v>0</v>
      </c>
      <c r="Y137">
        <v>7</v>
      </c>
      <c r="Z137">
        <v>6</v>
      </c>
      <c r="AA137" s="32">
        <f t="shared" si="26"/>
        <v>1</v>
      </c>
    </row>
    <row r="138" spans="1:27" x14ac:dyDescent="0.45">
      <c r="A138">
        <v>6</v>
      </c>
      <c r="B138">
        <v>6</v>
      </c>
      <c r="C138" s="32">
        <f t="shared" si="18"/>
        <v>0</v>
      </c>
      <c r="D138">
        <v>5</v>
      </c>
      <c r="E138">
        <v>7</v>
      </c>
      <c r="F138" s="32">
        <f t="shared" si="19"/>
        <v>2</v>
      </c>
      <c r="G138">
        <v>7</v>
      </c>
      <c r="H138">
        <v>5</v>
      </c>
      <c r="I138" s="32">
        <f t="shared" si="20"/>
        <v>2</v>
      </c>
      <c r="J138">
        <v>7</v>
      </c>
      <c r="K138">
        <v>7</v>
      </c>
      <c r="L138" s="32">
        <f t="shared" si="21"/>
        <v>0</v>
      </c>
      <c r="M138">
        <v>6</v>
      </c>
      <c r="N138">
        <v>6</v>
      </c>
      <c r="O138" s="32">
        <f t="shared" si="22"/>
        <v>0</v>
      </c>
      <c r="P138">
        <v>6</v>
      </c>
      <c r="Q138">
        <v>6</v>
      </c>
      <c r="R138" s="32">
        <f t="shared" si="23"/>
        <v>0</v>
      </c>
      <c r="S138">
        <v>5</v>
      </c>
      <c r="T138">
        <v>5</v>
      </c>
      <c r="U138" s="32">
        <f t="shared" si="24"/>
        <v>0</v>
      </c>
      <c r="V138">
        <v>6</v>
      </c>
      <c r="W138">
        <v>6</v>
      </c>
      <c r="X138" s="32">
        <f t="shared" si="25"/>
        <v>0</v>
      </c>
      <c r="Y138">
        <v>7</v>
      </c>
      <c r="Z138">
        <v>6</v>
      </c>
      <c r="AA138" s="32">
        <f t="shared" si="26"/>
        <v>1</v>
      </c>
    </row>
    <row r="139" spans="1:27" x14ac:dyDescent="0.45">
      <c r="A139">
        <v>6</v>
      </c>
      <c r="B139">
        <v>6</v>
      </c>
      <c r="C139" s="32">
        <f t="shared" si="18"/>
        <v>0</v>
      </c>
      <c r="D139">
        <v>5</v>
      </c>
      <c r="E139">
        <v>7</v>
      </c>
      <c r="F139" s="32">
        <f t="shared" si="19"/>
        <v>2</v>
      </c>
      <c r="G139">
        <v>7</v>
      </c>
      <c r="H139">
        <v>5</v>
      </c>
      <c r="I139" s="32">
        <f t="shared" si="20"/>
        <v>2</v>
      </c>
      <c r="J139">
        <v>7</v>
      </c>
      <c r="K139">
        <v>7</v>
      </c>
      <c r="L139" s="32">
        <f t="shared" si="21"/>
        <v>0</v>
      </c>
      <c r="M139">
        <v>6</v>
      </c>
      <c r="N139">
        <v>6</v>
      </c>
      <c r="O139" s="32">
        <f t="shared" si="22"/>
        <v>0</v>
      </c>
      <c r="P139">
        <v>6</v>
      </c>
      <c r="Q139">
        <v>6</v>
      </c>
      <c r="R139" s="32">
        <f t="shared" si="23"/>
        <v>0</v>
      </c>
      <c r="S139">
        <v>5</v>
      </c>
      <c r="T139">
        <v>5</v>
      </c>
      <c r="U139" s="32">
        <f t="shared" si="24"/>
        <v>0</v>
      </c>
      <c r="V139">
        <v>6</v>
      </c>
      <c r="W139">
        <v>6</v>
      </c>
      <c r="X139" s="32">
        <f t="shared" si="25"/>
        <v>0</v>
      </c>
      <c r="Y139">
        <v>7</v>
      </c>
      <c r="Z139">
        <v>6</v>
      </c>
      <c r="AA139" s="32">
        <f t="shared" si="26"/>
        <v>1</v>
      </c>
    </row>
    <row r="140" spans="1:27" x14ac:dyDescent="0.45">
      <c r="A140">
        <v>6</v>
      </c>
      <c r="B140">
        <v>6</v>
      </c>
      <c r="C140" s="32">
        <f t="shared" si="18"/>
        <v>0</v>
      </c>
      <c r="D140">
        <v>5</v>
      </c>
      <c r="E140">
        <v>7</v>
      </c>
      <c r="F140" s="32">
        <f t="shared" si="19"/>
        <v>2</v>
      </c>
      <c r="G140">
        <v>7</v>
      </c>
      <c r="H140">
        <v>5</v>
      </c>
      <c r="I140" s="32">
        <f t="shared" si="20"/>
        <v>2</v>
      </c>
      <c r="J140">
        <v>7</v>
      </c>
      <c r="K140">
        <v>7</v>
      </c>
      <c r="L140" s="32">
        <f t="shared" si="21"/>
        <v>0</v>
      </c>
      <c r="M140">
        <v>6</v>
      </c>
      <c r="N140">
        <v>6</v>
      </c>
      <c r="O140" s="32">
        <f t="shared" si="22"/>
        <v>0</v>
      </c>
      <c r="P140">
        <v>6</v>
      </c>
      <c r="Q140">
        <v>6</v>
      </c>
      <c r="R140" s="32">
        <f t="shared" si="23"/>
        <v>0</v>
      </c>
      <c r="S140">
        <v>5</v>
      </c>
      <c r="T140">
        <v>5</v>
      </c>
      <c r="U140" s="32">
        <f t="shared" si="24"/>
        <v>0</v>
      </c>
      <c r="V140">
        <v>6</v>
      </c>
      <c r="W140">
        <v>6</v>
      </c>
      <c r="X140" s="32">
        <f t="shared" si="25"/>
        <v>0</v>
      </c>
      <c r="Y140">
        <v>7</v>
      </c>
      <c r="Z140">
        <v>6</v>
      </c>
      <c r="AA140" s="32">
        <f t="shared" si="26"/>
        <v>1</v>
      </c>
    </row>
    <row r="141" spans="1:27" x14ac:dyDescent="0.45">
      <c r="A141">
        <v>6</v>
      </c>
      <c r="B141">
        <v>6</v>
      </c>
      <c r="C141" s="32">
        <f t="shared" si="18"/>
        <v>0</v>
      </c>
      <c r="D141">
        <v>5</v>
      </c>
      <c r="E141">
        <v>7</v>
      </c>
      <c r="F141" s="32">
        <f t="shared" si="19"/>
        <v>2</v>
      </c>
      <c r="G141">
        <v>7</v>
      </c>
      <c r="H141">
        <v>5</v>
      </c>
      <c r="I141" s="32">
        <f t="shared" si="20"/>
        <v>2</v>
      </c>
      <c r="J141">
        <v>7</v>
      </c>
      <c r="K141">
        <v>7</v>
      </c>
      <c r="L141" s="32">
        <f t="shared" si="21"/>
        <v>0</v>
      </c>
      <c r="M141">
        <v>6</v>
      </c>
      <c r="N141">
        <v>6</v>
      </c>
      <c r="O141" s="32">
        <f t="shared" si="22"/>
        <v>0</v>
      </c>
      <c r="P141">
        <v>6</v>
      </c>
      <c r="Q141">
        <v>6</v>
      </c>
      <c r="R141" s="32">
        <f t="shared" si="23"/>
        <v>0</v>
      </c>
      <c r="S141">
        <v>6</v>
      </c>
      <c r="T141">
        <v>5</v>
      </c>
      <c r="U141" s="32">
        <f t="shared" si="24"/>
        <v>1</v>
      </c>
      <c r="V141">
        <v>6</v>
      </c>
      <c r="W141">
        <v>6</v>
      </c>
      <c r="X141" s="32">
        <f t="shared" si="25"/>
        <v>0</v>
      </c>
      <c r="Y141">
        <v>7</v>
      </c>
      <c r="Z141">
        <v>6</v>
      </c>
      <c r="AA141" s="32">
        <f t="shared" si="26"/>
        <v>1</v>
      </c>
    </row>
    <row r="142" spans="1:27" x14ac:dyDescent="0.45">
      <c r="A142">
        <v>6</v>
      </c>
      <c r="B142">
        <v>6</v>
      </c>
      <c r="C142" s="32">
        <f t="shared" si="18"/>
        <v>0</v>
      </c>
      <c r="D142">
        <v>5</v>
      </c>
      <c r="E142">
        <v>7</v>
      </c>
      <c r="F142" s="32">
        <f t="shared" si="19"/>
        <v>2</v>
      </c>
      <c r="G142">
        <v>7</v>
      </c>
      <c r="H142">
        <v>5</v>
      </c>
      <c r="I142" s="32">
        <f t="shared" si="20"/>
        <v>2</v>
      </c>
      <c r="J142">
        <v>7</v>
      </c>
      <c r="K142">
        <v>7</v>
      </c>
      <c r="L142" s="32">
        <f t="shared" si="21"/>
        <v>0</v>
      </c>
      <c r="M142">
        <v>6</v>
      </c>
      <c r="N142">
        <v>6</v>
      </c>
      <c r="O142" s="32">
        <f t="shared" si="22"/>
        <v>0</v>
      </c>
      <c r="P142">
        <v>6</v>
      </c>
      <c r="Q142">
        <v>6</v>
      </c>
      <c r="R142" s="32">
        <f t="shared" si="23"/>
        <v>0</v>
      </c>
      <c r="S142">
        <v>6</v>
      </c>
      <c r="T142">
        <v>5</v>
      </c>
      <c r="U142" s="32">
        <f t="shared" si="24"/>
        <v>1</v>
      </c>
      <c r="V142">
        <v>6</v>
      </c>
      <c r="W142">
        <v>6</v>
      </c>
      <c r="X142" s="32">
        <f t="shared" si="25"/>
        <v>0</v>
      </c>
      <c r="Y142">
        <v>7</v>
      </c>
      <c r="Z142">
        <v>6</v>
      </c>
      <c r="AA142" s="32">
        <f t="shared" si="26"/>
        <v>1</v>
      </c>
    </row>
    <row r="143" spans="1:27" x14ac:dyDescent="0.45">
      <c r="A143">
        <v>6</v>
      </c>
      <c r="B143">
        <v>6</v>
      </c>
      <c r="C143" s="32">
        <f t="shared" si="18"/>
        <v>0</v>
      </c>
      <c r="D143">
        <v>5</v>
      </c>
      <c r="E143">
        <v>7</v>
      </c>
      <c r="F143" s="32">
        <f t="shared" si="19"/>
        <v>2</v>
      </c>
      <c r="G143">
        <v>7</v>
      </c>
      <c r="H143">
        <v>5</v>
      </c>
      <c r="I143" s="32">
        <f t="shared" si="20"/>
        <v>2</v>
      </c>
      <c r="J143">
        <v>7</v>
      </c>
      <c r="K143">
        <v>7</v>
      </c>
      <c r="L143" s="32">
        <f t="shared" si="21"/>
        <v>0</v>
      </c>
      <c r="M143">
        <v>6</v>
      </c>
      <c r="N143">
        <v>6</v>
      </c>
      <c r="O143" s="32">
        <f t="shared" si="22"/>
        <v>0</v>
      </c>
      <c r="P143">
        <v>7</v>
      </c>
      <c r="Q143">
        <v>6</v>
      </c>
      <c r="R143" s="32">
        <f t="shared" si="23"/>
        <v>1</v>
      </c>
      <c r="S143">
        <v>6</v>
      </c>
      <c r="T143">
        <v>5</v>
      </c>
      <c r="U143" s="32">
        <f t="shared" si="24"/>
        <v>1</v>
      </c>
      <c r="V143">
        <v>6</v>
      </c>
      <c r="W143">
        <v>6</v>
      </c>
      <c r="X143" s="32">
        <f t="shared" si="25"/>
        <v>0</v>
      </c>
      <c r="Y143">
        <v>7</v>
      </c>
      <c r="Z143">
        <v>6</v>
      </c>
      <c r="AA143" s="32">
        <f t="shared" si="26"/>
        <v>1</v>
      </c>
    </row>
    <row r="144" spans="1:27" x14ac:dyDescent="0.45">
      <c r="A144">
        <v>6</v>
      </c>
      <c r="B144">
        <v>6</v>
      </c>
      <c r="C144" s="32">
        <f t="shared" si="18"/>
        <v>0</v>
      </c>
      <c r="D144">
        <v>5</v>
      </c>
      <c r="E144">
        <v>7</v>
      </c>
      <c r="F144" s="32">
        <f t="shared" si="19"/>
        <v>2</v>
      </c>
      <c r="G144">
        <v>7</v>
      </c>
      <c r="H144">
        <v>5</v>
      </c>
      <c r="I144" s="32">
        <f t="shared" si="20"/>
        <v>2</v>
      </c>
      <c r="J144">
        <v>7</v>
      </c>
      <c r="K144">
        <v>7</v>
      </c>
      <c r="L144" s="32">
        <f t="shared" si="21"/>
        <v>0</v>
      </c>
      <c r="M144">
        <v>6</v>
      </c>
      <c r="N144">
        <v>6</v>
      </c>
      <c r="O144" s="32">
        <f t="shared" si="22"/>
        <v>0</v>
      </c>
      <c r="P144">
        <v>7</v>
      </c>
      <c r="Q144">
        <v>6</v>
      </c>
      <c r="R144" s="32">
        <f t="shared" si="23"/>
        <v>1</v>
      </c>
      <c r="S144">
        <v>6</v>
      </c>
      <c r="T144">
        <v>5</v>
      </c>
      <c r="U144" s="32">
        <f t="shared" si="24"/>
        <v>1</v>
      </c>
      <c r="V144">
        <v>6</v>
      </c>
      <c r="W144">
        <v>6</v>
      </c>
      <c r="X144" s="32">
        <f t="shared" si="25"/>
        <v>0</v>
      </c>
      <c r="Y144">
        <v>7</v>
      </c>
      <c r="Z144">
        <v>6</v>
      </c>
      <c r="AA144" s="32">
        <f t="shared" si="26"/>
        <v>1</v>
      </c>
    </row>
    <row r="145" spans="1:27" x14ac:dyDescent="0.45">
      <c r="A145">
        <v>6</v>
      </c>
      <c r="B145">
        <v>6</v>
      </c>
      <c r="C145" s="32">
        <f t="shared" si="18"/>
        <v>0</v>
      </c>
      <c r="D145">
        <v>5</v>
      </c>
      <c r="E145">
        <v>7</v>
      </c>
      <c r="F145" s="32">
        <f t="shared" si="19"/>
        <v>2</v>
      </c>
      <c r="G145">
        <v>7</v>
      </c>
      <c r="H145">
        <v>5</v>
      </c>
      <c r="I145" s="32">
        <f t="shared" si="20"/>
        <v>2</v>
      </c>
      <c r="J145">
        <v>7</v>
      </c>
      <c r="K145">
        <v>7</v>
      </c>
      <c r="L145" s="32">
        <f t="shared" si="21"/>
        <v>0</v>
      </c>
      <c r="M145">
        <v>6</v>
      </c>
      <c r="N145">
        <v>6</v>
      </c>
      <c r="O145" s="32">
        <f t="shared" si="22"/>
        <v>0</v>
      </c>
      <c r="P145">
        <v>7</v>
      </c>
      <c r="Q145">
        <v>6</v>
      </c>
      <c r="R145" s="32">
        <f t="shared" si="23"/>
        <v>1</v>
      </c>
      <c r="S145">
        <v>6</v>
      </c>
      <c r="T145">
        <v>5</v>
      </c>
      <c r="U145" s="32">
        <f t="shared" si="24"/>
        <v>1</v>
      </c>
      <c r="V145">
        <v>6</v>
      </c>
      <c r="W145">
        <v>6</v>
      </c>
      <c r="X145" s="32">
        <f t="shared" si="25"/>
        <v>0</v>
      </c>
      <c r="Y145">
        <v>7</v>
      </c>
      <c r="Z145">
        <v>6</v>
      </c>
      <c r="AA145" s="32">
        <f t="shared" si="26"/>
        <v>1</v>
      </c>
    </row>
    <row r="146" spans="1:27" x14ac:dyDescent="0.45">
      <c r="A146">
        <v>6</v>
      </c>
      <c r="B146">
        <v>6</v>
      </c>
      <c r="C146" s="32">
        <f t="shared" si="18"/>
        <v>0</v>
      </c>
      <c r="D146">
        <v>5</v>
      </c>
      <c r="E146">
        <v>7</v>
      </c>
      <c r="F146" s="32">
        <f t="shared" si="19"/>
        <v>2</v>
      </c>
      <c r="G146">
        <v>7</v>
      </c>
      <c r="H146">
        <v>5</v>
      </c>
      <c r="I146" s="32">
        <f t="shared" si="20"/>
        <v>2</v>
      </c>
      <c r="J146">
        <v>7</v>
      </c>
      <c r="K146">
        <v>7</v>
      </c>
      <c r="L146" s="32">
        <f t="shared" si="21"/>
        <v>0</v>
      </c>
      <c r="M146">
        <v>6</v>
      </c>
      <c r="N146">
        <v>6</v>
      </c>
      <c r="O146" s="32">
        <f t="shared" si="22"/>
        <v>0</v>
      </c>
      <c r="P146">
        <v>7</v>
      </c>
      <c r="Q146">
        <v>6</v>
      </c>
      <c r="R146" s="32">
        <f t="shared" si="23"/>
        <v>1</v>
      </c>
      <c r="S146">
        <v>6</v>
      </c>
      <c r="T146">
        <v>5</v>
      </c>
      <c r="U146" s="32">
        <f t="shared" si="24"/>
        <v>1</v>
      </c>
      <c r="V146">
        <v>6</v>
      </c>
      <c r="W146">
        <v>6</v>
      </c>
      <c r="X146" s="32">
        <f t="shared" si="25"/>
        <v>0</v>
      </c>
      <c r="Y146">
        <v>7</v>
      </c>
      <c r="Z146">
        <v>6</v>
      </c>
      <c r="AA146" s="32">
        <f t="shared" si="26"/>
        <v>1</v>
      </c>
    </row>
    <row r="147" spans="1:27" x14ac:dyDescent="0.45">
      <c r="A147">
        <v>6</v>
      </c>
      <c r="B147">
        <v>6</v>
      </c>
      <c r="C147" s="32">
        <f t="shared" si="18"/>
        <v>0</v>
      </c>
      <c r="D147">
        <v>5</v>
      </c>
      <c r="E147">
        <v>7</v>
      </c>
      <c r="F147" s="32">
        <f t="shared" si="19"/>
        <v>2</v>
      </c>
      <c r="G147">
        <v>7</v>
      </c>
      <c r="H147">
        <v>5</v>
      </c>
      <c r="I147" s="32">
        <f t="shared" si="20"/>
        <v>2</v>
      </c>
      <c r="J147">
        <v>7</v>
      </c>
      <c r="K147">
        <v>7</v>
      </c>
      <c r="L147" s="32">
        <f t="shared" si="21"/>
        <v>0</v>
      </c>
      <c r="M147">
        <v>6</v>
      </c>
      <c r="N147">
        <v>6</v>
      </c>
      <c r="O147" s="32">
        <f t="shared" si="22"/>
        <v>0</v>
      </c>
      <c r="P147">
        <v>7</v>
      </c>
      <c r="Q147">
        <v>6</v>
      </c>
      <c r="R147" s="32">
        <f t="shared" si="23"/>
        <v>1</v>
      </c>
      <c r="S147">
        <v>6</v>
      </c>
      <c r="T147">
        <v>5</v>
      </c>
      <c r="U147" s="32">
        <f t="shared" si="24"/>
        <v>1</v>
      </c>
      <c r="V147">
        <v>6</v>
      </c>
      <c r="W147">
        <v>6</v>
      </c>
      <c r="X147" s="32">
        <f t="shared" si="25"/>
        <v>0</v>
      </c>
      <c r="Y147">
        <v>7</v>
      </c>
      <c r="Z147">
        <v>6</v>
      </c>
      <c r="AA147" s="32">
        <f t="shared" si="26"/>
        <v>1</v>
      </c>
    </row>
    <row r="148" spans="1:27" x14ac:dyDescent="0.45">
      <c r="A148">
        <v>6</v>
      </c>
      <c r="B148">
        <v>6</v>
      </c>
      <c r="C148" s="32">
        <f t="shared" si="18"/>
        <v>0</v>
      </c>
      <c r="D148">
        <v>5</v>
      </c>
      <c r="E148">
        <v>7</v>
      </c>
      <c r="F148" s="32">
        <f t="shared" si="19"/>
        <v>2</v>
      </c>
      <c r="G148">
        <v>7</v>
      </c>
      <c r="H148">
        <v>5</v>
      </c>
      <c r="I148" s="32">
        <f t="shared" si="20"/>
        <v>2</v>
      </c>
      <c r="J148">
        <v>7</v>
      </c>
      <c r="K148">
        <v>7</v>
      </c>
      <c r="L148" s="32">
        <f t="shared" si="21"/>
        <v>0</v>
      </c>
      <c r="M148">
        <v>6</v>
      </c>
      <c r="N148">
        <v>6</v>
      </c>
      <c r="O148" s="32">
        <f t="shared" si="22"/>
        <v>0</v>
      </c>
      <c r="P148">
        <v>7</v>
      </c>
      <c r="Q148">
        <v>6</v>
      </c>
      <c r="R148" s="32">
        <f t="shared" si="23"/>
        <v>1</v>
      </c>
      <c r="S148">
        <v>6</v>
      </c>
      <c r="T148">
        <v>5</v>
      </c>
      <c r="U148" s="32">
        <f t="shared" si="24"/>
        <v>1</v>
      </c>
      <c r="V148">
        <v>6</v>
      </c>
      <c r="W148">
        <v>6</v>
      </c>
      <c r="X148" s="32">
        <f t="shared" si="25"/>
        <v>0</v>
      </c>
      <c r="Y148">
        <v>7</v>
      </c>
      <c r="Z148">
        <v>6</v>
      </c>
      <c r="AA148" s="32">
        <f t="shared" si="26"/>
        <v>1</v>
      </c>
    </row>
    <row r="149" spans="1:27" x14ac:dyDescent="0.45">
      <c r="A149">
        <v>6</v>
      </c>
      <c r="B149">
        <v>6</v>
      </c>
      <c r="C149" s="32">
        <f t="shared" si="18"/>
        <v>0</v>
      </c>
      <c r="D149">
        <v>5</v>
      </c>
      <c r="E149">
        <v>7</v>
      </c>
      <c r="F149" s="32">
        <f t="shared" si="19"/>
        <v>2</v>
      </c>
      <c r="G149">
        <v>7</v>
      </c>
      <c r="H149">
        <v>5</v>
      </c>
      <c r="I149" s="32">
        <f t="shared" si="20"/>
        <v>2</v>
      </c>
      <c r="J149">
        <v>7</v>
      </c>
      <c r="K149">
        <v>7</v>
      </c>
      <c r="L149" s="32">
        <f t="shared" si="21"/>
        <v>0</v>
      </c>
      <c r="M149">
        <v>6</v>
      </c>
      <c r="N149">
        <v>6</v>
      </c>
      <c r="O149" s="32">
        <f t="shared" si="22"/>
        <v>0</v>
      </c>
      <c r="P149">
        <v>7</v>
      </c>
      <c r="Q149">
        <v>6</v>
      </c>
      <c r="R149" s="32">
        <f t="shared" si="23"/>
        <v>1</v>
      </c>
      <c r="S149">
        <v>6</v>
      </c>
      <c r="T149">
        <v>5</v>
      </c>
      <c r="U149" s="32">
        <f t="shared" si="24"/>
        <v>1</v>
      </c>
      <c r="V149">
        <v>6</v>
      </c>
      <c r="W149">
        <v>6</v>
      </c>
      <c r="X149" s="32">
        <f t="shared" si="25"/>
        <v>0</v>
      </c>
      <c r="Y149">
        <v>7</v>
      </c>
      <c r="Z149">
        <v>6</v>
      </c>
      <c r="AA149" s="32">
        <f t="shared" si="26"/>
        <v>1</v>
      </c>
    </row>
    <row r="150" spans="1:27" x14ac:dyDescent="0.45">
      <c r="A150">
        <v>6</v>
      </c>
      <c r="B150">
        <v>6</v>
      </c>
      <c r="C150" s="32">
        <f t="shared" si="18"/>
        <v>0</v>
      </c>
      <c r="D150">
        <v>5</v>
      </c>
      <c r="E150">
        <v>7</v>
      </c>
      <c r="F150" s="32">
        <f t="shared" si="19"/>
        <v>2</v>
      </c>
      <c r="G150">
        <v>7</v>
      </c>
      <c r="H150">
        <v>5</v>
      </c>
      <c r="I150" s="32">
        <f t="shared" si="20"/>
        <v>2</v>
      </c>
      <c r="J150">
        <v>7</v>
      </c>
      <c r="K150">
        <v>7</v>
      </c>
      <c r="L150" s="32">
        <f t="shared" si="21"/>
        <v>0</v>
      </c>
      <c r="M150">
        <v>6</v>
      </c>
      <c r="N150">
        <v>6</v>
      </c>
      <c r="O150" s="32">
        <f t="shared" si="22"/>
        <v>0</v>
      </c>
      <c r="P150">
        <v>7</v>
      </c>
      <c r="Q150">
        <v>6</v>
      </c>
      <c r="R150" s="32">
        <f t="shared" si="23"/>
        <v>1</v>
      </c>
      <c r="S150">
        <v>6</v>
      </c>
      <c r="T150">
        <v>5</v>
      </c>
      <c r="U150" s="32">
        <f t="shared" si="24"/>
        <v>1</v>
      </c>
      <c r="V150">
        <v>6</v>
      </c>
      <c r="W150">
        <v>6</v>
      </c>
      <c r="X150" s="32">
        <f t="shared" si="25"/>
        <v>0</v>
      </c>
      <c r="Y150">
        <v>7</v>
      </c>
      <c r="Z150">
        <v>6</v>
      </c>
      <c r="AA150" s="32">
        <f t="shared" si="26"/>
        <v>1</v>
      </c>
    </row>
    <row r="151" spans="1:27" x14ac:dyDescent="0.45">
      <c r="A151">
        <v>6</v>
      </c>
      <c r="B151">
        <v>6</v>
      </c>
      <c r="C151" s="32">
        <f t="shared" si="18"/>
        <v>0</v>
      </c>
      <c r="D151">
        <v>5</v>
      </c>
      <c r="E151">
        <v>7</v>
      </c>
      <c r="F151" s="32">
        <f t="shared" si="19"/>
        <v>2</v>
      </c>
      <c r="G151">
        <v>7</v>
      </c>
      <c r="H151">
        <v>5</v>
      </c>
      <c r="I151" s="32">
        <f t="shared" si="20"/>
        <v>2</v>
      </c>
      <c r="J151">
        <v>7</v>
      </c>
      <c r="K151">
        <v>7</v>
      </c>
      <c r="L151" s="32">
        <f t="shared" si="21"/>
        <v>0</v>
      </c>
      <c r="M151">
        <v>6</v>
      </c>
      <c r="N151">
        <v>6</v>
      </c>
      <c r="O151" s="32">
        <f t="shared" si="22"/>
        <v>0</v>
      </c>
      <c r="P151">
        <v>7</v>
      </c>
      <c r="Q151">
        <v>6</v>
      </c>
      <c r="R151" s="32">
        <f t="shared" si="23"/>
        <v>1</v>
      </c>
      <c r="S151">
        <v>6</v>
      </c>
      <c r="T151">
        <v>5</v>
      </c>
      <c r="U151" s="32">
        <f t="shared" si="24"/>
        <v>1</v>
      </c>
      <c r="V151">
        <v>6</v>
      </c>
      <c r="W151">
        <v>6</v>
      </c>
      <c r="X151" s="32">
        <f t="shared" si="25"/>
        <v>0</v>
      </c>
      <c r="Y151">
        <v>7</v>
      </c>
      <c r="Z151">
        <v>6</v>
      </c>
      <c r="AA151" s="32">
        <f t="shared" si="26"/>
        <v>1</v>
      </c>
    </row>
    <row r="152" spans="1:27" x14ac:dyDescent="0.45">
      <c r="A152">
        <v>6</v>
      </c>
      <c r="B152">
        <v>6</v>
      </c>
      <c r="C152" s="32">
        <f t="shared" si="18"/>
        <v>0</v>
      </c>
      <c r="D152">
        <v>5</v>
      </c>
      <c r="E152">
        <v>7</v>
      </c>
      <c r="F152" s="32">
        <f t="shared" si="19"/>
        <v>2</v>
      </c>
      <c r="G152">
        <v>7</v>
      </c>
      <c r="H152">
        <v>5</v>
      </c>
      <c r="I152" s="32">
        <f t="shared" si="20"/>
        <v>2</v>
      </c>
      <c r="J152">
        <v>7</v>
      </c>
      <c r="K152">
        <v>7</v>
      </c>
      <c r="L152" s="32">
        <f t="shared" si="21"/>
        <v>0</v>
      </c>
      <c r="M152">
        <v>6</v>
      </c>
      <c r="N152">
        <v>6</v>
      </c>
      <c r="O152" s="32">
        <f t="shared" si="22"/>
        <v>0</v>
      </c>
      <c r="P152">
        <v>7</v>
      </c>
      <c r="Q152">
        <v>6</v>
      </c>
      <c r="R152" s="32">
        <f t="shared" si="23"/>
        <v>1</v>
      </c>
      <c r="S152">
        <v>6</v>
      </c>
      <c r="T152">
        <v>5</v>
      </c>
      <c r="U152" s="32">
        <f t="shared" si="24"/>
        <v>1</v>
      </c>
      <c r="V152">
        <v>6</v>
      </c>
      <c r="W152">
        <v>6</v>
      </c>
      <c r="X152" s="32">
        <f t="shared" si="25"/>
        <v>0</v>
      </c>
      <c r="Y152">
        <v>7</v>
      </c>
      <c r="Z152">
        <v>6</v>
      </c>
      <c r="AA152" s="32">
        <f t="shared" si="26"/>
        <v>1</v>
      </c>
    </row>
    <row r="153" spans="1:27" x14ac:dyDescent="0.45">
      <c r="A153">
        <v>6</v>
      </c>
      <c r="B153">
        <v>6</v>
      </c>
      <c r="C153" s="32">
        <f t="shared" si="18"/>
        <v>0</v>
      </c>
      <c r="D153">
        <v>5</v>
      </c>
      <c r="E153">
        <v>7</v>
      </c>
      <c r="F153" s="32">
        <f t="shared" si="19"/>
        <v>2</v>
      </c>
      <c r="G153">
        <v>7</v>
      </c>
      <c r="H153">
        <v>5</v>
      </c>
      <c r="I153" s="32">
        <f t="shared" si="20"/>
        <v>2</v>
      </c>
      <c r="J153">
        <v>7</v>
      </c>
      <c r="K153">
        <v>7</v>
      </c>
      <c r="L153" s="32">
        <f t="shared" si="21"/>
        <v>0</v>
      </c>
      <c r="M153">
        <v>6</v>
      </c>
      <c r="N153">
        <v>6</v>
      </c>
      <c r="O153" s="32">
        <f t="shared" si="22"/>
        <v>0</v>
      </c>
      <c r="P153">
        <v>7</v>
      </c>
      <c r="Q153">
        <v>6</v>
      </c>
      <c r="R153" s="32">
        <f t="shared" si="23"/>
        <v>1</v>
      </c>
      <c r="S153">
        <v>6</v>
      </c>
      <c r="T153">
        <v>5</v>
      </c>
      <c r="U153" s="32">
        <f t="shared" si="24"/>
        <v>1</v>
      </c>
      <c r="V153">
        <v>6</v>
      </c>
      <c r="W153">
        <v>6</v>
      </c>
      <c r="X153" s="32">
        <f t="shared" si="25"/>
        <v>0</v>
      </c>
      <c r="Y153">
        <v>7</v>
      </c>
      <c r="Z153">
        <v>6</v>
      </c>
      <c r="AA153" s="32">
        <f t="shared" si="26"/>
        <v>1</v>
      </c>
    </row>
    <row r="154" spans="1:27" x14ac:dyDescent="0.45">
      <c r="A154">
        <v>6</v>
      </c>
      <c r="B154">
        <v>6</v>
      </c>
      <c r="C154" s="32">
        <f t="shared" si="18"/>
        <v>0</v>
      </c>
      <c r="D154">
        <v>5</v>
      </c>
      <c r="E154">
        <v>7</v>
      </c>
      <c r="F154" s="32">
        <f t="shared" si="19"/>
        <v>2</v>
      </c>
      <c r="G154">
        <v>8</v>
      </c>
      <c r="H154">
        <v>5</v>
      </c>
      <c r="I154" s="32">
        <f t="shared" si="20"/>
        <v>3</v>
      </c>
      <c r="J154">
        <v>7</v>
      </c>
      <c r="K154">
        <v>7</v>
      </c>
      <c r="L154" s="32">
        <f t="shared" si="21"/>
        <v>0</v>
      </c>
      <c r="M154">
        <v>6</v>
      </c>
      <c r="N154">
        <v>6</v>
      </c>
      <c r="O154" s="32">
        <f t="shared" si="22"/>
        <v>0</v>
      </c>
      <c r="P154">
        <v>7</v>
      </c>
      <c r="Q154">
        <v>6</v>
      </c>
      <c r="R154" s="32">
        <f t="shared" si="23"/>
        <v>1</v>
      </c>
      <c r="S154">
        <v>6</v>
      </c>
      <c r="T154">
        <v>5</v>
      </c>
      <c r="U154" s="32">
        <f t="shared" si="24"/>
        <v>1</v>
      </c>
      <c r="V154">
        <v>6</v>
      </c>
      <c r="W154">
        <v>6</v>
      </c>
      <c r="X154" s="32">
        <f t="shared" si="25"/>
        <v>0</v>
      </c>
      <c r="Y154">
        <v>7</v>
      </c>
      <c r="Z154">
        <v>6</v>
      </c>
      <c r="AA154" s="32">
        <f t="shared" si="26"/>
        <v>1</v>
      </c>
    </row>
    <row r="155" spans="1:27" x14ac:dyDescent="0.45">
      <c r="A155">
        <v>6</v>
      </c>
      <c r="B155">
        <v>6</v>
      </c>
      <c r="C155" s="32">
        <f t="shared" si="18"/>
        <v>0</v>
      </c>
      <c r="D155">
        <v>5</v>
      </c>
      <c r="E155">
        <v>7</v>
      </c>
      <c r="F155" s="32">
        <f t="shared" si="19"/>
        <v>2</v>
      </c>
      <c r="G155">
        <v>8</v>
      </c>
      <c r="H155">
        <v>5</v>
      </c>
      <c r="I155" s="32">
        <f t="shared" si="20"/>
        <v>3</v>
      </c>
      <c r="J155">
        <v>7</v>
      </c>
      <c r="K155">
        <v>7</v>
      </c>
      <c r="L155" s="32">
        <f t="shared" si="21"/>
        <v>0</v>
      </c>
      <c r="M155">
        <v>6</v>
      </c>
      <c r="N155">
        <v>6</v>
      </c>
      <c r="O155" s="32">
        <f t="shared" si="22"/>
        <v>0</v>
      </c>
      <c r="P155">
        <v>7</v>
      </c>
      <c r="Q155">
        <v>6</v>
      </c>
      <c r="R155" s="32">
        <f t="shared" si="23"/>
        <v>1</v>
      </c>
      <c r="S155">
        <v>6</v>
      </c>
      <c r="T155">
        <v>5</v>
      </c>
      <c r="U155" s="32">
        <f t="shared" si="24"/>
        <v>1</v>
      </c>
      <c r="V155">
        <v>6</v>
      </c>
      <c r="W155">
        <v>6</v>
      </c>
      <c r="X155" s="32">
        <f t="shared" si="25"/>
        <v>0</v>
      </c>
      <c r="Y155">
        <v>7</v>
      </c>
      <c r="Z155">
        <v>6</v>
      </c>
      <c r="AA155" s="32">
        <f t="shared" si="26"/>
        <v>1</v>
      </c>
    </row>
    <row r="156" spans="1:27" x14ac:dyDescent="0.45">
      <c r="A156">
        <v>6</v>
      </c>
      <c r="B156">
        <v>6</v>
      </c>
      <c r="C156" s="32">
        <f t="shared" si="18"/>
        <v>0</v>
      </c>
      <c r="D156">
        <v>5</v>
      </c>
      <c r="E156">
        <v>7</v>
      </c>
      <c r="F156" s="32">
        <f t="shared" si="19"/>
        <v>2</v>
      </c>
      <c r="G156">
        <v>8</v>
      </c>
      <c r="H156">
        <v>5</v>
      </c>
      <c r="I156" s="32">
        <f t="shared" si="20"/>
        <v>3</v>
      </c>
      <c r="J156">
        <v>7</v>
      </c>
      <c r="K156">
        <v>7</v>
      </c>
      <c r="L156" s="32">
        <f t="shared" si="21"/>
        <v>0</v>
      </c>
      <c r="M156">
        <v>6</v>
      </c>
      <c r="N156">
        <v>6</v>
      </c>
      <c r="O156" s="32">
        <f t="shared" si="22"/>
        <v>0</v>
      </c>
      <c r="P156">
        <v>7</v>
      </c>
      <c r="Q156">
        <v>6</v>
      </c>
      <c r="R156" s="32">
        <f t="shared" si="23"/>
        <v>1</v>
      </c>
      <c r="S156">
        <v>6</v>
      </c>
      <c r="T156">
        <v>5</v>
      </c>
      <c r="U156" s="32">
        <f t="shared" si="24"/>
        <v>1</v>
      </c>
      <c r="V156">
        <v>6</v>
      </c>
      <c r="W156">
        <v>6</v>
      </c>
      <c r="X156" s="32">
        <f t="shared" si="25"/>
        <v>0</v>
      </c>
      <c r="Y156">
        <v>7</v>
      </c>
      <c r="Z156">
        <v>7</v>
      </c>
      <c r="AA156" s="32">
        <f t="shared" si="26"/>
        <v>0</v>
      </c>
    </row>
    <row r="157" spans="1:27" x14ac:dyDescent="0.45">
      <c r="A157">
        <v>6</v>
      </c>
      <c r="B157">
        <v>6</v>
      </c>
      <c r="C157" s="32">
        <f t="shared" si="18"/>
        <v>0</v>
      </c>
      <c r="D157">
        <v>5</v>
      </c>
      <c r="E157">
        <v>7</v>
      </c>
      <c r="F157" s="32">
        <f t="shared" si="19"/>
        <v>2</v>
      </c>
      <c r="G157">
        <v>8</v>
      </c>
      <c r="H157">
        <v>5</v>
      </c>
      <c r="I157" s="32">
        <f t="shared" si="20"/>
        <v>3</v>
      </c>
      <c r="J157">
        <v>7</v>
      </c>
      <c r="K157">
        <v>7</v>
      </c>
      <c r="L157" s="32">
        <f t="shared" si="21"/>
        <v>0</v>
      </c>
      <c r="M157">
        <v>6</v>
      </c>
      <c r="N157">
        <v>6</v>
      </c>
      <c r="O157" s="32">
        <f t="shared" si="22"/>
        <v>0</v>
      </c>
      <c r="P157">
        <v>7</v>
      </c>
      <c r="Q157">
        <v>6</v>
      </c>
      <c r="R157" s="32">
        <f t="shared" si="23"/>
        <v>1</v>
      </c>
      <c r="S157">
        <v>6</v>
      </c>
      <c r="T157">
        <v>5</v>
      </c>
      <c r="U157" s="32">
        <f t="shared" si="24"/>
        <v>1</v>
      </c>
      <c r="V157">
        <v>6</v>
      </c>
      <c r="W157">
        <v>6</v>
      </c>
      <c r="X157" s="32">
        <f t="shared" si="25"/>
        <v>0</v>
      </c>
      <c r="Y157">
        <v>7</v>
      </c>
      <c r="Z157">
        <v>7</v>
      </c>
      <c r="AA157" s="32">
        <f t="shared" si="26"/>
        <v>0</v>
      </c>
    </row>
    <row r="158" spans="1:27" x14ac:dyDescent="0.45">
      <c r="A158">
        <v>6</v>
      </c>
      <c r="B158">
        <v>6</v>
      </c>
      <c r="C158" s="32">
        <f t="shared" si="18"/>
        <v>0</v>
      </c>
      <c r="D158">
        <v>5</v>
      </c>
      <c r="E158">
        <v>7</v>
      </c>
      <c r="F158" s="32">
        <f t="shared" si="19"/>
        <v>2</v>
      </c>
      <c r="G158">
        <v>8</v>
      </c>
      <c r="H158">
        <v>5</v>
      </c>
      <c r="I158" s="32">
        <f t="shared" si="20"/>
        <v>3</v>
      </c>
      <c r="J158">
        <v>7</v>
      </c>
      <c r="K158">
        <v>7</v>
      </c>
      <c r="L158" s="32">
        <f t="shared" si="21"/>
        <v>0</v>
      </c>
      <c r="M158">
        <v>6</v>
      </c>
      <c r="N158">
        <v>6</v>
      </c>
      <c r="O158" s="32">
        <f t="shared" si="22"/>
        <v>0</v>
      </c>
      <c r="P158">
        <v>7</v>
      </c>
      <c r="Q158">
        <v>6</v>
      </c>
      <c r="R158" s="32">
        <f t="shared" si="23"/>
        <v>1</v>
      </c>
      <c r="S158">
        <v>6</v>
      </c>
      <c r="T158">
        <v>5</v>
      </c>
      <c r="U158" s="32">
        <f t="shared" si="24"/>
        <v>1</v>
      </c>
      <c r="V158">
        <v>6</v>
      </c>
      <c r="W158">
        <v>6</v>
      </c>
      <c r="X158" s="32">
        <f t="shared" si="25"/>
        <v>0</v>
      </c>
      <c r="Y158">
        <v>7</v>
      </c>
      <c r="Z158">
        <v>7</v>
      </c>
      <c r="AA158" s="32">
        <f t="shared" si="26"/>
        <v>0</v>
      </c>
    </row>
    <row r="159" spans="1:27" x14ac:dyDescent="0.45">
      <c r="A159">
        <v>6</v>
      </c>
      <c r="B159">
        <v>7</v>
      </c>
      <c r="C159" s="32">
        <f t="shared" si="18"/>
        <v>1</v>
      </c>
      <c r="D159">
        <v>5</v>
      </c>
      <c r="E159">
        <v>7</v>
      </c>
      <c r="F159" s="32">
        <f t="shared" si="19"/>
        <v>2</v>
      </c>
      <c r="G159">
        <v>8</v>
      </c>
      <c r="H159">
        <v>5</v>
      </c>
      <c r="I159" s="32">
        <f t="shared" si="20"/>
        <v>3</v>
      </c>
      <c r="J159">
        <v>7</v>
      </c>
      <c r="K159">
        <v>7</v>
      </c>
      <c r="L159" s="32">
        <f t="shared" si="21"/>
        <v>0</v>
      </c>
      <c r="M159">
        <v>6</v>
      </c>
      <c r="N159">
        <v>6</v>
      </c>
      <c r="O159" s="32">
        <f t="shared" si="22"/>
        <v>0</v>
      </c>
      <c r="P159">
        <v>7</v>
      </c>
      <c r="Q159">
        <v>6</v>
      </c>
      <c r="R159" s="32">
        <f t="shared" si="23"/>
        <v>1</v>
      </c>
      <c r="S159">
        <v>6</v>
      </c>
      <c r="T159">
        <v>5</v>
      </c>
      <c r="U159" s="32">
        <f t="shared" si="24"/>
        <v>1</v>
      </c>
      <c r="V159">
        <v>6</v>
      </c>
      <c r="W159">
        <v>6</v>
      </c>
      <c r="X159" s="32">
        <f t="shared" si="25"/>
        <v>0</v>
      </c>
      <c r="Y159">
        <v>7</v>
      </c>
      <c r="Z159">
        <v>7</v>
      </c>
      <c r="AA159" s="32">
        <f t="shared" si="26"/>
        <v>0</v>
      </c>
    </row>
    <row r="160" spans="1:27" x14ac:dyDescent="0.45">
      <c r="A160">
        <v>6</v>
      </c>
      <c r="B160">
        <v>7</v>
      </c>
      <c r="C160" s="32">
        <f t="shared" si="18"/>
        <v>1</v>
      </c>
      <c r="D160">
        <v>5</v>
      </c>
      <c r="E160">
        <v>7</v>
      </c>
      <c r="F160" s="32">
        <f t="shared" si="19"/>
        <v>2</v>
      </c>
      <c r="G160">
        <v>8</v>
      </c>
      <c r="H160">
        <v>5</v>
      </c>
      <c r="I160" s="32">
        <f t="shared" si="20"/>
        <v>3</v>
      </c>
      <c r="J160">
        <v>7</v>
      </c>
      <c r="K160">
        <v>7</v>
      </c>
      <c r="L160" s="32">
        <f t="shared" si="21"/>
        <v>0</v>
      </c>
      <c r="M160">
        <v>6</v>
      </c>
      <c r="N160">
        <v>6</v>
      </c>
      <c r="O160" s="32">
        <f t="shared" si="22"/>
        <v>0</v>
      </c>
      <c r="P160">
        <v>7</v>
      </c>
      <c r="Q160">
        <v>6</v>
      </c>
      <c r="R160" s="32">
        <f t="shared" si="23"/>
        <v>1</v>
      </c>
      <c r="S160">
        <v>6</v>
      </c>
      <c r="T160">
        <v>5</v>
      </c>
      <c r="U160" s="32">
        <f t="shared" si="24"/>
        <v>1</v>
      </c>
      <c r="V160">
        <v>6</v>
      </c>
      <c r="W160">
        <v>6</v>
      </c>
      <c r="X160" s="32">
        <f t="shared" si="25"/>
        <v>0</v>
      </c>
      <c r="Y160">
        <v>7</v>
      </c>
      <c r="Z160">
        <v>7</v>
      </c>
      <c r="AA160" s="32">
        <f t="shared" si="26"/>
        <v>0</v>
      </c>
    </row>
    <row r="161" spans="1:27" x14ac:dyDescent="0.45">
      <c r="A161">
        <v>6</v>
      </c>
      <c r="B161">
        <v>7</v>
      </c>
      <c r="C161" s="32">
        <f t="shared" si="18"/>
        <v>1</v>
      </c>
      <c r="D161">
        <v>5</v>
      </c>
      <c r="E161">
        <v>7</v>
      </c>
      <c r="F161" s="32">
        <f t="shared" si="19"/>
        <v>2</v>
      </c>
      <c r="G161">
        <v>8</v>
      </c>
      <c r="H161">
        <v>5</v>
      </c>
      <c r="I161" s="32">
        <f t="shared" si="20"/>
        <v>3</v>
      </c>
      <c r="J161">
        <v>7</v>
      </c>
      <c r="K161">
        <v>7</v>
      </c>
      <c r="L161" s="32">
        <f t="shared" si="21"/>
        <v>0</v>
      </c>
      <c r="M161">
        <v>6</v>
      </c>
      <c r="N161">
        <v>6</v>
      </c>
      <c r="O161" s="32">
        <f t="shared" si="22"/>
        <v>0</v>
      </c>
      <c r="P161">
        <v>7</v>
      </c>
      <c r="Q161">
        <v>6</v>
      </c>
      <c r="R161" s="32">
        <f t="shared" si="23"/>
        <v>1</v>
      </c>
      <c r="S161">
        <v>6</v>
      </c>
      <c r="T161">
        <v>5</v>
      </c>
      <c r="U161" s="32">
        <f t="shared" si="24"/>
        <v>1</v>
      </c>
      <c r="V161">
        <v>6</v>
      </c>
      <c r="W161">
        <v>6</v>
      </c>
      <c r="X161" s="32">
        <f t="shared" si="25"/>
        <v>0</v>
      </c>
      <c r="Y161">
        <v>7</v>
      </c>
      <c r="Z161">
        <v>7</v>
      </c>
      <c r="AA161" s="32">
        <f t="shared" si="26"/>
        <v>0</v>
      </c>
    </row>
    <row r="162" spans="1:27" x14ac:dyDescent="0.45">
      <c r="A162">
        <v>6</v>
      </c>
      <c r="B162">
        <v>7</v>
      </c>
      <c r="C162" s="32">
        <f t="shared" si="18"/>
        <v>1</v>
      </c>
      <c r="D162">
        <v>5</v>
      </c>
      <c r="E162">
        <v>7</v>
      </c>
      <c r="F162" s="32">
        <f t="shared" si="19"/>
        <v>2</v>
      </c>
      <c r="G162">
        <v>8</v>
      </c>
      <c r="H162">
        <v>5</v>
      </c>
      <c r="I162" s="32">
        <f t="shared" si="20"/>
        <v>3</v>
      </c>
      <c r="J162">
        <v>7</v>
      </c>
      <c r="K162">
        <v>7</v>
      </c>
      <c r="L162" s="32">
        <f t="shared" si="21"/>
        <v>0</v>
      </c>
      <c r="M162">
        <v>6</v>
      </c>
      <c r="N162">
        <v>6</v>
      </c>
      <c r="O162" s="32">
        <f t="shared" si="22"/>
        <v>0</v>
      </c>
      <c r="P162">
        <v>7</v>
      </c>
      <c r="Q162">
        <v>6</v>
      </c>
      <c r="R162" s="32">
        <f t="shared" si="23"/>
        <v>1</v>
      </c>
      <c r="S162">
        <v>6</v>
      </c>
      <c r="T162">
        <v>5</v>
      </c>
      <c r="U162" s="32">
        <f t="shared" si="24"/>
        <v>1</v>
      </c>
      <c r="V162">
        <v>6</v>
      </c>
      <c r="W162">
        <v>6</v>
      </c>
      <c r="X162" s="32">
        <f t="shared" si="25"/>
        <v>0</v>
      </c>
      <c r="Y162">
        <v>7</v>
      </c>
      <c r="Z162">
        <v>7</v>
      </c>
      <c r="AA162" s="32">
        <f t="shared" si="26"/>
        <v>0</v>
      </c>
    </row>
    <row r="163" spans="1:27" x14ac:dyDescent="0.45">
      <c r="A163">
        <v>6</v>
      </c>
      <c r="B163">
        <v>7</v>
      </c>
      <c r="C163" s="32">
        <f t="shared" si="18"/>
        <v>1</v>
      </c>
      <c r="D163">
        <v>5</v>
      </c>
      <c r="E163">
        <v>7</v>
      </c>
      <c r="F163" s="32">
        <f t="shared" si="19"/>
        <v>2</v>
      </c>
      <c r="G163">
        <v>8</v>
      </c>
      <c r="H163">
        <v>5</v>
      </c>
      <c r="I163" s="32">
        <f t="shared" si="20"/>
        <v>3</v>
      </c>
      <c r="J163">
        <v>7</v>
      </c>
      <c r="K163">
        <v>7</v>
      </c>
      <c r="L163" s="32">
        <f t="shared" si="21"/>
        <v>0</v>
      </c>
      <c r="M163">
        <v>6</v>
      </c>
      <c r="N163">
        <v>6</v>
      </c>
      <c r="O163" s="32">
        <f t="shared" si="22"/>
        <v>0</v>
      </c>
      <c r="P163">
        <v>7</v>
      </c>
      <c r="Q163">
        <v>6</v>
      </c>
      <c r="R163" s="32">
        <f t="shared" si="23"/>
        <v>1</v>
      </c>
      <c r="S163">
        <v>6</v>
      </c>
      <c r="T163">
        <v>5</v>
      </c>
      <c r="U163" s="32">
        <f t="shared" si="24"/>
        <v>1</v>
      </c>
      <c r="V163">
        <v>6</v>
      </c>
      <c r="W163">
        <v>6</v>
      </c>
      <c r="X163" s="32">
        <f t="shared" si="25"/>
        <v>0</v>
      </c>
      <c r="Y163">
        <v>7</v>
      </c>
      <c r="Z163">
        <v>7</v>
      </c>
      <c r="AA163" s="32">
        <f t="shared" si="26"/>
        <v>0</v>
      </c>
    </row>
    <row r="164" spans="1:27" x14ac:dyDescent="0.45">
      <c r="A164">
        <v>6</v>
      </c>
      <c r="B164">
        <v>7</v>
      </c>
      <c r="C164" s="32">
        <f t="shared" si="18"/>
        <v>1</v>
      </c>
      <c r="D164">
        <v>5</v>
      </c>
      <c r="E164">
        <v>7</v>
      </c>
      <c r="F164" s="32">
        <f t="shared" si="19"/>
        <v>2</v>
      </c>
      <c r="G164">
        <v>8</v>
      </c>
      <c r="H164">
        <v>5</v>
      </c>
      <c r="I164" s="32">
        <f t="shared" si="20"/>
        <v>3</v>
      </c>
      <c r="J164">
        <v>7</v>
      </c>
      <c r="K164">
        <v>7</v>
      </c>
      <c r="L164" s="32">
        <f t="shared" si="21"/>
        <v>0</v>
      </c>
      <c r="M164">
        <v>6</v>
      </c>
      <c r="N164">
        <v>6</v>
      </c>
      <c r="O164" s="32">
        <f t="shared" si="22"/>
        <v>0</v>
      </c>
      <c r="P164">
        <v>7</v>
      </c>
      <c r="Q164">
        <v>6</v>
      </c>
      <c r="R164" s="32">
        <f t="shared" si="23"/>
        <v>1</v>
      </c>
      <c r="S164">
        <v>6</v>
      </c>
      <c r="T164">
        <v>5</v>
      </c>
      <c r="U164" s="32">
        <f t="shared" si="24"/>
        <v>1</v>
      </c>
      <c r="V164">
        <v>6</v>
      </c>
      <c r="W164">
        <v>6</v>
      </c>
      <c r="X164" s="32">
        <f t="shared" si="25"/>
        <v>0</v>
      </c>
      <c r="Y164">
        <v>7</v>
      </c>
      <c r="Z164">
        <v>7</v>
      </c>
      <c r="AA164" s="32">
        <f t="shared" si="26"/>
        <v>0</v>
      </c>
    </row>
    <row r="165" spans="1:27" x14ac:dyDescent="0.45">
      <c r="A165">
        <v>6</v>
      </c>
      <c r="B165">
        <v>7</v>
      </c>
      <c r="C165" s="32">
        <f t="shared" si="18"/>
        <v>1</v>
      </c>
      <c r="D165">
        <v>5</v>
      </c>
      <c r="E165">
        <v>7</v>
      </c>
      <c r="F165" s="32">
        <f t="shared" si="19"/>
        <v>2</v>
      </c>
      <c r="G165">
        <v>8</v>
      </c>
      <c r="H165">
        <v>5</v>
      </c>
      <c r="I165" s="32">
        <f t="shared" si="20"/>
        <v>3</v>
      </c>
      <c r="J165">
        <v>7</v>
      </c>
      <c r="K165">
        <v>7</v>
      </c>
      <c r="L165" s="32">
        <f t="shared" si="21"/>
        <v>0</v>
      </c>
      <c r="M165">
        <v>6</v>
      </c>
      <c r="N165">
        <v>6</v>
      </c>
      <c r="O165" s="32">
        <f t="shared" si="22"/>
        <v>0</v>
      </c>
      <c r="P165">
        <v>7</v>
      </c>
      <c r="Q165">
        <v>6</v>
      </c>
      <c r="R165" s="32">
        <f t="shared" si="23"/>
        <v>1</v>
      </c>
      <c r="S165">
        <v>6</v>
      </c>
      <c r="T165">
        <v>5</v>
      </c>
      <c r="U165" s="32">
        <f t="shared" si="24"/>
        <v>1</v>
      </c>
      <c r="V165">
        <v>6</v>
      </c>
      <c r="W165">
        <v>6</v>
      </c>
      <c r="X165" s="32">
        <f t="shared" si="25"/>
        <v>0</v>
      </c>
      <c r="Y165">
        <v>7</v>
      </c>
      <c r="Z165">
        <v>7</v>
      </c>
      <c r="AA165" s="32">
        <f t="shared" si="26"/>
        <v>0</v>
      </c>
    </row>
    <row r="166" spans="1:27" x14ac:dyDescent="0.45">
      <c r="A166">
        <v>6</v>
      </c>
      <c r="B166">
        <v>7</v>
      </c>
      <c r="C166" s="32">
        <f t="shared" si="18"/>
        <v>1</v>
      </c>
      <c r="D166">
        <v>5</v>
      </c>
      <c r="E166">
        <v>7</v>
      </c>
      <c r="F166" s="32">
        <f t="shared" si="19"/>
        <v>2</v>
      </c>
      <c r="G166">
        <v>8</v>
      </c>
      <c r="H166">
        <v>5</v>
      </c>
      <c r="I166" s="32">
        <f t="shared" si="20"/>
        <v>3</v>
      </c>
      <c r="J166">
        <v>7</v>
      </c>
      <c r="K166">
        <v>7</v>
      </c>
      <c r="L166" s="32">
        <f t="shared" si="21"/>
        <v>0</v>
      </c>
      <c r="M166">
        <v>6</v>
      </c>
      <c r="N166">
        <v>6</v>
      </c>
      <c r="O166" s="32">
        <f t="shared" si="22"/>
        <v>0</v>
      </c>
      <c r="P166">
        <v>7</v>
      </c>
      <c r="Q166">
        <v>6</v>
      </c>
      <c r="R166" s="32">
        <f t="shared" si="23"/>
        <v>1</v>
      </c>
      <c r="S166">
        <v>6</v>
      </c>
      <c r="T166">
        <v>5</v>
      </c>
      <c r="U166" s="32">
        <f t="shared" si="24"/>
        <v>1</v>
      </c>
      <c r="V166">
        <v>6</v>
      </c>
      <c r="W166">
        <v>6</v>
      </c>
      <c r="X166" s="32">
        <f t="shared" si="25"/>
        <v>0</v>
      </c>
      <c r="Y166">
        <v>7</v>
      </c>
      <c r="Z166">
        <v>7</v>
      </c>
      <c r="AA166" s="32">
        <f t="shared" si="26"/>
        <v>0</v>
      </c>
    </row>
    <row r="167" spans="1:27" x14ac:dyDescent="0.45">
      <c r="A167">
        <v>6</v>
      </c>
      <c r="B167">
        <v>7</v>
      </c>
      <c r="C167" s="32">
        <f t="shared" si="18"/>
        <v>1</v>
      </c>
      <c r="D167">
        <v>5</v>
      </c>
      <c r="E167">
        <v>7</v>
      </c>
      <c r="F167" s="32">
        <f t="shared" si="19"/>
        <v>2</v>
      </c>
      <c r="G167">
        <v>8</v>
      </c>
      <c r="H167">
        <v>5</v>
      </c>
      <c r="I167" s="32">
        <f t="shared" si="20"/>
        <v>3</v>
      </c>
      <c r="J167">
        <v>7</v>
      </c>
      <c r="K167">
        <v>7</v>
      </c>
      <c r="L167" s="32">
        <f t="shared" si="21"/>
        <v>0</v>
      </c>
      <c r="M167">
        <v>6</v>
      </c>
      <c r="N167">
        <v>6</v>
      </c>
      <c r="O167" s="32">
        <f t="shared" si="22"/>
        <v>0</v>
      </c>
      <c r="P167">
        <v>7</v>
      </c>
      <c r="Q167">
        <v>6</v>
      </c>
      <c r="R167" s="32">
        <f t="shared" si="23"/>
        <v>1</v>
      </c>
      <c r="S167">
        <v>6</v>
      </c>
      <c r="T167">
        <v>5</v>
      </c>
      <c r="U167" s="32">
        <f t="shared" si="24"/>
        <v>1</v>
      </c>
      <c r="V167">
        <v>6</v>
      </c>
      <c r="W167">
        <v>6</v>
      </c>
      <c r="X167" s="32">
        <f t="shared" si="25"/>
        <v>0</v>
      </c>
      <c r="Y167">
        <v>7</v>
      </c>
      <c r="Z167">
        <v>7</v>
      </c>
      <c r="AA167" s="32">
        <f t="shared" si="26"/>
        <v>0</v>
      </c>
    </row>
    <row r="168" spans="1:27" x14ac:dyDescent="0.45">
      <c r="A168">
        <v>6</v>
      </c>
      <c r="B168">
        <v>7</v>
      </c>
      <c r="C168" s="32">
        <f t="shared" si="18"/>
        <v>1</v>
      </c>
      <c r="D168">
        <v>6</v>
      </c>
      <c r="E168">
        <v>7</v>
      </c>
      <c r="F168" s="32">
        <f t="shared" si="19"/>
        <v>1</v>
      </c>
      <c r="G168">
        <v>8</v>
      </c>
      <c r="H168">
        <v>5</v>
      </c>
      <c r="I168" s="32">
        <f t="shared" si="20"/>
        <v>3</v>
      </c>
      <c r="J168">
        <v>8</v>
      </c>
      <c r="K168">
        <v>7</v>
      </c>
      <c r="L168" s="32">
        <f t="shared" si="21"/>
        <v>1</v>
      </c>
      <c r="M168">
        <v>6</v>
      </c>
      <c r="N168">
        <v>6</v>
      </c>
      <c r="O168" s="32">
        <f t="shared" si="22"/>
        <v>0</v>
      </c>
      <c r="P168">
        <v>7</v>
      </c>
      <c r="Q168">
        <v>6</v>
      </c>
      <c r="R168" s="32">
        <f t="shared" si="23"/>
        <v>1</v>
      </c>
      <c r="S168">
        <v>6</v>
      </c>
      <c r="T168">
        <v>5</v>
      </c>
      <c r="U168" s="32">
        <f t="shared" si="24"/>
        <v>1</v>
      </c>
      <c r="V168">
        <v>6</v>
      </c>
      <c r="W168">
        <v>6</v>
      </c>
      <c r="X168" s="32">
        <f t="shared" si="25"/>
        <v>0</v>
      </c>
      <c r="Y168">
        <v>7</v>
      </c>
      <c r="Z168">
        <v>7</v>
      </c>
      <c r="AA168" s="32">
        <f t="shared" si="26"/>
        <v>0</v>
      </c>
    </row>
    <row r="169" spans="1:27" x14ac:dyDescent="0.45">
      <c r="A169">
        <v>6</v>
      </c>
      <c r="B169">
        <v>7</v>
      </c>
      <c r="C169" s="32">
        <f t="shared" si="18"/>
        <v>1</v>
      </c>
      <c r="D169">
        <v>6</v>
      </c>
      <c r="E169">
        <v>7</v>
      </c>
      <c r="F169" s="32">
        <f t="shared" si="19"/>
        <v>1</v>
      </c>
      <c r="G169">
        <v>8</v>
      </c>
      <c r="H169">
        <v>5</v>
      </c>
      <c r="I169" s="32">
        <f t="shared" si="20"/>
        <v>3</v>
      </c>
      <c r="J169">
        <v>8</v>
      </c>
      <c r="K169">
        <v>7</v>
      </c>
      <c r="L169" s="32">
        <f t="shared" si="21"/>
        <v>1</v>
      </c>
      <c r="M169">
        <v>6</v>
      </c>
      <c r="N169">
        <v>6</v>
      </c>
      <c r="O169" s="32">
        <f t="shared" si="22"/>
        <v>0</v>
      </c>
      <c r="P169">
        <v>7</v>
      </c>
      <c r="Q169">
        <v>6</v>
      </c>
      <c r="R169" s="32">
        <f t="shared" si="23"/>
        <v>1</v>
      </c>
      <c r="S169">
        <v>6</v>
      </c>
      <c r="T169">
        <v>5</v>
      </c>
      <c r="U169" s="32">
        <f t="shared" si="24"/>
        <v>1</v>
      </c>
      <c r="V169">
        <v>6</v>
      </c>
      <c r="W169">
        <v>6</v>
      </c>
      <c r="X169" s="32">
        <f t="shared" si="25"/>
        <v>0</v>
      </c>
      <c r="Y169">
        <v>7</v>
      </c>
      <c r="Z169">
        <v>7</v>
      </c>
      <c r="AA169" s="32">
        <f t="shared" si="26"/>
        <v>0</v>
      </c>
    </row>
    <row r="170" spans="1:27" x14ac:dyDescent="0.45">
      <c r="A170">
        <v>6</v>
      </c>
      <c r="B170">
        <v>7</v>
      </c>
      <c r="C170" s="32">
        <f t="shared" si="18"/>
        <v>1</v>
      </c>
      <c r="D170">
        <v>6</v>
      </c>
      <c r="E170">
        <v>7</v>
      </c>
      <c r="F170" s="32">
        <f t="shared" si="19"/>
        <v>1</v>
      </c>
      <c r="G170">
        <v>8</v>
      </c>
      <c r="H170">
        <v>5</v>
      </c>
      <c r="I170" s="32">
        <f t="shared" si="20"/>
        <v>3</v>
      </c>
      <c r="J170">
        <v>8</v>
      </c>
      <c r="K170">
        <v>7</v>
      </c>
      <c r="L170" s="32">
        <f t="shared" si="21"/>
        <v>1</v>
      </c>
      <c r="M170">
        <v>6</v>
      </c>
      <c r="N170">
        <v>6</v>
      </c>
      <c r="O170" s="32">
        <f t="shared" si="22"/>
        <v>0</v>
      </c>
      <c r="P170">
        <v>7</v>
      </c>
      <c r="Q170">
        <v>6</v>
      </c>
      <c r="R170" s="32">
        <f t="shared" si="23"/>
        <v>1</v>
      </c>
      <c r="S170">
        <v>6</v>
      </c>
      <c r="T170">
        <v>5</v>
      </c>
      <c r="U170" s="32">
        <f t="shared" si="24"/>
        <v>1</v>
      </c>
      <c r="V170">
        <v>6</v>
      </c>
      <c r="W170">
        <v>6</v>
      </c>
      <c r="X170" s="32">
        <f t="shared" si="25"/>
        <v>0</v>
      </c>
      <c r="Y170">
        <v>7</v>
      </c>
      <c r="Z170">
        <v>7</v>
      </c>
      <c r="AA170" s="32">
        <f t="shared" si="26"/>
        <v>0</v>
      </c>
    </row>
    <row r="171" spans="1:27" x14ac:dyDescent="0.45">
      <c r="A171">
        <v>6</v>
      </c>
      <c r="B171">
        <v>7</v>
      </c>
      <c r="C171" s="32">
        <f t="shared" si="18"/>
        <v>1</v>
      </c>
      <c r="D171">
        <v>6</v>
      </c>
      <c r="E171">
        <v>7</v>
      </c>
      <c r="F171" s="32">
        <f t="shared" si="19"/>
        <v>1</v>
      </c>
      <c r="G171">
        <v>8</v>
      </c>
      <c r="H171">
        <v>5</v>
      </c>
      <c r="I171" s="32">
        <f t="shared" si="20"/>
        <v>3</v>
      </c>
      <c r="J171">
        <v>8</v>
      </c>
      <c r="K171">
        <v>7</v>
      </c>
      <c r="L171" s="32">
        <f t="shared" si="21"/>
        <v>1</v>
      </c>
      <c r="M171">
        <v>6</v>
      </c>
      <c r="N171">
        <v>6</v>
      </c>
      <c r="O171" s="32">
        <f t="shared" si="22"/>
        <v>0</v>
      </c>
      <c r="P171">
        <v>7</v>
      </c>
      <c r="Q171">
        <v>6</v>
      </c>
      <c r="R171" s="32">
        <f t="shared" si="23"/>
        <v>1</v>
      </c>
      <c r="S171">
        <v>6</v>
      </c>
      <c r="T171">
        <v>5</v>
      </c>
      <c r="U171" s="32">
        <f t="shared" si="24"/>
        <v>1</v>
      </c>
      <c r="V171">
        <v>6</v>
      </c>
      <c r="W171">
        <v>6</v>
      </c>
      <c r="X171" s="32">
        <f t="shared" si="25"/>
        <v>0</v>
      </c>
      <c r="Y171">
        <v>7</v>
      </c>
      <c r="Z171">
        <v>7</v>
      </c>
      <c r="AA171" s="32">
        <f t="shared" si="26"/>
        <v>0</v>
      </c>
    </row>
    <row r="172" spans="1:27" x14ac:dyDescent="0.45">
      <c r="A172">
        <v>6</v>
      </c>
      <c r="B172">
        <v>7</v>
      </c>
      <c r="C172" s="32">
        <f t="shared" si="18"/>
        <v>1</v>
      </c>
      <c r="D172">
        <v>6</v>
      </c>
      <c r="E172">
        <v>7</v>
      </c>
      <c r="F172" s="32">
        <f t="shared" si="19"/>
        <v>1</v>
      </c>
      <c r="G172">
        <v>8</v>
      </c>
      <c r="H172">
        <v>5</v>
      </c>
      <c r="I172" s="32">
        <f t="shared" si="20"/>
        <v>3</v>
      </c>
      <c r="J172">
        <v>8</v>
      </c>
      <c r="K172">
        <v>7</v>
      </c>
      <c r="L172" s="32">
        <f t="shared" si="21"/>
        <v>1</v>
      </c>
      <c r="M172">
        <v>6</v>
      </c>
      <c r="N172">
        <v>6</v>
      </c>
      <c r="O172" s="32">
        <f t="shared" si="22"/>
        <v>0</v>
      </c>
      <c r="P172">
        <v>7</v>
      </c>
      <c r="Q172">
        <v>6</v>
      </c>
      <c r="R172" s="32">
        <f t="shared" si="23"/>
        <v>1</v>
      </c>
      <c r="S172">
        <v>6</v>
      </c>
      <c r="T172">
        <v>5</v>
      </c>
      <c r="U172" s="32">
        <f t="shared" si="24"/>
        <v>1</v>
      </c>
      <c r="V172">
        <v>6</v>
      </c>
      <c r="W172">
        <v>6</v>
      </c>
      <c r="X172" s="32">
        <f t="shared" si="25"/>
        <v>0</v>
      </c>
      <c r="Y172">
        <v>7</v>
      </c>
      <c r="Z172">
        <v>7</v>
      </c>
      <c r="AA172" s="32">
        <f t="shared" si="26"/>
        <v>0</v>
      </c>
    </row>
    <row r="173" spans="1:27" x14ac:dyDescent="0.45">
      <c r="A173">
        <v>6</v>
      </c>
      <c r="B173">
        <v>7</v>
      </c>
      <c r="C173" s="32">
        <f t="shared" si="18"/>
        <v>1</v>
      </c>
      <c r="D173">
        <v>6</v>
      </c>
      <c r="E173">
        <v>7</v>
      </c>
      <c r="F173" s="32">
        <f t="shared" si="19"/>
        <v>1</v>
      </c>
      <c r="G173">
        <v>8</v>
      </c>
      <c r="H173">
        <v>5</v>
      </c>
      <c r="I173" s="32">
        <f t="shared" si="20"/>
        <v>3</v>
      </c>
      <c r="J173">
        <v>8</v>
      </c>
      <c r="K173">
        <v>7</v>
      </c>
      <c r="L173" s="32">
        <f t="shared" si="21"/>
        <v>1</v>
      </c>
      <c r="M173">
        <v>6</v>
      </c>
      <c r="N173">
        <v>6</v>
      </c>
      <c r="O173" s="32">
        <f t="shared" si="22"/>
        <v>0</v>
      </c>
      <c r="P173">
        <v>7</v>
      </c>
      <c r="Q173">
        <v>6</v>
      </c>
      <c r="R173" s="32">
        <f t="shared" si="23"/>
        <v>1</v>
      </c>
      <c r="S173">
        <v>6</v>
      </c>
      <c r="T173">
        <v>5</v>
      </c>
      <c r="U173" s="32">
        <f t="shared" si="24"/>
        <v>1</v>
      </c>
      <c r="V173">
        <v>6</v>
      </c>
      <c r="W173">
        <v>6</v>
      </c>
      <c r="X173" s="32">
        <f t="shared" si="25"/>
        <v>0</v>
      </c>
      <c r="Y173">
        <v>7</v>
      </c>
      <c r="Z173">
        <v>7</v>
      </c>
      <c r="AA173" s="32">
        <f t="shared" si="26"/>
        <v>0</v>
      </c>
    </row>
    <row r="174" spans="1:27" x14ac:dyDescent="0.45">
      <c r="A174">
        <v>6</v>
      </c>
      <c r="B174">
        <v>7</v>
      </c>
      <c r="C174" s="32">
        <f t="shared" si="18"/>
        <v>1</v>
      </c>
      <c r="D174">
        <v>6</v>
      </c>
      <c r="E174">
        <v>7</v>
      </c>
      <c r="F174" s="32">
        <f t="shared" si="19"/>
        <v>1</v>
      </c>
      <c r="G174">
        <v>8</v>
      </c>
      <c r="H174">
        <v>6</v>
      </c>
      <c r="I174" s="32">
        <f t="shared" si="20"/>
        <v>2</v>
      </c>
      <c r="J174">
        <v>8</v>
      </c>
      <c r="K174">
        <v>7</v>
      </c>
      <c r="L174" s="32">
        <f t="shared" si="21"/>
        <v>1</v>
      </c>
      <c r="M174">
        <v>6</v>
      </c>
      <c r="N174">
        <v>6</v>
      </c>
      <c r="O174" s="32">
        <f t="shared" si="22"/>
        <v>0</v>
      </c>
      <c r="P174">
        <v>7</v>
      </c>
      <c r="Q174">
        <v>6</v>
      </c>
      <c r="R174" s="32">
        <f t="shared" si="23"/>
        <v>1</v>
      </c>
      <c r="S174">
        <v>6</v>
      </c>
      <c r="T174">
        <v>5</v>
      </c>
      <c r="U174" s="32">
        <f t="shared" si="24"/>
        <v>1</v>
      </c>
      <c r="V174">
        <v>6</v>
      </c>
      <c r="W174">
        <v>6</v>
      </c>
      <c r="X174" s="32">
        <f t="shared" si="25"/>
        <v>0</v>
      </c>
      <c r="Y174">
        <v>7</v>
      </c>
      <c r="Z174">
        <v>7</v>
      </c>
      <c r="AA174" s="32">
        <f t="shared" si="26"/>
        <v>0</v>
      </c>
    </row>
    <row r="175" spans="1:27" x14ac:dyDescent="0.45">
      <c r="A175">
        <v>6</v>
      </c>
      <c r="B175">
        <v>7</v>
      </c>
      <c r="C175" s="32">
        <f t="shared" si="18"/>
        <v>1</v>
      </c>
      <c r="D175">
        <v>6</v>
      </c>
      <c r="E175">
        <v>7</v>
      </c>
      <c r="F175" s="32">
        <f t="shared" si="19"/>
        <v>1</v>
      </c>
      <c r="G175">
        <v>8</v>
      </c>
      <c r="H175">
        <v>6</v>
      </c>
      <c r="I175" s="32">
        <f t="shared" si="20"/>
        <v>2</v>
      </c>
      <c r="J175">
        <v>8</v>
      </c>
      <c r="K175">
        <v>7</v>
      </c>
      <c r="L175" s="32">
        <f t="shared" si="21"/>
        <v>1</v>
      </c>
      <c r="M175">
        <v>6</v>
      </c>
      <c r="N175">
        <v>6</v>
      </c>
      <c r="O175" s="32">
        <f t="shared" si="22"/>
        <v>0</v>
      </c>
      <c r="P175">
        <v>7</v>
      </c>
      <c r="Q175">
        <v>7</v>
      </c>
      <c r="R175" s="32">
        <f t="shared" si="23"/>
        <v>0</v>
      </c>
      <c r="S175">
        <v>6</v>
      </c>
      <c r="T175">
        <v>5</v>
      </c>
      <c r="U175" s="32">
        <f t="shared" si="24"/>
        <v>1</v>
      </c>
      <c r="V175">
        <v>6</v>
      </c>
      <c r="W175">
        <v>6</v>
      </c>
      <c r="X175" s="32">
        <f t="shared" si="25"/>
        <v>0</v>
      </c>
      <c r="Y175">
        <v>7</v>
      </c>
      <c r="Z175">
        <v>7</v>
      </c>
      <c r="AA175" s="32">
        <f t="shared" si="26"/>
        <v>0</v>
      </c>
    </row>
    <row r="176" spans="1:27" x14ac:dyDescent="0.45">
      <c r="A176">
        <v>6</v>
      </c>
      <c r="B176">
        <v>7</v>
      </c>
      <c r="C176" s="32">
        <f t="shared" si="18"/>
        <v>1</v>
      </c>
      <c r="D176">
        <v>6</v>
      </c>
      <c r="E176">
        <v>7</v>
      </c>
      <c r="F176" s="32">
        <f t="shared" si="19"/>
        <v>1</v>
      </c>
      <c r="G176">
        <v>8</v>
      </c>
      <c r="H176">
        <v>6</v>
      </c>
      <c r="I176" s="32">
        <f t="shared" si="20"/>
        <v>2</v>
      </c>
      <c r="J176">
        <v>8</v>
      </c>
      <c r="K176">
        <v>7</v>
      </c>
      <c r="L176" s="32">
        <f t="shared" si="21"/>
        <v>1</v>
      </c>
      <c r="M176">
        <v>6</v>
      </c>
      <c r="N176">
        <v>6</v>
      </c>
      <c r="O176" s="32">
        <f t="shared" si="22"/>
        <v>0</v>
      </c>
      <c r="P176">
        <v>7</v>
      </c>
      <c r="Q176">
        <v>7</v>
      </c>
      <c r="R176" s="32">
        <f t="shared" si="23"/>
        <v>0</v>
      </c>
      <c r="S176">
        <v>6</v>
      </c>
      <c r="T176">
        <v>5</v>
      </c>
      <c r="U176" s="32">
        <f t="shared" si="24"/>
        <v>1</v>
      </c>
      <c r="V176">
        <v>6</v>
      </c>
      <c r="W176">
        <v>6</v>
      </c>
      <c r="X176" s="32">
        <f t="shared" si="25"/>
        <v>0</v>
      </c>
      <c r="Y176">
        <v>7</v>
      </c>
      <c r="Z176">
        <v>7</v>
      </c>
      <c r="AA176" s="32">
        <f t="shared" si="26"/>
        <v>0</v>
      </c>
    </row>
    <row r="177" spans="1:27" x14ac:dyDescent="0.45">
      <c r="A177">
        <v>6</v>
      </c>
      <c r="B177">
        <v>7</v>
      </c>
      <c r="C177" s="32">
        <f t="shared" si="18"/>
        <v>1</v>
      </c>
      <c r="D177">
        <v>6</v>
      </c>
      <c r="E177">
        <v>7</v>
      </c>
      <c r="F177" s="32">
        <f t="shared" si="19"/>
        <v>1</v>
      </c>
      <c r="G177">
        <v>8</v>
      </c>
      <c r="H177">
        <v>6</v>
      </c>
      <c r="I177" s="32">
        <f t="shared" si="20"/>
        <v>2</v>
      </c>
      <c r="J177">
        <v>8</v>
      </c>
      <c r="K177">
        <v>7</v>
      </c>
      <c r="L177" s="32">
        <f t="shared" si="21"/>
        <v>1</v>
      </c>
      <c r="M177">
        <v>6</v>
      </c>
      <c r="N177">
        <v>6</v>
      </c>
      <c r="O177" s="32">
        <f t="shared" si="22"/>
        <v>0</v>
      </c>
      <c r="P177">
        <v>7</v>
      </c>
      <c r="Q177">
        <v>7</v>
      </c>
      <c r="R177" s="32">
        <f t="shared" si="23"/>
        <v>0</v>
      </c>
      <c r="S177">
        <v>6</v>
      </c>
      <c r="T177">
        <v>5</v>
      </c>
      <c r="U177" s="32">
        <f t="shared" si="24"/>
        <v>1</v>
      </c>
      <c r="V177">
        <v>6</v>
      </c>
      <c r="W177">
        <v>6</v>
      </c>
      <c r="X177" s="32">
        <f t="shared" si="25"/>
        <v>0</v>
      </c>
      <c r="Y177">
        <v>7</v>
      </c>
      <c r="Z177">
        <v>7</v>
      </c>
      <c r="AA177" s="32">
        <f t="shared" si="26"/>
        <v>0</v>
      </c>
    </row>
    <row r="178" spans="1:27" x14ac:dyDescent="0.45">
      <c r="A178">
        <v>6</v>
      </c>
      <c r="B178">
        <v>7</v>
      </c>
      <c r="C178" s="32">
        <f t="shared" si="18"/>
        <v>1</v>
      </c>
      <c r="D178">
        <v>6</v>
      </c>
      <c r="E178">
        <v>7</v>
      </c>
      <c r="F178" s="32">
        <f t="shared" si="19"/>
        <v>1</v>
      </c>
      <c r="G178">
        <v>8</v>
      </c>
      <c r="H178">
        <v>6</v>
      </c>
      <c r="I178" s="32">
        <f t="shared" si="20"/>
        <v>2</v>
      </c>
      <c r="J178">
        <v>8</v>
      </c>
      <c r="K178">
        <v>7</v>
      </c>
      <c r="L178" s="32">
        <f t="shared" si="21"/>
        <v>1</v>
      </c>
      <c r="M178">
        <v>6</v>
      </c>
      <c r="N178">
        <v>6</v>
      </c>
      <c r="O178" s="32">
        <f t="shared" si="22"/>
        <v>0</v>
      </c>
      <c r="P178">
        <v>7</v>
      </c>
      <c r="Q178">
        <v>7</v>
      </c>
      <c r="R178" s="32">
        <f t="shared" si="23"/>
        <v>0</v>
      </c>
      <c r="S178">
        <v>6</v>
      </c>
      <c r="T178">
        <v>5</v>
      </c>
      <c r="U178" s="32">
        <f t="shared" si="24"/>
        <v>1</v>
      </c>
      <c r="V178">
        <v>6</v>
      </c>
      <c r="W178">
        <v>6</v>
      </c>
      <c r="X178" s="32">
        <f t="shared" si="25"/>
        <v>0</v>
      </c>
      <c r="Y178">
        <v>7</v>
      </c>
      <c r="Z178">
        <v>7</v>
      </c>
      <c r="AA178" s="32">
        <f t="shared" si="26"/>
        <v>0</v>
      </c>
    </row>
    <row r="179" spans="1:27" x14ac:dyDescent="0.45">
      <c r="A179">
        <v>6</v>
      </c>
      <c r="B179">
        <v>7</v>
      </c>
      <c r="C179" s="32">
        <f t="shared" si="18"/>
        <v>1</v>
      </c>
      <c r="D179">
        <v>6</v>
      </c>
      <c r="E179">
        <v>7</v>
      </c>
      <c r="F179" s="32">
        <f t="shared" si="19"/>
        <v>1</v>
      </c>
      <c r="G179">
        <v>8</v>
      </c>
      <c r="H179">
        <v>6</v>
      </c>
      <c r="I179" s="32">
        <f t="shared" si="20"/>
        <v>2</v>
      </c>
      <c r="J179">
        <v>8</v>
      </c>
      <c r="K179">
        <v>7</v>
      </c>
      <c r="L179" s="32">
        <f t="shared" si="21"/>
        <v>1</v>
      </c>
      <c r="M179">
        <v>6</v>
      </c>
      <c r="N179">
        <v>6</v>
      </c>
      <c r="O179" s="32">
        <f t="shared" si="22"/>
        <v>0</v>
      </c>
      <c r="P179">
        <v>7</v>
      </c>
      <c r="Q179">
        <v>7</v>
      </c>
      <c r="R179" s="32">
        <f t="shared" si="23"/>
        <v>0</v>
      </c>
      <c r="S179">
        <v>6</v>
      </c>
      <c r="T179">
        <v>5</v>
      </c>
      <c r="U179" s="32">
        <f t="shared" si="24"/>
        <v>1</v>
      </c>
      <c r="V179">
        <v>6</v>
      </c>
      <c r="W179">
        <v>6</v>
      </c>
      <c r="X179" s="32">
        <f t="shared" si="25"/>
        <v>0</v>
      </c>
      <c r="Y179">
        <v>7</v>
      </c>
      <c r="Z179">
        <v>7</v>
      </c>
      <c r="AA179" s="32">
        <f t="shared" si="26"/>
        <v>0</v>
      </c>
    </row>
    <row r="180" spans="1:27" x14ac:dyDescent="0.45">
      <c r="A180">
        <v>6</v>
      </c>
      <c r="B180">
        <v>7</v>
      </c>
      <c r="C180" s="32">
        <f t="shared" si="18"/>
        <v>1</v>
      </c>
      <c r="D180">
        <v>6</v>
      </c>
      <c r="E180">
        <v>7</v>
      </c>
      <c r="F180" s="32">
        <f t="shared" si="19"/>
        <v>1</v>
      </c>
      <c r="G180">
        <v>8</v>
      </c>
      <c r="H180">
        <v>6</v>
      </c>
      <c r="I180" s="32">
        <f t="shared" si="20"/>
        <v>2</v>
      </c>
      <c r="J180">
        <v>8</v>
      </c>
      <c r="K180">
        <v>7</v>
      </c>
      <c r="L180" s="32">
        <f t="shared" si="21"/>
        <v>1</v>
      </c>
      <c r="M180">
        <v>6</v>
      </c>
      <c r="N180">
        <v>6</v>
      </c>
      <c r="O180" s="32">
        <f t="shared" si="22"/>
        <v>0</v>
      </c>
      <c r="P180">
        <v>7</v>
      </c>
      <c r="Q180">
        <v>7</v>
      </c>
      <c r="R180" s="32">
        <f t="shared" si="23"/>
        <v>0</v>
      </c>
      <c r="S180">
        <v>6</v>
      </c>
      <c r="T180">
        <v>5</v>
      </c>
      <c r="U180" s="32">
        <f t="shared" si="24"/>
        <v>1</v>
      </c>
      <c r="V180">
        <v>6</v>
      </c>
      <c r="W180">
        <v>6</v>
      </c>
      <c r="X180" s="32">
        <f t="shared" si="25"/>
        <v>0</v>
      </c>
      <c r="Y180">
        <v>7</v>
      </c>
      <c r="Z180">
        <v>7</v>
      </c>
      <c r="AA180" s="32">
        <f t="shared" si="26"/>
        <v>0</v>
      </c>
    </row>
    <row r="181" spans="1:27" x14ac:dyDescent="0.45">
      <c r="A181">
        <v>6</v>
      </c>
      <c r="B181">
        <v>7</v>
      </c>
      <c r="C181" s="32">
        <f t="shared" si="18"/>
        <v>1</v>
      </c>
      <c r="D181">
        <v>6</v>
      </c>
      <c r="E181">
        <v>7</v>
      </c>
      <c r="F181" s="32">
        <f t="shared" si="19"/>
        <v>1</v>
      </c>
      <c r="G181">
        <v>8</v>
      </c>
      <c r="H181">
        <v>6</v>
      </c>
      <c r="I181" s="32">
        <f t="shared" si="20"/>
        <v>2</v>
      </c>
      <c r="J181">
        <v>8</v>
      </c>
      <c r="K181">
        <v>7</v>
      </c>
      <c r="L181" s="32">
        <f t="shared" si="21"/>
        <v>1</v>
      </c>
      <c r="M181">
        <v>6</v>
      </c>
      <c r="N181">
        <v>6</v>
      </c>
      <c r="O181" s="32">
        <f t="shared" si="22"/>
        <v>0</v>
      </c>
      <c r="P181">
        <v>7</v>
      </c>
      <c r="Q181">
        <v>7</v>
      </c>
      <c r="R181" s="32">
        <f t="shared" si="23"/>
        <v>0</v>
      </c>
      <c r="S181">
        <v>6</v>
      </c>
      <c r="T181">
        <v>5</v>
      </c>
      <c r="U181" s="32">
        <f t="shared" si="24"/>
        <v>1</v>
      </c>
      <c r="V181">
        <v>6</v>
      </c>
      <c r="W181">
        <v>6</v>
      </c>
      <c r="X181" s="32">
        <f t="shared" si="25"/>
        <v>0</v>
      </c>
      <c r="Y181">
        <v>7</v>
      </c>
      <c r="Z181">
        <v>7</v>
      </c>
      <c r="AA181" s="32">
        <f t="shared" si="26"/>
        <v>0</v>
      </c>
    </row>
    <row r="182" spans="1:27" x14ac:dyDescent="0.45">
      <c r="A182">
        <v>6</v>
      </c>
      <c r="B182">
        <v>7</v>
      </c>
      <c r="C182" s="32">
        <f t="shared" si="18"/>
        <v>1</v>
      </c>
      <c r="D182">
        <v>6</v>
      </c>
      <c r="E182">
        <v>7</v>
      </c>
      <c r="F182" s="32">
        <f t="shared" si="19"/>
        <v>1</v>
      </c>
      <c r="G182">
        <v>8</v>
      </c>
      <c r="H182">
        <v>6</v>
      </c>
      <c r="I182" s="32">
        <f t="shared" si="20"/>
        <v>2</v>
      </c>
      <c r="J182">
        <v>8</v>
      </c>
      <c r="K182">
        <v>7</v>
      </c>
      <c r="L182" s="32">
        <f t="shared" si="21"/>
        <v>1</v>
      </c>
      <c r="M182">
        <v>6</v>
      </c>
      <c r="N182">
        <v>6</v>
      </c>
      <c r="O182" s="32">
        <f t="shared" si="22"/>
        <v>0</v>
      </c>
      <c r="P182">
        <v>7</v>
      </c>
      <c r="Q182">
        <v>7</v>
      </c>
      <c r="R182" s="32">
        <f t="shared" si="23"/>
        <v>0</v>
      </c>
      <c r="S182">
        <v>6</v>
      </c>
      <c r="T182">
        <v>5</v>
      </c>
      <c r="U182" s="32">
        <f t="shared" si="24"/>
        <v>1</v>
      </c>
      <c r="V182">
        <v>6</v>
      </c>
      <c r="W182">
        <v>6</v>
      </c>
      <c r="X182" s="32">
        <f t="shared" si="25"/>
        <v>0</v>
      </c>
      <c r="Y182">
        <v>7</v>
      </c>
      <c r="Z182">
        <v>7</v>
      </c>
      <c r="AA182" s="32">
        <f t="shared" si="26"/>
        <v>0</v>
      </c>
    </row>
    <row r="183" spans="1:27" x14ac:dyDescent="0.45">
      <c r="A183">
        <v>6</v>
      </c>
      <c r="B183">
        <v>7</v>
      </c>
      <c r="C183" s="32">
        <f t="shared" si="18"/>
        <v>1</v>
      </c>
      <c r="D183">
        <v>6</v>
      </c>
      <c r="E183">
        <v>7</v>
      </c>
      <c r="F183" s="32">
        <f t="shared" si="19"/>
        <v>1</v>
      </c>
      <c r="G183">
        <v>8</v>
      </c>
      <c r="H183">
        <v>6</v>
      </c>
      <c r="I183" s="32">
        <f t="shared" si="20"/>
        <v>2</v>
      </c>
      <c r="J183">
        <v>8</v>
      </c>
      <c r="K183">
        <v>7</v>
      </c>
      <c r="L183" s="32">
        <f t="shared" si="21"/>
        <v>1</v>
      </c>
      <c r="M183">
        <v>6</v>
      </c>
      <c r="N183">
        <v>6</v>
      </c>
      <c r="O183" s="32">
        <f t="shared" si="22"/>
        <v>0</v>
      </c>
      <c r="P183">
        <v>7</v>
      </c>
      <c r="Q183">
        <v>7</v>
      </c>
      <c r="R183" s="32">
        <f t="shared" si="23"/>
        <v>0</v>
      </c>
      <c r="S183">
        <v>6</v>
      </c>
      <c r="T183">
        <v>5</v>
      </c>
      <c r="U183" s="32">
        <f t="shared" si="24"/>
        <v>1</v>
      </c>
      <c r="V183">
        <v>6</v>
      </c>
      <c r="W183">
        <v>6</v>
      </c>
      <c r="X183" s="32">
        <f t="shared" si="25"/>
        <v>0</v>
      </c>
      <c r="Y183">
        <v>7</v>
      </c>
      <c r="Z183">
        <v>7</v>
      </c>
      <c r="AA183" s="32">
        <f t="shared" si="26"/>
        <v>0</v>
      </c>
    </row>
    <row r="184" spans="1:27" x14ac:dyDescent="0.45">
      <c r="A184">
        <v>6</v>
      </c>
      <c r="B184">
        <v>7</v>
      </c>
      <c r="C184" s="32">
        <f t="shared" si="18"/>
        <v>1</v>
      </c>
      <c r="D184">
        <v>6</v>
      </c>
      <c r="E184">
        <v>7</v>
      </c>
      <c r="F184" s="32">
        <f t="shared" si="19"/>
        <v>1</v>
      </c>
      <c r="G184">
        <v>8</v>
      </c>
      <c r="H184">
        <v>6</v>
      </c>
      <c r="I184" s="32">
        <f t="shared" si="20"/>
        <v>2</v>
      </c>
      <c r="J184">
        <v>8</v>
      </c>
      <c r="K184">
        <v>7</v>
      </c>
      <c r="L184" s="32">
        <f t="shared" si="21"/>
        <v>1</v>
      </c>
      <c r="M184">
        <v>6</v>
      </c>
      <c r="N184">
        <v>6</v>
      </c>
      <c r="O184" s="32">
        <f t="shared" si="22"/>
        <v>0</v>
      </c>
      <c r="P184">
        <v>7</v>
      </c>
      <c r="Q184">
        <v>7</v>
      </c>
      <c r="R184" s="32">
        <f t="shared" si="23"/>
        <v>0</v>
      </c>
      <c r="S184">
        <v>6</v>
      </c>
      <c r="T184">
        <v>5</v>
      </c>
      <c r="U184" s="32">
        <f t="shared" si="24"/>
        <v>1</v>
      </c>
      <c r="V184">
        <v>6</v>
      </c>
      <c r="W184">
        <v>6</v>
      </c>
      <c r="X184" s="32">
        <f t="shared" si="25"/>
        <v>0</v>
      </c>
      <c r="Y184">
        <v>7</v>
      </c>
      <c r="Z184">
        <v>7</v>
      </c>
      <c r="AA184" s="32">
        <f t="shared" si="26"/>
        <v>0</v>
      </c>
    </row>
    <row r="185" spans="1:27" x14ac:dyDescent="0.45">
      <c r="A185">
        <v>6</v>
      </c>
      <c r="B185">
        <v>7</v>
      </c>
      <c r="C185" s="32">
        <f t="shared" si="18"/>
        <v>1</v>
      </c>
      <c r="D185">
        <v>6</v>
      </c>
      <c r="E185">
        <v>7</v>
      </c>
      <c r="F185" s="32">
        <f t="shared" si="19"/>
        <v>1</v>
      </c>
      <c r="G185">
        <v>8</v>
      </c>
      <c r="H185">
        <v>6</v>
      </c>
      <c r="I185" s="32">
        <f t="shared" si="20"/>
        <v>2</v>
      </c>
      <c r="J185">
        <v>8</v>
      </c>
      <c r="K185">
        <v>7</v>
      </c>
      <c r="L185" s="32">
        <f t="shared" si="21"/>
        <v>1</v>
      </c>
      <c r="M185">
        <v>6</v>
      </c>
      <c r="N185">
        <v>6</v>
      </c>
      <c r="O185" s="32">
        <f t="shared" si="22"/>
        <v>0</v>
      </c>
      <c r="P185">
        <v>7</v>
      </c>
      <c r="Q185">
        <v>7</v>
      </c>
      <c r="R185" s="32">
        <f t="shared" si="23"/>
        <v>0</v>
      </c>
      <c r="S185">
        <v>6</v>
      </c>
      <c r="T185">
        <v>5</v>
      </c>
      <c r="U185" s="32">
        <f t="shared" si="24"/>
        <v>1</v>
      </c>
      <c r="V185">
        <v>6</v>
      </c>
      <c r="W185">
        <v>6</v>
      </c>
      <c r="X185" s="32">
        <f t="shared" si="25"/>
        <v>0</v>
      </c>
      <c r="Y185">
        <v>7</v>
      </c>
      <c r="Z185">
        <v>7</v>
      </c>
      <c r="AA185" s="32">
        <f t="shared" si="26"/>
        <v>0</v>
      </c>
    </row>
    <row r="186" spans="1:27" x14ac:dyDescent="0.45">
      <c r="A186">
        <v>6</v>
      </c>
      <c r="B186">
        <v>7</v>
      </c>
      <c r="C186" s="32">
        <f t="shared" si="18"/>
        <v>1</v>
      </c>
      <c r="D186">
        <v>6</v>
      </c>
      <c r="E186">
        <v>7</v>
      </c>
      <c r="F186" s="32">
        <f t="shared" si="19"/>
        <v>1</v>
      </c>
      <c r="G186">
        <v>8</v>
      </c>
      <c r="H186">
        <v>6</v>
      </c>
      <c r="I186" s="32">
        <f t="shared" si="20"/>
        <v>2</v>
      </c>
      <c r="J186">
        <v>8</v>
      </c>
      <c r="K186">
        <v>7</v>
      </c>
      <c r="L186" s="32">
        <f t="shared" si="21"/>
        <v>1</v>
      </c>
      <c r="M186">
        <v>6</v>
      </c>
      <c r="N186">
        <v>6</v>
      </c>
      <c r="O186" s="32">
        <f t="shared" si="22"/>
        <v>0</v>
      </c>
      <c r="P186">
        <v>7</v>
      </c>
      <c r="Q186">
        <v>7</v>
      </c>
      <c r="R186" s="32">
        <f t="shared" si="23"/>
        <v>0</v>
      </c>
      <c r="S186">
        <v>6</v>
      </c>
      <c r="T186">
        <v>5</v>
      </c>
      <c r="U186" s="32">
        <f t="shared" si="24"/>
        <v>1</v>
      </c>
      <c r="V186">
        <v>6</v>
      </c>
      <c r="W186">
        <v>6</v>
      </c>
      <c r="X186" s="32">
        <f t="shared" si="25"/>
        <v>0</v>
      </c>
      <c r="Y186">
        <v>7</v>
      </c>
      <c r="Z186">
        <v>7</v>
      </c>
      <c r="AA186" s="32">
        <f t="shared" si="26"/>
        <v>0</v>
      </c>
    </row>
    <row r="187" spans="1:27" x14ac:dyDescent="0.45">
      <c r="A187">
        <v>6</v>
      </c>
      <c r="B187">
        <v>7</v>
      </c>
      <c r="C187" s="32">
        <f t="shared" si="18"/>
        <v>1</v>
      </c>
      <c r="D187">
        <v>6</v>
      </c>
      <c r="E187">
        <v>7</v>
      </c>
      <c r="F187" s="32">
        <f t="shared" si="19"/>
        <v>1</v>
      </c>
      <c r="G187">
        <v>8</v>
      </c>
      <c r="H187">
        <v>6</v>
      </c>
      <c r="I187" s="32">
        <f t="shared" si="20"/>
        <v>2</v>
      </c>
      <c r="J187">
        <v>8</v>
      </c>
      <c r="K187">
        <v>7</v>
      </c>
      <c r="L187" s="32">
        <f t="shared" si="21"/>
        <v>1</v>
      </c>
      <c r="M187">
        <v>6</v>
      </c>
      <c r="N187">
        <v>6</v>
      </c>
      <c r="O187" s="32">
        <f t="shared" si="22"/>
        <v>0</v>
      </c>
      <c r="P187">
        <v>7</v>
      </c>
      <c r="Q187">
        <v>7</v>
      </c>
      <c r="R187" s="32">
        <f t="shared" si="23"/>
        <v>0</v>
      </c>
      <c r="S187">
        <v>6</v>
      </c>
      <c r="T187">
        <v>5</v>
      </c>
      <c r="U187" s="32">
        <f t="shared" si="24"/>
        <v>1</v>
      </c>
      <c r="V187">
        <v>6</v>
      </c>
      <c r="W187">
        <v>6</v>
      </c>
      <c r="X187" s="32">
        <f t="shared" si="25"/>
        <v>0</v>
      </c>
      <c r="Y187">
        <v>7</v>
      </c>
      <c r="Z187">
        <v>7</v>
      </c>
      <c r="AA187" s="32">
        <f t="shared" si="26"/>
        <v>0</v>
      </c>
    </row>
    <row r="188" spans="1:27" x14ac:dyDescent="0.45">
      <c r="A188">
        <v>6</v>
      </c>
      <c r="B188">
        <v>7</v>
      </c>
      <c r="C188" s="32">
        <f t="shared" si="18"/>
        <v>1</v>
      </c>
      <c r="D188">
        <v>6</v>
      </c>
      <c r="E188">
        <v>7</v>
      </c>
      <c r="F188" s="32">
        <f t="shared" si="19"/>
        <v>1</v>
      </c>
      <c r="G188">
        <v>8</v>
      </c>
      <c r="H188">
        <v>6</v>
      </c>
      <c r="I188" s="32">
        <f t="shared" si="20"/>
        <v>2</v>
      </c>
      <c r="J188">
        <v>8</v>
      </c>
      <c r="K188">
        <v>7</v>
      </c>
      <c r="L188" s="32">
        <f t="shared" si="21"/>
        <v>1</v>
      </c>
      <c r="M188">
        <v>6</v>
      </c>
      <c r="N188">
        <v>6</v>
      </c>
      <c r="O188" s="32">
        <f t="shared" si="22"/>
        <v>0</v>
      </c>
      <c r="P188">
        <v>7</v>
      </c>
      <c r="Q188">
        <v>7</v>
      </c>
      <c r="R188" s="32">
        <f t="shared" si="23"/>
        <v>0</v>
      </c>
      <c r="S188">
        <v>6</v>
      </c>
      <c r="T188">
        <v>6</v>
      </c>
      <c r="U188" s="32">
        <f t="shared" si="24"/>
        <v>0</v>
      </c>
      <c r="V188">
        <v>6</v>
      </c>
      <c r="W188">
        <v>6</v>
      </c>
      <c r="X188" s="32">
        <f t="shared" si="25"/>
        <v>0</v>
      </c>
      <c r="Y188">
        <v>7</v>
      </c>
      <c r="Z188">
        <v>7</v>
      </c>
      <c r="AA188" s="32">
        <f t="shared" si="26"/>
        <v>0</v>
      </c>
    </row>
    <row r="189" spans="1:27" x14ac:dyDescent="0.45">
      <c r="A189">
        <v>6</v>
      </c>
      <c r="B189">
        <v>7</v>
      </c>
      <c r="C189" s="32">
        <f t="shared" si="18"/>
        <v>1</v>
      </c>
      <c r="D189">
        <v>6</v>
      </c>
      <c r="E189">
        <v>7</v>
      </c>
      <c r="F189" s="32">
        <f t="shared" si="19"/>
        <v>1</v>
      </c>
      <c r="G189">
        <v>8</v>
      </c>
      <c r="H189">
        <v>6</v>
      </c>
      <c r="I189" s="32">
        <f t="shared" si="20"/>
        <v>2</v>
      </c>
      <c r="J189">
        <v>8</v>
      </c>
      <c r="K189">
        <v>7</v>
      </c>
      <c r="L189" s="32">
        <f t="shared" si="21"/>
        <v>1</v>
      </c>
      <c r="M189">
        <v>6</v>
      </c>
      <c r="N189">
        <v>6</v>
      </c>
      <c r="O189" s="32">
        <f t="shared" si="22"/>
        <v>0</v>
      </c>
      <c r="P189">
        <v>7</v>
      </c>
      <c r="Q189">
        <v>7</v>
      </c>
      <c r="R189" s="32">
        <f t="shared" si="23"/>
        <v>0</v>
      </c>
      <c r="S189">
        <v>6</v>
      </c>
      <c r="T189">
        <v>6</v>
      </c>
      <c r="U189" s="32">
        <f t="shared" si="24"/>
        <v>0</v>
      </c>
      <c r="V189">
        <v>6</v>
      </c>
      <c r="W189">
        <v>6</v>
      </c>
      <c r="X189" s="32">
        <f t="shared" si="25"/>
        <v>0</v>
      </c>
      <c r="Y189">
        <v>7</v>
      </c>
      <c r="Z189">
        <v>7</v>
      </c>
      <c r="AA189" s="32">
        <f t="shared" si="26"/>
        <v>0</v>
      </c>
    </row>
    <row r="190" spans="1:27" x14ac:dyDescent="0.45">
      <c r="A190">
        <v>6</v>
      </c>
      <c r="B190">
        <v>7</v>
      </c>
      <c r="C190" s="32">
        <f t="shared" si="18"/>
        <v>1</v>
      </c>
      <c r="D190">
        <v>6</v>
      </c>
      <c r="E190">
        <v>7</v>
      </c>
      <c r="F190" s="32">
        <f t="shared" si="19"/>
        <v>1</v>
      </c>
      <c r="G190">
        <v>8</v>
      </c>
      <c r="H190">
        <v>6</v>
      </c>
      <c r="I190" s="32">
        <f t="shared" si="20"/>
        <v>2</v>
      </c>
      <c r="J190">
        <v>8</v>
      </c>
      <c r="K190">
        <v>7</v>
      </c>
      <c r="L190" s="32">
        <f t="shared" si="21"/>
        <v>1</v>
      </c>
      <c r="M190">
        <v>6</v>
      </c>
      <c r="N190">
        <v>6</v>
      </c>
      <c r="O190" s="32">
        <f t="shared" si="22"/>
        <v>0</v>
      </c>
      <c r="P190">
        <v>7</v>
      </c>
      <c r="Q190">
        <v>7</v>
      </c>
      <c r="R190" s="32">
        <f t="shared" si="23"/>
        <v>0</v>
      </c>
      <c r="S190">
        <v>6</v>
      </c>
      <c r="T190">
        <v>6</v>
      </c>
      <c r="U190" s="32">
        <f t="shared" si="24"/>
        <v>0</v>
      </c>
      <c r="V190">
        <v>6</v>
      </c>
      <c r="W190">
        <v>6</v>
      </c>
      <c r="X190" s="32">
        <f t="shared" si="25"/>
        <v>0</v>
      </c>
      <c r="Y190">
        <v>7</v>
      </c>
      <c r="Z190">
        <v>7</v>
      </c>
      <c r="AA190" s="32">
        <f t="shared" si="26"/>
        <v>0</v>
      </c>
    </row>
    <row r="191" spans="1:27" x14ac:dyDescent="0.45">
      <c r="A191">
        <v>6</v>
      </c>
      <c r="B191">
        <v>7</v>
      </c>
      <c r="C191" s="32">
        <f t="shared" si="18"/>
        <v>1</v>
      </c>
      <c r="D191">
        <v>6</v>
      </c>
      <c r="E191">
        <v>7</v>
      </c>
      <c r="F191" s="32">
        <f t="shared" si="19"/>
        <v>1</v>
      </c>
      <c r="G191">
        <v>8</v>
      </c>
      <c r="H191">
        <v>6</v>
      </c>
      <c r="I191" s="32">
        <f t="shared" si="20"/>
        <v>2</v>
      </c>
      <c r="J191">
        <v>8</v>
      </c>
      <c r="K191">
        <v>7</v>
      </c>
      <c r="L191" s="32">
        <f t="shared" si="21"/>
        <v>1</v>
      </c>
      <c r="M191">
        <v>6</v>
      </c>
      <c r="N191">
        <v>6</v>
      </c>
      <c r="O191" s="32">
        <f t="shared" si="22"/>
        <v>0</v>
      </c>
      <c r="P191">
        <v>7</v>
      </c>
      <c r="Q191">
        <v>7</v>
      </c>
      <c r="R191" s="32">
        <f t="shared" si="23"/>
        <v>0</v>
      </c>
      <c r="S191">
        <v>6</v>
      </c>
      <c r="T191">
        <v>6</v>
      </c>
      <c r="U191" s="32">
        <f t="shared" si="24"/>
        <v>0</v>
      </c>
      <c r="V191">
        <v>6</v>
      </c>
      <c r="W191">
        <v>6</v>
      </c>
      <c r="X191" s="32">
        <f t="shared" si="25"/>
        <v>0</v>
      </c>
      <c r="Y191">
        <v>7</v>
      </c>
      <c r="Z191">
        <v>7</v>
      </c>
      <c r="AA191" s="32">
        <f t="shared" si="26"/>
        <v>0</v>
      </c>
    </row>
    <row r="192" spans="1:27" x14ac:dyDescent="0.45">
      <c r="A192">
        <v>6</v>
      </c>
      <c r="B192">
        <v>7</v>
      </c>
      <c r="C192" s="32">
        <f t="shared" si="18"/>
        <v>1</v>
      </c>
      <c r="D192">
        <v>6</v>
      </c>
      <c r="E192">
        <v>7</v>
      </c>
      <c r="F192" s="32">
        <f t="shared" si="19"/>
        <v>1</v>
      </c>
      <c r="G192">
        <v>8</v>
      </c>
      <c r="H192">
        <v>6</v>
      </c>
      <c r="I192" s="32">
        <f t="shared" si="20"/>
        <v>2</v>
      </c>
      <c r="J192">
        <v>8</v>
      </c>
      <c r="K192">
        <v>7</v>
      </c>
      <c r="L192" s="32">
        <f t="shared" si="21"/>
        <v>1</v>
      </c>
      <c r="M192">
        <v>6</v>
      </c>
      <c r="N192">
        <v>6</v>
      </c>
      <c r="O192" s="32">
        <f t="shared" si="22"/>
        <v>0</v>
      </c>
      <c r="P192">
        <v>7</v>
      </c>
      <c r="Q192">
        <v>7</v>
      </c>
      <c r="R192" s="32">
        <f t="shared" si="23"/>
        <v>0</v>
      </c>
      <c r="S192">
        <v>6</v>
      </c>
      <c r="T192">
        <v>6</v>
      </c>
      <c r="U192" s="32">
        <f t="shared" si="24"/>
        <v>0</v>
      </c>
      <c r="V192">
        <v>6</v>
      </c>
      <c r="W192">
        <v>6</v>
      </c>
      <c r="X192" s="32">
        <f t="shared" si="25"/>
        <v>0</v>
      </c>
      <c r="Y192">
        <v>7</v>
      </c>
      <c r="Z192">
        <v>7</v>
      </c>
      <c r="AA192" s="32">
        <f t="shared" si="26"/>
        <v>0</v>
      </c>
    </row>
    <row r="193" spans="1:27" x14ac:dyDescent="0.45">
      <c r="A193">
        <v>6</v>
      </c>
      <c r="B193">
        <v>7</v>
      </c>
      <c r="C193" s="32">
        <f t="shared" si="18"/>
        <v>1</v>
      </c>
      <c r="D193">
        <v>6</v>
      </c>
      <c r="E193">
        <v>7</v>
      </c>
      <c r="F193" s="32">
        <f t="shared" si="19"/>
        <v>1</v>
      </c>
      <c r="G193">
        <v>8</v>
      </c>
      <c r="H193">
        <v>6</v>
      </c>
      <c r="I193" s="32">
        <f t="shared" si="20"/>
        <v>2</v>
      </c>
      <c r="J193">
        <v>8</v>
      </c>
      <c r="K193">
        <v>7</v>
      </c>
      <c r="L193" s="32">
        <f t="shared" si="21"/>
        <v>1</v>
      </c>
      <c r="M193">
        <v>6</v>
      </c>
      <c r="N193">
        <v>6</v>
      </c>
      <c r="O193" s="32">
        <f t="shared" si="22"/>
        <v>0</v>
      </c>
      <c r="P193">
        <v>7</v>
      </c>
      <c r="Q193">
        <v>7</v>
      </c>
      <c r="R193" s="32">
        <f t="shared" si="23"/>
        <v>0</v>
      </c>
      <c r="S193">
        <v>6</v>
      </c>
      <c r="T193">
        <v>6</v>
      </c>
      <c r="U193" s="32">
        <f t="shared" si="24"/>
        <v>0</v>
      </c>
      <c r="V193">
        <v>6</v>
      </c>
      <c r="W193">
        <v>6</v>
      </c>
      <c r="X193" s="32">
        <f t="shared" si="25"/>
        <v>0</v>
      </c>
      <c r="Y193">
        <v>7</v>
      </c>
      <c r="Z193">
        <v>7</v>
      </c>
      <c r="AA193" s="32">
        <f t="shared" si="26"/>
        <v>0</v>
      </c>
    </row>
    <row r="194" spans="1:27" x14ac:dyDescent="0.45">
      <c r="A194">
        <v>6</v>
      </c>
      <c r="B194">
        <v>7</v>
      </c>
      <c r="C194" s="32">
        <f t="shared" si="18"/>
        <v>1</v>
      </c>
      <c r="D194">
        <v>6</v>
      </c>
      <c r="E194">
        <v>7</v>
      </c>
      <c r="F194" s="32">
        <f t="shared" si="19"/>
        <v>1</v>
      </c>
      <c r="G194">
        <v>8</v>
      </c>
      <c r="H194">
        <v>6</v>
      </c>
      <c r="I194" s="32">
        <f t="shared" si="20"/>
        <v>2</v>
      </c>
      <c r="J194">
        <v>8</v>
      </c>
      <c r="K194">
        <v>7</v>
      </c>
      <c r="L194" s="32">
        <f t="shared" si="21"/>
        <v>1</v>
      </c>
      <c r="M194">
        <v>6</v>
      </c>
      <c r="N194">
        <v>6</v>
      </c>
      <c r="O194" s="32">
        <f t="shared" si="22"/>
        <v>0</v>
      </c>
      <c r="P194">
        <v>7</v>
      </c>
      <c r="Q194">
        <v>7</v>
      </c>
      <c r="R194" s="32">
        <f t="shared" si="23"/>
        <v>0</v>
      </c>
      <c r="S194">
        <v>6</v>
      </c>
      <c r="T194">
        <v>6</v>
      </c>
      <c r="U194" s="32">
        <f t="shared" si="24"/>
        <v>0</v>
      </c>
      <c r="V194">
        <v>6</v>
      </c>
      <c r="W194">
        <v>6</v>
      </c>
      <c r="X194" s="32">
        <f t="shared" si="25"/>
        <v>0</v>
      </c>
      <c r="Y194">
        <v>7</v>
      </c>
      <c r="Z194">
        <v>7</v>
      </c>
      <c r="AA194" s="32">
        <f t="shared" si="26"/>
        <v>0</v>
      </c>
    </row>
    <row r="195" spans="1:27" x14ac:dyDescent="0.45">
      <c r="A195">
        <v>6</v>
      </c>
      <c r="B195">
        <v>7</v>
      </c>
      <c r="C195" s="32">
        <f t="shared" ref="C195:C258" si="27">ABS(B195-A195)</f>
        <v>1</v>
      </c>
      <c r="D195">
        <v>6</v>
      </c>
      <c r="E195">
        <v>7</v>
      </c>
      <c r="F195" s="32">
        <f t="shared" ref="F195:F258" si="28">ABS(E195-D195)</f>
        <v>1</v>
      </c>
      <c r="G195">
        <v>8</v>
      </c>
      <c r="H195">
        <v>6</v>
      </c>
      <c r="I195" s="32">
        <f t="shared" ref="I195:I258" si="29">ABS(H195-G195)</f>
        <v>2</v>
      </c>
      <c r="J195">
        <v>8</v>
      </c>
      <c r="K195">
        <v>7</v>
      </c>
      <c r="L195" s="32">
        <f t="shared" ref="L195:L258" si="30">ABS(K195-J195)</f>
        <v>1</v>
      </c>
      <c r="M195">
        <v>6</v>
      </c>
      <c r="N195">
        <v>6</v>
      </c>
      <c r="O195" s="32">
        <f t="shared" ref="O195:O258" si="31">ABS(N195-M195)</f>
        <v>0</v>
      </c>
      <c r="P195">
        <v>7</v>
      </c>
      <c r="Q195">
        <v>7</v>
      </c>
      <c r="R195" s="32">
        <f t="shared" ref="R195:R258" si="32">ABS(Q195-P195)</f>
        <v>0</v>
      </c>
      <c r="S195">
        <v>6</v>
      </c>
      <c r="T195">
        <v>6</v>
      </c>
      <c r="U195" s="32">
        <f t="shared" ref="U195:U258" si="33">ABS(T195-S195)</f>
        <v>0</v>
      </c>
      <c r="V195">
        <v>6</v>
      </c>
      <c r="W195">
        <v>6</v>
      </c>
      <c r="X195" s="32">
        <f t="shared" ref="X195:X258" si="34">ABS(W195-V195)</f>
        <v>0</v>
      </c>
      <c r="Y195">
        <v>7</v>
      </c>
      <c r="Z195">
        <v>7</v>
      </c>
      <c r="AA195" s="32">
        <f t="shared" ref="AA195:AA258" si="35">ABS(Z195-Y195)</f>
        <v>0</v>
      </c>
    </row>
    <row r="196" spans="1:27" x14ac:dyDescent="0.45">
      <c r="A196">
        <v>6</v>
      </c>
      <c r="B196">
        <v>7</v>
      </c>
      <c r="C196" s="32">
        <f t="shared" si="27"/>
        <v>1</v>
      </c>
      <c r="D196">
        <v>6</v>
      </c>
      <c r="E196">
        <v>7</v>
      </c>
      <c r="F196" s="32">
        <f t="shared" si="28"/>
        <v>1</v>
      </c>
      <c r="G196">
        <v>8</v>
      </c>
      <c r="H196">
        <v>6</v>
      </c>
      <c r="I196" s="32">
        <f t="shared" si="29"/>
        <v>2</v>
      </c>
      <c r="J196">
        <v>8</v>
      </c>
      <c r="K196">
        <v>7</v>
      </c>
      <c r="L196" s="32">
        <f t="shared" si="30"/>
        <v>1</v>
      </c>
      <c r="M196">
        <v>6</v>
      </c>
      <c r="N196">
        <v>6</v>
      </c>
      <c r="O196" s="32">
        <f t="shared" si="31"/>
        <v>0</v>
      </c>
      <c r="P196">
        <v>7</v>
      </c>
      <c r="Q196">
        <v>7</v>
      </c>
      <c r="R196" s="32">
        <f t="shared" si="32"/>
        <v>0</v>
      </c>
      <c r="S196">
        <v>6</v>
      </c>
      <c r="T196">
        <v>6</v>
      </c>
      <c r="U196" s="32">
        <f t="shared" si="33"/>
        <v>0</v>
      </c>
      <c r="V196">
        <v>6</v>
      </c>
      <c r="W196">
        <v>6</v>
      </c>
      <c r="X196" s="32">
        <f t="shared" si="34"/>
        <v>0</v>
      </c>
      <c r="Y196">
        <v>7</v>
      </c>
      <c r="Z196">
        <v>7</v>
      </c>
      <c r="AA196" s="32">
        <f t="shared" si="35"/>
        <v>0</v>
      </c>
    </row>
    <row r="197" spans="1:27" x14ac:dyDescent="0.45">
      <c r="A197">
        <v>6</v>
      </c>
      <c r="B197">
        <v>7</v>
      </c>
      <c r="C197" s="32">
        <f t="shared" si="27"/>
        <v>1</v>
      </c>
      <c r="D197">
        <v>6</v>
      </c>
      <c r="E197">
        <v>7</v>
      </c>
      <c r="F197" s="32">
        <f t="shared" si="28"/>
        <v>1</v>
      </c>
      <c r="G197">
        <v>8</v>
      </c>
      <c r="H197">
        <v>6</v>
      </c>
      <c r="I197" s="32">
        <f t="shared" si="29"/>
        <v>2</v>
      </c>
      <c r="J197">
        <v>8</v>
      </c>
      <c r="K197">
        <v>7</v>
      </c>
      <c r="L197" s="32">
        <f t="shared" si="30"/>
        <v>1</v>
      </c>
      <c r="M197">
        <v>6</v>
      </c>
      <c r="N197">
        <v>6</v>
      </c>
      <c r="O197" s="32">
        <f t="shared" si="31"/>
        <v>0</v>
      </c>
      <c r="P197">
        <v>7</v>
      </c>
      <c r="Q197">
        <v>7</v>
      </c>
      <c r="R197" s="32">
        <f t="shared" si="32"/>
        <v>0</v>
      </c>
      <c r="S197">
        <v>6</v>
      </c>
      <c r="T197">
        <v>6</v>
      </c>
      <c r="U197" s="32">
        <f t="shared" si="33"/>
        <v>0</v>
      </c>
      <c r="V197">
        <v>6</v>
      </c>
      <c r="W197">
        <v>6</v>
      </c>
      <c r="X197" s="32">
        <f t="shared" si="34"/>
        <v>0</v>
      </c>
      <c r="Y197">
        <v>7</v>
      </c>
      <c r="Z197">
        <v>7</v>
      </c>
      <c r="AA197" s="32">
        <f t="shared" si="35"/>
        <v>0</v>
      </c>
    </row>
    <row r="198" spans="1:27" x14ac:dyDescent="0.45">
      <c r="A198">
        <v>6</v>
      </c>
      <c r="B198">
        <v>7</v>
      </c>
      <c r="C198" s="32">
        <f t="shared" si="27"/>
        <v>1</v>
      </c>
      <c r="D198">
        <v>6</v>
      </c>
      <c r="E198">
        <v>7</v>
      </c>
      <c r="F198" s="32">
        <f t="shared" si="28"/>
        <v>1</v>
      </c>
      <c r="G198">
        <v>8</v>
      </c>
      <c r="H198">
        <v>6</v>
      </c>
      <c r="I198" s="32">
        <f t="shared" si="29"/>
        <v>2</v>
      </c>
      <c r="J198">
        <v>8</v>
      </c>
      <c r="K198">
        <v>7</v>
      </c>
      <c r="L198" s="32">
        <f t="shared" si="30"/>
        <v>1</v>
      </c>
      <c r="M198">
        <v>6</v>
      </c>
      <c r="N198">
        <v>6</v>
      </c>
      <c r="O198" s="32">
        <f t="shared" si="31"/>
        <v>0</v>
      </c>
      <c r="P198">
        <v>7</v>
      </c>
      <c r="Q198">
        <v>7</v>
      </c>
      <c r="R198" s="32">
        <f t="shared" si="32"/>
        <v>0</v>
      </c>
      <c r="S198">
        <v>6</v>
      </c>
      <c r="T198">
        <v>6</v>
      </c>
      <c r="U198" s="32">
        <f t="shared" si="33"/>
        <v>0</v>
      </c>
      <c r="V198">
        <v>6</v>
      </c>
      <c r="W198">
        <v>6</v>
      </c>
      <c r="X198" s="32">
        <f t="shared" si="34"/>
        <v>0</v>
      </c>
      <c r="Y198">
        <v>7</v>
      </c>
      <c r="Z198">
        <v>7</v>
      </c>
      <c r="AA198" s="32">
        <f t="shared" si="35"/>
        <v>0</v>
      </c>
    </row>
    <row r="199" spans="1:27" x14ac:dyDescent="0.45">
      <c r="A199">
        <v>6</v>
      </c>
      <c r="B199">
        <v>7</v>
      </c>
      <c r="C199" s="32">
        <f t="shared" si="27"/>
        <v>1</v>
      </c>
      <c r="D199">
        <v>6</v>
      </c>
      <c r="E199">
        <v>7</v>
      </c>
      <c r="F199" s="32">
        <f t="shared" si="28"/>
        <v>1</v>
      </c>
      <c r="G199">
        <v>8</v>
      </c>
      <c r="H199">
        <v>6</v>
      </c>
      <c r="I199" s="32">
        <f t="shared" si="29"/>
        <v>2</v>
      </c>
      <c r="J199">
        <v>8</v>
      </c>
      <c r="K199">
        <v>7</v>
      </c>
      <c r="L199" s="32">
        <f t="shared" si="30"/>
        <v>1</v>
      </c>
      <c r="M199">
        <v>6</v>
      </c>
      <c r="N199">
        <v>6</v>
      </c>
      <c r="O199" s="32">
        <f t="shared" si="31"/>
        <v>0</v>
      </c>
      <c r="P199">
        <v>7</v>
      </c>
      <c r="Q199">
        <v>7</v>
      </c>
      <c r="R199" s="32">
        <f t="shared" si="32"/>
        <v>0</v>
      </c>
      <c r="S199">
        <v>6</v>
      </c>
      <c r="T199">
        <v>6</v>
      </c>
      <c r="U199" s="32">
        <f t="shared" si="33"/>
        <v>0</v>
      </c>
      <c r="V199">
        <v>6</v>
      </c>
      <c r="W199">
        <v>7</v>
      </c>
      <c r="X199" s="32">
        <f t="shared" si="34"/>
        <v>1</v>
      </c>
      <c r="Y199">
        <v>7</v>
      </c>
      <c r="Z199">
        <v>7</v>
      </c>
      <c r="AA199" s="32">
        <f t="shared" si="35"/>
        <v>0</v>
      </c>
    </row>
    <row r="200" spans="1:27" x14ac:dyDescent="0.45">
      <c r="A200">
        <v>6</v>
      </c>
      <c r="B200">
        <v>7</v>
      </c>
      <c r="C200" s="32">
        <f t="shared" si="27"/>
        <v>1</v>
      </c>
      <c r="D200">
        <v>6</v>
      </c>
      <c r="E200">
        <v>7</v>
      </c>
      <c r="F200" s="32">
        <f t="shared" si="28"/>
        <v>1</v>
      </c>
      <c r="G200">
        <v>8</v>
      </c>
      <c r="H200">
        <v>6</v>
      </c>
      <c r="I200" s="32">
        <f t="shared" si="29"/>
        <v>2</v>
      </c>
      <c r="J200">
        <v>8</v>
      </c>
      <c r="K200">
        <v>7</v>
      </c>
      <c r="L200" s="32">
        <f t="shared" si="30"/>
        <v>1</v>
      </c>
      <c r="M200">
        <v>6</v>
      </c>
      <c r="N200">
        <v>7</v>
      </c>
      <c r="O200" s="32">
        <f t="shared" si="31"/>
        <v>1</v>
      </c>
      <c r="P200">
        <v>7</v>
      </c>
      <c r="Q200">
        <v>7</v>
      </c>
      <c r="R200" s="32">
        <f t="shared" si="32"/>
        <v>0</v>
      </c>
      <c r="S200">
        <v>6</v>
      </c>
      <c r="T200">
        <v>6</v>
      </c>
      <c r="U200" s="32">
        <f t="shared" si="33"/>
        <v>0</v>
      </c>
      <c r="V200">
        <v>6</v>
      </c>
      <c r="W200">
        <v>7</v>
      </c>
      <c r="X200" s="32">
        <f t="shared" si="34"/>
        <v>1</v>
      </c>
      <c r="Y200">
        <v>7</v>
      </c>
      <c r="Z200">
        <v>7</v>
      </c>
      <c r="AA200" s="32">
        <f t="shared" si="35"/>
        <v>0</v>
      </c>
    </row>
    <row r="201" spans="1:27" x14ac:dyDescent="0.45">
      <c r="A201">
        <v>6</v>
      </c>
      <c r="B201">
        <v>7</v>
      </c>
      <c r="C201" s="32">
        <f t="shared" si="27"/>
        <v>1</v>
      </c>
      <c r="D201">
        <v>6</v>
      </c>
      <c r="E201">
        <v>7</v>
      </c>
      <c r="F201" s="32">
        <f t="shared" si="28"/>
        <v>1</v>
      </c>
      <c r="G201">
        <v>8</v>
      </c>
      <c r="H201">
        <v>6</v>
      </c>
      <c r="I201" s="32">
        <f t="shared" si="29"/>
        <v>2</v>
      </c>
      <c r="J201">
        <v>8</v>
      </c>
      <c r="K201">
        <v>7</v>
      </c>
      <c r="L201" s="32">
        <f t="shared" si="30"/>
        <v>1</v>
      </c>
      <c r="M201">
        <v>6</v>
      </c>
      <c r="N201">
        <v>7</v>
      </c>
      <c r="O201" s="32">
        <f t="shared" si="31"/>
        <v>1</v>
      </c>
      <c r="P201">
        <v>7</v>
      </c>
      <c r="Q201">
        <v>7</v>
      </c>
      <c r="R201" s="32">
        <f t="shared" si="32"/>
        <v>0</v>
      </c>
      <c r="S201">
        <v>6</v>
      </c>
      <c r="T201">
        <v>6</v>
      </c>
      <c r="U201" s="32">
        <f t="shared" si="33"/>
        <v>0</v>
      </c>
      <c r="V201">
        <v>6</v>
      </c>
      <c r="W201">
        <v>7</v>
      </c>
      <c r="X201" s="32">
        <f t="shared" si="34"/>
        <v>1</v>
      </c>
      <c r="Y201">
        <v>7</v>
      </c>
      <c r="Z201">
        <v>7</v>
      </c>
      <c r="AA201" s="32">
        <f t="shared" si="35"/>
        <v>0</v>
      </c>
    </row>
    <row r="202" spans="1:27" x14ac:dyDescent="0.45">
      <c r="A202">
        <v>6</v>
      </c>
      <c r="B202">
        <v>7</v>
      </c>
      <c r="C202" s="32">
        <f t="shared" si="27"/>
        <v>1</v>
      </c>
      <c r="D202">
        <v>6</v>
      </c>
      <c r="E202">
        <v>7</v>
      </c>
      <c r="F202" s="32">
        <f t="shared" si="28"/>
        <v>1</v>
      </c>
      <c r="G202">
        <v>8</v>
      </c>
      <c r="H202">
        <v>6</v>
      </c>
      <c r="I202" s="32">
        <f t="shared" si="29"/>
        <v>2</v>
      </c>
      <c r="J202">
        <v>8</v>
      </c>
      <c r="K202">
        <v>7</v>
      </c>
      <c r="L202" s="32">
        <f t="shared" si="30"/>
        <v>1</v>
      </c>
      <c r="M202">
        <v>6</v>
      </c>
      <c r="N202">
        <v>7</v>
      </c>
      <c r="O202" s="32">
        <f t="shared" si="31"/>
        <v>1</v>
      </c>
      <c r="P202">
        <v>7</v>
      </c>
      <c r="Q202">
        <v>7</v>
      </c>
      <c r="R202" s="32">
        <f t="shared" si="32"/>
        <v>0</v>
      </c>
      <c r="S202">
        <v>6</v>
      </c>
      <c r="T202">
        <v>6</v>
      </c>
      <c r="U202" s="32">
        <f t="shared" si="33"/>
        <v>0</v>
      </c>
      <c r="V202">
        <v>6</v>
      </c>
      <c r="W202">
        <v>7</v>
      </c>
      <c r="X202" s="32">
        <f t="shared" si="34"/>
        <v>1</v>
      </c>
      <c r="Y202">
        <v>7</v>
      </c>
      <c r="Z202">
        <v>7</v>
      </c>
      <c r="AA202" s="32">
        <f t="shared" si="35"/>
        <v>0</v>
      </c>
    </row>
    <row r="203" spans="1:27" x14ac:dyDescent="0.45">
      <c r="A203">
        <v>6</v>
      </c>
      <c r="B203">
        <v>7</v>
      </c>
      <c r="C203" s="32">
        <f t="shared" si="27"/>
        <v>1</v>
      </c>
      <c r="D203">
        <v>6</v>
      </c>
      <c r="E203">
        <v>7</v>
      </c>
      <c r="F203" s="32">
        <f t="shared" si="28"/>
        <v>1</v>
      </c>
      <c r="G203">
        <v>8</v>
      </c>
      <c r="H203">
        <v>6</v>
      </c>
      <c r="I203" s="32">
        <f t="shared" si="29"/>
        <v>2</v>
      </c>
      <c r="J203">
        <v>8</v>
      </c>
      <c r="K203">
        <v>7</v>
      </c>
      <c r="L203" s="32">
        <f t="shared" si="30"/>
        <v>1</v>
      </c>
      <c r="M203">
        <v>6</v>
      </c>
      <c r="N203">
        <v>7</v>
      </c>
      <c r="O203" s="32">
        <f t="shared" si="31"/>
        <v>1</v>
      </c>
      <c r="P203">
        <v>7</v>
      </c>
      <c r="Q203">
        <v>7</v>
      </c>
      <c r="R203" s="32">
        <f t="shared" si="32"/>
        <v>0</v>
      </c>
      <c r="S203">
        <v>6</v>
      </c>
      <c r="T203">
        <v>6</v>
      </c>
      <c r="U203" s="32">
        <f t="shared" si="33"/>
        <v>0</v>
      </c>
      <c r="V203">
        <v>6</v>
      </c>
      <c r="W203">
        <v>7</v>
      </c>
      <c r="X203" s="32">
        <f t="shared" si="34"/>
        <v>1</v>
      </c>
      <c r="Y203">
        <v>7</v>
      </c>
      <c r="Z203">
        <v>7</v>
      </c>
      <c r="AA203" s="32">
        <f t="shared" si="35"/>
        <v>0</v>
      </c>
    </row>
    <row r="204" spans="1:27" x14ac:dyDescent="0.45">
      <c r="A204">
        <v>6</v>
      </c>
      <c r="B204">
        <v>7</v>
      </c>
      <c r="C204" s="32">
        <f t="shared" si="27"/>
        <v>1</v>
      </c>
      <c r="D204">
        <v>6</v>
      </c>
      <c r="E204">
        <v>7</v>
      </c>
      <c r="F204" s="32">
        <f t="shared" si="28"/>
        <v>1</v>
      </c>
      <c r="G204">
        <v>8</v>
      </c>
      <c r="H204">
        <v>6</v>
      </c>
      <c r="I204" s="32">
        <f t="shared" si="29"/>
        <v>2</v>
      </c>
      <c r="J204">
        <v>8</v>
      </c>
      <c r="K204">
        <v>7</v>
      </c>
      <c r="L204" s="32">
        <f t="shared" si="30"/>
        <v>1</v>
      </c>
      <c r="M204">
        <v>6</v>
      </c>
      <c r="N204">
        <v>7</v>
      </c>
      <c r="O204" s="32">
        <f t="shared" si="31"/>
        <v>1</v>
      </c>
      <c r="P204">
        <v>7</v>
      </c>
      <c r="Q204">
        <v>7</v>
      </c>
      <c r="R204" s="32">
        <f t="shared" si="32"/>
        <v>0</v>
      </c>
      <c r="S204">
        <v>6</v>
      </c>
      <c r="T204">
        <v>6</v>
      </c>
      <c r="U204" s="32">
        <f t="shared" si="33"/>
        <v>0</v>
      </c>
      <c r="V204">
        <v>6</v>
      </c>
      <c r="W204">
        <v>7</v>
      </c>
      <c r="X204" s="32">
        <f t="shared" si="34"/>
        <v>1</v>
      </c>
      <c r="Y204">
        <v>7</v>
      </c>
      <c r="Z204">
        <v>7</v>
      </c>
      <c r="AA204" s="32">
        <f t="shared" si="35"/>
        <v>0</v>
      </c>
    </row>
    <row r="205" spans="1:27" x14ac:dyDescent="0.45">
      <c r="A205">
        <v>6</v>
      </c>
      <c r="B205">
        <v>7</v>
      </c>
      <c r="C205" s="32">
        <f t="shared" si="27"/>
        <v>1</v>
      </c>
      <c r="D205">
        <v>6</v>
      </c>
      <c r="E205">
        <v>7</v>
      </c>
      <c r="F205" s="32">
        <f t="shared" si="28"/>
        <v>1</v>
      </c>
      <c r="G205">
        <v>8</v>
      </c>
      <c r="H205">
        <v>6</v>
      </c>
      <c r="I205" s="32">
        <f t="shared" si="29"/>
        <v>2</v>
      </c>
      <c r="J205">
        <v>8</v>
      </c>
      <c r="K205">
        <v>7</v>
      </c>
      <c r="L205" s="32">
        <f t="shared" si="30"/>
        <v>1</v>
      </c>
      <c r="M205">
        <v>6</v>
      </c>
      <c r="N205">
        <v>7</v>
      </c>
      <c r="O205" s="32">
        <f t="shared" si="31"/>
        <v>1</v>
      </c>
      <c r="P205">
        <v>7</v>
      </c>
      <c r="Q205">
        <v>7</v>
      </c>
      <c r="R205" s="32">
        <f t="shared" si="32"/>
        <v>0</v>
      </c>
      <c r="S205">
        <v>6</v>
      </c>
      <c r="T205">
        <v>6</v>
      </c>
      <c r="U205" s="32">
        <f t="shared" si="33"/>
        <v>0</v>
      </c>
      <c r="V205">
        <v>6</v>
      </c>
      <c r="W205">
        <v>7</v>
      </c>
      <c r="X205" s="32">
        <f t="shared" si="34"/>
        <v>1</v>
      </c>
      <c r="Y205">
        <v>7</v>
      </c>
      <c r="Z205">
        <v>7</v>
      </c>
      <c r="AA205" s="32">
        <f t="shared" si="35"/>
        <v>0</v>
      </c>
    </row>
    <row r="206" spans="1:27" x14ac:dyDescent="0.45">
      <c r="A206">
        <v>6</v>
      </c>
      <c r="B206">
        <v>7</v>
      </c>
      <c r="C206" s="32">
        <f t="shared" si="27"/>
        <v>1</v>
      </c>
      <c r="D206">
        <v>6</v>
      </c>
      <c r="E206">
        <v>7</v>
      </c>
      <c r="F206" s="32">
        <f t="shared" si="28"/>
        <v>1</v>
      </c>
      <c r="G206">
        <v>8</v>
      </c>
      <c r="H206">
        <v>6</v>
      </c>
      <c r="I206" s="32">
        <f t="shared" si="29"/>
        <v>2</v>
      </c>
      <c r="J206">
        <v>8</v>
      </c>
      <c r="K206">
        <v>7</v>
      </c>
      <c r="L206" s="32">
        <f t="shared" si="30"/>
        <v>1</v>
      </c>
      <c r="M206">
        <v>6</v>
      </c>
      <c r="N206">
        <v>7</v>
      </c>
      <c r="O206" s="32">
        <f t="shared" si="31"/>
        <v>1</v>
      </c>
      <c r="P206">
        <v>7</v>
      </c>
      <c r="Q206">
        <v>7</v>
      </c>
      <c r="R206" s="32">
        <f t="shared" si="32"/>
        <v>0</v>
      </c>
      <c r="S206">
        <v>6</v>
      </c>
      <c r="T206">
        <v>6</v>
      </c>
      <c r="U206" s="32">
        <f t="shared" si="33"/>
        <v>0</v>
      </c>
      <c r="V206">
        <v>6</v>
      </c>
      <c r="W206">
        <v>7</v>
      </c>
      <c r="X206" s="32">
        <f t="shared" si="34"/>
        <v>1</v>
      </c>
      <c r="Y206">
        <v>7</v>
      </c>
      <c r="Z206">
        <v>7</v>
      </c>
      <c r="AA206" s="32">
        <f t="shared" si="35"/>
        <v>0</v>
      </c>
    </row>
    <row r="207" spans="1:27" x14ac:dyDescent="0.45">
      <c r="A207">
        <v>6</v>
      </c>
      <c r="B207">
        <v>7</v>
      </c>
      <c r="C207" s="32">
        <f t="shared" si="27"/>
        <v>1</v>
      </c>
      <c r="D207">
        <v>6</v>
      </c>
      <c r="E207">
        <v>7</v>
      </c>
      <c r="F207" s="32">
        <f t="shared" si="28"/>
        <v>1</v>
      </c>
      <c r="G207">
        <v>8</v>
      </c>
      <c r="H207">
        <v>6</v>
      </c>
      <c r="I207" s="32">
        <f t="shared" si="29"/>
        <v>2</v>
      </c>
      <c r="J207">
        <v>8</v>
      </c>
      <c r="K207">
        <v>7</v>
      </c>
      <c r="L207" s="32">
        <f t="shared" si="30"/>
        <v>1</v>
      </c>
      <c r="M207">
        <v>6</v>
      </c>
      <c r="N207">
        <v>7</v>
      </c>
      <c r="O207" s="32">
        <f t="shared" si="31"/>
        <v>1</v>
      </c>
      <c r="P207">
        <v>7</v>
      </c>
      <c r="Q207">
        <v>7</v>
      </c>
      <c r="R207" s="32">
        <f t="shared" si="32"/>
        <v>0</v>
      </c>
      <c r="S207">
        <v>6</v>
      </c>
      <c r="T207">
        <v>6</v>
      </c>
      <c r="U207" s="32">
        <f t="shared" si="33"/>
        <v>0</v>
      </c>
      <c r="V207">
        <v>6</v>
      </c>
      <c r="W207">
        <v>7</v>
      </c>
      <c r="X207" s="32">
        <f t="shared" si="34"/>
        <v>1</v>
      </c>
      <c r="Y207">
        <v>7</v>
      </c>
      <c r="Z207">
        <v>7</v>
      </c>
      <c r="AA207" s="32">
        <f t="shared" si="35"/>
        <v>0</v>
      </c>
    </row>
    <row r="208" spans="1:27" x14ac:dyDescent="0.45">
      <c r="A208">
        <v>6</v>
      </c>
      <c r="B208">
        <v>7</v>
      </c>
      <c r="C208" s="32">
        <f t="shared" si="27"/>
        <v>1</v>
      </c>
      <c r="D208">
        <v>6</v>
      </c>
      <c r="E208">
        <v>7</v>
      </c>
      <c r="F208" s="32">
        <f t="shared" si="28"/>
        <v>1</v>
      </c>
      <c r="G208">
        <v>8</v>
      </c>
      <c r="H208">
        <v>6</v>
      </c>
      <c r="I208" s="32">
        <f t="shared" si="29"/>
        <v>2</v>
      </c>
      <c r="J208">
        <v>8</v>
      </c>
      <c r="K208">
        <v>8</v>
      </c>
      <c r="L208" s="32">
        <f t="shared" si="30"/>
        <v>0</v>
      </c>
      <c r="M208">
        <v>6</v>
      </c>
      <c r="N208">
        <v>7</v>
      </c>
      <c r="O208" s="32">
        <f t="shared" si="31"/>
        <v>1</v>
      </c>
      <c r="P208">
        <v>7</v>
      </c>
      <c r="Q208">
        <v>7</v>
      </c>
      <c r="R208" s="32">
        <f t="shared" si="32"/>
        <v>0</v>
      </c>
      <c r="S208">
        <v>6</v>
      </c>
      <c r="T208">
        <v>6</v>
      </c>
      <c r="U208" s="32">
        <f t="shared" si="33"/>
        <v>0</v>
      </c>
      <c r="V208">
        <v>7</v>
      </c>
      <c r="W208">
        <v>7</v>
      </c>
      <c r="X208" s="32">
        <f t="shared" si="34"/>
        <v>0</v>
      </c>
      <c r="Y208">
        <v>7</v>
      </c>
      <c r="Z208">
        <v>7</v>
      </c>
      <c r="AA208" s="32">
        <f t="shared" si="35"/>
        <v>0</v>
      </c>
    </row>
    <row r="209" spans="1:27" x14ac:dyDescent="0.45">
      <c r="A209">
        <v>6</v>
      </c>
      <c r="B209">
        <v>7</v>
      </c>
      <c r="C209" s="32">
        <f t="shared" si="27"/>
        <v>1</v>
      </c>
      <c r="D209">
        <v>6</v>
      </c>
      <c r="E209">
        <v>7</v>
      </c>
      <c r="F209" s="32">
        <f t="shared" si="28"/>
        <v>1</v>
      </c>
      <c r="G209">
        <v>8</v>
      </c>
      <c r="H209">
        <v>7</v>
      </c>
      <c r="I209" s="32">
        <f t="shared" si="29"/>
        <v>1</v>
      </c>
      <c r="J209">
        <v>8</v>
      </c>
      <c r="K209">
        <v>8</v>
      </c>
      <c r="L209" s="32">
        <f t="shared" si="30"/>
        <v>0</v>
      </c>
      <c r="M209">
        <v>6</v>
      </c>
      <c r="N209">
        <v>7</v>
      </c>
      <c r="O209" s="32">
        <f t="shared" si="31"/>
        <v>1</v>
      </c>
      <c r="P209">
        <v>7</v>
      </c>
      <c r="Q209">
        <v>7</v>
      </c>
      <c r="R209" s="32">
        <f t="shared" si="32"/>
        <v>0</v>
      </c>
      <c r="S209">
        <v>6</v>
      </c>
      <c r="T209">
        <v>6</v>
      </c>
      <c r="U209" s="32">
        <f t="shared" si="33"/>
        <v>0</v>
      </c>
      <c r="V209">
        <v>7</v>
      </c>
      <c r="W209">
        <v>7</v>
      </c>
      <c r="X209" s="32">
        <f t="shared" si="34"/>
        <v>0</v>
      </c>
      <c r="Y209">
        <v>7</v>
      </c>
      <c r="Z209">
        <v>7</v>
      </c>
      <c r="AA209" s="32">
        <f t="shared" si="35"/>
        <v>0</v>
      </c>
    </row>
    <row r="210" spans="1:27" x14ac:dyDescent="0.45">
      <c r="A210">
        <v>6</v>
      </c>
      <c r="B210">
        <v>7</v>
      </c>
      <c r="C210" s="32">
        <f t="shared" si="27"/>
        <v>1</v>
      </c>
      <c r="D210">
        <v>6</v>
      </c>
      <c r="E210">
        <v>7</v>
      </c>
      <c r="F210" s="32">
        <f t="shared" si="28"/>
        <v>1</v>
      </c>
      <c r="G210">
        <v>8</v>
      </c>
      <c r="H210">
        <v>7</v>
      </c>
      <c r="I210" s="32">
        <f t="shared" si="29"/>
        <v>1</v>
      </c>
      <c r="J210">
        <v>8</v>
      </c>
      <c r="K210">
        <v>8</v>
      </c>
      <c r="L210" s="32">
        <f t="shared" si="30"/>
        <v>0</v>
      </c>
      <c r="M210">
        <v>6</v>
      </c>
      <c r="N210">
        <v>7</v>
      </c>
      <c r="O210" s="32">
        <f t="shared" si="31"/>
        <v>1</v>
      </c>
      <c r="P210">
        <v>7</v>
      </c>
      <c r="Q210">
        <v>7</v>
      </c>
      <c r="R210" s="32">
        <f t="shared" si="32"/>
        <v>0</v>
      </c>
      <c r="S210">
        <v>6</v>
      </c>
      <c r="T210">
        <v>6</v>
      </c>
      <c r="U210" s="32">
        <f t="shared" si="33"/>
        <v>0</v>
      </c>
      <c r="V210">
        <v>7</v>
      </c>
      <c r="W210">
        <v>7</v>
      </c>
      <c r="X210" s="32">
        <f t="shared" si="34"/>
        <v>0</v>
      </c>
      <c r="Y210">
        <v>7</v>
      </c>
      <c r="Z210">
        <v>7</v>
      </c>
      <c r="AA210" s="32">
        <f t="shared" si="35"/>
        <v>0</v>
      </c>
    </row>
    <row r="211" spans="1:27" x14ac:dyDescent="0.45">
      <c r="A211">
        <v>6</v>
      </c>
      <c r="B211">
        <v>7</v>
      </c>
      <c r="C211" s="32">
        <f t="shared" si="27"/>
        <v>1</v>
      </c>
      <c r="D211">
        <v>6</v>
      </c>
      <c r="E211">
        <v>7</v>
      </c>
      <c r="F211" s="32">
        <f t="shared" si="28"/>
        <v>1</v>
      </c>
      <c r="G211">
        <v>8</v>
      </c>
      <c r="H211">
        <v>7</v>
      </c>
      <c r="I211" s="32">
        <f t="shared" si="29"/>
        <v>1</v>
      </c>
      <c r="J211">
        <v>8</v>
      </c>
      <c r="K211">
        <v>8</v>
      </c>
      <c r="L211" s="32">
        <f t="shared" si="30"/>
        <v>0</v>
      </c>
      <c r="M211">
        <v>6</v>
      </c>
      <c r="N211">
        <v>7</v>
      </c>
      <c r="O211" s="32">
        <f t="shared" si="31"/>
        <v>1</v>
      </c>
      <c r="P211">
        <v>7</v>
      </c>
      <c r="Q211">
        <v>7</v>
      </c>
      <c r="R211" s="32">
        <f t="shared" si="32"/>
        <v>0</v>
      </c>
      <c r="S211">
        <v>6</v>
      </c>
      <c r="T211">
        <v>6</v>
      </c>
      <c r="U211" s="32">
        <f t="shared" si="33"/>
        <v>0</v>
      </c>
      <c r="V211">
        <v>7</v>
      </c>
      <c r="W211">
        <v>7</v>
      </c>
      <c r="X211" s="32">
        <f t="shared" si="34"/>
        <v>0</v>
      </c>
      <c r="Y211">
        <v>7</v>
      </c>
      <c r="Z211">
        <v>7</v>
      </c>
      <c r="AA211" s="32">
        <f t="shared" si="35"/>
        <v>0</v>
      </c>
    </row>
    <row r="212" spans="1:27" x14ac:dyDescent="0.45">
      <c r="A212">
        <v>6</v>
      </c>
      <c r="B212">
        <v>7</v>
      </c>
      <c r="C212" s="32">
        <f t="shared" si="27"/>
        <v>1</v>
      </c>
      <c r="D212">
        <v>6</v>
      </c>
      <c r="E212">
        <v>7</v>
      </c>
      <c r="F212" s="32">
        <f t="shared" si="28"/>
        <v>1</v>
      </c>
      <c r="G212">
        <v>8</v>
      </c>
      <c r="H212">
        <v>7</v>
      </c>
      <c r="I212" s="32">
        <f t="shared" si="29"/>
        <v>1</v>
      </c>
      <c r="J212">
        <v>8</v>
      </c>
      <c r="K212">
        <v>8</v>
      </c>
      <c r="L212" s="32">
        <f t="shared" si="30"/>
        <v>0</v>
      </c>
      <c r="M212">
        <v>6</v>
      </c>
      <c r="N212">
        <v>7</v>
      </c>
      <c r="O212" s="32">
        <f t="shared" si="31"/>
        <v>1</v>
      </c>
      <c r="P212">
        <v>7</v>
      </c>
      <c r="Q212">
        <v>7</v>
      </c>
      <c r="R212" s="32">
        <f t="shared" si="32"/>
        <v>0</v>
      </c>
      <c r="S212">
        <v>6</v>
      </c>
      <c r="T212">
        <v>6</v>
      </c>
      <c r="U212" s="32">
        <f t="shared" si="33"/>
        <v>0</v>
      </c>
      <c r="V212">
        <v>7</v>
      </c>
      <c r="W212">
        <v>7</v>
      </c>
      <c r="X212" s="32">
        <f t="shared" si="34"/>
        <v>0</v>
      </c>
      <c r="Y212">
        <v>7</v>
      </c>
      <c r="Z212">
        <v>7</v>
      </c>
      <c r="AA212" s="32">
        <f t="shared" si="35"/>
        <v>0</v>
      </c>
    </row>
    <row r="213" spans="1:27" x14ac:dyDescent="0.45">
      <c r="A213">
        <v>6</v>
      </c>
      <c r="B213">
        <v>7</v>
      </c>
      <c r="C213" s="32">
        <f t="shared" si="27"/>
        <v>1</v>
      </c>
      <c r="D213">
        <v>6</v>
      </c>
      <c r="E213">
        <v>8</v>
      </c>
      <c r="F213" s="32">
        <f t="shared" si="28"/>
        <v>2</v>
      </c>
      <c r="G213">
        <v>8</v>
      </c>
      <c r="H213">
        <v>7</v>
      </c>
      <c r="I213" s="32">
        <f t="shared" si="29"/>
        <v>1</v>
      </c>
      <c r="J213">
        <v>8</v>
      </c>
      <c r="K213">
        <v>8</v>
      </c>
      <c r="L213" s="32">
        <f t="shared" si="30"/>
        <v>0</v>
      </c>
      <c r="M213">
        <v>6</v>
      </c>
      <c r="N213">
        <v>7</v>
      </c>
      <c r="O213" s="32">
        <f t="shared" si="31"/>
        <v>1</v>
      </c>
      <c r="P213">
        <v>7</v>
      </c>
      <c r="Q213">
        <v>7</v>
      </c>
      <c r="R213" s="32">
        <f t="shared" si="32"/>
        <v>0</v>
      </c>
      <c r="S213">
        <v>6</v>
      </c>
      <c r="T213">
        <v>6</v>
      </c>
      <c r="U213" s="32">
        <f t="shared" si="33"/>
        <v>0</v>
      </c>
      <c r="V213">
        <v>7</v>
      </c>
      <c r="W213">
        <v>7</v>
      </c>
      <c r="X213" s="32">
        <f t="shared" si="34"/>
        <v>0</v>
      </c>
      <c r="Y213">
        <v>7</v>
      </c>
      <c r="Z213">
        <v>7</v>
      </c>
      <c r="AA213" s="32">
        <f t="shared" si="35"/>
        <v>0</v>
      </c>
    </row>
    <row r="214" spans="1:27" x14ac:dyDescent="0.45">
      <c r="A214">
        <v>6</v>
      </c>
      <c r="B214">
        <v>7</v>
      </c>
      <c r="C214" s="32">
        <f t="shared" si="27"/>
        <v>1</v>
      </c>
      <c r="D214">
        <v>6</v>
      </c>
      <c r="E214">
        <v>8</v>
      </c>
      <c r="F214" s="32">
        <f t="shared" si="28"/>
        <v>2</v>
      </c>
      <c r="G214">
        <v>8</v>
      </c>
      <c r="H214">
        <v>7</v>
      </c>
      <c r="I214" s="32">
        <f t="shared" si="29"/>
        <v>1</v>
      </c>
      <c r="J214">
        <v>8</v>
      </c>
      <c r="K214">
        <v>8</v>
      </c>
      <c r="L214" s="32">
        <f t="shared" si="30"/>
        <v>0</v>
      </c>
      <c r="M214">
        <v>6</v>
      </c>
      <c r="N214">
        <v>7</v>
      </c>
      <c r="O214" s="32">
        <f t="shared" si="31"/>
        <v>1</v>
      </c>
      <c r="P214">
        <v>7</v>
      </c>
      <c r="Q214">
        <v>7</v>
      </c>
      <c r="R214" s="32">
        <f t="shared" si="32"/>
        <v>0</v>
      </c>
      <c r="S214">
        <v>6</v>
      </c>
      <c r="T214">
        <v>6</v>
      </c>
      <c r="U214" s="32">
        <f t="shared" si="33"/>
        <v>0</v>
      </c>
      <c r="V214">
        <v>7</v>
      </c>
      <c r="W214">
        <v>7</v>
      </c>
      <c r="X214" s="32">
        <f t="shared" si="34"/>
        <v>0</v>
      </c>
      <c r="Y214">
        <v>7</v>
      </c>
      <c r="Z214">
        <v>7</v>
      </c>
      <c r="AA214" s="32">
        <f t="shared" si="35"/>
        <v>0</v>
      </c>
    </row>
    <row r="215" spans="1:27" x14ac:dyDescent="0.45">
      <c r="A215">
        <v>6</v>
      </c>
      <c r="B215">
        <v>7</v>
      </c>
      <c r="C215" s="32">
        <f t="shared" si="27"/>
        <v>1</v>
      </c>
      <c r="D215">
        <v>6</v>
      </c>
      <c r="E215">
        <v>8</v>
      </c>
      <c r="F215" s="32">
        <f t="shared" si="28"/>
        <v>2</v>
      </c>
      <c r="G215">
        <v>8</v>
      </c>
      <c r="H215">
        <v>7</v>
      </c>
      <c r="I215" s="32">
        <f t="shared" si="29"/>
        <v>1</v>
      </c>
      <c r="J215">
        <v>8</v>
      </c>
      <c r="K215">
        <v>8</v>
      </c>
      <c r="L215" s="32">
        <f t="shared" si="30"/>
        <v>0</v>
      </c>
      <c r="M215">
        <v>6</v>
      </c>
      <c r="N215">
        <v>7</v>
      </c>
      <c r="O215" s="32">
        <f t="shared" si="31"/>
        <v>1</v>
      </c>
      <c r="P215">
        <v>7</v>
      </c>
      <c r="Q215">
        <v>7</v>
      </c>
      <c r="R215" s="32">
        <f t="shared" si="32"/>
        <v>0</v>
      </c>
      <c r="S215">
        <v>6</v>
      </c>
      <c r="T215">
        <v>6</v>
      </c>
      <c r="U215" s="32">
        <f t="shared" si="33"/>
        <v>0</v>
      </c>
      <c r="V215">
        <v>7</v>
      </c>
      <c r="W215">
        <v>7</v>
      </c>
      <c r="X215" s="32">
        <f t="shared" si="34"/>
        <v>0</v>
      </c>
      <c r="Y215">
        <v>7</v>
      </c>
      <c r="Z215">
        <v>7</v>
      </c>
      <c r="AA215" s="32">
        <f t="shared" si="35"/>
        <v>0</v>
      </c>
    </row>
    <row r="216" spans="1:27" x14ac:dyDescent="0.45">
      <c r="A216">
        <v>6</v>
      </c>
      <c r="B216">
        <v>7</v>
      </c>
      <c r="C216" s="32">
        <f t="shared" si="27"/>
        <v>1</v>
      </c>
      <c r="D216">
        <v>6</v>
      </c>
      <c r="E216">
        <v>8</v>
      </c>
      <c r="F216" s="32">
        <f t="shared" si="28"/>
        <v>2</v>
      </c>
      <c r="G216">
        <v>8</v>
      </c>
      <c r="H216">
        <v>7</v>
      </c>
      <c r="I216" s="32">
        <f t="shared" si="29"/>
        <v>1</v>
      </c>
      <c r="J216">
        <v>8</v>
      </c>
      <c r="K216">
        <v>8</v>
      </c>
      <c r="L216" s="32">
        <f t="shared" si="30"/>
        <v>0</v>
      </c>
      <c r="M216">
        <v>6</v>
      </c>
      <c r="N216">
        <v>7</v>
      </c>
      <c r="O216" s="32">
        <f t="shared" si="31"/>
        <v>1</v>
      </c>
      <c r="P216">
        <v>7</v>
      </c>
      <c r="Q216">
        <v>7</v>
      </c>
      <c r="R216" s="32">
        <f t="shared" si="32"/>
        <v>0</v>
      </c>
      <c r="S216">
        <v>6</v>
      </c>
      <c r="T216">
        <v>6</v>
      </c>
      <c r="U216" s="32">
        <f t="shared" si="33"/>
        <v>0</v>
      </c>
      <c r="V216">
        <v>7</v>
      </c>
      <c r="W216">
        <v>7</v>
      </c>
      <c r="X216" s="32">
        <f t="shared" si="34"/>
        <v>0</v>
      </c>
      <c r="Y216">
        <v>7</v>
      </c>
      <c r="Z216">
        <v>7</v>
      </c>
      <c r="AA216" s="32">
        <f t="shared" si="35"/>
        <v>0</v>
      </c>
    </row>
    <row r="217" spans="1:27" x14ac:dyDescent="0.45">
      <c r="A217">
        <v>6</v>
      </c>
      <c r="B217">
        <v>7</v>
      </c>
      <c r="C217" s="32">
        <f t="shared" si="27"/>
        <v>1</v>
      </c>
      <c r="D217">
        <v>6</v>
      </c>
      <c r="E217">
        <v>8</v>
      </c>
      <c r="F217" s="32">
        <f t="shared" si="28"/>
        <v>2</v>
      </c>
      <c r="G217">
        <v>8</v>
      </c>
      <c r="H217">
        <v>7</v>
      </c>
      <c r="I217" s="32">
        <f t="shared" si="29"/>
        <v>1</v>
      </c>
      <c r="J217">
        <v>8</v>
      </c>
      <c r="K217">
        <v>8</v>
      </c>
      <c r="L217" s="32">
        <f t="shared" si="30"/>
        <v>0</v>
      </c>
      <c r="M217">
        <v>6</v>
      </c>
      <c r="N217">
        <v>7</v>
      </c>
      <c r="O217" s="32">
        <f t="shared" si="31"/>
        <v>1</v>
      </c>
      <c r="P217">
        <v>7</v>
      </c>
      <c r="Q217">
        <v>7</v>
      </c>
      <c r="R217" s="32">
        <f t="shared" si="32"/>
        <v>0</v>
      </c>
      <c r="S217">
        <v>6</v>
      </c>
      <c r="T217">
        <v>6</v>
      </c>
      <c r="U217" s="32">
        <f t="shared" si="33"/>
        <v>0</v>
      </c>
      <c r="V217">
        <v>7</v>
      </c>
      <c r="W217">
        <v>7</v>
      </c>
      <c r="X217" s="32">
        <f t="shared" si="34"/>
        <v>0</v>
      </c>
      <c r="Y217">
        <v>7</v>
      </c>
      <c r="Z217">
        <v>7</v>
      </c>
      <c r="AA217" s="32">
        <f t="shared" si="35"/>
        <v>0</v>
      </c>
    </row>
    <row r="218" spans="1:27" x14ac:dyDescent="0.45">
      <c r="A218">
        <v>6</v>
      </c>
      <c r="B218">
        <v>7</v>
      </c>
      <c r="C218" s="32">
        <f t="shared" si="27"/>
        <v>1</v>
      </c>
      <c r="D218">
        <v>6</v>
      </c>
      <c r="E218">
        <v>8</v>
      </c>
      <c r="F218" s="32">
        <f t="shared" si="28"/>
        <v>2</v>
      </c>
      <c r="G218">
        <v>8</v>
      </c>
      <c r="H218">
        <v>7</v>
      </c>
      <c r="I218" s="32">
        <f t="shared" si="29"/>
        <v>1</v>
      </c>
      <c r="J218">
        <v>8</v>
      </c>
      <c r="K218">
        <v>8</v>
      </c>
      <c r="L218" s="32">
        <f t="shared" si="30"/>
        <v>0</v>
      </c>
      <c r="M218">
        <v>6</v>
      </c>
      <c r="N218">
        <v>7</v>
      </c>
      <c r="O218" s="32">
        <f t="shared" si="31"/>
        <v>1</v>
      </c>
      <c r="P218">
        <v>7</v>
      </c>
      <c r="Q218">
        <v>7</v>
      </c>
      <c r="R218" s="32">
        <f t="shared" si="32"/>
        <v>0</v>
      </c>
      <c r="S218">
        <v>6</v>
      </c>
      <c r="T218">
        <v>6</v>
      </c>
      <c r="U218" s="32">
        <f t="shared" si="33"/>
        <v>0</v>
      </c>
      <c r="V218">
        <v>7</v>
      </c>
      <c r="W218">
        <v>7</v>
      </c>
      <c r="X218" s="32">
        <f t="shared" si="34"/>
        <v>0</v>
      </c>
      <c r="Y218">
        <v>7</v>
      </c>
      <c r="Z218">
        <v>7</v>
      </c>
      <c r="AA218" s="32">
        <f t="shared" si="35"/>
        <v>0</v>
      </c>
    </row>
    <row r="219" spans="1:27" x14ac:dyDescent="0.45">
      <c r="A219">
        <v>6</v>
      </c>
      <c r="B219">
        <v>7</v>
      </c>
      <c r="C219" s="32">
        <f t="shared" si="27"/>
        <v>1</v>
      </c>
      <c r="D219">
        <v>6</v>
      </c>
      <c r="E219">
        <v>8</v>
      </c>
      <c r="F219" s="32">
        <f t="shared" si="28"/>
        <v>2</v>
      </c>
      <c r="G219">
        <v>8</v>
      </c>
      <c r="H219">
        <v>7</v>
      </c>
      <c r="I219" s="32">
        <f t="shared" si="29"/>
        <v>1</v>
      </c>
      <c r="J219">
        <v>8</v>
      </c>
      <c r="K219">
        <v>8</v>
      </c>
      <c r="L219" s="32">
        <f t="shared" si="30"/>
        <v>0</v>
      </c>
      <c r="M219">
        <v>6</v>
      </c>
      <c r="N219">
        <v>7</v>
      </c>
      <c r="O219" s="32">
        <f t="shared" si="31"/>
        <v>1</v>
      </c>
      <c r="P219">
        <v>7</v>
      </c>
      <c r="Q219">
        <v>7</v>
      </c>
      <c r="R219" s="32">
        <f t="shared" si="32"/>
        <v>0</v>
      </c>
      <c r="S219">
        <v>6</v>
      </c>
      <c r="T219">
        <v>6</v>
      </c>
      <c r="U219" s="32">
        <f t="shared" si="33"/>
        <v>0</v>
      </c>
      <c r="V219">
        <v>7</v>
      </c>
      <c r="W219">
        <v>7</v>
      </c>
      <c r="X219" s="32">
        <f t="shared" si="34"/>
        <v>0</v>
      </c>
      <c r="Y219">
        <v>7</v>
      </c>
      <c r="Z219">
        <v>7</v>
      </c>
      <c r="AA219" s="32">
        <f t="shared" si="35"/>
        <v>0</v>
      </c>
    </row>
    <row r="220" spans="1:27" x14ac:dyDescent="0.45">
      <c r="A220">
        <v>6</v>
      </c>
      <c r="B220">
        <v>7</v>
      </c>
      <c r="C220" s="32">
        <f t="shared" si="27"/>
        <v>1</v>
      </c>
      <c r="D220">
        <v>6</v>
      </c>
      <c r="E220">
        <v>8</v>
      </c>
      <c r="F220" s="32">
        <f t="shared" si="28"/>
        <v>2</v>
      </c>
      <c r="G220">
        <v>8</v>
      </c>
      <c r="H220">
        <v>7</v>
      </c>
      <c r="I220" s="32">
        <f t="shared" si="29"/>
        <v>1</v>
      </c>
      <c r="J220">
        <v>8</v>
      </c>
      <c r="K220">
        <v>8</v>
      </c>
      <c r="L220" s="32">
        <f t="shared" si="30"/>
        <v>0</v>
      </c>
      <c r="M220">
        <v>6</v>
      </c>
      <c r="N220">
        <v>7</v>
      </c>
      <c r="O220" s="32">
        <f t="shared" si="31"/>
        <v>1</v>
      </c>
      <c r="P220">
        <v>7</v>
      </c>
      <c r="Q220">
        <v>7</v>
      </c>
      <c r="R220" s="32">
        <f t="shared" si="32"/>
        <v>0</v>
      </c>
      <c r="S220">
        <v>6</v>
      </c>
      <c r="T220">
        <v>6</v>
      </c>
      <c r="U220" s="32">
        <f t="shared" si="33"/>
        <v>0</v>
      </c>
      <c r="V220">
        <v>7</v>
      </c>
      <c r="W220">
        <v>7</v>
      </c>
      <c r="X220" s="32">
        <f t="shared" si="34"/>
        <v>0</v>
      </c>
      <c r="Y220">
        <v>7</v>
      </c>
      <c r="Z220">
        <v>7</v>
      </c>
      <c r="AA220" s="32">
        <f t="shared" si="35"/>
        <v>0</v>
      </c>
    </row>
    <row r="221" spans="1:27" x14ac:dyDescent="0.45">
      <c r="A221">
        <v>6</v>
      </c>
      <c r="B221">
        <v>7</v>
      </c>
      <c r="C221" s="32">
        <f t="shared" si="27"/>
        <v>1</v>
      </c>
      <c r="D221">
        <v>6</v>
      </c>
      <c r="E221">
        <v>8</v>
      </c>
      <c r="F221" s="32">
        <f t="shared" si="28"/>
        <v>2</v>
      </c>
      <c r="G221">
        <v>8</v>
      </c>
      <c r="H221">
        <v>7</v>
      </c>
      <c r="I221" s="32">
        <f t="shared" si="29"/>
        <v>1</v>
      </c>
      <c r="J221">
        <v>8</v>
      </c>
      <c r="K221">
        <v>8</v>
      </c>
      <c r="L221" s="32">
        <f t="shared" si="30"/>
        <v>0</v>
      </c>
      <c r="M221">
        <v>6</v>
      </c>
      <c r="N221">
        <v>7</v>
      </c>
      <c r="O221" s="32">
        <f t="shared" si="31"/>
        <v>1</v>
      </c>
      <c r="P221">
        <v>7</v>
      </c>
      <c r="Q221">
        <v>7</v>
      </c>
      <c r="R221" s="32">
        <f t="shared" si="32"/>
        <v>0</v>
      </c>
      <c r="S221">
        <v>6</v>
      </c>
      <c r="T221">
        <v>6</v>
      </c>
      <c r="U221" s="32">
        <f t="shared" si="33"/>
        <v>0</v>
      </c>
      <c r="V221">
        <v>7</v>
      </c>
      <c r="W221">
        <v>7</v>
      </c>
      <c r="X221" s="32">
        <f t="shared" si="34"/>
        <v>0</v>
      </c>
      <c r="Y221">
        <v>7</v>
      </c>
      <c r="Z221">
        <v>7</v>
      </c>
      <c r="AA221" s="32">
        <f t="shared" si="35"/>
        <v>0</v>
      </c>
    </row>
    <row r="222" spans="1:27" x14ac:dyDescent="0.45">
      <c r="A222">
        <v>6</v>
      </c>
      <c r="B222">
        <v>7</v>
      </c>
      <c r="C222" s="32">
        <f t="shared" si="27"/>
        <v>1</v>
      </c>
      <c r="D222">
        <v>6</v>
      </c>
      <c r="E222">
        <v>8</v>
      </c>
      <c r="F222" s="32">
        <f t="shared" si="28"/>
        <v>2</v>
      </c>
      <c r="G222">
        <v>8</v>
      </c>
      <c r="H222">
        <v>7</v>
      </c>
      <c r="I222" s="32">
        <f t="shared" si="29"/>
        <v>1</v>
      </c>
      <c r="J222">
        <v>8</v>
      </c>
      <c r="K222">
        <v>8</v>
      </c>
      <c r="L222" s="32">
        <f t="shared" si="30"/>
        <v>0</v>
      </c>
      <c r="M222">
        <v>6</v>
      </c>
      <c r="N222">
        <v>7</v>
      </c>
      <c r="O222" s="32">
        <f t="shared" si="31"/>
        <v>1</v>
      </c>
      <c r="P222">
        <v>7</v>
      </c>
      <c r="Q222">
        <v>7</v>
      </c>
      <c r="R222" s="32">
        <f t="shared" si="32"/>
        <v>0</v>
      </c>
      <c r="S222">
        <v>6</v>
      </c>
      <c r="T222">
        <v>6</v>
      </c>
      <c r="U222" s="32">
        <f t="shared" si="33"/>
        <v>0</v>
      </c>
      <c r="V222">
        <v>7</v>
      </c>
      <c r="W222">
        <v>7</v>
      </c>
      <c r="X222" s="32">
        <f t="shared" si="34"/>
        <v>0</v>
      </c>
      <c r="Y222">
        <v>7</v>
      </c>
      <c r="Z222">
        <v>7</v>
      </c>
      <c r="AA222" s="32">
        <f t="shared" si="35"/>
        <v>0</v>
      </c>
    </row>
    <row r="223" spans="1:27" x14ac:dyDescent="0.45">
      <c r="A223">
        <v>6</v>
      </c>
      <c r="B223">
        <v>7</v>
      </c>
      <c r="C223" s="32">
        <f t="shared" si="27"/>
        <v>1</v>
      </c>
      <c r="D223">
        <v>6</v>
      </c>
      <c r="E223">
        <v>8</v>
      </c>
      <c r="F223" s="32">
        <f t="shared" si="28"/>
        <v>2</v>
      </c>
      <c r="G223">
        <v>8</v>
      </c>
      <c r="H223">
        <v>7</v>
      </c>
      <c r="I223" s="32">
        <f t="shared" si="29"/>
        <v>1</v>
      </c>
      <c r="J223">
        <v>8</v>
      </c>
      <c r="K223">
        <v>8</v>
      </c>
      <c r="L223" s="32">
        <f t="shared" si="30"/>
        <v>0</v>
      </c>
      <c r="M223">
        <v>6</v>
      </c>
      <c r="N223">
        <v>7</v>
      </c>
      <c r="O223" s="32">
        <f t="shared" si="31"/>
        <v>1</v>
      </c>
      <c r="P223">
        <v>7</v>
      </c>
      <c r="Q223">
        <v>7</v>
      </c>
      <c r="R223" s="32">
        <f t="shared" si="32"/>
        <v>0</v>
      </c>
      <c r="S223">
        <v>6</v>
      </c>
      <c r="T223">
        <v>6</v>
      </c>
      <c r="U223" s="32">
        <f t="shared" si="33"/>
        <v>0</v>
      </c>
      <c r="V223">
        <v>7</v>
      </c>
      <c r="W223">
        <v>7</v>
      </c>
      <c r="X223" s="32">
        <f t="shared" si="34"/>
        <v>0</v>
      </c>
      <c r="Y223">
        <v>7</v>
      </c>
      <c r="Z223">
        <v>7</v>
      </c>
      <c r="AA223" s="32">
        <f t="shared" si="35"/>
        <v>0</v>
      </c>
    </row>
    <row r="224" spans="1:27" x14ac:dyDescent="0.45">
      <c r="A224">
        <v>6</v>
      </c>
      <c r="B224">
        <v>7</v>
      </c>
      <c r="C224" s="32">
        <f t="shared" si="27"/>
        <v>1</v>
      </c>
      <c r="D224">
        <v>6</v>
      </c>
      <c r="E224">
        <v>8</v>
      </c>
      <c r="F224" s="32">
        <f t="shared" si="28"/>
        <v>2</v>
      </c>
      <c r="G224">
        <v>8</v>
      </c>
      <c r="H224">
        <v>7</v>
      </c>
      <c r="I224" s="32">
        <f t="shared" si="29"/>
        <v>1</v>
      </c>
      <c r="J224">
        <v>8</v>
      </c>
      <c r="K224">
        <v>8</v>
      </c>
      <c r="L224" s="32">
        <f t="shared" si="30"/>
        <v>0</v>
      </c>
      <c r="M224">
        <v>6</v>
      </c>
      <c r="N224">
        <v>7</v>
      </c>
      <c r="O224" s="32">
        <f t="shared" si="31"/>
        <v>1</v>
      </c>
      <c r="P224">
        <v>7</v>
      </c>
      <c r="Q224">
        <v>7</v>
      </c>
      <c r="R224" s="32">
        <f t="shared" si="32"/>
        <v>0</v>
      </c>
      <c r="S224">
        <v>6</v>
      </c>
      <c r="T224">
        <v>6</v>
      </c>
      <c r="U224" s="32">
        <f t="shared" si="33"/>
        <v>0</v>
      </c>
      <c r="V224">
        <v>7</v>
      </c>
      <c r="W224">
        <v>7</v>
      </c>
      <c r="X224" s="32">
        <f t="shared" si="34"/>
        <v>0</v>
      </c>
      <c r="Y224">
        <v>7</v>
      </c>
      <c r="Z224">
        <v>7</v>
      </c>
      <c r="AA224" s="32">
        <f t="shared" si="35"/>
        <v>0</v>
      </c>
    </row>
    <row r="225" spans="1:27" x14ac:dyDescent="0.45">
      <c r="A225">
        <v>6</v>
      </c>
      <c r="B225">
        <v>7</v>
      </c>
      <c r="C225" s="32">
        <f t="shared" si="27"/>
        <v>1</v>
      </c>
      <c r="D225">
        <v>6</v>
      </c>
      <c r="E225">
        <v>8</v>
      </c>
      <c r="F225" s="32">
        <f t="shared" si="28"/>
        <v>2</v>
      </c>
      <c r="G225">
        <v>8</v>
      </c>
      <c r="H225">
        <v>7</v>
      </c>
      <c r="I225" s="32">
        <f t="shared" si="29"/>
        <v>1</v>
      </c>
      <c r="J225">
        <v>8</v>
      </c>
      <c r="K225">
        <v>8</v>
      </c>
      <c r="L225" s="32">
        <f t="shared" si="30"/>
        <v>0</v>
      </c>
      <c r="M225">
        <v>6</v>
      </c>
      <c r="N225">
        <v>7</v>
      </c>
      <c r="O225" s="32">
        <f t="shared" si="31"/>
        <v>1</v>
      </c>
      <c r="P225">
        <v>7</v>
      </c>
      <c r="Q225">
        <v>7</v>
      </c>
      <c r="R225" s="32">
        <f t="shared" si="32"/>
        <v>0</v>
      </c>
      <c r="S225">
        <v>6</v>
      </c>
      <c r="T225">
        <v>6</v>
      </c>
      <c r="U225" s="32">
        <f t="shared" si="33"/>
        <v>0</v>
      </c>
      <c r="V225">
        <v>7</v>
      </c>
      <c r="W225">
        <v>7</v>
      </c>
      <c r="X225" s="32">
        <f t="shared" si="34"/>
        <v>0</v>
      </c>
      <c r="Y225">
        <v>7</v>
      </c>
      <c r="Z225">
        <v>7</v>
      </c>
      <c r="AA225" s="32">
        <f t="shared" si="35"/>
        <v>0</v>
      </c>
    </row>
    <row r="226" spans="1:27" x14ac:dyDescent="0.45">
      <c r="A226">
        <v>6</v>
      </c>
      <c r="B226">
        <v>7</v>
      </c>
      <c r="C226" s="32">
        <f t="shared" si="27"/>
        <v>1</v>
      </c>
      <c r="D226">
        <v>6</v>
      </c>
      <c r="E226">
        <v>8</v>
      </c>
      <c r="F226" s="32">
        <f t="shared" si="28"/>
        <v>2</v>
      </c>
      <c r="G226">
        <v>8</v>
      </c>
      <c r="H226">
        <v>7</v>
      </c>
      <c r="I226" s="32">
        <f t="shared" si="29"/>
        <v>1</v>
      </c>
      <c r="J226">
        <v>8</v>
      </c>
      <c r="K226">
        <v>8</v>
      </c>
      <c r="L226" s="32">
        <f t="shared" si="30"/>
        <v>0</v>
      </c>
      <c r="M226">
        <v>6</v>
      </c>
      <c r="N226">
        <v>7</v>
      </c>
      <c r="O226" s="32">
        <f t="shared" si="31"/>
        <v>1</v>
      </c>
      <c r="P226">
        <v>7</v>
      </c>
      <c r="Q226">
        <v>7</v>
      </c>
      <c r="R226" s="32">
        <f t="shared" si="32"/>
        <v>0</v>
      </c>
      <c r="S226">
        <v>6</v>
      </c>
      <c r="T226">
        <v>6</v>
      </c>
      <c r="U226" s="32">
        <f t="shared" si="33"/>
        <v>0</v>
      </c>
      <c r="V226">
        <v>7</v>
      </c>
      <c r="W226">
        <v>7</v>
      </c>
      <c r="X226" s="32">
        <f t="shared" si="34"/>
        <v>0</v>
      </c>
      <c r="Y226">
        <v>7</v>
      </c>
      <c r="Z226">
        <v>7</v>
      </c>
      <c r="AA226" s="32">
        <f t="shared" si="35"/>
        <v>0</v>
      </c>
    </row>
    <row r="227" spans="1:27" x14ac:dyDescent="0.45">
      <c r="A227">
        <v>6</v>
      </c>
      <c r="B227">
        <v>7</v>
      </c>
      <c r="C227" s="32">
        <f t="shared" si="27"/>
        <v>1</v>
      </c>
      <c r="D227">
        <v>6</v>
      </c>
      <c r="E227">
        <v>8</v>
      </c>
      <c r="F227" s="32">
        <f t="shared" si="28"/>
        <v>2</v>
      </c>
      <c r="G227">
        <v>8</v>
      </c>
      <c r="H227">
        <v>7</v>
      </c>
      <c r="I227" s="32">
        <f t="shared" si="29"/>
        <v>1</v>
      </c>
      <c r="J227">
        <v>8</v>
      </c>
      <c r="K227">
        <v>8</v>
      </c>
      <c r="L227" s="32">
        <f t="shared" si="30"/>
        <v>0</v>
      </c>
      <c r="M227">
        <v>6</v>
      </c>
      <c r="N227">
        <v>7</v>
      </c>
      <c r="O227" s="32">
        <f t="shared" si="31"/>
        <v>1</v>
      </c>
      <c r="P227">
        <v>7</v>
      </c>
      <c r="Q227">
        <v>7</v>
      </c>
      <c r="R227" s="32">
        <f t="shared" si="32"/>
        <v>0</v>
      </c>
      <c r="S227">
        <v>6</v>
      </c>
      <c r="T227">
        <v>6</v>
      </c>
      <c r="U227" s="32">
        <f t="shared" si="33"/>
        <v>0</v>
      </c>
      <c r="V227">
        <v>7</v>
      </c>
      <c r="W227">
        <v>7</v>
      </c>
      <c r="X227" s="32">
        <f t="shared" si="34"/>
        <v>0</v>
      </c>
      <c r="Y227">
        <v>7</v>
      </c>
      <c r="Z227">
        <v>7</v>
      </c>
      <c r="AA227" s="32">
        <f t="shared" si="35"/>
        <v>0</v>
      </c>
    </row>
    <row r="228" spans="1:27" x14ac:dyDescent="0.45">
      <c r="A228">
        <v>6</v>
      </c>
      <c r="B228">
        <v>7</v>
      </c>
      <c r="C228" s="32">
        <f t="shared" si="27"/>
        <v>1</v>
      </c>
      <c r="D228">
        <v>6</v>
      </c>
      <c r="E228">
        <v>8</v>
      </c>
      <c r="F228" s="32">
        <f t="shared" si="28"/>
        <v>2</v>
      </c>
      <c r="G228">
        <v>8</v>
      </c>
      <c r="H228">
        <v>7</v>
      </c>
      <c r="I228" s="32">
        <f t="shared" si="29"/>
        <v>1</v>
      </c>
      <c r="J228">
        <v>8</v>
      </c>
      <c r="K228">
        <v>8</v>
      </c>
      <c r="L228" s="32">
        <f t="shared" si="30"/>
        <v>0</v>
      </c>
      <c r="M228">
        <v>6</v>
      </c>
      <c r="N228">
        <v>7</v>
      </c>
      <c r="O228" s="32">
        <f t="shared" si="31"/>
        <v>1</v>
      </c>
      <c r="P228">
        <v>7</v>
      </c>
      <c r="Q228">
        <v>7</v>
      </c>
      <c r="R228" s="32">
        <f t="shared" si="32"/>
        <v>0</v>
      </c>
      <c r="S228">
        <v>6</v>
      </c>
      <c r="T228">
        <v>6</v>
      </c>
      <c r="U228" s="32">
        <f t="shared" si="33"/>
        <v>0</v>
      </c>
      <c r="V228">
        <v>7</v>
      </c>
      <c r="W228">
        <v>7</v>
      </c>
      <c r="X228" s="32">
        <f t="shared" si="34"/>
        <v>0</v>
      </c>
      <c r="Y228">
        <v>7</v>
      </c>
      <c r="Z228">
        <v>7</v>
      </c>
      <c r="AA228" s="32">
        <f t="shared" si="35"/>
        <v>0</v>
      </c>
    </row>
    <row r="229" spans="1:27" x14ac:dyDescent="0.45">
      <c r="A229">
        <v>6</v>
      </c>
      <c r="B229">
        <v>7</v>
      </c>
      <c r="C229" s="32">
        <f t="shared" si="27"/>
        <v>1</v>
      </c>
      <c r="D229">
        <v>6</v>
      </c>
      <c r="E229">
        <v>8</v>
      </c>
      <c r="F229" s="32">
        <f t="shared" si="28"/>
        <v>2</v>
      </c>
      <c r="G229">
        <v>8</v>
      </c>
      <c r="H229">
        <v>7</v>
      </c>
      <c r="I229" s="32">
        <f t="shared" si="29"/>
        <v>1</v>
      </c>
      <c r="J229">
        <v>8</v>
      </c>
      <c r="K229">
        <v>8</v>
      </c>
      <c r="L229" s="32">
        <f t="shared" si="30"/>
        <v>0</v>
      </c>
      <c r="M229">
        <v>6</v>
      </c>
      <c r="N229">
        <v>7</v>
      </c>
      <c r="O229" s="32">
        <f t="shared" si="31"/>
        <v>1</v>
      </c>
      <c r="P229">
        <v>7</v>
      </c>
      <c r="Q229">
        <v>7</v>
      </c>
      <c r="R229" s="32">
        <f t="shared" si="32"/>
        <v>0</v>
      </c>
      <c r="S229">
        <v>6</v>
      </c>
      <c r="T229">
        <v>6</v>
      </c>
      <c r="U229" s="32">
        <f t="shared" si="33"/>
        <v>0</v>
      </c>
      <c r="V229">
        <v>7</v>
      </c>
      <c r="W229">
        <v>7</v>
      </c>
      <c r="X229" s="32">
        <f t="shared" si="34"/>
        <v>0</v>
      </c>
      <c r="Y229">
        <v>7</v>
      </c>
      <c r="Z229">
        <v>7</v>
      </c>
      <c r="AA229" s="32">
        <f t="shared" si="35"/>
        <v>0</v>
      </c>
    </row>
    <row r="230" spans="1:27" x14ac:dyDescent="0.45">
      <c r="A230">
        <v>6</v>
      </c>
      <c r="B230">
        <v>7</v>
      </c>
      <c r="C230" s="32">
        <f t="shared" si="27"/>
        <v>1</v>
      </c>
      <c r="D230">
        <v>6</v>
      </c>
      <c r="E230">
        <v>8</v>
      </c>
      <c r="F230" s="32">
        <f t="shared" si="28"/>
        <v>2</v>
      </c>
      <c r="G230">
        <v>8</v>
      </c>
      <c r="H230">
        <v>7</v>
      </c>
      <c r="I230" s="32">
        <f t="shared" si="29"/>
        <v>1</v>
      </c>
      <c r="J230">
        <v>8</v>
      </c>
      <c r="K230">
        <v>8</v>
      </c>
      <c r="L230" s="32">
        <f t="shared" si="30"/>
        <v>0</v>
      </c>
      <c r="M230">
        <v>6</v>
      </c>
      <c r="N230">
        <v>7</v>
      </c>
      <c r="O230" s="32">
        <f t="shared" si="31"/>
        <v>1</v>
      </c>
      <c r="P230">
        <v>7</v>
      </c>
      <c r="Q230">
        <v>7</v>
      </c>
      <c r="R230" s="32">
        <f t="shared" si="32"/>
        <v>0</v>
      </c>
      <c r="S230">
        <v>6</v>
      </c>
      <c r="T230">
        <v>6</v>
      </c>
      <c r="U230" s="32">
        <f t="shared" si="33"/>
        <v>0</v>
      </c>
      <c r="V230">
        <v>7</v>
      </c>
      <c r="W230">
        <v>7</v>
      </c>
      <c r="X230" s="32">
        <f t="shared" si="34"/>
        <v>0</v>
      </c>
      <c r="Y230">
        <v>7</v>
      </c>
      <c r="Z230">
        <v>7</v>
      </c>
      <c r="AA230" s="32">
        <f t="shared" si="35"/>
        <v>0</v>
      </c>
    </row>
    <row r="231" spans="1:27" x14ac:dyDescent="0.45">
      <c r="A231">
        <v>6</v>
      </c>
      <c r="B231">
        <v>7</v>
      </c>
      <c r="C231" s="32">
        <f t="shared" si="27"/>
        <v>1</v>
      </c>
      <c r="D231">
        <v>6</v>
      </c>
      <c r="E231">
        <v>8</v>
      </c>
      <c r="F231" s="32">
        <f t="shared" si="28"/>
        <v>2</v>
      </c>
      <c r="G231">
        <v>8</v>
      </c>
      <c r="H231">
        <v>7</v>
      </c>
      <c r="I231" s="32">
        <f t="shared" si="29"/>
        <v>1</v>
      </c>
      <c r="J231">
        <v>8</v>
      </c>
      <c r="K231">
        <v>8</v>
      </c>
      <c r="L231" s="32">
        <f t="shared" si="30"/>
        <v>0</v>
      </c>
      <c r="M231">
        <v>6</v>
      </c>
      <c r="N231">
        <v>7</v>
      </c>
      <c r="O231" s="32">
        <f t="shared" si="31"/>
        <v>1</v>
      </c>
      <c r="P231">
        <v>7</v>
      </c>
      <c r="Q231">
        <v>7</v>
      </c>
      <c r="R231" s="32">
        <f t="shared" si="32"/>
        <v>0</v>
      </c>
      <c r="S231">
        <v>6</v>
      </c>
      <c r="T231">
        <v>6</v>
      </c>
      <c r="U231" s="32">
        <f t="shared" si="33"/>
        <v>0</v>
      </c>
      <c r="V231">
        <v>7</v>
      </c>
      <c r="W231">
        <v>7</v>
      </c>
      <c r="X231" s="32">
        <f t="shared" si="34"/>
        <v>0</v>
      </c>
      <c r="Y231">
        <v>7</v>
      </c>
      <c r="Z231">
        <v>8</v>
      </c>
      <c r="AA231" s="32">
        <f t="shared" si="35"/>
        <v>1</v>
      </c>
    </row>
    <row r="232" spans="1:27" x14ac:dyDescent="0.45">
      <c r="A232">
        <v>6</v>
      </c>
      <c r="B232">
        <v>7</v>
      </c>
      <c r="C232" s="32">
        <f t="shared" si="27"/>
        <v>1</v>
      </c>
      <c r="D232">
        <v>6</v>
      </c>
      <c r="E232">
        <v>8</v>
      </c>
      <c r="F232" s="32">
        <f t="shared" si="28"/>
        <v>2</v>
      </c>
      <c r="G232">
        <v>8</v>
      </c>
      <c r="H232">
        <v>7</v>
      </c>
      <c r="I232" s="32">
        <f t="shared" si="29"/>
        <v>1</v>
      </c>
      <c r="J232">
        <v>8</v>
      </c>
      <c r="K232">
        <v>8</v>
      </c>
      <c r="L232" s="32">
        <f t="shared" si="30"/>
        <v>0</v>
      </c>
      <c r="M232">
        <v>6</v>
      </c>
      <c r="N232">
        <v>7</v>
      </c>
      <c r="O232" s="32">
        <f t="shared" si="31"/>
        <v>1</v>
      </c>
      <c r="P232">
        <v>7</v>
      </c>
      <c r="Q232">
        <v>7</v>
      </c>
      <c r="R232" s="32">
        <f t="shared" si="32"/>
        <v>0</v>
      </c>
      <c r="S232">
        <v>6</v>
      </c>
      <c r="T232">
        <v>6</v>
      </c>
      <c r="U232" s="32">
        <f t="shared" si="33"/>
        <v>0</v>
      </c>
      <c r="V232">
        <v>7</v>
      </c>
      <c r="W232">
        <v>7</v>
      </c>
      <c r="X232" s="32">
        <f t="shared" si="34"/>
        <v>0</v>
      </c>
      <c r="Y232">
        <v>7</v>
      </c>
      <c r="Z232">
        <v>8</v>
      </c>
      <c r="AA232" s="32">
        <f t="shared" si="35"/>
        <v>1</v>
      </c>
    </row>
    <row r="233" spans="1:27" x14ac:dyDescent="0.45">
      <c r="A233">
        <v>6</v>
      </c>
      <c r="B233">
        <v>7</v>
      </c>
      <c r="C233" s="32">
        <f t="shared" si="27"/>
        <v>1</v>
      </c>
      <c r="D233">
        <v>6</v>
      </c>
      <c r="E233">
        <v>8</v>
      </c>
      <c r="F233" s="32">
        <f t="shared" si="28"/>
        <v>2</v>
      </c>
      <c r="G233">
        <v>8</v>
      </c>
      <c r="H233">
        <v>7</v>
      </c>
      <c r="I233" s="32">
        <f t="shared" si="29"/>
        <v>1</v>
      </c>
      <c r="J233">
        <v>8</v>
      </c>
      <c r="K233">
        <v>8</v>
      </c>
      <c r="L233" s="32">
        <f t="shared" si="30"/>
        <v>0</v>
      </c>
      <c r="M233">
        <v>6</v>
      </c>
      <c r="N233">
        <v>7</v>
      </c>
      <c r="O233" s="32">
        <f t="shared" si="31"/>
        <v>1</v>
      </c>
      <c r="P233">
        <v>7</v>
      </c>
      <c r="Q233">
        <v>7</v>
      </c>
      <c r="R233" s="32">
        <f t="shared" si="32"/>
        <v>0</v>
      </c>
      <c r="S233">
        <v>6</v>
      </c>
      <c r="T233">
        <v>6</v>
      </c>
      <c r="U233" s="32">
        <f t="shared" si="33"/>
        <v>0</v>
      </c>
      <c r="V233">
        <v>7</v>
      </c>
      <c r="W233">
        <v>7</v>
      </c>
      <c r="X233" s="32">
        <f t="shared" si="34"/>
        <v>0</v>
      </c>
      <c r="Y233">
        <v>7</v>
      </c>
      <c r="Z233">
        <v>8</v>
      </c>
      <c r="AA233" s="32">
        <f t="shared" si="35"/>
        <v>1</v>
      </c>
    </row>
    <row r="234" spans="1:27" x14ac:dyDescent="0.45">
      <c r="A234">
        <v>6</v>
      </c>
      <c r="B234">
        <v>7</v>
      </c>
      <c r="C234" s="32">
        <f t="shared" si="27"/>
        <v>1</v>
      </c>
      <c r="D234">
        <v>6</v>
      </c>
      <c r="E234">
        <v>8</v>
      </c>
      <c r="F234" s="32">
        <f t="shared" si="28"/>
        <v>2</v>
      </c>
      <c r="G234">
        <v>8</v>
      </c>
      <c r="H234">
        <v>7</v>
      </c>
      <c r="I234" s="32">
        <f t="shared" si="29"/>
        <v>1</v>
      </c>
      <c r="J234">
        <v>8</v>
      </c>
      <c r="K234">
        <v>8</v>
      </c>
      <c r="L234" s="32">
        <f t="shared" si="30"/>
        <v>0</v>
      </c>
      <c r="M234">
        <v>6</v>
      </c>
      <c r="N234">
        <v>7</v>
      </c>
      <c r="O234" s="32">
        <f t="shared" si="31"/>
        <v>1</v>
      </c>
      <c r="P234">
        <v>7</v>
      </c>
      <c r="Q234">
        <v>7</v>
      </c>
      <c r="R234" s="32">
        <f t="shared" si="32"/>
        <v>0</v>
      </c>
      <c r="S234">
        <v>6</v>
      </c>
      <c r="T234">
        <v>6</v>
      </c>
      <c r="U234" s="32">
        <f t="shared" si="33"/>
        <v>0</v>
      </c>
      <c r="V234">
        <v>7</v>
      </c>
      <c r="W234">
        <v>7</v>
      </c>
      <c r="X234" s="32">
        <f t="shared" si="34"/>
        <v>0</v>
      </c>
      <c r="Y234">
        <v>7</v>
      </c>
      <c r="Z234">
        <v>8</v>
      </c>
      <c r="AA234" s="32">
        <f t="shared" si="35"/>
        <v>1</v>
      </c>
    </row>
    <row r="235" spans="1:27" x14ac:dyDescent="0.45">
      <c r="A235">
        <v>6</v>
      </c>
      <c r="B235">
        <v>7</v>
      </c>
      <c r="C235" s="32">
        <f t="shared" si="27"/>
        <v>1</v>
      </c>
      <c r="D235">
        <v>6</v>
      </c>
      <c r="E235">
        <v>8</v>
      </c>
      <c r="F235" s="32">
        <f t="shared" si="28"/>
        <v>2</v>
      </c>
      <c r="G235">
        <v>8</v>
      </c>
      <c r="H235">
        <v>7</v>
      </c>
      <c r="I235" s="32">
        <f t="shared" si="29"/>
        <v>1</v>
      </c>
      <c r="J235">
        <v>8</v>
      </c>
      <c r="K235">
        <v>8</v>
      </c>
      <c r="L235" s="32">
        <f t="shared" si="30"/>
        <v>0</v>
      </c>
      <c r="M235">
        <v>6</v>
      </c>
      <c r="N235">
        <v>7</v>
      </c>
      <c r="O235" s="32">
        <f t="shared" si="31"/>
        <v>1</v>
      </c>
      <c r="P235">
        <v>7</v>
      </c>
      <c r="Q235">
        <v>7</v>
      </c>
      <c r="R235" s="32">
        <f t="shared" si="32"/>
        <v>0</v>
      </c>
      <c r="S235">
        <v>6</v>
      </c>
      <c r="T235">
        <v>6</v>
      </c>
      <c r="U235" s="32">
        <f t="shared" si="33"/>
        <v>0</v>
      </c>
      <c r="V235">
        <v>7</v>
      </c>
      <c r="W235">
        <v>7</v>
      </c>
      <c r="X235" s="32">
        <f t="shared" si="34"/>
        <v>0</v>
      </c>
      <c r="Y235">
        <v>7</v>
      </c>
      <c r="Z235">
        <v>8</v>
      </c>
      <c r="AA235" s="32">
        <f t="shared" si="35"/>
        <v>1</v>
      </c>
    </row>
    <row r="236" spans="1:27" x14ac:dyDescent="0.45">
      <c r="A236">
        <v>6</v>
      </c>
      <c r="B236">
        <v>7</v>
      </c>
      <c r="C236" s="32">
        <f t="shared" si="27"/>
        <v>1</v>
      </c>
      <c r="D236">
        <v>6</v>
      </c>
      <c r="E236">
        <v>8</v>
      </c>
      <c r="F236" s="32">
        <f t="shared" si="28"/>
        <v>2</v>
      </c>
      <c r="G236">
        <v>8</v>
      </c>
      <c r="H236">
        <v>7</v>
      </c>
      <c r="I236" s="32">
        <f t="shared" si="29"/>
        <v>1</v>
      </c>
      <c r="J236">
        <v>8</v>
      </c>
      <c r="K236">
        <v>8</v>
      </c>
      <c r="L236" s="32">
        <f t="shared" si="30"/>
        <v>0</v>
      </c>
      <c r="M236">
        <v>6</v>
      </c>
      <c r="N236">
        <v>7</v>
      </c>
      <c r="O236" s="32">
        <f t="shared" si="31"/>
        <v>1</v>
      </c>
      <c r="P236">
        <v>7</v>
      </c>
      <c r="Q236">
        <v>7</v>
      </c>
      <c r="R236" s="32">
        <f t="shared" si="32"/>
        <v>0</v>
      </c>
      <c r="S236">
        <v>6</v>
      </c>
      <c r="T236">
        <v>6</v>
      </c>
      <c r="U236" s="32">
        <f t="shared" si="33"/>
        <v>0</v>
      </c>
      <c r="V236">
        <v>7</v>
      </c>
      <c r="W236">
        <v>7</v>
      </c>
      <c r="X236" s="32">
        <f t="shared" si="34"/>
        <v>0</v>
      </c>
      <c r="Y236">
        <v>7</v>
      </c>
      <c r="Z236">
        <v>8</v>
      </c>
      <c r="AA236" s="32">
        <f t="shared" si="35"/>
        <v>1</v>
      </c>
    </row>
    <row r="237" spans="1:27" x14ac:dyDescent="0.45">
      <c r="A237">
        <v>6</v>
      </c>
      <c r="B237">
        <v>8</v>
      </c>
      <c r="C237" s="32">
        <f t="shared" si="27"/>
        <v>2</v>
      </c>
      <c r="D237">
        <v>6</v>
      </c>
      <c r="E237">
        <v>8</v>
      </c>
      <c r="F237" s="32">
        <f t="shared" si="28"/>
        <v>2</v>
      </c>
      <c r="G237">
        <v>8</v>
      </c>
      <c r="H237">
        <v>7</v>
      </c>
      <c r="I237" s="32">
        <f t="shared" si="29"/>
        <v>1</v>
      </c>
      <c r="J237">
        <v>8</v>
      </c>
      <c r="K237">
        <v>8</v>
      </c>
      <c r="L237" s="32">
        <f t="shared" si="30"/>
        <v>0</v>
      </c>
      <c r="M237">
        <v>7</v>
      </c>
      <c r="N237">
        <v>7</v>
      </c>
      <c r="O237" s="32">
        <f t="shared" si="31"/>
        <v>0</v>
      </c>
      <c r="P237">
        <v>7</v>
      </c>
      <c r="Q237">
        <v>7</v>
      </c>
      <c r="R237" s="32">
        <f t="shared" si="32"/>
        <v>0</v>
      </c>
      <c r="S237">
        <v>6</v>
      </c>
      <c r="T237">
        <v>6</v>
      </c>
      <c r="U237" s="32">
        <f t="shared" si="33"/>
        <v>0</v>
      </c>
      <c r="V237">
        <v>7</v>
      </c>
      <c r="W237">
        <v>7</v>
      </c>
      <c r="X237" s="32">
        <f t="shared" si="34"/>
        <v>0</v>
      </c>
      <c r="Y237">
        <v>7</v>
      </c>
      <c r="Z237">
        <v>8</v>
      </c>
      <c r="AA237" s="32">
        <f t="shared" si="35"/>
        <v>1</v>
      </c>
    </row>
    <row r="238" spans="1:27" x14ac:dyDescent="0.45">
      <c r="A238">
        <v>6</v>
      </c>
      <c r="B238">
        <v>8</v>
      </c>
      <c r="C238" s="32">
        <f t="shared" si="27"/>
        <v>2</v>
      </c>
      <c r="D238">
        <v>6</v>
      </c>
      <c r="E238">
        <v>8</v>
      </c>
      <c r="F238" s="32">
        <f t="shared" si="28"/>
        <v>2</v>
      </c>
      <c r="G238">
        <v>8</v>
      </c>
      <c r="H238">
        <v>7</v>
      </c>
      <c r="I238" s="32">
        <f t="shared" si="29"/>
        <v>1</v>
      </c>
      <c r="J238">
        <v>8</v>
      </c>
      <c r="K238">
        <v>8</v>
      </c>
      <c r="L238" s="32">
        <f t="shared" si="30"/>
        <v>0</v>
      </c>
      <c r="M238">
        <v>7</v>
      </c>
      <c r="N238">
        <v>7</v>
      </c>
      <c r="O238" s="32">
        <f t="shared" si="31"/>
        <v>0</v>
      </c>
      <c r="P238">
        <v>7</v>
      </c>
      <c r="Q238">
        <v>7</v>
      </c>
      <c r="R238" s="32">
        <f t="shared" si="32"/>
        <v>0</v>
      </c>
      <c r="S238">
        <v>6</v>
      </c>
      <c r="T238">
        <v>7</v>
      </c>
      <c r="U238" s="32">
        <f t="shared" si="33"/>
        <v>1</v>
      </c>
      <c r="V238">
        <v>7</v>
      </c>
      <c r="W238">
        <v>7</v>
      </c>
      <c r="X238" s="32">
        <f t="shared" si="34"/>
        <v>0</v>
      </c>
      <c r="Y238">
        <v>7</v>
      </c>
      <c r="Z238">
        <v>8</v>
      </c>
      <c r="AA238" s="32">
        <f t="shared" si="35"/>
        <v>1</v>
      </c>
    </row>
    <row r="239" spans="1:27" x14ac:dyDescent="0.45">
      <c r="A239">
        <v>6</v>
      </c>
      <c r="B239">
        <v>8</v>
      </c>
      <c r="C239" s="32">
        <f t="shared" si="27"/>
        <v>2</v>
      </c>
      <c r="D239">
        <v>6</v>
      </c>
      <c r="E239">
        <v>8</v>
      </c>
      <c r="F239" s="32">
        <f t="shared" si="28"/>
        <v>2</v>
      </c>
      <c r="G239">
        <v>8</v>
      </c>
      <c r="H239">
        <v>7</v>
      </c>
      <c r="I239" s="32">
        <f t="shared" si="29"/>
        <v>1</v>
      </c>
      <c r="J239">
        <v>8</v>
      </c>
      <c r="K239">
        <v>8</v>
      </c>
      <c r="L239" s="32">
        <f t="shared" si="30"/>
        <v>0</v>
      </c>
      <c r="M239">
        <v>7</v>
      </c>
      <c r="N239">
        <v>7</v>
      </c>
      <c r="O239" s="32">
        <f t="shared" si="31"/>
        <v>0</v>
      </c>
      <c r="P239">
        <v>7</v>
      </c>
      <c r="Q239">
        <v>7</v>
      </c>
      <c r="R239" s="32">
        <f t="shared" si="32"/>
        <v>0</v>
      </c>
      <c r="S239">
        <v>6</v>
      </c>
      <c r="T239">
        <v>7</v>
      </c>
      <c r="U239" s="32">
        <f t="shared" si="33"/>
        <v>1</v>
      </c>
      <c r="V239">
        <v>7</v>
      </c>
      <c r="W239">
        <v>7</v>
      </c>
      <c r="X239" s="32">
        <f t="shared" si="34"/>
        <v>0</v>
      </c>
      <c r="Y239">
        <v>7</v>
      </c>
      <c r="Z239">
        <v>8</v>
      </c>
      <c r="AA239" s="32">
        <f t="shared" si="35"/>
        <v>1</v>
      </c>
    </row>
    <row r="240" spans="1:27" x14ac:dyDescent="0.45">
      <c r="A240">
        <v>6</v>
      </c>
      <c r="B240">
        <v>8</v>
      </c>
      <c r="C240" s="32">
        <f t="shared" si="27"/>
        <v>2</v>
      </c>
      <c r="D240">
        <v>6</v>
      </c>
      <c r="E240">
        <v>8</v>
      </c>
      <c r="F240" s="32">
        <f t="shared" si="28"/>
        <v>2</v>
      </c>
      <c r="G240">
        <v>8</v>
      </c>
      <c r="H240">
        <v>7</v>
      </c>
      <c r="I240" s="32">
        <f t="shared" si="29"/>
        <v>1</v>
      </c>
      <c r="J240">
        <v>8</v>
      </c>
      <c r="K240">
        <v>8</v>
      </c>
      <c r="L240" s="32">
        <f t="shared" si="30"/>
        <v>0</v>
      </c>
      <c r="M240">
        <v>7</v>
      </c>
      <c r="N240">
        <v>7</v>
      </c>
      <c r="O240" s="32">
        <f t="shared" si="31"/>
        <v>0</v>
      </c>
      <c r="P240">
        <v>7</v>
      </c>
      <c r="Q240">
        <v>7</v>
      </c>
      <c r="R240" s="32">
        <f t="shared" si="32"/>
        <v>0</v>
      </c>
      <c r="S240">
        <v>6</v>
      </c>
      <c r="T240">
        <v>7</v>
      </c>
      <c r="U240" s="32">
        <f t="shared" si="33"/>
        <v>1</v>
      </c>
      <c r="V240">
        <v>7</v>
      </c>
      <c r="W240">
        <v>7</v>
      </c>
      <c r="X240" s="32">
        <f t="shared" si="34"/>
        <v>0</v>
      </c>
      <c r="Y240">
        <v>7</v>
      </c>
      <c r="Z240">
        <v>8</v>
      </c>
      <c r="AA240" s="32">
        <f t="shared" si="35"/>
        <v>1</v>
      </c>
    </row>
    <row r="241" spans="1:27" x14ac:dyDescent="0.45">
      <c r="A241">
        <v>6</v>
      </c>
      <c r="B241">
        <v>8</v>
      </c>
      <c r="C241" s="32">
        <f t="shared" si="27"/>
        <v>2</v>
      </c>
      <c r="D241">
        <v>6</v>
      </c>
      <c r="E241">
        <v>8</v>
      </c>
      <c r="F241" s="32">
        <f t="shared" si="28"/>
        <v>2</v>
      </c>
      <c r="G241">
        <v>8</v>
      </c>
      <c r="H241">
        <v>7</v>
      </c>
      <c r="I241" s="32">
        <f t="shared" si="29"/>
        <v>1</v>
      </c>
      <c r="J241">
        <v>8</v>
      </c>
      <c r="K241">
        <v>8</v>
      </c>
      <c r="L241" s="32">
        <f t="shared" si="30"/>
        <v>0</v>
      </c>
      <c r="M241">
        <v>7</v>
      </c>
      <c r="N241">
        <v>7</v>
      </c>
      <c r="O241" s="32">
        <f t="shared" si="31"/>
        <v>0</v>
      </c>
      <c r="P241">
        <v>7</v>
      </c>
      <c r="Q241">
        <v>7</v>
      </c>
      <c r="R241" s="32">
        <f t="shared" si="32"/>
        <v>0</v>
      </c>
      <c r="S241">
        <v>6</v>
      </c>
      <c r="T241">
        <v>7</v>
      </c>
      <c r="U241" s="32">
        <f t="shared" si="33"/>
        <v>1</v>
      </c>
      <c r="V241">
        <v>7</v>
      </c>
      <c r="W241">
        <v>7</v>
      </c>
      <c r="X241" s="32">
        <f t="shared" si="34"/>
        <v>0</v>
      </c>
      <c r="Y241">
        <v>7</v>
      </c>
      <c r="Z241">
        <v>8</v>
      </c>
      <c r="AA241" s="32">
        <f t="shared" si="35"/>
        <v>1</v>
      </c>
    </row>
    <row r="242" spans="1:27" x14ac:dyDescent="0.45">
      <c r="A242">
        <v>6</v>
      </c>
      <c r="B242">
        <v>8</v>
      </c>
      <c r="C242" s="32">
        <f t="shared" si="27"/>
        <v>2</v>
      </c>
      <c r="D242">
        <v>6</v>
      </c>
      <c r="E242">
        <v>8</v>
      </c>
      <c r="F242" s="32">
        <f t="shared" si="28"/>
        <v>2</v>
      </c>
      <c r="G242">
        <v>8</v>
      </c>
      <c r="H242">
        <v>7</v>
      </c>
      <c r="I242" s="32">
        <f t="shared" si="29"/>
        <v>1</v>
      </c>
      <c r="J242">
        <v>8</v>
      </c>
      <c r="K242">
        <v>8</v>
      </c>
      <c r="L242" s="32">
        <f t="shared" si="30"/>
        <v>0</v>
      </c>
      <c r="M242">
        <v>7</v>
      </c>
      <c r="N242">
        <v>7</v>
      </c>
      <c r="O242" s="32">
        <f t="shared" si="31"/>
        <v>0</v>
      </c>
      <c r="P242">
        <v>7</v>
      </c>
      <c r="Q242">
        <v>7</v>
      </c>
      <c r="R242" s="32">
        <f t="shared" si="32"/>
        <v>0</v>
      </c>
      <c r="S242">
        <v>6</v>
      </c>
      <c r="T242">
        <v>7</v>
      </c>
      <c r="U242" s="32">
        <f t="shared" si="33"/>
        <v>1</v>
      </c>
      <c r="V242">
        <v>7</v>
      </c>
      <c r="W242">
        <v>7</v>
      </c>
      <c r="X242" s="32">
        <f t="shared" si="34"/>
        <v>0</v>
      </c>
      <c r="Y242">
        <v>7</v>
      </c>
      <c r="Z242">
        <v>8</v>
      </c>
      <c r="AA242" s="32">
        <f t="shared" si="35"/>
        <v>1</v>
      </c>
    </row>
    <row r="243" spans="1:27" x14ac:dyDescent="0.45">
      <c r="A243">
        <v>6</v>
      </c>
      <c r="B243">
        <v>8</v>
      </c>
      <c r="C243" s="32">
        <f t="shared" si="27"/>
        <v>2</v>
      </c>
      <c r="D243">
        <v>6</v>
      </c>
      <c r="E243">
        <v>8</v>
      </c>
      <c r="F243" s="32">
        <f t="shared" si="28"/>
        <v>2</v>
      </c>
      <c r="G243">
        <v>8</v>
      </c>
      <c r="H243">
        <v>7</v>
      </c>
      <c r="I243" s="32">
        <f t="shared" si="29"/>
        <v>1</v>
      </c>
      <c r="J243">
        <v>8</v>
      </c>
      <c r="K243">
        <v>8</v>
      </c>
      <c r="L243" s="32">
        <f t="shared" si="30"/>
        <v>0</v>
      </c>
      <c r="M243">
        <v>7</v>
      </c>
      <c r="N243">
        <v>7</v>
      </c>
      <c r="O243" s="32">
        <f t="shared" si="31"/>
        <v>0</v>
      </c>
      <c r="P243">
        <v>7</v>
      </c>
      <c r="Q243">
        <v>7</v>
      </c>
      <c r="R243" s="32">
        <f t="shared" si="32"/>
        <v>0</v>
      </c>
      <c r="S243">
        <v>6</v>
      </c>
      <c r="T243">
        <v>7</v>
      </c>
      <c r="U243" s="32">
        <f t="shared" si="33"/>
        <v>1</v>
      </c>
      <c r="V243">
        <v>7</v>
      </c>
      <c r="W243">
        <v>7</v>
      </c>
      <c r="X243" s="32">
        <f t="shared" si="34"/>
        <v>0</v>
      </c>
      <c r="Y243">
        <v>7</v>
      </c>
      <c r="Z243">
        <v>8</v>
      </c>
      <c r="AA243" s="32">
        <f t="shared" si="35"/>
        <v>1</v>
      </c>
    </row>
    <row r="244" spans="1:27" x14ac:dyDescent="0.45">
      <c r="A244">
        <v>6</v>
      </c>
      <c r="B244">
        <v>8</v>
      </c>
      <c r="C244" s="32">
        <f t="shared" si="27"/>
        <v>2</v>
      </c>
      <c r="D244">
        <v>6</v>
      </c>
      <c r="E244">
        <v>8</v>
      </c>
      <c r="F244" s="32">
        <f t="shared" si="28"/>
        <v>2</v>
      </c>
      <c r="G244">
        <v>8</v>
      </c>
      <c r="H244">
        <v>7</v>
      </c>
      <c r="I244" s="32">
        <f t="shared" si="29"/>
        <v>1</v>
      </c>
      <c r="J244">
        <v>8</v>
      </c>
      <c r="K244">
        <v>8</v>
      </c>
      <c r="L244" s="32">
        <f t="shared" si="30"/>
        <v>0</v>
      </c>
      <c r="M244">
        <v>7</v>
      </c>
      <c r="N244">
        <v>7</v>
      </c>
      <c r="O244" s="32">
        <f t="shared" si="31"/>
        <v>0</v>
      </c>
      <c r="P244">
        <v>7</v>
      </c>
      <c r="Q244">
        <v>7</v>
      </c>
      <c r="R244" s="32">
        <f t="shared" si="32"/>
        <v>0</v>
      </c>
      <c r="S244">
        <v>6</v>
      </c>
      <c r="T244">
        <v>7</v>
      </c>
      <c r="U244" s="32">
        <f t="shared" si="33"/>
        <v>1</v>
      </c>
      <c r="V244">
        <v>7</v>
      </c>
      <c r="W244">
        <v>7</v>
      </c>
      <c r="X244" s="32">
        <f t="shared" si="34"/>
        <v>0</v>
      </c>
      <c r="Y244">
        <v>7</v>
      </c>
      <c r="Z244">
        <v>8</v>
      </c>
      <c r="AA244" s="32">
        <f t="shared" si="35"/>
        <v>1</v>
      </c>
    </row>
    <row r="245" spans="1:27" x14ac:dyDescent="0.45">
      <c r="A245">
        <v>6</v>
      </c>
      <c r="B245">
        <v>8</v>
      </c>
      <c r="C245" s="32">
        <f t="shared" si="27"/>
        <v>2</v>
      </c>
      <c r="D245">
        <v>6</v>
      </c>
      <c r="E245">
        <v>8</v>
      </c>
      <c r="F245" s="32">
        <f t="shared" si="28"/>
        <v>2</v>
      </c>
      <c r="G245">
        <v>8</v>
      </c>
      <c r="H245">
        <v>7</v>
      </c>
      <c r="I245" s="32">
        <f t="shared" si="29"/>
        <v>1</v>
      </c>
      <c r="J245">
        <v>8</v>
      </c>
      <c r="K245">
        <v>8</v>
      </c>
      <c r="L245" s="32">
        <f t="shared" si="30"/>
        <v>0</v>
      </c>
      <c r="M245">
        <v>7</v>
      </c>
      <c r="N245">
        <v>7</v>
      </c>
      <c r="O245" s="32">
        <f t="shared" si="31"/>
        <v>0</v>
      </c>
      <c r="P245">
        <v>7</v>
      </c>
      <c r="Q245">
        <v>7</v>
      </c>
      <c r="R245" s="32">
        <f t="shared" si="32"/>
        <v>0</v>
      </c>
      <c r="S245">
        <v>6</v>
      </c>
      <c r="T245">
        <v>7</v>
      </c>
      <c r="U245" s="32">
        <f t="shared" si="33"/>
        <v>1</v>
      </c>
      <c r="V245">
        <v>7</v>
      </c>
      <c r="W245">
        <v>7</v>
      </c>
      <c r="X245" s="32">
        <f t="shared" si="34"/>
        <v>0</v>
      </c>
      <c r="Y245">
        <v>7</v>
      </c>
      <c r="Z245">
        <v>8</v>
      </c>
      <c r="AA245" s="32">
        <f t="shared" si="35"/>
        <v>1</v>
      </c>
    </row>
    <row r="246" spans="1:27" x14ac:dyDescent="0.45">
      <c r="A246">
        <v>6</v>
      </c>
      <c r="B246">
        <v>8</v>
      </c>
      <c r="C246" s="32">
        <f t="shared" si="27"/>
        <v>2</v>
      </c>
      <c r="D246">
        <v>6</v>
      </c>
      <c r="E246">
        <v>8</v>
      </c>
      <c r="F246" s="32">
        <f t="shared" si="28"/>
        <v>2</v>
      </c>
      <c r="G246">
        <v>8</v>
      </c>
      <c r="H246">
        <v>7</v>
      </c>
      <c r="I246" s="32">
        <f t="shared" si="29"/>
        <v>1</v>
      </c>
      <c r="J246">
        <v>8</v>
      </c>
      <c r="K246">
        <v>8</v>
      </c>
      <c r="L246" s="32">
        <f t="shared" si="30"/>
        <v>0</v>
      </c>
      <c r="M246">
        <v>7</v>
      </c>
      <c r="N246">
        <v>7</v>
      </c>
      <c r="O246" s="32">
        <f t="shared" si="31"/>
        <v>0</v>
      </c>
      <c r="P246">
        <v>7</v>
      </c>
      <c r="Q246">
        <v>7</v>
      </c>
      <c r="R246" s="32">
        <f t="shared" si="32"/>
        <v>0</v>
      </c>
      <c r="S246">
        <v>6</v>
      </c>
      <c r="T246">
        <v>7</v>
      </c>
      <c r="U246" s="32">
        <f t="shared" si="33"/>
        <v>1</v>
      </c>
      <c r="V246">
        <v>7</v>
      </c>
      <c r="W246">
        <v>7</v>
      </c>
      <c r="X246" s="32">
        <f t="shared" si="34"/>
        <v>0</v>
      </c>
      <c r="Y246">
        <v>7</v>
      </c>
      <c r="Z246">
        <v>8</v>
      </c>
      <c r="AA246" s="32">
        <f t="shared" si="35"/>
        <v>1</v>
      </c>
    </row>
    <row r="247" spans="1:27" x14ac:dyDescent="0.45">
      <c r="A247">
        <v>6</v>
      </c>
      <c r="B247">
        <v>8</v>
      </c>
      <c r="C247" s="32">
        <f t="shared" si="27"/>
        <v>2</v>
      </c>
      <c r="D247">
        <v>6</v>
      </c>
      <c r="E247">
        <v>8</v>
      </c>
      <c r="F247" s="32">
        <f t="shared" si="28"/>
        <v>2</v>
      </c>
      <c r="G247">
        <v>8</v>
      </c>
      <c r="H247">
        <v>7</v>
      </c>
      <c r="I247" s="32">
        <f t="shared" si="29"/>
        <v>1</v>
      </c>
      <c r="J247">
        <v>8</v>
      </c>
      <c r="K247">
        <v>8</v>
      </c>
      <c r="L247" s="32">
        <f t="shared" si="30"/>
        <v>0</v>
      </c>
      <c r="M247">
        <v>7</v>
      </c>
      <c r="N247">
        <v>7</v>
      </c>
      <c r="O247" s="32">
        <f t="shared" si="31"/>
        <v>0</v>
      </c>
      <c r="P247">
        <v>7</v>
      </c>
      <c r="Q247">
        <v>7</v>
      </c>
      <c r="R247" s="32">
        <f t="shared" si="32"/>
        <v>0</v>
      </c>
      <c r="S247">
        <v>6</v>
      </c>
      <c r="T247">
        <v>7</v>
      </c>
      <c r="U247" s="32">
        <f t="shared" si="33"/>
        <v>1</v>
      </c>
      <c r="V247">
        <v>7</v>
      </c>
      <c r="W247">
        <v>7</v>
      </c>
      <c r="X247" s="32">
        <f t="shared" si="34"/>
        <v>0</v>
      </c>
      <c r="Y247">
        <v>7</v>
      </c>
      <c r="Z247">
        <v>8</v>
      </c>
      <c r="AA247" s="32">
        <f t="shared" si="35"/>
        <v>1</v>
      </c>
    </row>
    <row r="248" spans="1:27" x14ac:dyDescent="0.45">
      <c r="A248">
        <v>6</v>
      </c>
      <c r="B248">
        <v>8</v>
      </c>
      <c r="C248" s="32">
        <f t="shared" si="27"/>
        <v>2</v>
      </c>
      <c r="D248">
        <v>6</v>
      </c>
      <c r="E248">
        <v>8</v>
      </c>
      <c r="F248" s="32">
        <f t="shared" si="28"/>
        <v>2</v>
      </c>
      <c r="G248">
        <v>8</v>
      </c>
      <c r="H248">
        <v>7</v>
      </c>
      <c r="I248" s="32">
        <f t="shared" si="29"/>
        <v>1</v>
      </c>
      <c r="J248">
        <v>8</v>
      </c>
      <c r="K248">
        <v>8</v>
      </c>
      <c r="L248" s="32">
        <f t="shared" si="30"/>
        <v>0</v>
      </c>
      <c r="M248">
        <v>7</v>
      </c>
      <c r="N248">
        <v>7</v>
      </c>
      <c r="O248" s="32">
        <f t="shared" si="31"/>
        <v>0</v>
      </c>
      <c r="P248">
        <v>7</v>
      </c>
      <c r="Q248">
        <v>7</v>
      </c>
      <c r="R248" s="32">
        <f t="shared" si="32"/>
        <v>0</v>
      </c>
      <c r="S248">
        <v>6</v>
      </c>
      <c r="T248">
        <v>7</v>
      </c>
      <c r="U248" s="32">
        <f t="shared" si="33"/>
        <v>1</v>
      </c>
      <c r="V248">
        <v>7</v>
      </c>
      <c r="W248">
        <v>7</v>
      </c>
      <c r="X248" s="32">
        <f t="shared" si="34"/>
        <v>0</v>
      </c>
      <c r="Y248">
        <v>7</v>
      </c>
      <c r="Z248">
        <v>8</v>
      </c>
      <c r="AA248" s="32">
        <f t="shared" si="35"/>
        <v>1</v>
      </c>
    </row>
    <row r="249" spans="1:27" x14ac:dyDescent="0.45">
      <c r="A249">
        <v>6</v>
      </c>
      <c r="B249">
        <v>8</v>
      </c>
      <c r="C249" s="32">
        <f t="shared" si="27"/>
        <v>2</v>
      </c>
      <c r="D249">
        <v>6</v>
      </c>
      <c r="E249">
        <v>8</v>
      </c>
      <c r="F249" s="32">
        <f t="shared" si="28"/>
        <v>2</v>
      </c>
      <c r="G249">
        <v>8</v>
      </c>
      <c r="H249">
        <v>7</v>
      </c>
      <c r="I249" s="32">
        <f t="shared" si="29"/>
        <v>1</v>
      </c>
      <c r="J249">
        <v>8</v>
      </c>
      <c r="K249">
        <v>8</v>
      </c>
      <c r="L249" s="32">
        <f t="shared" si="30"/>
        <v>0</v>
      </c>
      <c r="M249">
        <v>7</v>
      </c>
      <c r="N249">
        <v>7</v>
      </c>
      <c r="O249" s="32">
        <f t="shared" si="31"/>
        <v>0</v>
      </c>
      <c r="P249">
        <v>7</v>
      </c>
      <c r="Q249">
        <v>7</v>
      </c>
      <c r="R249" s="32">
        <f t="shared" si="32"/>
        <v>0</v>
      </c>
      <c r="S249">
        <v>6</v>
      </c>
      <c r="T249">
        <v>7</v>
      </c>
      <c r="U249" s="32">
        <f t="shared" si="33"/>
        <v>1</v>
      </c>
      <c r="V249">
        <v>7</v>
      </c>
      <c r="W249">
        <v>7</v>
      </c>
      <c r="X249" s="32">
        <f t="shared" si="34"/>
        <v>0</v>
      </c>
      <c r="Y249">
        <v>7</v>
      </c>
      <c r="Z249">
        <v>8</v>
      </c>
      <c r="AA249" s="32">
        <f t="shared" si="35"/>
        <v>1</v>
      </c>
    </row>
    <row r="250" spans="1:27" x14ac:dyDescent="0.45">
      <c r="A250">
        <v>6</v>
      </c>
      <c r="B250">
        <v>8</v>
      </c>
      <c r="C250" s="32">
        <f t="shared" si="27"/>
        <v>2</v>
      </c>
      <c r="D250">
        <v>6</v>
      </c>
      <c r="E250">
        <v>8</v>
      </c>
      <c r="F250" s="32">
        <f t="shared" si="28"/>
        <v>2</v>
      </c>
      <c r="G250">
        <v>8</v>
      </c>
      <c r="H250">
        <v>7</v>
      </c>
      <c r="I250" s="32">
        <f t="shared" si="29"/>
        <v>1</v>
      </c>
      <c r="J250">
        <v>8</v>
      </c>
      <c r="K250">
        <v>8</v>
      </c>
      <c r="L250" s="32">
        <f t="shared" si="30"/>
        <v>0</v>
      </c>
      <c r="M250">
        <v>7</v>
      </c>
      <c r="N250">
        <v>7</v>
      </c>
      <c r="O250" s="32">
        <f t="shared" si="31"/>
        <v>0</v>
      </c>
      <c r="P250">
        <v>7</v>
      </c>
      <c r="Q250">
        <v>8</v>
      </c>
      <c r="R250" s="32">
        <f t="shared" si="32"/>
        <v>1</v>
      </c>
      <c r="S250">
        <v>6</v>
      </c>
      <c r="T250">
        <v>7</v>
      </c>
      <c r="U250" s="32">
        <f t="shared" si="33"/>
        <v>1</v>
      </c>
      <c r="V250">
        <v>7</v>
      </c>
      <c r="W250">
        <v>7</v>
      </c>
      <c r="X250" s="32">
        <f t="shared" si="34"/>
        <v>0</v>
      </c>
      <c r="Y250">
        <v>7</v>
      </c>
      <c r="Z250">
        <v>8</v>
      </c>
      <c r="AA250" s="32">
        <f t="shared" si="35"/>
        <v>1</v>
      </c>
    </row>
    <row r="251" spans="1:27" x14ac:dyDescent="0.45">
      <c r="A251">
        <v>6</v>
      </c>
      <c r="B251">
        <v>8</v>
      </c>
      <c r="C251" s="32">
        <f t="shared" si="27"/>
        <v>2</v>
      </c>
      <c r="D251">
        <v>6</v>
      </c>
      <c r="E251">
        <v>8</v>
      </c>
      <c r="F251" s="32">
        <f t="shared" si="28"/>
        <v>2</v>
      </c>
      <c r="G251">
        <v>8</v>
      </c>
      <c r="H251">
        <v>7</v>
      </c>
      <c r="I251" s="32">
        <f t="shared" si="29"/>
        <v>1</v>
      </c>
      <c r="J251">
        <v>8</v>
      </c>
      <c r="K251">
        <v>8</v>
      </c>
      <c r="L251" s="32">
        <f t="shared" si="30"/>
        <v>0</v>
      </c>
      <c r="M251">
        <v>7</v>
      </c>
      <c r="N251">
        <v>7</v>
      </c>
      <c r="O251" s="32">
        <f t="shared" si="31"/>
        <v>0</v>
      </c>
      <c r="P251">
        <v>7</v>
      </c>
      <c r="Q251">
        <v>8</v>
      </c>
      <c r="R251" s="32">
        <f t="shared" si="32"/>
        <v>1</v>
      </c>
      <c r="S251">
        <v>6</v>
      </c>
      <c r="T251">
        <v>7</v>
      </c>
      <c r="U251" s="32">
        <f t="shared" si="33"/>
        <v>1</v>
      </c>
      <c r="V251">
        <v>7</v>
      </c>
      <c r="W251">
        <v>7</v>
      </c>
      <c r="X251" s="32">
        <f t="shared" si="34"/>
        <v>0</v>
      </c>
      <c r="Y251">
        <v>7</v>
      </c>
      <c r="Z251">
        <v>8</v>
      </c>
      <c r="AA251" s="32">
        <f t="shared" si="35"/>
        <v>1</v>
      </c>
    </row>
    <row r="252" spans="1:27" x14ac:dyDescent="0.45">
      <c r="A252">
        <v>6</v>
      </c>
      <c r="B252">
        <v>8</v>
      </c>
      <c r="C252" s="32">
        <f t="shared" si="27"/>
        <v>2</v>
      </c>
      <c r="D252">
        <v>6</v>
      </c>
      <c r="E252">
        <v>8</v>
      </c>
      <c r="F252" s="32">
        <f t="shared" si="28"/>
        <v>2</v>
      </c>
      <c r="G252">
        <v>8</v>
      </c>
      <c r="H252">
        <v>7</v>
      </c>
      <c r="I252" s="32">
        <f t="shared" si="29"/>
        <v>1</v>
      </c>
      <c r="J252">
        <v>8</v>
      </c>
      <c r="K252">
        <v>8</v>
      </c>
      <c r="L252" s="32">
        <f t="shared" si="30"/>
        <v>0</v>
      </c>
      <c r="M252">
        <v>7</v>
      </c>
      <c r="N252">
        <v>7</v>
      </c>
      <c r="O252" s="32">
        <f t="shared" si="31"/>
        <v>0</v>
      </c>
      <c r="P252">
        <v>7</v>
      </c>
      <c r="Q252">
        <v>8</v>
      </c>
      <c r="R252" s="32">
        <f t="shared" si="32"/>
        <v>1</v>
      </c>
      <c r="S252">
        <v>6</v>
      </c>
      <c r="T252">
        <v>7</v>
      </c>
      <c r="U252" s="32">
        <f t="shared" si="33"/>
        <v>1</v>
      </c>
      <c r="V252">
        <v>7</v>
      </c>
      <c r="W252">
        <v>7</v>
      </c>
      <c r="X252" s="32">
        <f t="shared" si="34"/>
        <v>0</v>
      </c>
      <c r="Y252">
        <v>7</v>
      </c>
      <c r="Z252">
        <v>8</v>
      </c>
      <c r="AA252" s="32">
        <f t="shared" si="35"/>
        <v>1</v>
      </c>
    </row>
    <row r="253" spans="1:27" x14ac:dyDescent="0.45">
      <c r="A253">
        <v>6</v>
      </c>
      <c r="B253">
        <v>8</v>
      </c>
      <c r="C253" s="32">
        <f t="shared" si="27"/>
        <v>2</v>
      </c>
      <c r="D253">
        <v>6</v>
      </c>
      <c r="E253">
        <v>8</v>
      </c>
      <c r="F253" s="32">
        <f t="shared" si="28"/>
        <v>2</v>
      </c>
      <c r="G253">
        <v>8</v>
      </c>
      <c r="H253">
        <v>7</v>
      </c>
      <c r="I253" s="32">
        <f t="shared" si="29"/>
        <v>1</v>
      </c>
      <c r="J253">
        <v>8</v>
      </c>
      <c r="K253">
        <v>8</v>
      </c>
      <c r="L253" s="32">
        <f t="shared" si="30"/>
        <v>0</v>
      </c>
      <c r="M253">
        <v>7</v>
      </c>
      <c r="N253">
        <v>7</v>
      </c>
      <c r="O253" s="32">
        <f t="shared" si="31"/>
        <v>0</v>
      </c>
      <c r="P253">
        <v>7</v>
      </c>
      <c r="Q253">
        <v>8</v>
      </c>
      <c r="R253" s="32">
        <f t="shared" si="32"/>
        <v>1</v>
      </c>
      <c r="S253">
        <v>6</v>
      </c>
      <c r="T253">
        <v>7</v>
      </c>
      <c r="U253" s="32">
        <f t="shared" si="33"/>
        <v>1</v>
      </c>
      <c r="V253">
        <v>7</v>
      </c>
      <c r="W253">
        <v>7</v>
      </c>
      <c r="X253" s="32">
        <f t="shared" si="34"/>
        <v>0</v>
      </c>
      <c r="Y253">
        <v>7</v>
      </c>
      <c r="Z253">
        <v>8</v>
      </c>
      <c r="AA253" s="32">
        <f t="shared" si="35"/>
        <v>1</v>
      </c>
    </row>
    <row r="254" spans="1:27" x14ac:dyDescent="0.45">
      <c r="A254">
        <v>6</v>
      </c>
      <c r="B254">
        <v>8</v>
      </c>
      <c r="C254" s="32">
        <f t="shared" si="27"/>
        <v>2</v>
      </c>
      <c r="D254">
        <v>6</v>
      </c>
      <c r="E254">
        <v>8</v>
      </c>
      <c r="F254" s="32">
        <f t="shared" si="28"/>
        <v>2</v>
      </c>
      <c r="G254">
        <v>8</v>
      </c>
      <c r="H254">
        <v>7</v>
      </c>
      <c r="I254" s="32">
        <f t="shared" si="29"/>
        <v>1</v>
      </c>
      <c r="J254">
        <v>8</v>
      </c>
      <c r="K254">
        <v>8</v>
      </c>
      <c r="L254" s="32">
        <f t="shared" si="30"/>
        <v>0</v>
      </c>
      <c r="M254">
        <v>7</v>
      </c>
      <c r="N254">
        <v>7</v>
      </c>
      <c r="O254" s="32">
        <f t="shared" si="31"/>
        <v>0</v>
      </c>
      <c r="P254">
        <v>7</v>
      </c>
      <c r="Q254">
        <v>8</v>
      </c>
      <c r="R254" s="32">
        <f t="shared" si="32"/>
        <v>1</v>
      </c>
      <c r="S254">
        <v>6</v>
      </c>
      <c r="T254">
        <v>7</v>
      </c>
      <c r="U254" s="32">
        <f t="shared" si="33"/>
        <v>1</v>
      </c>
      <c r="V254">
        <v>7</v>
      </c>
      <c r="W254">
        <v>7</v>
      </c>
      <c r="X254" s="32">
        <f t="shared" si="34"/>
        <v>0</v>
      </c>
      <c r="Y254">
        <v>7</v>
      </c>
      <c r="Z254">
        <v>8</v>
      </c>
      <c r="AA254" s="32">
        <f t="shared" si="35"/>
        <v>1</v>
      </c>
    </row>
    <row r="255" spans="1:27" x14ac:dyDescent="0.45">
      <c r="A255">
        <v>6</v>
      </c>
      <c r="B255">
        <v>8</v>
      </c>
      <c r="C255" s="32">
        <f t="shared" si="27"/>
        <v>2</v>
      </c>
      <c r="D255">
        <v>6</v>
      </c>
      <c r="E255">
        <v>8</v>
      </c>
      <c r="F255" s="32">
        <f t="shared" si="28"/>
        <v>2</v>
      </c>
      <c r="G255">
        <v>8</v>
      </c>
      <c r="H255">
        <v>7</v>
      </c>
      <c r="I255" s="32">
        <f t="shared" si="29"/>
        <v>1</v>
      </c>
      <c r="J255">
        <v>8</v>
      </c>
      <c r="K255">
        <v>8</v>
      </c>
      <c r="L255" s="32">
        <f t="shared" si="30"/>
        <v>0</v>
      </c>
      <c r="M255">
        <v>7</v>
      </c>
      <c r="N255">
        <v>7</v>
      </c>
      <c r="O255" s="32">
        <f t="shared" si="31"/>
        <v>0</v>
      </c>
      <c r="P255">
        <v>7</v>
      </c>
      <c r="Q255">
        <v>8</v>
      </c>
      <c r="R255" s="32">
        <f t="shared" si="32"/>
        <v>1</v>
      </c>
      <c r="S255">
        <v>6</v>
      </c>
      <c r="T255">
        <v>7</v>
      </c>
      <c r="U255" s="32">
        <f t="shared" si="33"/>
        <v>1</v>
      </c>
      <c r="V255">
        <v>7</v>
      </c>
      <c r="W255">
        <v>7</v>
      </c>
      <c r="X255" s="32">
        <f t="shared" si="34"/>
        <v>0</v>
      </c>
      <c r="Y255">
        <v>7</v>
      </c>
      <c r="Z255">
        <v>8</v>
      </c>
      <c r="AA255" s="32">
        <f t="shared" si="35"/>
        <v>1</v>
      </c>
    </row>
    <row r="256" spans="1:27" x14ac:dyDescent="0.45">
      <c r="A256">
        <v>6</v>
      </c>
      <c r="B256">
        <v>8</v>
      </c>
      <c r="C256" s="32">
        <f t="shared" si="27"/>
        <v>2</v>
      </c>
      <c r="D256">
        <v>6</v>
      </c>
      <c r="E256">
        <v>8</v>
      </c>
      <c r="F256" s="32">
        <f t="shared" si="28"/>
        <v>2</v>
      </c>
      <c r="G256">
        <v>8</v>
      </c>
      <c r="H256">
        <v>7</v>
      </c>
      <c r="I256" s="32">
        <f t="shared" si="29"/>
        <v>1</v>
      </c>
      <c r="J256">
        <v>8</v>
      </c>
      <c r="K256">
        <v>8</v>
      </c>
      <c r="L256" s="32">
        <f t="shared" si="30"/>
        <v>0</v>
      </c>
      <c r="M256">
        <v>7</v>
      </c>
      <c r="N256">
        <v>7</v>
      </c>
      <c r="O256" s="32">
        <f t="shared" si="31"/>
        <v>0</v>
      </c>
      <c r="P256">
        <v>7</v>
      </c>
      <c r="Q256">
        <v>8</v>
      </c>
      <c r="R256" s="32">
        <f t="shared" si="32"/>
        <v>1</v>
      </c>
      <c r="S256">
        <v>6</v>
      </c>
      <c r="T256">
        <v>7</v>
      </c>
      <c r="U256" s="32">
        <f t="shared" si="33"/>
        <v>1</v>
      </c>
      <c r="V256">
        <v>7</v>
      </c>
      <c r="W256">
        <v>7</v>
      </c>
      <c r="X256" s="32">
        <f t="shared" si="34"/>
        <v>0</v>
      </c>
      <c r="Y256">
        <v>7</v>
      </c>
      <c r="Z256">
        <v>8</v>
      </c>
      <c r="AA256" s="32">
        <f t="shared" si="35"/>
        <v>1</v>
      </c>
    </row>
    <row r="257" spans="1:27" x14ac:dyDescent="0.45">
      <c r="A257">
        <v>6</v>
      </c>
      <c r="B257">
        <v>8</v>
      </c>
      <c r="C257" s="32">
        <f t="shared" si="27"/>
        <v>2</v>
      </c>
      <c r="D257">
        <v>6</v>
      </c>
      <c r="E257">
        <v>8</v>
      </c>
      <c r="F257" s="32">
        <f t="shared" si="28"/>
        <v>2</v>
      </c>
      <c r="G257">
        <v>8</v>
      </c>
      <c r="H257">
        <v>7</v>
      </c>
      <c r="I257" s="32">
        <f t="shared" si="29"/>
        <v>1</v>
      </c>
      <c r="J257">
        <v>8</v>
      </c>
      <c r="K257">
        <v>8</v>
      </c>
      <c r="L257" s="32">
        <f t="shared" si="30"/>
        <v>0</v>
      </c>
      <c r="M257">
        <v>7</v>
      </c>
      <c r="N257">
        <v>7</v>
      </c>
      <c r="O257" s="32">
        <f t="shared" si="31"/>
        <v>0</v>
      </c>
      <c r="P257">
        <v>7</v>
      </c>
      <c r="Q257">
        <v>8</v>
      </c>
      <c r="R257" s="32">
        <f t="shared" si="32"/>
        <v>1</v>
      </c>
      <c r="S257">
        <v>6</v>
      </c>
      <c r="T257">
        <v>7</v>
      </c>
      <c r="U257" s="32">
        <f t="shared" si="33"/>
        <v>1</v>
      </c>
      <c r="V257">
        <v>7</v>
      </c>
      <c r="W257">
        <v>7</v>
      </c>
      <c r="X257" s="32">
        <f t="shared" si="34"/>
        <v>0</v>
      </c>
      <c r="Y257">
        <v>7</v>
      </c>
      <c r="Z257">
        <v>8</v>
      </c>
      <c r="AA257" s="32">
        <f t="shared" si="35"/>
        <v>1</v>
      </c>
    </row>
    <row r="258" spans="1:27" x14ac:dyDescent="0.45">
      <c r="A258">
        <v>6</v>
      </c>
      <c r="B258">
        <v>8</v>
      </c>
      <c r="C258" s="32">
        <f t="shared" si="27"/>
        <v>2</v>
      </c>
      <c r="D258">
        <v>6</v>
      </c>
      <c r="E258">
        <v>8</v>
      </c>
      <c r="F258" s="32">
        <f t="shared" si="28"/>
        <v>2</v>
      </c>
      <c r="G258">
        <v>8</v>
      </c>
      <c r="H258">
        <v>7</v>
      </c>
      <c r="I258" s="32">
        <f t="shared" si="29"/>
        <v>1</v>
      </c>
      <c r="J258">
        <v>8</v>
      </c>
      <c r="K258">
        <v>8</v>
      </c>
      <c r="L258" s="32">
        <f t="shared" si="30"/>
        <v>0</v>
      </c>
      <c r="M258">
        <v>7</v>
      </c>
      <c r="N258">
        <v>7</v>
      </c>
      <c r="O258" s="32">
        <f t="shared" si="31"/>
        <v>0</v>
      </c>
      <c r="P258">
        <v>7</v>
      </c>
      <c r="Q258">
        <v>8</v>
      </c>
      <c r="R258" s="32">
        <f t="shared" si="32"/>
        <v>1</v>
      </c>
      <c r="S258">
        <v>6</v>
      </c>
      <c r="T258">
        <v>7</v>
      </c>
      <c r="U258" s="32">
        <f t="shared" si="33"/>
        <v>1</v>
      </c>
      <c r="V258">
        <v>7</v>
      </c>
      <c r="W258">
        <v>7</v>
      </c>
      <c r="X258" s="32">
        <f t="shared" si="34"/>
        <v>0</v>
      </c>
      <c r="Y258">
        <v>8</v>
      </c>
      <c r="Z258">
        <v>8</v>
      </c>
      <c r="AA258" s="32">
        <f t="shared" si="35"/>
        <v>0</v>
      </c>
    </row>
    <row r="259" spans="1:27" x14ac:dyDescent="0.45">
      <c r="A259">
        <v>6</v>
      </c>
      <c r="B259">
        <v>8</v>
      </c>
      <c r="C259" s="32">
        <f t="shared" ref="C259:C322" si="36">ABS(B259-A259)</f>
        <v>2</v>
      </c>
      <c r="D259">
        <v>6</v>
      </c>
      <c r="E259">
        <v>8</v>
      </c>
      <c r="F259" s="32">
        <f t="shared" ref="F259:F322" si="37">ABS(E259-D259)</f>
        <v>2</v>
      </c>
      <c r="G259">
        <v>8</v>
      </c>
      <c r="H259">
        <v>7</v>
      </c>
      <c r="I259" s="32">
        <f t="shared" ref="I259:I322" si="38">ABS(H259-G259)</f>
        <v>1</v>
      </c>
      <c r="J259">
        <v>8</v>
      </c>
      <c r="K259">
        <v>8</v>
      </c>
      <c r="L259" s="32">
        <f t="shared" ref="L259:L322" si="39">ABS(K259-J259)</f>
        <v>0</v>
      </c>
      <c r="M259">
        <v>7</v>
      </c>
      <c r="N259">
        <v>7</v>
      </c>
      <c r="O259" s="32">
        <f t="shared" ref="O259:O322" si="40">ABS(N259-M259)</f>
        <v>0</v>
      </c>
      <c r="P259">
        <v>7</v>
      </c>
      <c r="Q259">
        <v>8</v>
      </c>
      <c r="R259" s="32">
        <f t="shared" ref="R259:R322" si="41">ABS(Q259-P259)</f>
        <v>1</v>
      </c>
      <c r="S259">
        <v>6</v>
      </c>
      <c r="T259">
        <v>7</v>
      </c>
      <c r="U259" s="32">
        <f t="shared" ref="U259:U322" si="42">ABS(T259-S259)</f>
        <v>1</v>
      </c>
      <c r="V259">
        <v>7</v>
      </c>
      <c r="W259">
        <v>7</v>
      </c>
      <c r="X259" s="32">
        <f t="shared" ref="X259:X322" si="43">ABS(W259-V259)</f>
        <v>0</v>
      </c>
      <c r="Y259">
        <v>8</v>
      </c>
      <c r="Z259">
        <v>8</v>
      </c>
      <c r="AA259" s="32">
        <f t="shared" ref="AA259:AA322" si="44">ABS(Z259-Y259)</f>
        <v>0</v>
      </c>
    </row>
    <row r="260" spans="1:27" x14ac:dyDescent="0.45">
      <c r="A260">
        <v>6</v>
      </c>
      <c r="B260">
        <v>8</v>
      </c>
      <c r="C260" s="32">
        <f t="shared" si="36"/>
        <v>2</v>
      </c>
      <c r="D260">
        <v>6</v>
      </c>
      <c r="E260">
        <v>8</v>
      </c>
      <c r="F260" s="32">
        <f t="shared" si="37"/>
        <v>2</v>
      </c>
      <c r="G260">
        <v>8</v>
      </c>
      <c r="H260">
        <v>7</v>
      </c>
      <c r="I260" s="32">
        <f t="shared" si="38"/>
        <v>1</v>
      </c>
      <c r="J260">
        <v>8</v>
      </c>
      <c r="K260">
        <v>8</v>
      </c>
      <c r="L260" s="32">
        <f t="shared" si="39"/>
        <v>0</v>
      </c>
      <c r="M260">
        <v>7</v>
      </c>
      <c r="N260">
        <v>7</v>
      </c>
      <c r="O260" s="32">
        <f t="shared" si="40"/>
        <v>0</v>
      </c>
      <c r="P260">
        <v>7</v>
      </c>
      <c r="Q260">
        <v>8</v>
      </c>
      <c r="R260" s="32">
        <f t="shared" si="41"/>
        <v>1</v>
      </c>
      <c r="S260">
        <v>6</v>
      </c>
      <c r="T260">
        <v>7</v>
      </c>
      <c r="U260" s="32">
        <f t="shared" si="42"/>
        <v>1</v>
      </c>
      <c r="V260">
        <v>7</v>
      </c>
      <c r="W260">
        <v>7</v>
      </c>
      <c r="X260" s="32">
        <f t="shared" si="43"/>
        <v>0</v>
      </c>
      <c r="Y260">
        <v>8</v>
      </c>
      <c r="Z260">
        <v>8</v>
      </c>
      <c r="AA260" s="32">
        <f t="shared" si="44"/>
        <v>0</v>
      </c>
    </row>
    <row r="261" spans="1:27" x14ac:dyDescent="0.45">
      <c r="A261">
        <v>6</v>
      </c>
      <c r="B261">
        <v>8</v>
      </c>
      <c r="C261" s="32">
        <f t="shared" si="36"/>
        <v>2</v>
      </c>
      <c r="D261">
        <v>6</v>
      </c>
      <c r="E261">
        <v>8</v>
      </c>
      <c r="F261" s="32">
        <f t="shared" si="37"/>
        <v>2</v>
      </c>
      <c r="G261">
        <v>8</v>
      </c>
      <c r="H261">
        <v>7</v>
      </c>
      <c r="I261" s="32">
        <f t="shared" si="38"/>
        <v>1</v>
      </c>
      <c r="J261">
        <v>8</v>
      </c>
      <c r="K261">
        <v>8</v>
      </c>
      <c r="L261" s="32">
        <f t="shared" si="39"/>
        <v>0</v>
      </c>
      <c r="M261">
        <v>7</v>
      </c>
      <c r="N261">
        <v>7</v>
      </c>
      <c r="O261" s="32">
        <f t="shared" si="40"/>
        <v>0</v>
      </c>
      <c r="P261">
        <v>7</v>
      </c>
      <c r="Q261">
        <v>8</v>
      </c>
      <c r="R261" s="32">
        <f t="shared" si="41"/>
        <v>1</v>
      </c>
      <c r="S261">
        <v>6</v>
      </c>
      <c r="T261">
        <v>7</v>
      </c>
      <c r="U261" s="32">
        <f t="shared" si="42"/>
        <v>1</v>
      </c>
      <c r="V261">
        <v>7</v>
      </c>
      <c r="W261">
        <v>7</v>
      </c>
      <c r="X261" s="32">
        <f t="shared" si="43"/>
        <v>0</v>
      </c>
      <c r="Y261">
        <v>8</v>
      </c>
      <c r="Z261">
        <v>8</v>
      </c>
      <c r="AA261" s="32">
        <f t="shared" si="44"/>
        <v>0</v>
      </c>
    </row>
    <row r="262" spans="1:27" x14ac:dyDescent="0.45">
      <c r="A262">
        <v>6</v>
      </c>
      <c r="B262">
        <v>8</v>
      </c>
      <c r="C262" s="32">
        <f t="shared" si="36"/>
        <v>2</v>
      </c>
      <c r="D262">
        <v>6</v>
      </c>
      <c r="E262">
        <v>8</v>
      </c>
      <c r="F262" s="32">
        <f t="shared" si="37"/>
        <v>2</v>
      </c>
      <c r="G262">
        <v>8</v>
      </c>
      <c r="H262">
        <v>8</v>
      </c>
      <c r="I262" s="32">
        <f t="shared" si="38"/>
        <v>0</v>
      </c>
      <c r="J262">
        <v>8</v>
      </c>
      <c r="K262">
        <v>8</v>
      </c>
      <c r="L262" s="32">
        <f t="shared" si="39"/>
        <v>0</v>
      </c>
      <c r="M262">
        <v>7</v>
      </c>
      <c r="N262">
        <v>7</v>
      </c>
      <c r="O262" s="32">
        <f t="shared" si="40"/>
        <v>0</v>
      </c>
      <c r="P262">
        <v>7</v>
      </c>
      <c r="Q262">
        <v>8</v>
      </c>
      <c r="R262" s="32">
        <f t="shared" si="41"/>
        <v>1</v>
      </c>
      <c r="S262">
        <v>6</v>
      </c>
      <c r="T262">
        <v>7</v>
      </c>
      <c r="U262" s="32">
        <f t="shared" si="42"/>
        <v>1</v>
      </c>
      <c r="V262">
        <v>7</v>
      </c>
      <c r="W262">
        <v>7</v>
      </c>
      <c r="X262" s="32">
        <f t="shared" si="43"/>
        <v>0</v>
      </c>
      <c r="Y262">
        <v>8</v>
      </c>
      <c r="Z262">
        <v>8</v>
      </c>
      <c r="AA262" s="32">
        <f t="shared" si="44"/>
        <v>0</v>
      </c>
    </row>
    <row r="263" spans="1:27" x14ac:dyDescent="0.45">
      <c r="A263">
        <v>6</v>
      </c>
      <c r="B263">
        <v>8</v>
      </c>
      <c r="C263" s="32">
        <f t="shared" si="36"/>
        <v>2</v>
      </c>
      <c r="D263">
        <v>6</v>
      </c>
      <c r="E263">
        <v>8</v>
      </c>
      <c r="F263" s="32">
        <f t="shared" si="37"/>
        <v>2</v>
      </c>
      <c r="G263">
        <v>8</v>
      </c>
      <c r="H263">
        <v>8</v>
      </c>
      <c r="I263" s="32">
        <f t="shared" si="38"/>
        <v>0</v>
      </c>
      <c r="J263">
        <v>8</v>
      </c>
      <c r="K263">
        <v>8</v>
      </c>
      <c r="L263" s="32">
        <f t="shared" si="39"/>
        <v>0</v>
      </c>
      <c r="M263">
        <v>7</v>
      </c>
      <c r="N263">
        <v>7</v>
      </c>
      <c r="O263" s="32">
        <f t="shared" si="40"/>
        <v>0</v>
      </c>
      <c r="P263">
        <v>7</v>
      </c>
      <c r="Q263">
        <v>8</v>
      </c>
      <c r="R263" s="32">
        <f t="shared" si="41"/>
        <v>1</v>
      </c>
      <c r="S263">
        <v>6</v>
      </c>
      <c r="T263">
        <v>7</v>
      </c>
      <c r="U263" s="32">
        <f t="shared" si="42"/>
        <v>1</v>
      </c>
      <c r="V263">
        <v>7</v>
      </c>
      <c r="W263">
        <v>7</v>
      </c>
      <c r="X263" s="32">
        <f t="shared" si="43"/>
        <v>0</v>
      </c>
      <c r="Y263">
        <v>8</v>
      </c>
      <c r="Z263">
        <v>8</v>
      </c>
      <c r="AA263" s="32">
        <f t="shared" si="44"/>
        <v>0</v>
      </c>
    </row>
    <row r="264" spans="1:27" x14ac:dyDescent="0.45">
      <c r="A264">
        <v>6</v>
      </c>
      <c r="B264">
        <v>8</v>
      </c>
      <c r="C264" s="32">
        <f t="shared" si="36"/>
        <v>2</v>
      </c>
      <c r="D264">
        <v>6</v>
      </c>
      <c r="E264">
        <v>8</v>
      </c>
      <c r="F264" s="32">
        <f t="shared" si="37"/>
        <v>2</v>
      </c>
      <c r="G264">
        <v>8</v>
      </c>
      <c r="H264">
        <v>8</v>
      </c>
      <c r="I264" s="32">
        <f t="shared" si="38"/>
        <v>0</v>
      </c>
      <c r="J264">
        <v>8</v>
      </c>
      <c r="K264">
        <v>8</v>
      </c>
      <c r="L264" s="32">
        <f t="shared" si="39"/>
        <v>0</v>
      </c>
      <c r="M264">
        <v>7</v>
      </c>
      <c r="N264">
        <v>7</v>
      </c>
      <c r="O264" s="32">
        <f t="shared" si="40"/>
        <v>0</v>
      </c>
      <c r="P264">
        <v>7</v>
      </c>
      <c r="Q264">
        <v>8</v>
      </c>
      <c r="R264" s="32">
        <f t="shared" si="41"/>
        <v>1</v>
      </c>
      <c r="S264">
        <v>6</v>
      </c>
      <c r="T264">
        <v>7</v>
      </c>
      <c r="U264" s="32">
        <f t="shared" si="42"/>
        <v>1</v>
      </c>
      <c r="V264">
        <v>7</v>
      </c>
      <c r="W264">
        <v>7</v>
      </c>
      <c r="X264" s="32">
        <f t="shared" si="43"/>
        <v>0</v>
      </c>
      <c r="Y264">
        <v>8</v>
      </c>
      <c r="Z264">
        <v>8</v>
      </c>
      <c r="AA264" s="32">
        <f t="shared" si="44"/>
        <v>0</v>
      </c>
    </row>
    <row r="265" spans="1:27" x14ac:dyDescent="0.45">
      <c r="A265">
        <v>6</v>
      </c>
      <c r="B265">
        <v>8</v>
      </c>
      <c r="C265" s="32">
        <f t="shared" si="36"/>
        <v>2</v>
      </c>
      <c r="D265">
        <v>6</v>
      </c>
      <c r="E265">
        <v>8</v>
      </c>
      <c r="F265" s="32">
        <f t="shared" si="37"/>
        <v>2</v>
      </c>
      <c r="G265">
        <v>8</v>
      </c>
      <c r="H265">
        <v>8</v>
      </c>
      <c r="I265" s="32">
        <f t="shared" si="38"/>
        <v>0</v>
      </c>
      <c r="J265">
        <v>8</v>
      </c>
      <c r="K265">
        <v>8</v>
      </c>
      <c r="L265" s="32">
        <f t="shared" si="39"/>
        <v>0</v>
      </c>
      <c r="M265">
        <v>7</v>
      </c>
      <c r="N265">
        <v>7</v>
      </c>
      <c r="O265" s="32">
        <f t="shared" si="40"/>
        <v>0</v>
      </c>
      <c r="P265">
        <v>7</v>
      </c>
      <c r="Q265">
        <v>8</v>
      </c>
      <c r="R265" s="32">
        <f t="shared" si="41"/>
        <v>1</v>
      </c>
      <c r="S265">
        <v>6</v>
      </c>
      <c r="T265">
        <v>7</v>
      </c>
      <c r="U265" s="32">
        <f t="shared" si="42"/>
        <v>1</v>
      </c>
      <c r="V265">
        <v>7</v>
      </c>
      <c r="W265">
        <v>7</v>
      </c>
      <c r="X265" s="32">
        <f t="shared" si="43"/>
        <v>0</v>
      </c>
      <c r="Y265">
        <v>8</v>
      </c>
      <c r="Z265">
        <v>8</v>
      </c>
      <c r="AA265" s="32">
        <f t="shared" si="44"/>
        <v>0</v>
      </c>
    </row>
    <row r="266" spans="1:27" x14ac:dyDescent="0.45">
      <c r="A266">
        <v>6</v>
      </c>
      <c r="B266">
        <v>8</v>
      </c>
      <c r="C266" s="32">
        <f t="shared" si="36"/>
        <v>2</v>
      </c>
      <c r="D266">
        <v>6</v>
      </c>
      <c r="E266">
        <v>8</v>
      </c>
      <c r="F266" s="32">
        <f t="shared" si="37"/>
        <v>2</v>
      </c>
      <c r="G266">
        <v>8</v>
      </c>
      <c r="H266">
        <v>8</v>
      </c>
      <c r="I266" s="32">
        <f t="shared" si="38"/>
        <v>0</v>
      </c>
      <c r="J266">
        <v>8</v>
      </c>
      <c r="K266">
        <v>8</v>
      </c>
      <c r="L266" s="32">
        <f t="shared" si="39"/>
        <v>0</v>
      </c>
      <c r="M266">
        <v>7</v>
      </c>
      <c r="N266">
        <v>7</v>
      </c>
      <c r="O266" s="32">
        <f t="shared" si="40"/>
        <v>0</v>
      </c>
      <c r="P266">
        <v>7</v>
      </c>
      <c r="Q266">
        <v>8</v>
      </c>
      <c r="R266" s="32">
        <f t="shared" si="41"/>
        <v>1</v>
      </c>
      <c r="S266">
        <v>6</v>
      </c>
      <c r="T266">
        <v>7</v>
      </c>
      <c r="U266" s="32">
        <f t="shared" si="42"/>
        <v>1</v>
      </c>
      <c r="V266">
        <v>7</v>
      </c>
      <c r="W266">
        <v>7</v>
      </c>
      <c r="X266" s="32">
        <f t="shared" si="43"/>
        <v>0</v>
      </c>
      <c r="Y266">
        <v>8</v>
      </c>
      <c r="Z266">
        <v>8</v>
      </c>
      <c r="AA266" s="32">
        <f t="shared" si="44"/>
        <v>0</v>
      </c>
    </row>
    <row r="267" spans="1:27" x14ac:dyDescent="0.45">
      <c r="A267">
        <v>6</v>
      </c>
      <c r="B267">
        <v>8</v>
      </c>
      <c r="C267" s="32">
        <f t="shared" si="36"/>
        <v>2</v>
      </c>
      <c r="D267">
        <v>6</v>
      </c>
      <c r="E267">
        <v>8</v>
      </c>
      <c r="F267" s="32">
        <f t="shared" si="37"/>
        <v>2</v>
      </c>
      <c r="G267">
        <v>8</v>
      </c>
      <c r="H267">
        <v>8</v>
      </c>
      <c r="I267" s="32">
        <f t="shared" si="38"/>
        <v>0</v>
      </c>
      <c r="J267">
        <v>8</v>
      </c>
      <c r="K267">
        <v>8</v>
      </c>
      <c r="L267" s="32">
        <f t="shared" si="39"/>
        <v>0</v>
      </c>
      <c r="M267">
        <v>7</v>
      </c>
      <c r="N267">
        <v>7</v>
      </c>
      <c r="O267" s="32">
        <f t="shared" si="40"/>
        <v>0</v>
      </c>
      <c r="P267">
        <v>7</v>
      </c>
      <c r="Q267">
        <v>8</v>
      </c>
      <c r="R267" s="32">
        <f t="shared" si="41"/>
        <v>1</v>
      </c>
      <c r="S267">
        <v>6</v>
      </c>
      <c r="T267">
        <v>7</v>
      </c>
      <c r="U267" s="32">
        <f t="shared" si="42"/>
        <v>1</v>
      </c>
      <c r="V267">
        <v>7</v>
      </c>
      <c r="W267">
        <v>7</v>
      </c>
      <c r="X267" s="32">
        <f t="shared" si="43"/>
        <v>0</v>
      </c>
      <c r="Y267">
        <v>8</v>
      </c>
      <c r="Z267">
        <v>8</v>
      </c>
      <c r="AA267" s="32">
        <f t="shared" si="44"/>
        <v>0</v>
      </c>
    </row>
    <row r="268" spans="1:27" x14ac:dyDescent="0.45">
      <c r="A268">
        <v>6</v>
      </c>
      <c r="B268">
        <v>8</v>
      </c>
      <c r="C268" s="32">
        <f t="shared" si="36"/>
        <v>2</v>
      </c>
      <c r="D268">
        <v>6</v>
      </c>
      <c r="E268">
        <v>8</v>
      </c>
      <c r="F268" s="32">
        <f t="shared" si="37"/>
        <v>2</v>
      </c>
      <c r="G268">
        <v>8</v>
      </c>
      <c r="H268">
        <v>8</v>
      </c>
      <c r="I268" s="32">
        <f t="shared" si="38"/>
        <v>0</v>
      </c>
      <c r="J268">
        <v>8</v>
      </c>
      <c r="K268">
        <v>8</v>
      </c>
      <c r="L268" s="32">
        <f t="shared" si="39"/>
        <v>0</v>
      </c>
      <c r="M268">
        <v>7</v>
      </c>
      <c r="N268">
        <v>7</v>
      </c>
      <c r="O268" s="32">
        <f t="shared" si="40"/>
        <v>0</v>
      </c>
      <c r="P268">
        <v>7</v>
      </c>
      <c r="Q268">
        <v>8</v>
      </c>
      <c r="R268" s="32">
        <f t="shared" si="41"/>
        <v>1</v>
      </c>
      <c r="S268">
        <v>6</v>
      </c>
      <c r="T268">
        <v>7</v>
      </c>
      <c r="U268" s="32">
        <f t="shared" si="42"/>
        <v>1</v>
      </c>
      <c r="V268">
        <v>7</v>
      </c>
      <c r="W268">
        <v>7</v>
      </c>
      <c r="X268" s="32">
        <f t="shared" si="43"/>
        <v>0</v>
      </c>
      <c r="Y268">
        <v>8</v>
      </c>
      <c r="Z268">
        <v>8</v>
      </c>
      <c r="AA268" s="32">
        <f t="shared" si="44"/>
        <v>0</v>
      </c>
    </row>
    <row r="269" spans="1:27" x14ac:dyDescent="0.45">
      <c r="A269">
        <v>6</v>
      </c>
      <c r="B269">
        <v>8</v>
      </c>
      <c r="C269" s="32">
        <f t="shared" si="36"/>
        <v>2</v>
      </c>
      <c r="D269">
        <v>6</v>
      </c>
      <c r="E269">
        <v>8</v>
      </c>
      <c r="F269" s="32">
        <f t="shared" si="37"/>
        <v>2</v>
      </c>
      <c r="G269">
        <v>8</v>
      </c>
      <c r="H269">
        <v>8</v>
      </c>
      <c r="I269" s="32">
        <f t="shared" si="38"/>
        <v>0</v>
      </c>
      <c r="J269">
        <v>8</v>
      </c>
      <c r="K269">
        <v>8</v>
      </c>
      <c r="L269" s="32">
        <f t="shared" si="39"/>
        <v>0</v>
      </c>
      <c r="M269">
        <v>7</v>
      </c>
      <c r="N269">
        <v>7</v>
      </c>
      <c r="O269" s="32">
        <f t="shared" si="40"/>
        <v>0</v>
      </c>
      <c r="P269">
        <v>7</v>
      </c>
      <c r="Q269">
        <v>8</v>
      </c>
      <c r="R269" s="32">
        <f t="shared" si="41"/>
        <v>1</v>
      </c>
      <c r="S269">
        <v>6</v>
      </c>
      <c r="T269">
        <v>7</v>
      </c>
      <c r="U269" s="32">
        <f t="shared" si="42"/>
        <v>1</v>
      </c>
      <c r="V269">
        <v>7</v>
      </c>
      <c r="W269">
        <v>7</v>
      </c>
      <c r="X269" s="32">
        <f t="shared" si="43"/>
        <v>0</v>
      </c>
      <c r="Y269">
        <v>8</v>
      </c>
      <c r="Z269">
        <v>8</v>
      </c>
      <c r="AA269" s="32">
        <f t="shared" si="44"/>
        <v>0</v>
      </c>
    </row>
    <row r="270" spans="1:27" x14ac:dyDescent="0.45">
      <c r="A270">
        <v>6</v>
      </c>
      <c r="B270">
        <v>8</v>
      </c>
      <c r="C270" s="32">
        <f t="shared" si="36"/>
        <v>2</v>
      </c>
      <c r="D270">
        <v>6</v>
      </c>
      <c r="E270">
        <v>8</v>
      </c>
      <c r="F270" s="32">
        <f t="shared" si="37"/>
        <v>2</v>
      </c>
      <c r="G270">
        <v>8</v>
      </c>
      <c r="H270">
        <v>8</v>
      </c>
      <c r="I270" s="32">
        <f t="shared" si="38"/>
        <v>0</v>
      </c>
      <c r="J270">
        <v>8</v>
      </c>
      <c r="K270">
        <v>8</v>
      </c>
      <c r="L270" s="32">
        <f t="shared" si="39"/>
        <v>0</v>
      </c>
      <c r="M270">
        <v>7</v>
      </c>
      <c r="N270">
        <v>7</v>
      </c>
      <c r="O270" s="32">
        <f t="shared" si="40"/>
        <v>0</v>
      </c>
      <c r="P270">
        <v>7</v>
      </c>
      <c r="Q270">
        <v>8</v>
      </c>
      <c r="R270" s="32">
        <f t="shared" si="41"/>
        <v>1</v>
      </c>
      <c r="S270">
        <v>6</v>
      </c>
      <c r="T270">
        <v>7</v>
      </c>
      <c r="U270" s="32">
        <f t="shared" si="42"/>
        <v>1</v>
      </c>
      <c r="V270">
        <v>7</v>
      </c>
      <c r="W270">
        <v>7</v>
      </c>
      <c r="X270" s="32">
        <f t="shared" si="43"/>
        <v>0</v>
      </c>
      <c r="Y270">
        <v>8</v>
      </c>
      <c r="Z270">
        <v>8</v>
      </c>
      <c r="AA270" s="32">
        <f t="shared" si="44"/>
        <v>0</v>
      </c>
    </row>
    <row r="271" spans="1:27" x14ac:dyDescent="0.45">
      <c r="A271">
        <v>6</v>
      </c>
      <c r="B271">
        <v>8</v>
      </c>
      <c r="C271" s="32">
        <f t="shared" si="36"/>
        <v>2</v>
      </c>
      <c r="D271">
        <v>6</v>
      </c>
      <c r="E271">
        <v>8</v>
      </c>
      <c r="F271" s="32">
        <f t="shared" si="37"/>
        <v>2</v>
      </c>
      <c r="G271">
        <v>8</v>
      </c>
      <c r="H271">
        <v>8</v>
      </c>
      <c r="I271" s="32">
        <f t="shared" si="38"/>
        <v>0</v>
      </c>
      <c r="J271">
        <v>8</v>
      </c>
      <c r="K271">
        <v>8</v>
      </c>
      <c r="L271" s="32">
        <f t="shared" si="39"/>
        <v>0</v>
      </c>
      <c r="M271">
        <v>7</v>
      </c>
      <c r="N271">
        <v>7</v>
      </c>
      <c r="O271" s="32">
        <f t="shared" si="40"/>
        <v>0</v>
      </c>
      <c r="P271">
        <v>7</v>
      </c>
      <c r="Q271">
        <v>8</v>
      </c>
      <c r="R271" s="32">
        <f t="shared" si="41"/>
        <v>1</v>
      </c>
      <c r="S271">
        <v>6</v>
      </c>
      <c r="T271">
        <v>7</v>
      </c>
      <c r="U271" s="32">
        <f t="shared" si="42"/>
        <v>1</v>
      </c>
      <c r="V271">
        <v>7</v>
      </c>
      <c r="W271">
        <v>7</v>
      </c>
      <c r="X271" s="32">
        <f t="shared" si="43"/>
        <v>0</v>
      </c>
      <c r="Y271">
        <v>8</v>
      </c>
      <c r="Z271">
        <v>8</v>
      </c>
      <c r="AA271" s="32">
        <f t="shared" si="44"/>
        <v>0</v>
      </c>
    </row>
    <row r="272" spans="1:27" x14ac:dyDescent="0.45">
      <c r="A272">
        <v>6</v>
      </c>
      <c r="B272">
        <v>8</v>
      </c>
      <c r="C272" s="32">
        <f t="shared" si="36"/>
        <v>2</v>
      </c>
      <c r="D272">
        <v>6</v>
      </c>
      <c r="E272">
        <v>8</v>
      </c>
      <c r="F272" s="32">
        <f t="shared" si="37"/>
        <v>2</v>
      </c>
      <c r="G272">
        <v>8</v>
      </c>
      <c r="H272">
        <v>8</v>
      </c>
      <c r="I272" s="32">
        <f t="shared" si="38"/>
        <v>0</v>
      </c>
      <c r="J272">
        <v>8</v>
      </c>
      <c r="K272">
        <v>8</v>
      </c>
      <c r="L272" s="32">
        <f t="shared" si="39"/>
        <v>0</v>
      </c>
      <c r="M272">
        <v>7</v>
      </c>
      <c r="N272">
        <v>7</v>
      </c>
      <c r="O272" s="32">
        <f t="shared" si="40"/>
        <v>0</v>
      </c>
      <c r="P272">
        <v>7</v>
      </c>
      <c r="Q272">
        <v>8</v>
      </c>
      <c r="R272" s="32">
        <f t="shared" si="41"/>
        <v>1</v>
      </c>
      <c r="S272">
        <v>6</v>
      </c>
      <c r="T272">
        <v>7</v>
      </c>
      <c r="U272" s="32">
        <f t="shared" si="42"/>
        <v>1</v>
      </c>
      <c r="V272">
        <v>7</v>
      </c>
      <c r="W272">
        <v>7</v>
      </c>
      <c r="X272" s="32">
        <f t="shared" si="43"/>
        <v>0</v>
      </c>
      <c r="Y272">
        <v>8</v>
      </c>
      <c r="Z272">
        <v>8</v>
      </c>
      <c r="AA272" s="32">
        <f t="shared" si="44"/>
        <v>0</v>
      </c>
    </row>
    <row r="273" spans="1:27" x14ac:dyDescent="0.45">
      <c r="A273">
        <v>6</v>
      </c>
      <c r="B273">
        <v>8</v>
      </c>
      <c r="C273" s="32">
        <f t="shared" si="36"/>
        <v>2</v>
      </c>
      <c r="D273">
        <v>6</v>
      </c>
      <c r="E273">
        <v>8</v>
      </c>
      <c r="F273" s="32">
        <f t="shared" si="37"/>
        <v>2</v>
      </c>
      <c r="G273">
        <v>8</v>
      </c>
      <c r="H273">
        <v>8</v>
      </c>
      <c r="I273" s="32">
        <f t="shared" si="38"/>
        <v>0</v>
      </c>
      <c r="J273">
        <v>8</v>
      </c>
      <c r="K273">
        <v>8</v>
      </c>
      <c r="L273" s="32">
        <f t="shared" si="39"/>
        <v>0</v>
      </c>
      <c r="M273">
        <v>7</v>
      </c>
      <c r="N273">
        <v>7</v>
      </c>
      <c r="O273" s="32">
        <f t="shared" si="40"/>
        <v>0</v>
      </c>
      <c r="P273">
        <v>7</v>
      </c>
      <c r="Q273">
        <v>8</v>
      </c>
      <c r="R273" s="32">
        <f t="shared" si="41"/>
        <v>1</v>
      </c>
      <c r="S273">
        <v>6</v>
      </c>
      <c r="T273">
        <v>7</v>
      </c>
      <c r="U273" s="32">
        <f t="shared" si="42"/>
        <v>1</v>
      </c>
      <c r="V273">
        <v>7</v>
      </c>
      <c r="W273">
        <v>7</v>
      </c>
      <c r="X273" s="32">
        <f t="shared" si="43"/>
        <v>0</v>
      </c>
      <c r="Y273">
        <v>8</v>
      </c>
      <c r="Z273">
        <v>8</v>
      </c>
      <c r="AA273" s="32">
        <f t="shared" si="44"/>
        <v>0</v>
      </c>
    </row>
    <row r="274" spans="1:27" x14ac:dyDescent="0.45">
      <c r="A274">
        <v>6</v>
      </c>
      <c r="B274">
        <v>8</v>
      </c>
      <c r="C274" s="32">
        <f t="shared" si="36"/>
        <v>2</v>
      </c>
      <c r="D274">
        <v>6</v>
      </c>
      <c r="E274">
        <v>8</v>
      </c>
      <c r="F274" s="32">
        <f t="shared" si="37"/>
        <v>2</v>
      </c>
      <c r="G274">
        <v>8</v>
      </c>
      <c r="H274">
        <v>8</v>
      </c>
      <c r="I274" s="32">
        <f t="shared" si="38"/>
        <v>0</v>
      </c>
      <c r="J274">
        <v>8</v>
      </c>
      <c r="K274">
        <v>8</v>
      </c>
      <c r="L274" s="32">
        <f t="shared" si="39"/>
        <v>0</v>
      </c>
      <c r="M274">
        <v>7</v>
      </c>
      <c r="N274">
        <v>7</v>
      </c>
      <c r="O274" s="32">
        <f t="shared" si="40"/>
        <v>0</v>
      </c>
      <c r="P274">
        <v>7</v>
      </c>
      <c r="Q274">
        <v>8</v>
      </c>
      <c r="R274" s="32">
        <f t="shared" si="41"/>
        <v>1</v>
      </c>
      <c r="S274">
        <v>6</v>
      </c>
      <c r="T274">
        <v>7</v>
      </c>
      <c r="U274" s="32">
        <f t="shared" si="42"/>
        <v>1</v>
      </c>
      <c r="V274">
        <v>7</v>
      </c>
      <c r="W274">
        <v>7</v>
      </c>
      <c r="X274" s="32">
        <f t="shared" si="43"/>
        <v>0</v>
      </c>
      <c r="Y274">
        <v>8</v>
      </c>
      <c r="Z274">
        <v>8</v>
      </c>
      <c r="AA274" s="32">
        <f t="shared" si="44"/>
        <v>0</v>
      </c>
    </row>
    <row r="275" spans="1:27" x14ac:dyDescent="0.45">
      <c r="A275">
        <v>6</v>
      </c>
      <c r="B275">
        <v>8</v>
      </c>
      <c r="C275" s="32">
        <f t="shared" si="36"/>
        <v>2</v>
      </c>
      <c r="D275">
        <v>6</v>
      </c>
      <c r="E275">
        <v>8</v>
      </c>
      <c r="F275" s="32">
        <f t="shared" si="37"/>
        <v>2</v>
      </c>
      <c r="G275">
        <v>8</v>
      </c>
      <c r="H275">
        <v>8</v>
      </c>
      <c r="I275" s="32">
        <f t="shared" si="38"/>
        <v>0</v>
      </c>
      <c r="J275">
        <v>8</v>
      </c>
      <c r="K275">
        <v>8</v>
      </c>
      <c r="L275" s="32">
        <f t="shared" si="39"/>
        <v>0</v>
      </c>
      <c r="M275">
        <v>7</v>
      </c>
      <c r="N275">
        <v>7</v>
      </c>
      <c r="O275" s="32">
        <f t="shared" si="40"/>
        <v>0</v>
      </c>
      <c r="P275">
        <v>7</v>
      </c>
      <c r="Q275">
        <v>8</v>
      </c>
      <c r="R275" s="32">
        <f t="shared" si="41"/>
        <v>1</v>
      </c>
      <c r="S275">
        <v>6</v>
      </c>
      <c r="T275">
        <v>7</v>
      </c>
      <c r="U275" s="32">
        <f t="shared" si="42"/>
        <v>1</v>
      </c>
      <c r="V275">
        <v>7</v>
      </c>
      <c r="W275">
        <v>7</v>
      </c>
      <c r="X275" s="32">
        <f t="shared" si="43"/>
        <v>0</v>
      </c>
      <c r="Y275">
        <v>8</v>
      </c>
      <c r="Z275">
        <v>8</v>
      </c>
      <c r="AA275" s="32">
        <f t="shared" si="44"/>
        <v>0</v>
      </c>
    </row>
    <row r="276" spans="1:27" x14ac:dyDescent="0.45">
      <c r="A276">
        <v>6</v>
      </c>
      <c r="B276">
        <v>8</v>
      </c>
      <c r="C276" s="32">
        <f t="shared" si="36"/>
        <v>2</v>
      </c>
      <c r="D276">
        <v>6</v>
      </c>
      <c r="E276">
        <v>8</v>
      </c>
      <c r="F276" s="32">
        <f t="shared" si="37"/>
        <v>2</v>
      </c>
      <c r="G276">
        <v>8</v>
      </c>
      <c r="H276">
        <v>8</v>
      </c>
      <c r="I276" s="32">
        <f t="shared" si="38"/>
        <v>0</v>
      </c>
      <c r="J276">
        <v>8</v>
      </c>
      <c r="K276">
        <v>8</v>
      </c>
      <c r="L276" s="32">
        <f t="shared" si="39"/>
        <v>0</v>
      </c>
      <c r="M276">
        <v>7</v>
      </c>
      <c r="N276">
        <v>7</v>
      </c>
      <c r="O276" s="32">
        <f t="shared" si="40"/>
        <v>0</v>
      </c>
      <c r="P276">
        <v>7</v>
      </c>
      <c r="Q276">
        <v>8</v>
      </c>
      <c r="R276" s="32">
        <f t="shared" si="41"/>
        <v>1</v>
      </c>
      <c r="S276">
        <v>6</v>
      </c>
      <c r="T276">
        <v>7</v>
      </c>
      <c r="U276" s="32">
        <f t="shared" si="42"/>
        <v>1</v>
      </c>
      <c r="V276">
        <v>7</v>
      </c>
      <c r="W276">
        <v>7</v>
      </c>
      <c r="X276" s="32">
        <f t="shared" si="43"/>
        <v>0</v>
      </c>
      <c r="Y276">
        <v>8</v>
      </c>
      <c r="Z276">
        <v>8</v>
      </c>
      <c r="AA276" s="32">
        <f t="shared" si="44"/>
        <v>0</v>
      </c>
    </row>
    <row r="277" spans="1:27" x14ac:dyDescent="0.45">
      <c r="A277">
        <v>6</v>
      </c>
      <c r="B277">
        <v>8</v>
      </c>
      <c r="C277" s="32">
        <f t="shared" si="36"/>
        <v>2</v>
      </c>
      <c r="D277">
        <v>6</v>
      </c>
      <c r="E277">
        <v>8</v>
      </c>
      <c r="F277" s="32">
        <f t="shared" si="37"/>
        <v>2</v>
      </c>
      <c r="G277">
        <v>8</v>
      </c>
      <c r="H277">
        <v>8</v>
      </c>
      <c r="I277" s="32">
        <f t="shared" si="38"/>
        <v>0</v>
      </c>
      <c r="J277">
        <v>8</v>
      </c>
      <c r="K277">
        <v>8</v>
      </c>
      <c r="L277" s="32">
        <f t="shared" si="39"/>
        <v>0</v>
      </c>
      <c r="M277">
        <v>7</v>
      </c>
      <c r="N277">
        <v>8</v>
      </c>
      <c r="O277" s="32">
        <f t="shared" si="40"/>
        <v>1</v>
      </c>
      <c r="P277">
        <v>7</v>
      </c>
      <c r="Q277">
        <v>8</v>
      </c>
      <c r="R277" s="32">
        <f t="shared" si="41"/>
        <v>1</v>
      </c>
      <c r="S277">
        <v>6</v>
      </c>
      <c r="T277">
        <v>7</v>
      </c>
      <c r="U277" s="32">
        <f t="shared" si="42"/>
        <v>1</v>
      </c>
      <c r="V277">
        <v>7</v>
      </c>
      <c r="W277">
        <v>7</v>
      </c>
      <c r="X277" s="32">
        <f t="shared" si="43"/>
        <v>0</v>
      </c>
      <c r="Y277">
        <v>8</v>
      </c>
      <c r="Z277">
        <v>8</v>
      </c>
      <c r="AA277" s="32">
        <f t="shared" si="44"/>
        <v>0</v>
      </c>
    </row>
    <row r="278" spans="1:27" x14ac:dyDescent="0.45">
      <c r="A278">
        <v>6</v>
      </c>
      <c r="B278">
        <v>8</v>
      </c>
      <c r="C278" s="32">
        <f t="shared" si="36"/>
        <v>2</v>
      </c>
      <c r="D278">
        <v>6</v>
      </c>
      <c r="E278">
        <v>8</v>
      </c>
      <c r="F278" s="32">
        <f t="shared" si="37"/>
        <v>2</v>
      </c>
      <c r="G278">
        <v>8</v>
      </c>
      <c r="H278">
        <v>8</v>
      </c>
      <c r="I278" s="32">
        <f t="shared" si="38"/>
        <v>0</v>
      </c>
      <c r="J278">
        <v>8</v>
      </c>
      <c r="K278">
        <v>8</v>
      </c>
      <c r="L278" s="32">
        <f t="shared" si="39"/>
        <v>0</v>
      </c>
      <c r="M278">
        <v>7</v>
      </c>
      <c r="N278">
        <v>8</v>
      </c>
      <c r="O278" s="32">
        <f t="shared" si="40"/>
        <v>1</v>
      </c>
      <c r="P278">
        <v>7</v>
      </c>
      <c r="Q278">
        <v>8</v>
      </c>
      <c r="R278" s="32">
        <f t="shared" si="41"/>
        <v>1</v>
      </c>
      <c r="S278">
        <v>6</v>
      </c>
      <c r="T278">
        <v>7</v>
      </c>
      <c r="U278" s="32">
        <f t="shared" si="42"/>
        <v>1</v>
      </c>
      <c r="V278">
        <v>7</v>
      </c>
      <c r="W278">
        <v>7</v>
      </c>
      <c r="X278" s="32">
        <f t="shared" si="43"/>
        <v>0</v>
      </c>
      <c r="Y278">
        <v>8</v>
      </c>
      <c r="Z278">
        <v>8</v>
      </c>
      <c r="AA278" s="32">
        <f t="shared" si="44"/>
        <v>0</v>
      </c>
    </row>
    <row r="279" spans="1:27" x14ac:dyDescent="0.45">
      <c r="A279">
        <v>6</v>
      </c>
      <c r="B279">
        <v>8</v>
      </c>
      <c r="C279" s="32">
        <f t="shared" si="36"/>
        <v>2</v>
      </c>
      <c r="D279">
        <v>6</v>
      </c>
      <c r="E279">
        <v>8</v>
      </c>
      <c r="F279" s="32">
        <f t="shared" si="37"/>
        <v>2</v>
      </c>
      <c r="G279">
        <v>8</v>
      </c>
      <c r="H279">
        <v>8</v>
      </c>
      <c r="I279" s="32">
        <f t="shared" si="38"/>
        <v>0</v>
      </c>
      <c r="J279">
        <v>8</v>
      </c>
      <c r="K279">
        <v>8</v>
      </c>
      <c r="L279" s="32">
        <f t="shared" si="39"/>
        <v>0</v>
      </c>
      <c r="M279">
        <v>7</v>
      </c>
      <c r="N279">
        <v>8</v>
      </c>
      <c r="O279" s="32">
        <f t="shared" si="40"/>
        <v>1</v>
      </c>
      <c r="P279">
        <v>7</v>
      </c>
      <c r="Q279">
        <v>8</v>
      </c>
      <c r="R279" s="32">
        <f t="shared" si="41"/>
        <v>1</v>
      </c>
      <c r="S279">
        <v>6</v>
      </c>
      <c r="T279">
        <v>7</v>
      </c>
      <c r="U279" s="32">
        <f t="shared" si="42"/>
        <v>1</v>
      </c>
      <c r="V279">
        <v>7</v>
      </c>
      <c r="W279">
        <v>7</v>
      </c>
      <c r="X279" s="32">
        <f t="shared" si="43"/>
        <v>0</v>
      </c>
      <c r="Y279">
        <v>8</v>
      </c>
      <c r="Z279">
        <v>8</v>
      </c>
      <c r="AA279" s="32">
        <f t="shared" si="44"/>
        <v>0</v>
      </c>
    </row>
    <row r="280" spans="1:27" x14ac:dyDescent="0.45">
      <c r="A280">
        <v>6</v>
      </c>
      <c r="B280">
        <v>8</v>
      </c>
      <c r="C280" s="32">
        <f t="shared" si="36"/>
        <v>2</v>
      </c>
      <c r="D280">
        <v>6</v>
      </c>
      <c r="E280">
        <v>8</v>
      </c>
      <c r="F280" s="32">
        <f t="shared" si="37"/>
        <v>2</v>
      </c>
      <c r="G280">
        <v>8</v>
      </c>
      <c r="H280">
        <v>8</v>
      </c>
      <c r="I280" s="32">
        <f t="shared" si="38"/>
        <v>0</v>
      </c>
      <c r="J280">
        <v>8</v>
      </c>
      <c r="K280">
        <v>8</v>
      </c>
      <c r="L280" s="32">
        <f t="shared" si="39"/>
        <v>0</v>
      </c>
      <c r="M280">
        <v>7</v>
      </c>
      <c r="N280">
        <v>8</v>
      </c>
      <c r="O280" s="32">
        <f t="shared" si="40"/>
        <v>1</v>
      </c>
      <c r="P280">
        <v>7</v>
      </c>
      <c r="Q280">
        <v>8</v>
      </c>
      <c r="R280" s="32">
        <f t="shared" si="41"/>
        <v>1</v>
      </c>
      <c r="S280">
        <v>6</v>
      </c>
      <c r="T280">
        <v>7</v>
      </c>
      <c r="U280" s="32">
        <f t="shared" si="42"/>
        <v>1</v>
      </c>
      <c r="V280">
        <v>7</v>
      </c>
      <c r="W280">
        <v>7</v>
      </c>
      <c r="X280" s="32">
        <f t="shared" si="43"/>
        <v>0</v>
      </c>
      <c r="Y280">
        <v>8</v>
      </c>
      <c r="Z280">
        <v>8</v>
      </c>
      <c r="AA280" s="32">
        <f t="shared" si="44"/>
        <v>0</v>
      </c>
    </row>
    <row r="281" spans="1:27" x14ac:dyDescent="0.45">
      <c r="A281">
        <v>6</v>
      </c>
      <c r="B281">
        <v>8</v>
      </c>
      <c r="C281" s="32">
        <f t="shared" si="36"/>
        <v>2</v>
      </c>
      <c r="D281">
        <v>6</v>
      </c>
      <c r="E281">
        <v>8</v>
      </c>
      <c r="F281" s="32">
        <f t="shared" si="37"/>
        <v>2</v>
      </c>
      <c r="G281">
        <v>8</v>
      </c>
      <c r="H281">
        <v>8</v>
      </c>
      <c r="I281" s="32">
        <f t="shared" si="38"/>
        <v>0</v>
      </c>
      <c r="J281">
        <v>8</v>
      </c>
      <c r="K281">
        <v>8</v>
      </c>
      <c r="L281" s="32">
        <f t="shared" si="39"/>
        <v>0</v>
      </c>
      <c r="M281">
        <v>7</v>
      </c>
      <c r="N281">
        <v>8</v>
      </c>
      <c r="O281" s="32">
        <f t="shared" si="40"/>
        <v>1</v>
      </c>
      <c r="P281">
        <v>7</v>
      </c>
      <c r="Q281">
        <v>8</v>
      </c>
      <c r="R281" s="32">
        <f t="shared" si="41"/>
        <v>1</v>
      </c>
      <c r="S281">
        <v>6</v>
      </c>
      <c r="T281">
        <v>7</v>
      </c>
      <c r="U281" s="32">
        <f t="shared" si="42"/>
        <v>1</v>
      </c>
      <c r="V281">
        <v>7</v>
      </c>
      <c r="W281">
        <v>7</v>
      </c>
      <c r="X281" s="32">
        <f t="shared" si="43"/>
        <v>0</v>
      </c>
      <c r="Y281">
        <v>8</v>
      </c>
      <c r="Z281">
        <v>8</v>
      </c>
      <c r="AA281" s="32">
        <f t="shared" si="44"/>
        <v>0</v>
      </c>
    </row>
    <row r="282" spans="1:27" x14ac:dyDescent="0.45">
      <c r="A282">
        <v>6</v>
      </c>
      <c r="B282">
        <v>8</v>
      </c>
      <c r="C282" s="32">
        <f t="shared" si="36"/>
        <v>2</v>
      </c>
      <c r="D282">
        <v>6</v>
      </c>
      <c r="E282">
        <v>8</v>
      </c>
      <c r="F282" s="32">
        <f t="shared" si="37"/>
        <v>2</v>
      </c>
      <c r="G282">
        <v>8</v>
      </c>
      <c r="H282">
        <v>8</v>
      </c>
      <c r="I282" s="32">
        <f t="shared" si="38"/>
        <v>0</v>
      </c>
      <c r="J282">
        <v>8</v>
      </c>
      <c r="K282">
        <v>8</v>
      </c>
      <c r="L282" s="32">
        <f t="shared" si="39"/>
        <v>0</v>
      </c>
      <c r="M282">
        <v>7</v>
      </c>
      <c r="N282">
        <v>8</v>
      </c>
      <c r="O282" s="32">
        <f t="shared" si="40"/>
        <v>1</v>
      </c>
      <c r="P282">
        <v>7</v>
      </c>
      <c r="Q282">
        <v>8</v>
      </c>
      <c r="R282" s="32">
        <f t="shared" si="41"/>
        <v>1</v>
      </c>
      <c r="S282">
        <v>6</v>
      </c>
      <c r="T282">
        <v>7</v>
      </c>
      <c r="U282" s="32">
        <f t="shared" si="42"/>
        <v>1</v>
      </c>
      <c r="V282">
        <v>7</v>
      </c>
      <c r="W282">
        <v>7</v>
      </c>
      <c r="X282" s="32">
        <f t="shared" si="43"/>
        <v>0</v>
      </c>
      <c r="Y282">
        <v>8</v>
      </c>
      <c r="Z282">
        <v>8</v>
      </c>
      <c r="AA282" s="32">
        <f t="shared" si="44"/>
        <v>0</v>
      </c>
    </row>
    <row r="283" spans="1:27" x14ac:dyDescent="0.45">
      <c r="A283">
        <v>6</v>
      </c>
      <c r="B283">
        <v>8</v>
      </c>
      <c r="C283" s="32">
        <f t="shared" si="36"/>
        <v>2</v>
      </c>
      <c r="D283">
        <v>6</v>
      </c>
      <c r="E283">
        <v>8</v>
      </c>
      <c r="F283" s="32">
        <f t="shared" si="37"/>
        <v>2</v>
      </c>
      <c r="G283">
        <v>8</v>
      </c>
      <c r="H283">
        <v>8</v>
      </c>
      <c r="I283" s="32">
        <f t="shared" si="38"/>
        <v>0</v>
      </c>
      <c r="J283">
        <v>8</v>
      </c>
      <c r="K283">
        <v>8</v>
      </c>
      <c r="L283" s="32">
        <f t="shared" si="39"/>
        <v>0</v>
      </c>
      <c r="M283">
        <v>7</v>
      </c>
      <c r="N283">
        <v>8</v>
      </c>
      <c r="O283" s="32">
        <f t="shared" si="40"/>
        <v>1</v>
      </c>
      <c r="P283">
        <v>7</v>
      </c>
      <c r="Q283">
        <v>8</v>
      </c>
      <c r="R283" s="32">
        <f t="shared" si="41"/>
        <v>1</v>
      </c>
      <c r="S283">
        <v>6</v>
      </c>
      <c r="T283">
        <v>7</v>
      </c>
      <c r="U283" s="32">
        <f t="shared" si="42"/>
        <v>1</v>
      </c>
      <c r="V283">
        <v>7</v>
      </c>
      <c r="W283">
        <v>8</v>
      </c>
      <c r="X283" s="32">
        <f t="shared" si="43"/>
        <v>1</v>
      </c>
      <c r="Y283">
        <v>8</v>
      </c>
      <c r="Z283">
        <v>8</v>
      </c>
      <c r="AA283" s="32">
        <f t="shared" si="44"/>
        <v>0</v>
      </c>
    </row>
    <row r="284" spans="1:27" x14ac:dyDescent="0.45">
      <c r="A284">
        <v>6</v>
      </c>
      <c r="B284">
        <v>8</v>
      </c>
      <c r="C284" s="32">
        <f t="shared" si="36"/>
        <v>2</v>
      </c>
      <c r="D284">
        <v>6</v>
      </c>
      <c r="E284">
        <v>8</v>
      </c>
      <c r="F284" s="32">
        <f t="shared" si="37"/>
        <v>2</v>
      </c>
      <c r="G284">
        <v>8</v>
      </c>
      <c r="H284">
        <v>8</v>
      </c>
      <c r="I284" s="32">
        <f t="shared" si="38"/>
        <v>0</v>
      </c>
      <c r="J284">
        <v>8</v>
      </c>
      <c r="K284">
        <v>8</v>
      </c>
      <c r="L284" s="32">
        <f t="shared" si="39"/>
        <v>0</v>
      </c>
      <c r="M284">
        <v>7</v>
      </c>
      <c r="N284">
        <v>8</v>
      </c>
      <c r="O284" s="32">
        <f t="shared" si="40"/>
        <v>1</v>
      </c>
      <c r="P284">
        <v>7</v>
      </c>
      <c r="Q284">
        <v>8</v>
      </c>
      <c r="R284" s="32">
        <f t="shared" si="41"/>
        <v>1</v>
      </c>
      <c r="S284">
        <v>6</v>
      </c>
      <c r="T284">
        <v>7</v>
      </c>
      <c r="U284" s="32">
        <f t="shared" si="42"/>
        <v>1</v>
      </c>
      <c r="V284">
        <v>7</v>
      </c>
      <c r="W284">
        <v>8</v>
      </c>
      <c r="X284" s="32">
        <f t="shared" si="43"/>
        <v>1</v>
      </c>
      <c r="Y284">
        <v>8</v>
      </c>
      <c r="Z284">
        <v>8</v>
      </c>
      <c r="AA284" s="32">
        <f t="shared" si="44"/>
        <v>0</v>
      </c>
    </row>
    <row r="285" spans="1:27" x14ac:dyDescent="0.45">
      <c r="A285">
        <v>6</v>
      </c>
      <c r="B285">
        <v>8</v>
      </c>
      <c r="C285" s="32">
        <f t="shared" si="36"/>
        <v>2</v>
      </c>
      <c r="D285">
        <v>6</v>
      </c>
      <c r="E285">
        <v>8</v>
      </c>
      <c r="F285" s="32">
        <f t="shared" si="37"/>
        <v>2</v>
      </c>
      <c r="G285">
        <v>8</v>
      </c>
      <c r="H285">
        <v>8</v>
      </c>
      <c r="I285" s="32">
        <f t="shared" si="38"/>
        <v>0</v>
      </c>
      <c r="J285">
        <v>8</v>
      </c>
      <c r="K285">
        <v>8</v>
      </c>
      <c r="L285" s="32">
        <f t="shared" si="39"/>
        <v>0</v>
      </c>
      <c r="M285">
        <v>7</v>
      </c>
      <c r="N285">
        <v>8</v>
      </c>
      <c r="O285" s="32">
        <f t="shared" si="40"/>
        <v>1</v>
      </c>
      <c r="P285">
        <v>7</v>
      </c>
      <c r="Q285">
        <v>8</v>
      </c>
      <c r="R285" s="32">
        <f t="shared" si="41"/>
        <v>1</v>
      </c>
      <c r="S285">
        <v>6</v>
      </c>
      <c r="T285">
        <v>7</v>
      </c>
      <c r="U285" s="32">
        <f t="shared" si="42"/>
        <v>1</v>
      </c>
      <c r="V285">
        <v>7</v>
      </c>
      <c r="W285">
        <v>8</v>
      </c>
      <c r="X285" s="32">
        <f t="shared" si="43"/>
        <v>1</v>
      </c>
      <c r="Y285">
        <v>8</v>
      </c>
      <c r="Z285">
        <v>8</v>
      </c>
      <c r="AA285" s="32">
        <f t="shared" si="44"/>
        <v>0</v>
      </c>
    </row>
    <row r="286" spans="1:27" x14ac:dyDescent="0.45">
      <c r="A286">
        <v>6</v>
      </c>
      <c r="B286">
        <v>8</v>
      </c>
      <c r="C286" s="32">
        <f t="shared" si="36"/>
        <v>2</v>
      </c>
      <c r="D286">
        <v>6</v>
      </c>
      <c r="E286">
        <v>8</v>
      </c>
      <c r="F286" s="32">
        <f t="shared" si="37"/>
        <v>2</v>
      </c>
      <c r="G286">
        <v>8</v>
      </c>
      <c r="H286">
        <v>8</v>
      </c>
      <c r="I286" s="32">
        <f t="shared" si="38"/>
        <v>0</v>
      </c>
      <c r="J286">
        <v>8</v>
      </c>
      <c r="K286">
        <v>8</v>
      </c>
      <c r="L286" s="32">
        <f t="shared" si="39"/>
        <v>0</v>
      </c>
      <c r="M286">
        <v>7</v>
      </c>
      <c r="N286">
        <v>8</v>
      </c>
      <c r="O286" s="32">
        <f t="shared" si="40"/>
        <v>1</v>
      </c>
      <c r="P286">
        <v>7</v>
      </c>
      <c r="Q286">
        <v>8</v>
      </c>
      <c r="R286" s="32">
        <f t="shared" si="41"/>
        <v>1</v>
      </c>
      <c r="S286">
        <v>6</v>
      </c>
      <c r="T286">
        <v>7</v>
      </c>
      <c r="U286" s="32">
        <f t="shared" si="42"/>
        <v>1</v>
      </c>
      <c r="V286">
        <v>7</v>
      </c>
      <c r="W286">
        <v>8</v>
      </c>
      <c r="X286" s="32">
        <f t="shared" si="43"/>
        <v>1</v>
      </c>
      <c r="Y286">
        <v>8</v>
      </c>
      <c r="Z286">
        <v>8</v>
      </c>
      <c r="AA286" s="32">
        <f t="shared" si="44"/>
        <v>0</v>
      </c>
    </row>
    <row r="287" spans="1:27" x14ac:dyDescent="0.45">
      <c r="A287">
        <v>6</v>
      </c>
      <c r="B287">
        <v>8</v>
      </c>
      <c r="C287" s="32">
        <f t="shared" si="36"/>
        <v>2</v>
      </c>
      <c r="D287">
        <v>6</v>
      </c>
      <c r="E287">
        <v>8</v>
      </c>
      <c r="F287" s="32">
        <f t="shared" si="37"/>
        <v>2</v>
      </c>
      <c r="G287">
        <v>8</v>
      </c>
      <c r="H287">
        <v>8</v>
      </c>
      <c r="I287" s="32">
        <f t="shared" si="38"/>
        <v>0</v>
      </c>
      <c r="J287">
        <v>8</v>
      </c>
      <c r="K287">
        <v>8</v>
      </c>
      <c r="L287" s="32">
        <f t="shared" si="39"/>
        <v>0</v>
      </c>
      <c r="M287">
        <v>7</v>
      </c>
      <c r="N287">
        <v>8</v>
      </c>
      <c r="O287" s="32">
        <f t="shared" si="40"/>
        <v>1</v>
      </c>
      <c r="P287">
        <v>7</v>
      </c>
      <c r="Q287">
        <v>8</v>
      </c>
      <c r="R287" s="32">
        <f t="shared" si="41"/>
        <v>1</v>
      </c>
      <c r="S287">
        <v>6</v>
      </c>
      <c r="T287">
        <v>7</v>
      </c>
      <c r="U287" s="32">
        <f t="shared" si="42"/>
        <v>1</v>
      </c>
      <c r="V287">
        <v>7</v>
      </c>
      <c r="W287">
        <v>8</v>
      </c>
      <c r="X287" s="32">
        <f t="shared" si="43"/>
        <v>1</v>
      </c>
      <c r="Y287">
        <v>8</v>
      </c>
      <c r="Z287">
        <v>8</v>
      </c>
      <c r="AA287" s="32">
        <f t="shared" si="44"/>
        <v>0</v>
      </c>
    </row>
    <row r="288" spans="1:27" x14ac:dyDescent="0.45">
      <c r="A288">
        <v>6</v>
      </c>
      <c r="B288">
        <v>8</v>
      </c>
      <c r="C288" s="32">
        <f t="shared" si="36"/>
        <v>2</v>
      </c>
      <c r="D288">
        <v>6</v>
      </c>
      <c r="E288">
        <v>8</v>
      </c>
      <c r="F288" s="32">
        <f t="shared" si="37"/>
        <v>2</v>
      </c>
      <c r="G288">
        <v>8</v>
      </c>
      <c r="H288">
        <v>8</v>
      </c>
      <c r="I288" s="32">
        <f t="shared" si="38"/>
        <v>0</v>
      </c>
      <c r="J288">
        <v>8</v>
      </c>
      <c r="K288">
        <v>8</v>
      </c>
      <c r="L288" s="32">
        <f t="shared" si="39"/>
        <v>0</v>
      </c>
      <c r="M288">
        <v>7</v>
      </c>
      <c r="N288">
        <v>8</v>
      </c>
      <c r="O288" s="32">
        <f t="shared" si="40"/>
        <v>1</v>
      </c>
      <c r="P288">
        <v>7</v>
      </c>
      <c r="Q288">
        <v>8</v>
      </c>
      <c r="R288" s="32">
        <f t="shared" si="41"/>
        <v>1</v>
      </c>
      <c r="S288">
        <v>6</v>
      </c>
      <c r="T288">
        <v>7</v>
      </c>
      <c r="U288" s="32">
        <f t="shared" si="42"/>
        <v>1</v>
      </c>
      <c r="V288">
        <v>7</v>
      </c>
      <c r="W288">
        <v>8</v>
      </c>
      <c r="X288" s="32">
        <f t="shared" si="43"/>
        <v>1</v>
      </c>
      <c r="Y288">
        <v>8</v>
      </c>
      <c r="Z288">
        <v>8</v>
      </c>
      <c r="AA288" s="32">
        <f t="shared" si="44"/>
        <v>0</v>
      </c>
    </row>
    <row r="289" spans="1:27" x14ac:dyDescent="0.45">
      <c r="A289">
        <v>6</v>
      </c>
      <c r="B289">
        <v>8</v>
      </c>
      <c r="C289" s="32">
        <f t="shared" si="36"/>
        <v>2</v>
      </c>
      <c r="D289">
        <v>6</v>
      </c>
      <c r="E289">
        <v>8</v>
      </c>
      <c r="F289" s="32">
        <f t="shared" si="37"/>
        <v>2</v>
      </c>
      <c r="G289">
        <v>8</v>
      </c>
      <c r="H289">
        <v>8</v>
      </c>
      <c r="I289" s="32">
        <f t="shared" si="38"/>
        <v>0</v>
      </c>
      <c r="J289">
        <v>8</v>
      </c>
      <c r="K289">
        <v>8</v>
      </c>
      <c r="L289" s="32">
        <f t="shared" si="39"/>
        <v>0</v>
      </c>
      <c r="M289">
        <v>7</v>
      </c>
      <c r="N289">
        <v>8</v>
      </c>
      <c r="O289" s="32">
        <f t="shared" si="40"/>
        <v>1</v>
      </c>
      <c r="P289">
        <v>7</v>
      </c>
      <c r="Q289">
        <v>8</v>
      </c>
      <c r="R289" s="32">
        <f t="shared" si="41"/>
        <v>1</v>
      </c>
      <c r="S289">
        <v>6</v>
      </c>
      <c r="T289">
        <v>7</v>
      </c>
      <c r="U289" s="32">
        <f t="shared" si="42"/>
        <v>1</v>
      </c>
      <c r="V289">
        <v>7</v>
      </c>
      <c r="W289">
        <v>8</v>
      </c>
      <c r="X289" s="32">
        <f t="shared" si="43"/>
        <v>1</v>
      </c>
      <c r="Y289">
        <v>8</v>
      </c>
      <c r="Z289">
        <v>8</v>
      </c>
      <c r="AA289" s="32">
        <f t="shared" si="44"/>
        <v>0</v>
      </c>
    </row>
    <row r="290" spans="1:27" x14ac:dyDescent="0.45">
      <c r="A290">
        <v>6</v>
      </c>
      <c r="B290">
        <v>8</v>
      </c>
      <c r="C290" s="32">
        <f t="shared" si="36"/>
        <v>2</v>
      </c>
      <c r="D290">
        <v>6</v>
      </c>
      <c r="E290">
        <v>8</v>
      </c>
      <c r="F290" s="32">
        <f t="shared" si="37"/>
        <v>2</v>
      </c>
      <c r="G290">
        <v>8</v>
      </c>
      <c r="H290">
        <v>8</v>
      </c>
      <c r="I290" s="32">
        <f t="shared" si="38"/>
        <v>0</v>
      </c>
      <c r="J290">
        <v>8</v>
      </c>
      <c r="K290">
        <v>8</v>
      </c>
      <c r="L290" s="32">
        <f t="shared" si="39"/>
        <v>0</v>
      </c>
      <c r="M290">
        <v>7</v>
      </c>
      <c r="N290">
        <v>8</v>
      </c>
      <c r="O290" s="32">
        <f t="shared" si="40"/>
        <v>1</v>
      </c>
      <c r="P290">
        <v>7</v>
      </c>
      <c r="Q290">
        <v>8</v>
      </c>
      <c r="R290" s="32">
        <f t="shared" si="41"/>
        <v>1</v>
      </c>
      <c r="S290">
        <v>6</v>
      </c>
      <c r="T290">
        <v>7</v>
      </c>
      <c r="U290" s="32">
        <f t="shared" si="42"/>
        <v>1</v>
      </c>
      <c r="V290">
        <v>7</v>
      </c>
      <c r="W290">
        <v>8</v>
      </c>
      <c r="X290" s="32">
        <f t="shared" si="43"/>
        <v>1</v>
      </c>
      <c r="Y290">
        <v>8</v>
      </c>
      <c r="Z290">
        <v>8</v>
      </c>
      <c r="AA290" s="32">
        <f t="shared" si="44"/>
        <v>0</v>
      </c>
    </row>
    <row r="291" spans="1:27" x14ac:dyDescent="0.45">
      <c r="A291">
        <v>6</v>
      </c>
      <c r="B291">
        <v>8</v>
      </c>
      <c r="C291" s="32">
        <f t="shared" si="36"/>
        <v>2</v>
      </c>
      <c r="D291">
        <v>6</v>
      </c>
      <c r="E291">
        <v>8</v>
      </c>
      <c r="F291" s="32">
        <f t="shared" si="37"/>
        <v>2</v>
      </c>
      <c r="G291">
        <v>8</v>
      </c>
      <c r="H291">
        <v>8</v>
      </c>
      <c r="I291" s="32">
        <f t="shared" si="38"/>
        <v>0</v>
      </c>
      <c r="J291">
        <v>8</v>
      </c>
      <c r="K291">
        <v>8</v>
      </c>
      <c r="L291" s="32">
        <f t="shared" si="39"/>
        <v>0</v>
      </c>
      <c r="M291">
        <v>7</v>
      </c>
      <c r="N291">
        <v>8</v>
      </c>
      <c r="O291" s="32">
        <f t="shared" si="40"/>
        <v>1</v>
      </c>
      <c r="P291">
        <v>7</v>
      </c>
      <c r="Q291">
        <v>8</v>
      </c>
      <c r="R291" s="32">
        <f t="shared" si="41"/>
        <v>1</v>
      </c>
      <c r="S291">
        <v>6</v>
      </c>
      <c r="T291">
        <v>8</v>
      </c>
      <c r="U291" s="32">
        <f t="shared" si="42"/>
        <v>2</v>
      </c>
      <c r="V291">
        <v>7</v>
      </c>
      <c r="W291">
        <v>8</v>
      </c>
      <c r="X291" s="32">
        <f t="shared" si="43"/>
        <v>1</v>
      </c>
      <c r="Y291">
        <v>8</v>
      </c>
      <c r="Z291">
        <v>8</v>
      </c>
      <c r="AA291" s="32">
        <f t="shared" si="44"/>
        <v>0</v>
      </c>
    </row>
    <row r="292" spans="1:27" x14ac:dyDescent="0.45">
      <c r="A292">
        <v>6</v>
      </c>
      <c r="B292">
        <v>8</v>
      </c>
      <c r="C292" s="32">
        <f t="shared" si="36"/>
        <v>2</v>
      </c>
      <c r="D292">
        <v>6</v>
      </c>
      <c r="E292">
        <v>8</v>
      </c>
      <c r="F292" s="32">
        <f t="shared" si="37"/>
        <v>2</v>
      </c>
      <c r="G292">
        <v>8</v>
      </c>
      <c r="H292">
        <v>8</v>
      </c>
      <c r="I292" s="32">
        <f t="shared" si="38"/>
        <v>0</v>
      </c>
      <c r="J292">
        <v>8</v>
      </c>
      <c r="K292">
        <v>8</v>
      </c>
      <c r="L292" s="32">
        <f t="shared" si="39"/>
        <v>0</v>
      </c>
      <c r="M292">
        <v>7</v>
      </c>
      <c r="N292">
        <v>8</v>
      </c>
      <c r="O292" s="32">
        <f t="shared" si="40"/>
        <v>1</v>
      </c>
      <c r="P292">
        <v>7</v>
      </c>
      <c r="Q292">
        <v>8</v>
      </c>
      <c r="R292" s="32">
        <f t="shared" si="41"/>
        <v>1</v>
      </c>
      <c r="S292">
        <v>6</v>
      </c>
      <c r="T292">
        <v>8</v>
      </c>
      <c r="U292" s="32">
        <f t="shared" si="42"/>
        <v>2</v>
      </c>
      <c r="V292">
        <v>7</v>
      </c>
      <c r="W292">
        <v>8</v>
      </c>
      <c r="X292" s="32">
        <f t="shared" si="43"/>
        <v>1</v>
      </c>
      <c r="Y292">
        <v>8</v>
      </c>
      <c r="Z292">
        <v>8</v>
      </c>
      <c r="AA292" s="32">
        <f t="shared" si="44"/>
        <v>0</v>
      </c>
    </row>
    <row r="293" spans="1:27" x14ac:dyDescent="0.45">
      <c r="A293">
        <v>6</v>
      </c>
      <c r="B293">
        <v>8</v>
      </c>
      <c r="C293" s="32">
        <f t="shared" si="36"/>
        <v>2</v>
      </c>
      <c r="D293">
        <v>6</v>
      </c>
      <c r="E293">
        <v>8</v>
      </c>
      <c r="F293" s="32">
        <f t="shared" si="37"/>
        <v>2</v>
      </c>
      <c r="G293">
        <v>8</v>
      </c>
      <c r="H293">
        <v>8</v>
      </c>
      <c r="I293" s="32">
        <f t="shared" si="38"/>
        <v>0</v>
      </c>
      <c r="J293">
        <v>8</v>
      </c>
      <c r="K293">
        <v>8</v>
      </c>
      <c r="L293" s="32">
        <f t="shared" si="39"/>
        <v>0</v>
      </c>
      <c r="M293">
        <v>7</v>
      </c>
      <c r="N293">
        <v>8</v>
      </c>
      <c r="O293" s="32">
        <f t="shared" si="40"/>
        <v>1</v>
      </c>
      <c r="P293">
        <v>7</v>
      </c>
      <c r="Q293">
        <v>8</v>
      </c>
      <c r="R293" s="32">
        <f t="shared" si="41"/>
        <v>1</v>
      </c>
      <c r="S293">
        <v>6</v>
      </c>
      <c r="T293">
        <v>8</v>
      </c>
      <c r="U293" s="32">
        <f t="shared" si="42"/>
        <v>2</v>
      </c>
      <c r="V293">
        <v>7</v>
      </c>
      <c r="W293">
        <v>8</v>
      </c>
      <c r="X293" s="32">
        <f t="shared" si="43"/>
        <v>1</v>
      </c>
      <c r="Y293">
        <v>8</v>
      </c>
      <c r="Z293">
        <v>8</v>
      </c>
      <c r="AA293" s="32">
        <f t="shared" si="44"/>
        <v>0</v>
      </c>
    </row>
    <row r="294" spans="1:27" x14ac:dyDescent="0.45">
      <c r="A294">
        <v>6</v>
      </c>
      <c r="B294">
        <v>8</v>
      </c>
      <c r="C294" s="32">
        <f t="shared" si="36"/>
        <v>2</v>
      </c>
      <c r="D294">
        <v>6</v>
      </c>
      <c r="E294">
        <v>8</v>
      </c>
      <c r="F294" s="32">
        <f t="shared" si="37"/>
        <v>2</v>
      </c>
      <c r="G294">
        <v>8</v>
      </c>
      <c r="H294">
        <v>8</v>
      </c>
      <c r="I294" s="32">
        <f t="shared" si="38"/>
        <v>0</v>
      </c>
      <c r="J294">
        <v>8</v>
      </c>
      <c r="K294">
        <v>8</v>
      </c>
      <c r="L294" s="32">
        <f t="shared" si="39"/>
        <v>0</v>
      </c>
      <c r="M294">
        <v>7</v>
      </c>
      <c r="N294">
        <v>8</v>
      </c>
      <c r="O294" s="32">
        <f t="shared" si="40"/>
        <v>1</v>
      </c>
      <c r="P294">
        <v>7</v>
      </c>
      <c r="Q294">
        <v>8</v>
      </c>
      <c r="R294" s="32">
        <f t="shared" si="41"/>
        <v>1</v>
      </c>
      <c r="S294">
        <v>6</v>
      </c>
      <c r="T294">
        <v>8</v>
      </c>
      <c r="U294" s="32">
        <f t="shared" si="42"/>
        <v>2</v>
      </c>
      <c r="V294">
        <v>7</v>
      </c>
      <c r="W294">
        <v>8</v>
      </c>
      <c r="X294" s="32">
        <f t="shared" si="43"/>
        <v>1</v>
      </c>
      <c r="Y294">
        <v>8</v>
      </c>
      <c r="Z294">
        <v>8</v>
      </c>
      <c r="AA294" s="32">
        <f t="shared" si="44"/>
        <v>0</v>
      </c>
    </row>
    <row r="295" spans="1:27" x14ac:dyDescent="0.45">
      <c r="A295">
        <v>6</v>
      </c>
      <c r="B295">
        <v>8</v>
      </c>
      <c r="C295" s="32">
        <f t="shared" si="36"/>
        <v>2</v>
      </c>
      <c r="D295">
        <v>6</v>
      </c>
      <c r="E295">
        <v>8</v>
      </c>
      <c r="F295" s="32">
        <f t="shared" si="37"/>
        <v>2</v>
      </c>
      <c r="G295">
        <v>8</v>
      </c>
      <c r="H295">
        <v>8</v>
      </c>
      <c r="I295" s="32">
        <f t="shared" si="38"/>
        <v>0</v>
      </c>
      <c r="J295">
        <v>8</v>
      </c>
      <c r="K295">
        <v>8</v>
      </c>
      <c r="L295" s="32">
        <f t="shared" si="39"/>
        <v>0</v>
      </c>
      <c r="M295">
        <v>7</v>
      </c>
      <c r="N295">
        <v>8</v>
      </c>
      <c r="O295" s="32">
        <f t="shared" si="40"/>
        <v>1</v>
      </c>
      <c r="P295">
        <v>7</v>
      </c>
      <c r="Q295">
        <v>8</v>
      </c>
      <c r="R295" s="32">
        <f t="shared" si="41"/>
        <v>1</v>
      </c>
      <c r="S295">
        <v>6</v>
      </c>
      <c r="T295">
        <v>8</v>
      </c>
      <c r="U295" s="32">
        <f t="shared" si="42"/>
        <v>2</v>
      </c>
      <c r="V295">
        <v>7</v>
      </c>
      <c r="W295">
        <v>8</v>
      </c>
      <c r="X295" s="32">
        <f t="shared" si="43"/>
        <v>1</v>
      </c>
      <c r="Y295">
        <v>8</v>
      </c>
      <c r="Z295">
        <v>8</v>
      </c>
      <c r="AA295" s="32">
        <f t="shared" si="44"/>
        <v>0</v>
      </c>
    </row>
    <row r="296" spans="1:27" x14ac:dyDescent="0.45">
      <c r="A296">
        <v>6</v>
      </c>
      <c r="B296">
        <v>8</v>
      </c>
      <c r="C296" s="32">
        <f t="shared" si="36"/>
        <v>2</v>
      </c>
      <c r="D296">
        <v>6</v>
      </c>
      <c r="E296">
        <v>8</v>
      </c>
      <c r="F296" s="32">
        <f t="shared" si="37"/>
        <v>2</v>
      </c>
      <c r="G296">
        <v>8</v>
      </c>
      <c r="H296">
        <v>8</v>
      </c>
      <c r="I296" s="32">
        <f t="shared" si="38"/>
        <v>0</v>
      </c>
      <c r="J296">
        <v>9</v>
      </c>
      <c r="K296">
        <v>8</v>
      </c>
      <c r="L296" s="32">
        <f t="shared" si="39"/>
        <v>1</v>
      </c>
      <c r="M296">
        <v>7</v>
      </c>
      <c r="N296">
        <v>8</v>
      </c>
      <c r="O296" s="32">
        <f t="shared" si="40"/>
        <v>1</v>
      </c>
      <c r="P296">
        <v>7</v>
      </c>
      <c r="Q296">
        <v>8</v>
      </c>
      <c r="R296" s="32">
        <f t="shared" si="41"/>
        <v>1</v>
      </c>
      <c r="S296">
        <v>6</v>
      </c>
      <c r="T296">
        <v>8</v>
      </c>
      <c r="U296" s="32">
        <f t="shared" si="42"/>
        <v>2</v>
      </c>
      <c r="V296">
        <v>7</v>
      </c>
      <c r="W296">
        <v>8</v>
      </c>
      <c r="X296" s="32">
        <f t="shared" si="43"/>
        <v>1</v>
      </c>
      <c r="Y296">
        <v>8</v>
      </c>
      <c r="Z296">
        <v>8</v>
      </c>
      <c r="AA296" s="32">
        <f t="shared" si="44"/>
        <v>0</v>
      </c>
    </row>
    <row r="297" spans="1:27" x14ac:dyDescent="0.45">
      <c r="A297">
        <v>6</v>
      </c>
      <c r="B297">
        <v>8</v>
      </c>
      <c r="C297" s="32">
        <f t="shared" si="36"/>
        <v>2</v>
      </c>
      <c r="D297">
        <v>6</v>
      </c>
      <c r="E297">
        <v>8</v>
      </c>
      <c r="F297" s="32">
        <f t="shared" si="37"/>
        <v>2</v>
      </c>
      <c r="G297">
        <v>8</v>
      </c>
      <c r="H297">
        <v>8</v>
      </c>
      <c r="I297" s="32">
        <f t="shared" si="38"/>
        <v>0</v>
      </c>
      <c r="J297">
        <v>9</v>
      </c>
      <c r="K297">
        <v>8</v>
      </c>
      <c r="L297" s="32">
        <f t="shared" si="39"/>
        <v>1</v>
      </c>
      <c r="M297">
        <v>7</v>
      </c>
      <c r="N297">
        <v>8</v>
      </c>
      <c r="O297" s="32">
        <f t="shared" si="40"/>
        <v>1</v>
      </c>
      <c r="P297">
        <v>8</v>
      </c>
      <c r="Q297">
        <v>8</v>
      </c>
      <c r="R297" s="32">
        <f t="shared" si="41"/>
        <v>0</v>
      </c>
      <c r="S297">
        <v>6</v>
      </c>
      <c r="T297">
        <v>8</v>
      </c>
      <c r="U297" s="32">
        <f t="shared" si="42"/>
        <v>2</v>
      </c>
      <c r="V297">
        <v>7</v>
      </c>
      <c r="W297">
        <v>8</v>
      </c>
      <c r="X297" s="32">
        <f t="shared" si="43"/>
        <v>1</v>
      </c>
      <c r="Y297">
        <v>8</v>
      </c>
      <c r="Z297">
        <v>8</v>
      </c>
      <c r="AA297" s="32">
        <f t="shared" si="44"/>
        <v>0</v>
      </c>
    </row>
    <row r="298" spans="1:27" x14ac:dyDescent="0.45">
      <c r="A298">
        <v>6</v>
      </c>
      <c r="B298">
        <v>8</v>
      </c>
      <c r="C298" s="32">
        <f t="shared" si="36"/>
        <v>2</v>
      </c>
      <c r="D298">
        <v>6</v>
      </c>
      <c r="E298">
        <v>8</v>
      </c>
      <c r="F298" s="32">
        <f t="shared" si="37"/>
        <v>2</v>
      </c>
      <c r="G298">
        <v>8</v>
      </c>
      <c r="H298">
        <v>8</v>
      </c>
      <c r="I298" s="32">
        <f t="shared" si="38"/>
        <v>0</v>
      </c>
      <c r="J298">
        <v>9</v>
      </c>
      <c r="K298">
        <v>8</v>
      </c>
      <c r="L298" s="32">
        <f t="shared" si="39"/>
        <v>1</v>
      </c>
      <c r="M298">
        <v>7</v>
      </c>
      <c r="N298">
        <v>8</v>
      </c>
      <c r="O298" s="32">
        <f t="shared" si="40"/>
        <v>1</v>
      </c>
      <c r="P298">
        <v>8</v>
      </c>
      <c r="Q298">
        <v>8</v>
      </c>
      <c r="R298" s="32">
        <f t="shared" si="41"/>
        <v>0</v>
      </c>
      <c r="S298">
        <v>6</v>
      </c>
      <c r="T298">
        <v>8</v>
      </c>
      <c r="U298" s="32">
        <f t="shared" si="42"/>
        <v>2</v>
      </c>
      <c r="V298">
        <v>7</v>
      </c>
      <c r="W298">
        <v>8</v>
      </c>
      <c r="X298" s="32">
        <f t="shared" si="43"/>
        <v>1</v>
      </c>
      <c r="Y298">
        <v>8</v>
      </c>
      <c r="Z298">
        <v>8</v>
      </c>
      <c r="AA298" s="32">
        <f t="shared" si="44"/>
        <v>0</v>
      </c>
    </row>
    <row r="299" spans="1:27" x14ac:dyDescent="0.45">
      <c r="A299">
        <v>6</v>
      </c>
      <c r="B299">
        <v>8</v>
      </c>
      <c r="C299" s="32">
        <f t="shared" si="36"/>
        <v>2</v>
      </c>
      <c r="D299">
        <v>6</v>
      </c>
      <c r="E299">
        <v>8</v>
      </c>
      <c r="F299" s="32">
        <f t="shared" si="37"/>
        <v>2</v>
      </c>
      <c r="G299">
        <v>8</v>
      </c>
      <c r="H299">
        <v>8</v>
      </c>
      <c r="I299" s="32">
        <f t="shared" si="38"/>
        <v>0</v>
      </c>
      <c r="J299">
        <v>9</v>
      </c>
      <c r="K299">
        <v>8</v>
      </c>
      <c r="L299" s="32">
        <f t="shared" si="39"/>
        <v>1</v>
      </c>
      <c r="M299">
        <v>7</v>
      </c>
      <c r="N299">
        <v>8</v>
      </c>
      <c r="O299" s="32">
        <f t="shared" si="40"/>
        <v>1</v>
      </c>
      <c r="P299">
        <v>8</v>
      </c>
      <c r="Q299">
        <v>8</v>
      </c>
      <c r="R299" s="32">
        <f t="shared" si="41"/>
        <v>0</v>
      </c>
      <c r="S299">
        <v>6</v>
      </c>
      <c r="T299">
        <v>8</v>
      </c>
      <c r="U299" s="32">
        <f t="shared" si="42"/>
        <v>2</v>
      </c>
      <c r="V299">
        <v>7</v>
      </c>
      <c r="W299">
        <v>8</v>
      </c>
      <c r="X299" s="32">
        <f t="shared" si="43"/>
        <v>1</v>
      </c>
      <c r="Y299">
        <v>8</v>
      </c>
      <c r="Z299">
        <v>8</v>
      </c>
      <c r="AA299" s="32">
        <f t="shared" si="44"/>
        <v>0</v>
      </c>
    </row>
    <row r="300" spans="1:27" x14ac:dyDescent="0.45">
      <c r="A300">
        <v>6</v>
      </c>
      <c r="B300">
        <v>8</v>
      </c>
      <c r="C300" s="32">
        <f t="shared" si="36"/>
        <v>2</v>
      </c>
      <c r="D300">
        <v>6</v>
      </c>
      <c r="E300">
        <v>8</v>
      </c>
      <c r="F300" s="32">
        <f t="shared" si="37"/>
        <v>2</v>
      </c>
      <c r="G300">
        <v>8</v>
      </c>
      <c r="H300">
        <v>8</v>
      </c>
      <c r="I300" s="32">
        <f t="shared" si="38"/>
        <v>0</v>
      </c>
      <c r="J300">
        <v>9</v>
      </c>
      <c r="K300">
        <v>8</v>
      </c>
      <c r="L300" s="32">
        <f t="shared" si="39"/>
        <v>1</v>
      </c>
      <c r="M300">
        <v>7</v>
      </c>
      <c r="N300">
        <v>8</v>
      </c>
      <c r="O300" s="32">
        <f t="shared" si="40"/>
        <v>1</v>
      </c>
      <c r="P300">
        <v>8</v>
      </c>
      <c r="Q300">
        <v>8</v>
      </c>
      <c r="R300" s="32">
        <f t="shared" si="41"/>
        <v>0</v>
      </c>
      <c r="S300">
        <v>6</v>
      </c>
      <c r="T300">
        <v>8</v>
      </c>
      <c r="U300" s="32">
        <f t="shared" si="42"/>
        <v>2</v>
      </c>
      <c r="V300">
        <v>7</v>
      </c>
      <c r="W300">
        <v>8</v>
      </c>
      <c r="X300" s="32">
        <f t="shared" si="43"/>
        <v>1</v>
      </c>
      <c r="Y300">
        <v>8</v>
      </c>
      <c r="Z300">
        <v>8</v>
      </c>
      <c r="AA300" s="32">
        <f t="shared" si="44"/>
        <v>0</v>
      </c>
    </row>
    <row r="301" spans="1:27" x14ac:dyDescent="0.45">
      <c r="A301">
        <v>6</v>
      </c>
      <c r="B301">
        <v>8</v>
      </c>
      <c r="C301" s="32">
        <f t="shared" si="36"/>
        <v>2</v>
      </c>
      <c r="D301">
        <v>6</v>
      </c>
      <c r="E301">
        <v>8</v>
      </c>
      <c r="F301" s="32">
        <f t="shared" si="37"/>
        <v>2</v>
      </c>
      <c r="G301">
        <v>8</v>
      </c>
      <c r="H301">
        <v>8</v>
      </c>
      <c r="I301" s="32">
        <f t="shared" si="38"/>
        <v>0</v>
      </c>
      <c r="J301">
        <v>9</v>
      </c>
      <c r="K301">
        <v>8</v>
      </c>
      <c r="L301" s="32">
        <f t="shared" si="39"/>
        <v>1</v>
      </c>
      <c r="M301">
        <v>7</v>
      </c>
      <c r="N301">
        <v>8</v>
      </c>
      <c r="O301" s="32">
        <f t="shared" si="40"/>
        <v>1</v>
      </c>
      <c r="P301">
        <v>8</v>
      </c>
      <c r="Q301">
        <v>8</v>
      </c>
      <c r="R301" s="32">
        <f t="shared" si="41"/>
        <v>0</v>
      </c>
      <c r="S301">
        <v>6</v>
      </c>
      <c r="T301">
        <v>8</v>
      </c>
      <c r="U301" s="32">
        <f t="shared" si="42"/>
        <v>2</v>
      </c>
      <c r="V301">
        <v>7</v>
      </c>
      <c r="W301">
        <v>8</v>
      </c>
      <c r="X301" s="32">
        <f t="shared" si="43"/>
        <v>1</v>
      </c>
      <c r="Y301">
        <v>8</v>
      </c>
      <c r="Z301">
        <v>8</v>
      </c>
      <c r="AA301" s="32">
        <f t="shared" si="44"/>
        <v>0</v>
      </c>
    </row>
    <row r="302" spans="1:27" x14ac:dyDescent="0.45">
      <c r="A302">
        <v>6</v>
      </c>
      <c r="B302">
        <v>8</v>
      </c>
      <c r="C302" s="32">
        <f t="shared" si="36"/>
        <v>2</v>
      </c>
      <c r="D302">
        <v>6</v>
      </c>
      <c r="E302">
        <v>8</v>
      </c>
      <c r="F302" s="32">
        <f t="shared" si="37"/>
        <v>2</v>
      </c>
      <c r="G302">
        <v>8</v>
      </c>
      <c r="H302">
        <v>8</v>
      </c>
      <c r="I302" s="32">
        <f t="shared" si="38"/>
        <v>0</v>
      </c>
      <c r="J302">
        <v>9</v>
      </c>
      <c r="K302">
        <v>8</v>
      </c>
      <c r="L302" s="32">
        <f t="shared" si="39"/>
        <v>1</v>
      </c>
      <c r="M302">
        <v>7</v>
      </c>
      <c r="N302">
        <v>8</v>
      </c>
      <c r="O302" s="32">
        <f t="shared" si="40"/>
        <v>1</v>
      </c>
      <c r="P302">
        <v>8</v>
      </c>
      <c r="Q302">
        <v>8</v>
      </c>
      <c r="R302" s="32">
        <f t="shared" si="41"/>
        <v>0</v>
      </c>
      <c r="S302">
        <v>6</v>
      </c>
      <c r="T302">
        <v>8</v>
      </c>
      <c r="U302" s="32">
        <f t="shared" si="42"/>
        <v>2</v>
      </c>
      <c r="V302">
        <v>7</v>
      </c>
      <c r="W302">
        <v>8</v>
      </c>
      <c r="X302" s="32">
        <f t="shared" si="43"/>
        <v>1</v>
      </c>
      <c r="Y302">
        <v>8</v>
      </c>
      <c r="Z302">
        <v>8</v>
      </c>
      <c r="AA302" s="32">
        <f t="shared" si="44"/>
        <v>0</v>
      </c>
    </row>
    <row r="303" spans="1:27" x14ac:dyDescent="0.45">
      <c r="A303">
        <v>6</v>
      </c>
      <c r="B303">
        <v>8</v>
      </c>
      <c r="C303" s="32">
        <f t="shared" si="36"/>
        <v>2</v>
      </c>
      <c r="D303">
        <v>6</v>
      </c>
      <c r="E303">
        <v>8</v>
      </c>
      <c r="F303" s="32">
        <f t="shared" si="37"/>
        <v>2</v>
      </c>
      <c r="G303">
        <v>8</v>
      </c>
      <c r="H303">
        <v>8</v>
      </c>
      <c r="I303" s="32">
        <f t="shared" si="38"/>
        <v>0</v>
      </c>
      <c r="J303">
        <v>9</v>
      </c>
      <c r="K303">
        <v>9</v>
      </c>
      <c r="L303" s="32">
        <f t="shared" si="39"/>
        <v>0</v>
      </c>
      <c r="M303">
        <v>7</v>
      </c>
      <c r="N303">
        <v>8</v>
      </c>
      <c r="O303" s="32">
        <f t="shared" si="40"/>
        <v>1</v>
      </c>
      <c r="P303">
        <v>8</v>
      </c>
      <c r="Q303">
        <v>8</v>
      </c>
      <c r="R303" s="32">
        <f t="shared" si="41"/>
        <v>0</v>
      </c>
      <c r="S303">
        <v>6</v>
      </c>
      <c r="T303">
        <v>8</v>
      </c>
      <c r="U303" s="32">
        <f t="shared" si="42"/>
        <v>2</v>
      </c>
      <c r="V303">
        <v>7</v>
      </c>
      <c r="W303">
        <v>8</v>
      </c>
      <c r="X303" s="32">
        <f t="shared" si="43"/>
        <v>1</v>
      </c>
      <c r="Y303">
        <v>8</v>
      </c>
      <c r="Z303">
        <v>8</v>
      </c>
      <c r="AA303" s="32">
        <f t="shared" si="44"/>
        <v>0</v>
      </c>
    </row>
    <row r="304" spans="1:27" x14ac:dyDescent="0.45">
      <c r="A304">
        <v>6</v>
      </c>
      <c r="B304">
        <v>8</v>
      </c>
      <c r="C304" s="32">
        <f t="shared" si="36"/>
        <v>2</v>
      </c>
      <c r="D304">
        <v>6</v>
      </c>
      <c r="E304">
        <v>9</v>
      </c>
      <c r="F304" s="32">
        <f t="shared" si="37"/>
        <v>3</v>
      </c>
      <c r="G304">
        <v>8</v>
      </c>
      <c r="H304">
        <v>8</v>
      </c>
      <c r="I304" s="32">
        <f t="shared" si="38"/>
        <v>0</v>
      </c>
      <c r="J304">
        <v>9</v>
      </c>
      <c r="K304">
        <v>9</v>
      </c>
      <c r="L304" s="32">
        <f t="shared" si="39"/>
        <v>0</v>
      </c>
      <c r="M304">
        <v>7</v>
      </c>
      <c r="N304">
        <v>8</v>
      </c>
      <c r="O304" s="32">
        <f t="shared" si="40"/>
        <v>1</v>
      </c>
      <c r="P304">
        <v>8</v>
      </c>
      <c r="Q304">
        <v>8</v>
      </c>
      <c r="R304" s="32">
        <f t="shared" si="41"/>
        <v>0</v>
      </c>
      <c r="S304">
        <v>6</v>
      </c>
      <c r="T304">
        <v>8</v>
      </c>
      <c r="U304" s="32">
        <f t="shared" si="42"/>
        <v>2</v>
      </c>
      <c r="V304">
        <v>7</v>
      </c>
      <c r="W304">
        <v>8</v>
      </c>
      <c r="X304" s="32">
        <f t="shared" si="43"/>
        <v>1</v>
      </c>
      <c r="Y304">
        <v>8</v>
      </c>
      <c r="Z304">
        <v>8</v>
      </c>
      <c r="AA304" s="32">
        <f t="shared" si="44"/>
        <v>0</v>
      </c>
    </row>
    <row r="305" spans="1:27" x14ac:dyDescent="0.45">
      <c r="A305">
        <v>6</v>
      </c>
      <c r="B305">
        <v>8</v>
      </c>
      <c r="C305" s="32">
        <f t="shared" si="36"/>
        <v>2</v>
      </c>
      <c r="D305">
        <v>6</v>
      </c>
      <c r="E305">
        <v>9</v>
      </c>
      <c r="F305" s="32">
        <f t="shared" si="37"/>
        <v>3</v>
      </c>
      <c r="G305">
        <v>8</v>
      </c>
      <c r="H305">
        <v>8</v>
      </c>
      <c r="I305" s="32">
        <f t="shared" si="38"/>
        <v>0</v>
      </c>
      <c r="J305">
        <v>9</v>
      </c>
      <c r="K305">
        <v>9</v>
      </c>
      <c r="L305" s="32">
        <f t="shared" si="39"/>
        <v>0</v>
      </c>
      <c r="M305">
        <v>7</v>
      </c>
      <c r="N305">
        <v>8</v>
      </c>
      <c r="O305" s="32">
        <f t="shared" si="40"/>
        <v>1</v>
      </c>
      <c r="P305">
        <v>8</v>
      </c>
      <c r="Q305">
        <v>8</v>
      </c>
      <c r="R305" s="32">
        <f t="shared" si="41"/>
        <v>0</v>
      </c>
      <c r="S305">
        <v>6</v>
      </c>
      <c r="T305">
        <v>8</v>
      </c>
      <c r="U305" s="32">
        <f t="shared" si="42"/>
        <v>2</v>
      </c>
      <c r="V305">
        <v>7</v>
      </c>
      <c r="W305">
        <v>8</v>
      </c>
      <c r="X305" s="32">
        <f t="shared" si="43"/>
        <v>1</v>
      </c>
      <c r="Y305">
        <v>8</v>
      </c>
      <c r="Z305">
        <v>8</v>
      </c>
      <c r="AA305" s="32">
        <f t="shared" si="44"/>
        <v>0</v>
      </c>
    </row>
    <row r="306" spans="1:27" x14ac:dyDescent="0.45">
      <c r="A306">
        <v>6</v>
      </c>
      <c r="B306">
        <v>8</v>
      </c>
      <c r="C306" s="32">
        <f t="shared" si="36"/>
        <v>2</v>
      </c>
      <c r="D306">
        <v>6</v>
      </c>
      <c r="E306">
        <v>9</v>
      </c>
      <c r="F306" s="32">
        <f t="shared" si="37"/>
        <v>3</v>
      </c>
      <c r="G306">
        <v>8</v>
      </c>
      <c r="H306">
        <v>8</v>
      </c>
      <c r="I306" s="32">
        <f t="shared" si="38"/>
        <v>0</v>
      </c>
      <c r="J306">
        <v>9</v>
      </c>
      <c r="K306">
        <v>9</v>
      </c>
      <c r="L306" s="32">
        <f t="shared" si="39"/>
        <v>0</v>
      </c>
      <c r="M306">
        <v>7</v>
      </c>
      <c r="N306">
        <v>8</v>
      </c>
      <c r="O306" s="32">
        <f t="shared" si="40"/>
        <v>1</v>
      </c>
      <c r="P306">
        <v>8</v>
      </c>
      <c r="Q306">
        <v>8</v>
      </c>
      <c r="R306" s="32">
        <f t="shared" si="41"/>
        <v>0</v>
      </c>
      <c r="S306">
        <v>6</v>
      </c>
      <c r="T306">
        <v>8</v>
      </c>
      <c r="U306" s="32">
        <f t="shared" si="42"/>
        <v>2</v>
      </c>
      <c r="V306">
        <v>7</v>
      </c>
      <c r="W306">
        <v>8</v>
      </c>
      <c r="X306" s="32">
        <f t="shared" si="43"/>
        <v>1</v>
      </c>
      <c r="Y306">
        <v>8</v>
      </c>
      <c r="Z306">
        <v>8</v>
      </c>
      <c r="AA306" s="32">
        <f t="shared" si="44"/>
        <v>0</v>
      </c>
    </row>
    <row r="307" spans="1:27" x14ac:dyDescent="0.45">
      <c r="A307">
        <v>6</v>
      </c>
      <c r="B307">
        <v>8</v>
      </c>
      <c r="C307" s="32">
        <f t="shared" si="36"/>
        <v>2</v>
      </c>
      <c r="D307">
        <v>6</v>
      </c>
      <c r="E307">
        <v>9</v>
      </c>
      <c r="F307" s="32">
        <f t="shared" si="37"/>
        <v>3</v>
      </c>
      <c r="G307">
        <v>8</v>
      </c>
      <c r="H307">
        <v>8</v>
      </c>
      <c r="I307" s="32">
        <f t="shared" si="38"/>
        <v>0</v>
      </c>
      <c r="J307">
        <v>9</v>
      </c>
      <c r="K307">
        <v>9</v>
      </c>
      <c r="L307" s="32">
        <f t="shared" si="39"/>
        <v>0</v>
      </c>
      <c r="M307">
        <v>7</v>
      </c>
      <c r="N307">
        <v>8</v>
      </c>
      <c r="O307" s="32">
        <f t="shared" si="40"/>
        <v>1</v>
      </c>
      <c r="P307">
        <v>8</v>
      </c>
      <c r="Q307">
        <v>8</v>
      </c>
      <c r="R307" s="32">
        <f t="shared" si="41"/>
        <v>0</v>
      </c>
      <c r="S307">
        <v>6</v>
      </c>
      <c r="T307">
        <v>8</v>
      </c>
      <c r="U307" s="32">
        <f t="shared" si="42"/>
        <v>2</v>
      </c>
      <c r="V307">
        <v>7</v>
      </c>
      <c r="W307">
        <v>8</v>
      </c>
      <c r="X307" s="32">
        <f t="shared" si="43"/>
        <v>1</v>
      </c>
      <c r="Y307">
        <v>8</v>
      </c>
      <c r="Z307">
        <v>8</v>
      </c>
      <c r="AA307" s="32">
        <f t="shared" si="44"/>
        <v>0</v>
      </c>
    </row>
    <row r="308" spans="1:27" x14ac:dyDescent="0.45">
      <c r="A308">
        <v>6</v>
      </c>
      <c r="B308">
        <v>8</v>
      </c>
      <c r="C308" s="32">
        <f t="shared" si="36"/>
        <v>2</v>
      </c>
      <c r="D308">
        <v>6</v>
      </c>
      <c r="E308">
        <v>9</v>
      </c>
      <c r="F308" s="32">
        <f t="shared" si="37"/>
        <v>3</v>
      </c>
      <c r="G308">
        <v>8</v>
      </c>
      <c r="H308">
        <v>8</v>
      </c>
      <c r="I308" s="32">
        <f t="shared" si="38"/>
        <v>0</v>
      </c>
      <c r="J308">
        <v>9</v>
      </c>
      <c r="K308">
        <v>9</v>
      </c>
      <c r="L308" s="32">
        <f t="shared" si="39"/>
        <v>0</v>
      </c>
      <c r="M308">
        <v>7</v>
      </c>
      <c r="N308">
        <v>8</v>
      </c>
      <c r="O308" s="32">
        <f t="shared" si="40"/>
        <v>1</v>
      </c>
      <c r="P308">
        <v>8</v>
      </c>
      <c r="Q308">
        <v>8</v>
      </c>
      <c r="R308" s="32">
        <f t="shared" si="41"/>
        <v>0</v>
      </c>
      <c r="S308">
        <v>6</v>
      </c>
      <c r="T308">
        <v>8</v>
      </c>
      <c r="U308" s="32">
        <f t="shared" si="42"/>
        <v>2</v>
      </c>
      <c r="V308">
        <v>7</v>
      </c>
      <c r="W308">
        <v>8</v>
      </c>
      <c r="X308" s="32">
        <f t="shared" si="43"/>
        <v>1</v>
      </c>
      <c r="Y308">
        <v>8</v>
      </c>
      <c r="Z308">
        <v>8</v>
      </c>
      <c r="AA308" s="32">
        <f t="shared" si="44"/>
        <v>0</v>
      </c>
    </row>
    <row r="309" spans="1:27" x14ac:dyDescent="0.45">
      <c r="A309">
        <v>6</v>
      </c>
      <c r="B309">
        <v>8</v>
      </c>
      <c r="C309" s="32">
        <f t="shared" si="36"/>
        <v>2</v>
      </c>
      <c r="D309">
        <v>6</v>
      </c>
      <c r="E309">
        <v>9</v>
      </c>
      <c r="F309" s="32">
        <f t="shared" si="37"/>
        <v>3</v>
      </c>
      <c r="G309">
        <v>8</v>
      </c>
      <c r="H309">
        <v>8</v>
      </c>
      <c r="I309" s="32">
        <f t="shared" si="38"/>
        <v>0</v>
      </c>
      <c r="J309">
        <v>9</v>
      </c>
      <c r="K309">
        <v>9</v>
      </c>
      <c r="L309" s="32">
        <f t="shared" si="39"/>
        <v>0</v>
      </c>
      <c r="M309">
        <v>7</v>
      </c>
      <c r="N309">
        <v>8</v>
      </c>
      <c r="O309" s="32">
        <f t="shared" si="40"/>
        <v>1</v>
      </c>
      <c r="P309">
        <v>8</v>
      </c>
      <c r="Q309">
        <v>8</v>
      </c>
      <c r="R309" s="32">
        <f t="shared" si="41"/>
        <v>0</v>
      </c>
      <c r="S309">
        <v>6</v>
      </c>
      <c r="T309">
        <v>8</v>
      </c>
      <c r="U309" s="32">
        <f t="shared" si="42"/>
        <v>2</v>
      </c>
      <c r="V309">
        <v>7</v>
      </c>
      <c r="W309">
        <v>8</v>
      </c>
      <c r="X309" s="32">
        <f t="shared" si="43"/>
        <v>1</v>
      </c>
      <c r="Y309">
        <v>8</v>
      </c>
      <c r="Z309">
        <v>8</v>
      </c>
      <c r="AA309" s="32">
        <f t="shared" si="44"/>
        <v>0</v>
      </c>
    </row>
    <row r="310" spans="1:27" x14ac:dyDescent="0.45">
      <c r="A310">
        <v>6</v>
      </c>
      <c r="B310">
        <v>8</v>
      </c>
      <c r="C310" s="32">
        <f t="shared" si="36"/>
        <v>2</v>
      </c>
      <c r="D310">
        <v>6</v>
      </c>
      <c r="E310">
        <v>9</v>
      </c>
      <c r="F310" s="32">
        <f t="shared" si="37"/>
        <v>3</v>
      </c>
      <c r="G310">
        <v>8</v>
      </c>
      <c r="H310">
        <v>8</v>
      </c>
      <c r="I310" s="32">
        <f t="shared" si="38"/>
        <v>0</v>
      </c>
      <c r="J310">
        <v>9</v>
      </c>
      <c r="K310">
        <v>9</v>
      </c>
      <c r="L310" s="32">
        <f t="shared" si="39"/>
        <v>0</v>
      </c>
      <c r="M310">
        <v>7</v>
      </c>
      <c r="N310">
        <v>8</v>
      </c>
      <c r="O310" s="32">
        <f t="shared" si="40"/>
        <v>1</v>
      </c>
      <c r="P310">
        <v>8</v>
      </c>
      <c r="Q310">
        <v>8</v>
      </c>
      <c r="R310" s="32">
        <f t="shared" si="41"/>
        <v>0</v>
      </c>
      <c r="S310">
        <v>6</v>
      </c>
      <c r="T310">
        <v>8</v>
      </c>
      <c r="U310" s="32">
        <f t="shared" si="42"/>
        <v>2</v>
      </c>
      <c r="V310">
        <v>7</v>
      </c>
      <c r="W310">
        <v>8</v>
      </c>
      <c r="X310" s="32">
        <f t="shared" si="43"/>
        <v>1</v>
      </c>
      <c r="Y310">
        <v>8</v>
      </c>
      <c r="Z310">
        <v>8</v>
      </c>
      <c r="AA310" s="32">
        <f t="shared" si="44"/>
        <v>0</v>
      </c>
    </row>
    <row r="311" spans="1:27" x14ac:dyDescent="0.45">
      <c r="A311">
        <v>6</v>
      </c>
      <c r="B311">
        <v>8</v>
      </c>
      <c r="C311" s="32">
        <f t="shared" si="36"/>
        <v>2</v>
      </c>
      <c r="D311">
        <v>6</v>
      </c>
      <c r="E311">
        <v>9</v>
      </c>
      <c r="F311" s="32">
        <f t="shared" si="37"/>
        <v>3</v>
      </c>
      <c r="G311">
        <v>8</v>
      </c>
      <c r="H311">
        <v>8</v>
      </c>
      <c r="I311" s="32">
        <f t="shared" si="38"/>
        <v>0</v>
      </c>
      <c r="J311">
        <v>9</v>
      </c>
      <c r="K311">
        <v>9</v>
      </c>
      <c r="L311" s="32">
        <f t="shared" si="39"/>
        <v>0</v>
      </c>
      <c r="M311">
        <v>7</v>
      </c>
      <c r="N311">
        <v>8</v>
      </c>
      <c r="O311" s="32">
        <f t="shared" si="40"/>
        <v>1</v>
      </c>
      <c r="P311">
        <v>8</v>
      </c>
      <c r="Q311">
        <v>8</v>
      </c>
      <c r="R311" s="32">
        <f t="shared" si="41"/>
        <v>0</v>
      </c>
      <c r="S311">
        <v>6</v>
      </c>
      <c r="T311">
        <v>8</v>
      </c>
      <c r="U311" s="32">
        <f t="shared" si="42"/>
        <v>2</v>
      </c>
      <c r="V311">
        <v>7</v>
      </c>
      <c r="W311">
        <v>8</v>
      </c>
      <c r="X311" s="32">
        <f t="shared" si="43"/>
        <v>1</v>
      </c>
      <c r="Y311">
        <v>8</v>
      </c>
      <c r="Z311">
        <v>8</v>
      </c>
      <c r="AA311" s="32">
        <f t="shared" si="44"/>
        <v>0</v>
      </c>
    </row>
    <row r="312" spans="1:27" x14ac:dyDescent="0.45">
      <c r="A312">
        <v>6</v>
      </c>
      <c r="B312">
        <v>8</v>
      </c>
      <c r="C312" s="32">
        <f t="shared" si="36"/>
        <v>2</v>
      </c>
      <c r="D312">
        <v>6</v>
      </c>
      <c r="E312">
        <v>9</v>
      </c>
      <c r="F312" s="32">
        <f t="shared" si="37"/>
        <v>3</v>
      </c>
      <c r="G312">
        <v>8</v>
      </c>
      <c r="H312">
        <v>8</v>
      </c>
      <c r="I312" s="32">
        <f t="shared" si="38"/>
        <v>0</v>
      </c>
      <c r="J312">
        <v>9</v>
      </c>
      <c r="K312">
        <v>9</v>
      </c>
      <c r="L312" s="32">
        <f t="shared" si="39"/>
        <v>0</v>
      </c>
      <c r="M312">
        <v>7</v>
      </c>
      <c r="N312">
        <v>8</v>
      </c>
      <c r="O312" s="32">
        <f t="shared" si="40"/>
        <v>1</v>
      </c>
      <c r="P312">
        <v>8</v>
      </c>
      <c r="Q312">
        <v>8</v>
      </c>
      <c r="R312" s="32">
        <f t="shared" si="41"/>
        <v>0</v>
      </c>
      <c r="S312">
        <v>6</v>
      </c>
      <c r="T312">
        <v>8</v>
      </c>
      <c r="U312" s="32">
        <f t="shared" si="42"/>
        <v>2</v>
      </c>
      <c r="V312">
        <v>7</v>
      </c>
      <c r="W312">
        <v>8</v>
      </c>
      <c r="X312" s="32">
        <f t="shared" si="43"/>
        <v>1</v>
      </c>
      <c r="Y312">
        <v>8</v>
      </c>
      <c r="Z312">
        <v>8</v>
      </c>
      <c r="AA312" s="32">
        <f t="shared" si="44"/>
        <v>0</v>
      </c>
    </row>
    <row r="313" spans="1:27" x14ac:dyDescent="0.45">
      <c r="A313">
        <v>6</v>
      </c>
      <c r="B313">
        <v>8</v>
      </c>
      <c r="C313" s="32">
        <f t="shared" si="36"/>
        <v>2</v>
      </c>
      <c r="D313">
        <v>6</v>
      </c>
      <c r="E313">
        <v>9</v>
      </c>
      <c r="F313" s="32">
        <f t="shared" si="37"/>
        <v>3</v>
      </c>
      <c r="G313">
        <v>8</v>
      </c>
      <c r="H313">
        <v>8</v>
      </c>
      <c r="I313" s="32">
        <f t="shared" si="38"/>
        <v>0</v>
      </c>
      <c r="J313">
        <v>9</v>
      </c>
      <c r="K313">
        <v>9</v>
      </c>
      <c r="L313" s="32">
        <f t="shared" si="39"/>
        <v>0</v>
      </c>
      <c r="M313">
        <v>7</v>
      </c>
      <c r="N313">
        <v>8</v>
      </c>
      <c r="O313" s="32">
        <f t="shared" si="40"/>
        <v>1</v>
      </c>
      <c r="P313">
        <v>8</v>
      </c>
      <c r="Q313">
        <v>8</v>
      </c>
      <c r="R313" s="32">
        <f t="shared" si="41"/>
        <v>0</v>
      </c>
      <c r="S313">
        <v>6</v>
      </c>
      <c r="T313">
        <v>8</v>
      </c>
      <c r="U313" s="32">
        <f t="shared" si="42"/>
        <v>2</v>
      </c>
      <c r="V313">
        <v>7</v>
      </c>
      <c r="W313">
        <v>8</v>
      </c>
      <c r="X313" s="32">
        <f t="shared" si="43"/>
        <v>1</v>
      </c>
      <c r="Y313">
        <v>8</v>
      </c>
      <c r="Z313">
        <v>8</v>
      </c>
      <c r="AA313" s="32">
        <f t="shared" si="44"/>
        <v>0</v>
      </c>
    </row>
    <row r="314" spans="1:27" x14ac:dyDescent="0.45">
      <c r="A314">
        <v>6</v>
      </c>
      <c r="B314">
        <v>8</v>
      </c>
      <c r="C314" s="32">
        <f t="shared" si="36"/>
        <v>2</v>
      </c>
      <c r="D314">
        <v>6</v>
      </c>
      <c r="E314">
        <v>9</v>
      </c>
      <c r="F314" s="32">
        <f t="shared" si="37"/>
        <v>3</v>
      </c>
      <c r="G314">
        <v>8</v>
      </c>
      <c r="H314">
        <v>8</v>
      </c>
      <c r="I314" s="32">
        <f t="shared" si="38"/>
        <v>0</v>
      </c>
      <c r="J314">
        <v>9</v>
      </c>
      <c r="K314">
        <v>9</v>
      </c>
      <c r="L314" s="32">
        <f t="shared" si="39"/>
        <v>0</v>
      </c>
      <c r="M314">
        <v>7</v>
      </c>
      <c r="N314">
        <v>8</v>
      </c>
      <c r="O314" s="32">
        <f t="shared" si="40"/>
        <v>1</v>
      </c>
      <c r="P314">
        <v>8</v>
      </c>
      <c r="Q314">
        <v>8</v>
      </c>
      <c r="R314" s="32">
        <f t="shared" si="41"/>
        <v>0</v>
      </c>
      <c r="S314">
        <v>6</v>
      </c>
      <c r="T314">
        <v>8</v>
      </c>
      <c r="U314" s="32">
        <f t="shared" si="42"/>
        <v>2</v>
      </c>
      <c r="V314">
        <v>7</v>
      </c>
      <c r="W314">
        <v>8</v>
      </c>
      <c r="X314" s="32">
        <f t="shared" si="43"/>
        <v>1</v>
      </c>
      <c r="Y314">
        <v>8</v>
      </c>
      <c r="Z314">
        <v>8</v>
      </c>
      <c r="AA314" s="32">
        <f t="shared" si="44"/>
        <v>0</v>
      </c>
    </row>
    <row r="315" spans="1:27" x14ac:dyDescent="0.45">
      <c r="A315">
        <v>6</v>
      </c>
      <c r="B315">
        <v>8</v>
      </c>
      <c r="C315" s="32">
        <f t="shared" si="36"/>
        <v>2</v>
      </c>
      <c r="D315">
        <v>6</v>
      </c>
      <c r="E315">
        <v>9</v>
      </c>
      <c r="F315" s="32">
        <f t="shared" si="37"/>
        <v>3</v>
      </c>
      <c r="G315">
        <v>8</v>
      </c>
      <c r="H315">
        <v>8</v>
      </c>
      <c r="I315" s="32">
        <f t="shared" si="38"/>
        <v>0</v>
      </c>
      <c r="J315">
        <v>9</v>
      </c>
      <c r="K315">
        <v>9</v>
      </c>
      <c r="L315" s="32">
        <f t="shared" si="39"/>
        <v>0</v>
      </c>
      <c r="M315">
        <v>7</v>
      </c>
      <c r="N315">
        <v>8</v>
      </c>
      <c r="O315" s="32">
        <f t="shared" si="40"/>
        <v>1</v>
      </c>
      <c r="P315">
        <v>8</v>
      </c>
      <c r="Q315">
        <v>8</v>
      </c>
      <c r="R315" s="32">
        <f t="shared" si="41"/>
        <v>0</v>
      </c>
      <c r="S315">
        <v>6</v>
      </c>
      <c r="T315">
        <v>8</v>
      </c>
      <c r="U315" s="32">
        <f t="shared" si="42"/>
        <v>2</v>
      </c>
      <c r="V315">
        <v>7</v>
      </c>
      <c r="W315">
        <v>8</v>
      </c>
      <c r="X315" s="32">
        <f t="shared" si="43"/>
        <v>1</v>
      </c>
      <c r="Y315">
        <v>8</v>
      </c>
      <c r="Z315">
        <v>8</v>
      </c>
      <c r="AA315" s="32">
        <f t="shared" si="44"/>
        <v>0</v>
      </c>
    </row>
    <row r="316" spans="1:27" x14ac:dyDescent="0.45">
      <c r="A316">
        <v>6</v>
      </c>
      <c r="B316">
        <v>9</v>
      </c>
      <c r="C316" s="32">
        <f t="shared" si="36"/>
        <v>3</v>
      </c>
      <c r="D316">
        <v>6</v>
      </c>
      <c r="E316">
        <v>9</v>
      </c>
      <c r="F316" s="32">
        <f t="shared" si="37"/>
        <v>3</v>
      </c>
      <c r="G316">
        <v>8</v>
      </c>
      <c r="H316">
        <v>8</v>
      </c>
      <c r="I316" s="32">
        <f t="shared" si="38"/>
        <v>0</v>
      </c>
      <c r="J316">
        <v>9</v>
      </c>
      <c r="K316">
        <v>9</v>
      </c>
      <c r="L316" s="32">
        <f t="shared" si="39"/>
        <v>0</v>
      </c>
      <c r="M316">
        <v>7</v>
      </c>
      <c r="N316">
        <v>8</v>
      </c>
      <c r="O316" s="32">
        <f t="shared" si="40"/>
        <v>1</v>
      </c>
      <c r="P316">
        <v>8</v>
      </c>
      <c r="Q316">
        <v>8</v>
      </c>
      <c r="R316" s="32">
        <f t="shared" si="41"/>
        <v>0</v>
      </c>
      <c r="S316">
        <v>7</v>
      </c>
      <c r="T316">
        <v>8</v>
      </c>
      <c r="U316" s="32">
        <f t="shared" si="42"/>
        <v>1</v>
      </c>
      <c r="V316">
        <v>7</v>
      </c>
      <c r="W316">
        <v>8</v>
      </c>
      <c r="X316" s="32">
        <f t="shared" si="43"/>
        <v>1</v>
      </c>
      <c r="Y316">
        <v>8</v>
      </c>
      <c r="Z316">
        <v>8</v>
      </c>
      <c r="AA316" s="32">
        <f t="shared" si="44"/>
        <v>0</v>
      </c>
    </row>
    <row r="317" spans="1:27" x14ac:dyDescent="0.45">
      <c r="A317">
        <v>6</v>
      </c>
      <c r="B317">
        <v>9</v>
      </c>
      <c r="C317" s="32">
        <f t="shared" si="36"/>
        <v>3</v>
      </c>
      <c r="D317">
        <v>6</v>
      </c>
      <c r="E317">
        <v>9</v>
      </c>
      <c r="F317" s="32">
        <f t="shared" si="37"/>
        <v>3</v>
      </c>
      <c r="G317">
        <v>8</v>
      </c>
      <c r="H317">
        <v>8</v>
      </c>
      <c r="I317" s="32">
        <f t="shared" si="38"/>
        <v>0</v>
      </c>
      <c r="J317">
        <v>9</v>
      </c>
      <c r="K317">
        <v>9</v>
      </c>
      <c r="L317" s="32">
        <f t="shared" si="39"/>
        <v>0</v>
      </c>
      <c r="M317">
        <v>7</v>
      </c>
      <c r="N317">
        <v>8</v>
      </c>
      <c r="O317" s="32">
        <f t="shared" si="40"/>
        <v>1</v>
      </c>
      <c r="P317">
        <v>8</v>
      </c>
      <c r="Q317">
        <v>8</v>
      </c>
      <c r="R317" s="32">
        <f t="shared" si="41"/>
        <v>0</v>
      </c>
      <c r="S317">
        <v>7</v>
      </c>
      <c r="T317">
        <v>8</v>
      </c>
      <c r="U317" s="32">
        <f t="shared" si="42"/>
        <v>1</v>
      </c>
      <c r="V317">
        <v>7</v>
      </c>
      <c r="W317">
        <v>8</v>
      </c>
      <c r="X317" s="32">
        <f t="shared" si="43"/>
        <v>1</v>
      </c>
      <c r="Y317">
        <v>8</v>
      </c>
      <c r="Z317">
        <v>8</v>
      </c>
      <c r="AA317" s="32">
        <f t="shared" si="44"/>
        <v>0</v>
      </c>
    </row>
    <row r="318" spans="1:27" x14ac:dyDescent="0.45">
      <c r="A318">
        <v>6</v>
      </c>
      <c r="B318">
        <v>9</v>
      </c>
      <c r="C318" s="32">
        <f t="shared" si="36"/>
        <v>3</v>
      </c>
      <c r="D318">
        <v>6</v>
      </c>
      <c r="E318">
        <v>9</v>
      </c>
      <c r="F318" s="32">
        <f t="shared" si="37"/>
        <v>3</v>
      </c>
      <c r="G318">
        <v>8</v>
      </c>
      <c r="H318">
        <v>8</v>
      </c>
      <c r="I318" s="32">
        <f t="shared" si="38"/>
        <v>0</v>
      </c>
      <c r="J318">
        <v>9</v>
      </c>
      <c r="K318">
        <v>9</v>
      </c>
      <c r="L318" s="32">
        <f t="shared" si="39"/>
        <v>0</v>
      </c>
      <c r="M318">
        <v>7</v>
      </c>
      <c r="N318">
        <v>8</v>
      </c>
      <c r="O318" s="32">
        <f t="shared" si="40"/>
        <v>1</v>
      </c>
      <c r="P318">
        <v>8</v>
      </c>
      <c r="Q318">
        <v>8</v>
      </c>
      <c r="R318" s="32">
        <f t="shared" si="41"/>
        <v>0</v>
      </c>
      <c r="S318">
        <v>7</v>
      </c>
      <c r="T318">
        <v>8</v>
      </c>
      <c r="U318" s="32">
        <f t="shared" si="42"/>
        <v>1</v>
      </c>
      <c r="V318">
        <v>7</v>
      </c>
      <c r="W318">
        <v>8</v>
      </c>
      <c r="X318" s="32">
        <f t="shared" si="43"/>
        <v>1</v>
      </c>
      <c r="Y318">
        <v>8</v>
      </c>
      <c r="Z318">
        <v>8</v>
      </c>
      <c r="AA318" s="32">
        <f t="shared" si="44"/>
        <v>0</v>
      </c>
    </row>
    <row r="319" spans="1:27" x14ac:dyDescent="0.45">
      <c r="A319">
        <v>6</v>
      </c>
      <c r="B319">
        <v>9</v>
      </c>
      <c r="C319" s="32">
        <f t="shared" si="36"/>
        <v>3</v>
      </c>
      <c r="D319">
        <v>7</v>
      </c>
      <c r="E319">
        <v>9</v>
      </c>
      <c r="F319" s="32">
        <f t="shared" si="37"/>
        <v>2</v>
      </c>
      <c r="G319">
        <v>8</v>
      </c>
      <c r="H319">
        <v>8</v>
      </c>
      <c r="I319" s="32">
        <f t="shared" si="38"/>
        <v>0</v>
      </c>
      <c r="J319">
        <v>9</v>
      </c>
      <c r="K319">
        <v>9</v>
      </c>
      <c r="L319" s="32">
        <f t="shared" si="39"/>
        <v>0</v>
      </c>
      <c r="M319">
        <v>7</v>
      </c>
      <c r="N319">
        <v>8</v>
      </c>
      <c r="O319" s="32">
        <f t="shared" si="40"/>
        <v>1</v>
      </c>
      <c r="P319">
        <v>8</v>
      </c>
      <c r="Q319">
        <v>8</v>
      </c>
      <c r="R319" s="32">
        <f t="shared" si="41"/>
        <v>0</v>
      </c>
      <c r="S319">
        <v>7</v>
      </c>
      <c r="T319">
        <v>8</v>
      </c>
      <c r="U319" s="32">
        <f t="shared" si="42"/>
        <v>1</v>
      </c>
      <c r="V319">
        <v>7</v>
      </c>
      <c r="W319">
        <v>8</v>
      </c>
      <c r="X319" s="32">
        <f t="shared" si="43"/>
        <v>1</v>
      </c>
      <c r="Y319">
        <v>8</v>
      </c>
      <c r="Z319">
        <v>9</v>
      </c>
      <c r="AA319" s="32">
        <f t="shared" si="44"/>
        <v>1</v>
      </c>
    </row>
    <row r="320" spans="1:27" x14ac:dyDescent="0.45">
      <c r="A320">
        <v>6</v>
      </c>
      <c r="B320">
        <v>9</v>
      </c>
      <c r="C320" s="32">
        <f t="shared" si="36"/>
        <v>3</v>
      </c>
      <c r="D320">
        <v>7</v>
      </c>
      <c r="E320">
        <v>9</v>
      </c>
      <c r="F320" s="32">
        <f t="shared" si="37"/>
        <v>2</v>
      </c>
      <c r="G320">
        <v>8</v>
      </c>
      <c r="H320">
        <v>8</v>
      </c>
      <c r="I320" s="32">
        <f t="shared" si="38"/>
        <v>0</v>
      </c>
      <c r="J320">
        <v>9</v>
      </c>
      <c r="K320">
        <v>9</v>
      </c>
      <c r="L320" s="32">
        <f t="shared" si="39"/>
        <v>0</v>
      </c>
      <c r="M320">
        <v>7</v>
      </c>
      <c r="N320">
        <v>8</v>
      </c>
      <c r="O320" s="32">
        <f t="shared" si="40"/>
        <v>1</v>
      </c>
      <c r="P320">
        <v>8</v>
      </c>
      <c r="Q320">
        <v>9</v>
      </c>
      <c r="R320" s="32">
        <f t="shared" si="41"/>
        <v>1</v>
      </c>
      <c r="S320">
        <v>7</v>
      </c>
      <c r="T320">
        <v>8</v>
      </c>
      <c r="U320" s="32">
        <f t="shared" si="42"/>
        <v>1</v>
      </c>
      <c r="V320">
        <v>7</v>
      </c>
      <c r="W320">
        <v>8</v>
      </c>
      <c r="X320" s="32">
        <f t="shared" si="43"/>
        <v>1</v>
      </c>
      <c r="Y320">
        <v>8</v>
      </c>
      <c r="Z320">
        <v>9</v>
      </c>
      <c r="AA320" s="32">
        <f t="shared" si="44"/>
        <v>1</v>
      </c>
    </row>
    <row r="321" spans="1:27" x14ac:dyDescent="0.45">
      <c r="A321">
        <v>6</v>
      </c>
      <c r="B321">
        <v>9</v>
      </c>
      <c r="C321" s="32">
        <f t="shared" si="36"/>
        <v>3</v>
      </c>
      <c r="D321">
        <v>7</v>
      </c>
      <c r="E321">
        <v>9</v>
      </c>
      <c r="F321" s="32">
        <f t="shared" si="37"/>
        <v>2</v>
      </c>
      <c r="G321">
        <v>8</v>
      </c>
      <c r="H321">
        <v>8</v>
      </c>
      <c r="I321" s="32">
        <f t="shared" si="38"/>
        <v>0</v>
      </c>
      <c r="J321">
        <v>9</v>
      </c>
      <c r="K321">
        <v>9</v>
      </c>
      <c r="L321" s="32">
        <f t="shared" si="39"/>
        <v>0</v>
      </c>
      <c r="M321">
        <v>7</v>
      </c>
      <c r="N321">
        <v>8</v>
      </c>
      <c r="O321" s="32">
        <f t="shared" si="40"/>
        <v>1</v>
      </c>
      <c r="P321">
        <v>8</v>
      </c>
      <c r="Q321">
        <v>9</v>
      </c>
      <c r="R321" s="32">
        <f t="shared" si="41"/>
        <v>1</v>
      </c>
      <c r="S321">
        <v>7</v>
      </c>
      <c r="T321">
        <v>8</v>
      </c>
      <c r="U321" s="32">
        <f t="shared" si="42"/>
        <v>1</v>
      </c>
      <c r="V321">
        <v>7</v>
      </c>
      <c r="W321">
        <v>8</v>
      </c>
      <c r="X321" s="32">
        <f t="shared" si="43"/>
        <v>1</v>
      </c>
      <c r="Y321">
        <v>8</v>
      </c>
      <c r="Z321">
        <v>9</v>
      </c>
      <c r="AA321" s="32">
        <f t="shared" si="44"/>
        <v>1</v>
      </c>
    </row>
    <row r="322" spans="1:27" x14ac:dyDescent="0.45">
      <c r="A322">
        <v>6</v>
      </c>
      <c r="B322">
        <v>9</v>
      </c>
      <c r="C322" s="32">
        <f t="shared" si="36"/>
        <v>3</v>
      </c>
      <c r="D322">
        <v>7</v>
      </c>
      <c r="E322">
        <v>9</v>
      </c>
      <c r="F322" s="32">
        <f t="shared" si="37"/>
        <v>2</v>
      </c>
      <c r="G322">
        <v>8</v>
      </c>
      <c r="H322">
        <v>8</v>
      </c>
      <c r="I322" s="32">
        <f t="shared" si="38"/>
        <v>0</v>
      </c>
      <c r="J322">
        <v>9</v>
      </c>
      <c r="K322">
        <v>9</v>
      </c>
      <c r="L322" s="32">
        <f t="shared" si="39"/>
        <v>0</v>
      </c>
      <c r="M322">
        <v>7</v>
      </c>
      <c r="N322">
        <v>8</v>
      </c>
      <c r="O322" s="32">
        <f t="shared" si="40"/>
        <v>1</v>
      </c>
      <c r="P322">
        <v>8</v>
      </c>
      <c r="Q322">
        <v>9</v>
      </c>
      <c r="R322" s="32">
        <f t="shared" si="41"/>
        <v>1</v>
      </c>
      <c r="S322">
        <v>7</v>
      </c>
      <c r="T322">
        <v>8</v>
      </c>
      <c r="U322" s="32">
        <f t="shared" si="42"/>
        <v>1</v>
      </c>
      <c r="V322">
        <v>7</v>
      </c>
      <c r="W322">
        <v>8</v>
      </c>
      <c r="X322" s="32">
        <f t="shared" si="43"/>
        <v>1</v>
      </c>
      <c r="Y322">
        <v>8</v>
      </c>
      <c r="Z322">
        <v>9</v>
      </c>
      <c r="AA322" s="32">
        <f t="shared" si="44"/>
        <v>1</v>
      </c>
    </row>
    <row r="323" spans="1:27" x14ac:dyDescent="0.45">
      <c r="A323">
        <v>6</v>
      </c>
      <c r="B323">
        <v>9</v>
      </c>
      <c r="C323" s="32">
        <f t="shared" ref="C323:C386" si="45">ABS(B323-A323)</f>
        <v>3</v>
      </c>
      <c r="D323">
        <v>7</v>
      </c>
      <c r="E323">
        <v>9</v>
      </c>
      <c r="F323" s="32">
        <f t="shared" ref="F323:F386" si="46">ABS(E323-D323)</f>
        <v>2</v>
      </c>
      <c r="G323">
        <v>8</v>
      </c>
      <c r="H323">
        <v>8</v>
      </c>
      <c r="I323" s="32">
        <f t="shared" ref="I323:I386" si="47">ABS(H323-G323)</f>
        <v>0</v>
      </c>
      <c r="J323">
        <v>9</v>
      </c>
      <c r="K323">
        <v>9</v>
      </c>
      <c r="L323" s="32">
        <f t="shared" ref="L323:L386" si="48">ABS(K323-J323)</f>
        <v>0</v>
      </c>
      <c r="M323">
        <v>7</v>
      </c>
      <c r="N323">
        <v>8</v>
      </c>
      <c r="O323" s="32">
        <f t="shared" ref="O323:O386" si="49">ABS(N323-M323)</f>
        <v>1</v>
      </c>
      <c r="P323">
        <v>8</v>
      </c>
      <c r="Q323">
        <v>9</v>
      </c>
      <c r="R323" s="32">
        <f t="shared" ref="R323:R386" si="50">ABS(Q323-P323)</f>
        <v>1</v>
      </c>
      <c r="S323">
        <v>7</v>
      </c>
      <c r="T323">
        <v>8</v>
      </c>
      <c r="U323" s="32">
        <f t="shared" ref="U323:U386" si="51">ABS(T323-S323)</f>
        <v>1</v>
      </c>
      <c r="V323">
        <v>7</v>
      </c>
      <c r="W323">
        <v>8</v>
      </c>
      <c r="X323" s="32">
        <f t="shared" ref="X323:X386" si="52">ABS(W323-V323)</f>
        <v>1</v>
      </c>
      <c r="Y323">
        <v>8</v>
      </c>
      <c r="Z323">
        <v>9</v>
      </c>
      <c r="AA323" s="32">
        <f t="shared" ref="AA323:AA386" si="53">ABS(Z323-Y323)</f>
        <v>1</v>
      </c>
    </row>
    <row r="324" spans="1:27" x14ac:dyDescent="0.45">
      <c r="A324">
        <v>6</v>
      </c>
      <c r="B324">
        <v>9</v>
      </c>
      <c r="C324" s="32">
        <f t="shared" si="45"/>
        <v>3</v>
      </c>
      <c r="D324">
        <v>7</v>
      </c>
      <c r="E324">
        <v>9</v>
      </c>
      <c r="F324" s="32">
        <f t="shared" si="46"/>
        <v>2</v>
      </c>
      <c r="G324">
        <v>8</v>
      </c>
      <c r="H324">
        <v>8</v>
      </c>
      <c r="I324" s="32">
        <f t="shared" si="47"/>
        <v>0</v>
      </c>
      <c r="J324">
        <v>9</v>
      </c>
      <c r="K324">
        <v>9</v>
      </c>
      <c r="L324" s="32">
        <f t="shared" si="48"/>
        <v>0</v>
      </c>
      <c r="M324">
        <v>7</v>
      </c>
      <c r="N324">
        <v>8</v>
      </c>
      <c r="O324" s="32">
        <f t="shared" si="49"/>
        <v>1</v>
      </c>
      <c r="P324">
        <v>8</v>
      </c>
      <c r="Q324">
        <v>9</v>
      </c>
      <c r="R324" s="32">
        <f t="shared" si="50"/>
        <v>1</v>
      </c>
      <c r="S324">
        <v>7</v>
      </c>
      <c r="T324">
        <v>8</v>
      </c>
      <c r="U324" s="32">
        <f t="shared" si="51"/>
        <v>1</v>
      </c>
      <c r="V324">
        <v>7</v>
      </c>
      <c r="W324">
        <v>8</v>
      </c>
      <c r="X324" s="32">
        <f t="shared" si="52"/>
        <v>1</v>
      </c>
      <c r="Y324">
        <v>8</v>
      </c>
      <c r="Z324">
        <v>9</v>
      </c>
      <c r="AA324" s="32">
        <f t="shared" si="53"/>
        <v>1</v>
      </c>
    </row>
    <row r="325" spans="1:27" x14ac:dyDescent="0.45">
      <c r="A325">
        <v>6</v>
      </c>
      <c r="B325">
        <v>9</v>
      </c>
      <c r="C325" s="32">
        <f t="shared" si="45"/>
        <v>3</v>
      </c>
      <c r="D325">
        <v>7</v>
      </c>
      <c r="E325">
        <v>9</v>
      </c>
      <c r="F325" s="32">
        <f t="shared" si="46"/>
        <v>2</v>
      </c>
      <c r="G325">
        <v>8</v>
      </c>
      <c r="H325">
        <v>8</v>
      </c>
      <c r="I325" s="32">
        <f t="shared" si="47"/>
        <v>0</v>
      </c>
      <c r="J325">
        <v>9</v>
      </c>
      <c r="K325">
        <v>9</v>
      </c>
      <c r="L325" s="32">
        <f t="shared" si="48"/>
        <v>0</v>
      </c>
      <c r="M325">
        <v>7</v>
      </c>
      <c r="N325">
        <v>8</v>
      </c>
      <c r="O325" s="32">
        <f t="shared" si="49"/>
        <v>1</v>
      </c>
      <c r="P325">
        <v>8</v>
      </c>
      <c r="Q325">
        <v>9</v>
      </c>
      <c r="R325" s="32">
        <f t="shared" si="50"/>
        <v>1</v>
      </c>
      <c r="S325">
        <v>7</v>
      </c>
      <c r="T325">
        <v>8</v>
      </c>
      <c r="U325" s="32">
        <f t="shared" si="51"/>
        <v>1</v>
      </c>
      <c r="V325">
        <v>7</v>
      </c>
      <c r="W325">
        <v>8</v>
      </c>
      <c r="X325" s="32">
        <f t="shared" si="52"/>
        <v>1</v>
      </c>
      <c r="Y325">
        <v>8</v>
      </c>
      <c r="Z325">
        <v>9</v>
      </c>
      <c r="AA325" s="32">
        <f t="shared" si="53"/>
        <v>1</v>
      </c>
    </row>
    <row r="326" spans="1:27" x14ac:dyDescent="0.45">
      <c r="A326">
        <v>6</v>
      </c>
      <c r="B326">
        <v>9</v>
      </c>
      <c r="C326" s="32">
        <f t="shared" si="45"/>
        <v>3</v>
      </c>
      <c r="D326">
        <v>7</v>
      </c>
      <c r="E326">
        <v>9</v>
      </c>
      <c r="F326" s="32">
        <f t="shared" si="46"/>
        <v>2</v>
      </c>
      <c r="G326">
        <v>8</v>
      </c>
      <c r="H326">
        <v>8</v>
      </c>
      <c r="I326" s="32">
        <f t="shared" si="47"/>
        <v>0</v>
      </c>
      <c r="J326">
        <v>9</v>
      </c>
      <c r="K326">
        <v>9</v>
      </c>
      <c r="L326" s="32">
        <f t="shared" si="48"/>
        <v>0</v>
      </c>
      <c r="M326">
        <v>7</v>
      </c>
      <c r="N326">
        <v>8</v>
      </c>
      <c r="O326" s="32">
        <f t="shared" si="49"/>
        <v>1</v>
      </c>
      <c r="P326">
        <v>8</v>
      </c>
      <c r="Q326">
        <v>9</v>
      </c>
      <c r="R326" s="32">
        <f t="shared" si="50"/>
        <v>1</v>
      </c>
      <c r="S326">
        <v>7</v>
      </c>
      <c r="T326">
        <v>8</v>
      </c>
      <c r="U326" s="32">
        <f t="shared" si="51"/>
        <v>1</v>
      </c>
      <c r="V326">
        <v>7</v>
      </c>
      <c r="W326">
        <v>8</v>
      </c>
      <c r="X326" s="32">
        <f t="shared" si="52"/>
        <v>1</v>
      </c>
      <c r="Y326">
        <v>8</v>
      </c>
      <c r="Z326">
        <v>9</v>
      </c>
      <c r="AA326" s="32">
        <f t="shared" si="53"/>
        <v>1</v>
      </c>
    </row>
    <row r="327" spans="1:27" x14ac:dyDescent="0.45">
      <c r="A327">
        <v>6</v>
      </c>
      <c r="B327">
        <v>9</v>
      </c>
      <c r="C327" s="32">
        <f t="shared" si="45"/>
        <v>3</v>
      </c>
      <c r="D327">
        <v>7</v>
      </c>
      <c r="E327">
        <v>9</v>
      </c>
      <c r="F327" s="32">
        <f t="shared" si="46"/>
        <v>2</v>
      </c>
      <c r="G327">
        <v>8</v>
      </c>
      <c r="H327">
        <v>8</v>
      </c>
      <c r="I327" s="32">
        <f t="shared" si="47"/>
        <v>0</v>
      </c>
      <c r="J327">
        <v>9</v>
      </c>
      <c r="K327">
        <v>9</v>
      </c>
      <c r="L327" s="32">
        <f t="shared" si="48"/>
        <v>0</v>
      </c>
      <c r="M327">
        <v>7</v>
      </c>
      <c r="N327">
        <v>8</v>
      </c>
      <c r="O327" s="32">
        <f t="shared" si="49"/>
        <v>1</v>
      </c>
      <c r="P327">
        <v>8</v>
      </c>
      <c r="Q327">
        <v>9</v>
      </c>
      <c r="R327" s="32">
        <f t="shared" si="50"/>
        <v>1</v>
      </c>
      <c r="S327">
        <v>7</v>
      </c>
      <c r="T327">
        <v>8</v>
      </c>
      <c r="U327" s="32">
        <f t="shared" si="51"/>
        <v>1</v>
      </c>
      <c r="V327">
        <v>7</v>
      </c>
      <c r="W327">
        <v>8</v>
      </c>
      <c r="X327" s="32">
        <f t="shared" si="52"/>
        <v>1</v>
      </c>
      <c r="Y327">
        <v>8</v>
      </c>
      <c r="Z327">
        <v>9</v>
      </c>
      <c r="AA327" s="32">
        <f t="shared" si="53"/>
        <v>1</v>
      </c>
    </row>
    <row r="328" spans="1:27" x14ac:dyDescent="0.45">
      <c r="A328">
        <v>6</v>
      </c>
      <c r="B328">
        <v>9</v>
      </c>
      <c r="C328" s="32">
        <f t="shared" si="45"/>
        <v>3</v>
      </c>
      <c r="D328">
        <v>7</v>
      </c>
      <c r="E328">
        <v>9</v>
      </c>
      <c r="F328" s="32">
        <f t="shared" si="46"/>
        <v>2</v>
      </c>
      <c r="G328">
        <v>8</v>
      </c>
      <c r="H328">
        <v>8</v>
      </c>
      <c r="I328" s="32">
        <f t="shared" si="47"/>
        <v>0</v>
      </c>
      <c r="J328">
        <v>9</v>
      </c>
      <c r="K328">
        <v>9</v>
      </c>
      <c r="L328" s="32">
        <f t="shared" si="48"/>
        <v>0</v>
      </c>
      <c r="M328">
        <v>7</v>
      </c>
      <c r="N328">
        <v>8</v>
      </c>
      <c r="O328" s="32">
        <f t="shared" si="49"/>
        <v>1</v>
      </c>
      <c r="P328">
        <v>8</v>
      </c>
      <c r="Q328">
        <v>9</v>
      </c>
      <c r="R328" s="32">
        <f t="shared" si="50"/>
        <v>1</v>
      </c>
      <c r="S328">
        <v>7</v>
      </c>
      <c r="T328">
        <v>8</v>
      </c>
      <c r="U328" s="32">
        <f t="shared" si="51"/>
        <v>1</v>
      </c>
      <c r="V328">
        <v>7</v>
      </c>
      <c r="W328">
        <v>8</v>
      </c>
      <c r="X328" s="32">
        <f t="shared" si="52"/>
        <v>1</v>
      </c>
      <c r="Y328">
        <v>8</v>
      </c>
      <c r="Z328">
        <v>9</v>
      </c>
      <c r="AA328" s="32">
        <f t="shared" si="53"/>
        <v>1</v>
      </c>
    </row>
    <row r="329" spans="1:27" x14ac:dyDescent="0.45">
      <c r="A329">
        <v>6</v>
      </c>
      <c r="B329">
        <v>9</v>
      </c>
      <c r="C329" s="32">
        <f t="shared" si="45"/>
        <v>3</v>
      </c>
      <c r="D329">
        <v>7</v>
      </c>
      <c r="E329">
        <v>9</v>
      </c>
      <c r="F329" s="32">
        <f t="shared" si="46"/>
        <v>2</v>
      </c>
      <c r="G329">
        <v>8</v>
      </c>
      <c r="H329">
        <v>8</v>
      </c>
      <c r="I329" s="32">
        <f t="shared" si="47"/>
        <v>0</v>
      </c>
      <c r="J329">
        <v>9</v>
      </c>
      <c r="K329">
        <v>9</v>
      </c>
      <c r="L329" s="32">
        <f t="shared" si="48"/>
        <v>0</v>
      </c>
      <c r="M329">
        <v>7</v>
      </c>
      <c r="N329">
        <v>8</v>
      </c>
      <c r="O329" s="32">
        <f t="shared" si="49"/>
        <v>1</v>
      </c>
      <c r="P329">
        <v>8</v>
      </c>
      <c r="Q329">
        <v>9</v>
      </c>
      <c r="R329" s="32">
        <f t="shared" si="50"/>
        <v>1</v>
      </c>
      <c r="S329">
        <v>7</v>
      </c>
      <c r="T329">
        <v>8</v>
      </c>
      <c r="U329" s="32">
        <f t="shared" si="51"/>
        <v>1</v>
      </c>
      <c r="V329">
        <v>7</v>
      </c>
      <c r="W329">
        <v>8</v>
      </c>
      <c r="X329" s="32">
        <f t="shared" si="52"/>
        <v>1</v>
      </c>
      <c r="Y329">
        <v>8</v>
      </c>
      <c r="Z329">
        <v>9</v>
      </c>
      <c r="AA329" s="32">
        <f t="shared" si="53"/>
        <v>1</v>
      </c>
    </row>
    <row r="330" spans="1:27" x14ac:dyDescent="0.45">
      <c r="A330">
        <v>6</v>
      </c>
      <c r="B330">
        <v>9</v>
      </c>
      <c r="C330" s="32">
        <f t="shared" si="45"/>
        <v>3</v>
      </c>
      <c r="D330">
        <v>7</v>
      </c>
      <c r="E330">
        <v>9</v>
      </c>
      <c r="F330" s="32">
        <f t="shared" si="46"/>
        <v>2</v>
      </c>
      <c r="G330">
        <v>8</v>
      </c>
      <c r="H330">
        <v>8</v>
      </c>
      <c r="I330" s="32">
        <f t="shared" si="47"/>
        <v>0</v>
      </c>
      <c r="J330">
        <v>9</v>
      </c>
      <c r="K330">
        <v>9</v>
      </c>
      <c r="L330" s="32">
        <f t="shared" si="48"/>
        <v>0</v>
      </c>
      <c r="M330">
        <v>7</v>
      </c>
      <c r="N330">
        <v>8</v>
      </c>
      <c r="O330" s="32">
        <f t="shared" si="49"/>
        <v>1</v>
      </c>
      <c r="P330">
        <v>8</v>
      </c>
      <c r="Q330">
        <v>9</v>
      </c>
      <c r="R330" s="32">
        <f t="shared" si="50"/>
        <v>1</v>
      </c>
      <c r="S330">
        <v>7</v>
      </c>
      <c r="T330">
        <v>8</v>
      </c>
      <c r="U330" s="32">
        <f t="shared" si="51"/>
        <v>1</v>
      </c>
      <c r="V330">
        <v>7</v>
      </c>
      <c r="W330">
        <v>8</v>
      </c>
      <c r="X330" s="32">
        <f t="shared" si="52"/>
        <v>1</v>
      </c>
      <c r="Y330">
        <v>8</v>
      </c>
      <c r="Z330">
        <v>9</v>
      </c>
      <c r="AA330" s="32">
        <f t="shared" si="53"/>
        <v>1</v>
      </c>
    </row>
    <row r="331" spans="1:27" x14ac:dyDescent="0.45">
      <c r="A331">
        <v>6</v>
      </c>
      <c r="B331">
        <v>9</v>
      </c>
      <c r="C331" s="32">
        <f t="shared" si="45"/>
        <v>3</v>
      </c>
      <c r="D331">
        <v>7</v>
      </c>
      <c r="E331">
        <v>9</v>
      </c>
      <c r="F331" s="32">
        <f t="shared" si="46"/>
        <v>2</v>
      </c>
      <c r="G331">
        <v>8</v>
      </c>
      <c r="H331">
        <v>8</v>
      </c>
      <c r="I331" s="32">
        <f t="shared" si="47"/>
        <v>0</v>
      </c>
      <c r="J331">
        <v>9</v>
      </c>
      <c r="K331">
        <v>9</v>
      </c>
      <c r="L331" s="32">
        <f t="shared" si="48"/>
        <v>0</v>
      </c>
      <c r="M331">
        <v>7</v>
      </c>
      <c r="N331">
        <v>8</v>
      </c>
      <c r="O331" s="32">
        <f t="shared" si="49"/>
        <v>1</v>
      </c>
      <c r="P331">
        <v>8</v>
      </c>
      <c r="Q331">
        <v>9</v>
      </c>
      <c r="R331" s="32">
        <f t="shared" si="50"/>
        <v>1</v>
      </c>
      <c r="S331">
        <v>7</v>
      </c>
      <c r="T331">
        <v>8</v>
      </c>
      <c r="U331" s="32">
        <f t="shared" si="51"/>
        <v>1</v>
      </c>
      <c r="V331">
        <v>7</v>
      </c>
      <c r="W331">
        <v>8</v>
      </c>
      <c r="X331" s="32">
        <f t="shared" si="52"/>
        <v>1</v>
      </c>
      <c r="Y331">
        <v>8</v>
      </c>
      <c r="Z331">
        <v>9</v>
      </c>
      <c r="AA331" s="32">
        <f t="shared" si="53"/>
        <v>1</v>
      </c>
    </row>
    <row r="332" spans="1:27" x14ac:dyDescent="0.45">
      <c r="A332">
        <v>6</v>
      </c>
      <c r="B332">
        <v>9</v>
      </c>
      <c r="C332" s="32">
        <f t="shared" si="45"/>
        <v>3</v>
      </c>
      <c r="D332">
        <v>7</v>
      </c>
      <c r="E332">
        <v>9</v>
      </c>
      <c r="F332" s="32">
        <f t="shared" si="46"/>
        <v>2</v>
      </c>
      <c r="G332">
        <v>8</v>
      </c>
      <c r="H332">
        <v>8</v>
      </c>
      <c r="I332" s="32">
        <f t="shared" si="47"/>
        <v>0</v>
      </c>
      <c r="J332">
        <v>9</v>
      </c>
      <c r="K332">
        <v>9</v>
      </c>
      <c r="L332" s="32">
        <f t="shared" si="48"/>
        <v>0</v>
      </c>
      <c r="M332">
        <v>7</v>
      </c>
      <c r="N332">
        <v>8</v>
      </c>
      <c r="O332" s="32">
        <f t="shared" si="49"/>
        <v>1</v>
      </c>
      <c r="P332">
        <v>8</v>
      </c>
      <c r="Q332">
        <v>9</v>
      </c>
      <c r="R332" s="32">
        <f t="shared" si="50"/>
        <v>1</v>
      </c>
      <c r="S332">
        <v>7</v>
      </c>
      <c r="T332">
        <v>8</v>
      </c>
      <c r="U332" s="32">
        <f t="shared" si="51"/>
        <v>1</v>
      </c>
      <c r="V332">
        <v>7</v>
      </c>
      <c r="W332">
        <v>8</v>
      </c>
      <c r="X332" s="32">
        <f t="shared" si="52"/>
        <v>1</v>
      </c>
      <c r="Y332">
        <v>8</v>
      </c>
      <c r="Z332">
        <v>9</v>
      </c>
      <c r="AA332" s="32">
        <f t="shared" si="53"/>
        <v>1</v>
      </c>
    </row>
    <row r="333" spans="1:27" x14ac:dyDescent="0.45">
      <c r="A333">
        <v>6</v>
      </c>
      <c r="B333">
        <v>9</v>
      </c>
      <c r="C333" s="32">
        <f t="shared" si="45"/>
        <v>3</v>
      </c>
      <c r="D333">
        <v>7</v>
      </c>
      <c r="E333">
        <v>9</v>
      </c>
      <c r="F333" s="32">
        <f t="shared" si="46"/>
        <v>2</v>
      </c>
      <c r="G333">
        <v>8</v>
      </c>
      <c r="H333">
        <v>9</v>
      </c>
      <c r="I333" s="32">
        <f t="shared" si="47"/>
        <v>1</v>
      </c>
      <c r="J333">
        <v>9</v>
      </c>
      <c r="K333">
        <v>9</v>
      </c>
      <c r="L333" s="32">
        <f t="shared" si="48"/>
        <v>0</v>
      </c>
      <c r="M333">
        <v>7</v>
      </c>
      <c r="N333">
        <v>9</v>
      </c>
      <c r="O333" s="32">
        <f t="shared" si="49"/>
        <v>2</v>
      </c>
      <c r="P333">
        <v>8</v>
      </c>
      <c r="Q333">
        <v>9</v>
      </c>
      <c r="R333" s="32">
        <f t="shared" si="50"/>
        <v>1</v>
      </c>
      <c r="S333">
        <v>7</v>
      </c>
      <c r="T333">
        <v>8</v>
      </c>
      <c r="U333" s="32">
        <f t="shared" si="51"/>
        <v>1</v>
      </c>
      <c r="V333">
        <v>7</v>
      </c>
      <c r="W333">
        <v>8</v>
      </c>
      <c r="X333" s="32">
        <f t="shared" si="52"/>
        <v>1</v>
      </c>
      <c r="Y333">
        <v>8</v>
      </c>
      <c r="Z333">
        <v>9</v>
      </c>
      <c r="AA333" s="32">
        <f t="shared" si="53"/>
        <v>1</v>
      </c>
    </row>
    <row r="334" spans="1:27" x14ac:dyDescent="0.45">
      <c r="A334">
        <v>6</v>
      </c>
      <c r="B334">
        <v>9</v>
      </c>
      <c r="C334" s="32">
        <f t="shared" si="45"/>
        <v>3</v>
      </c>
      <c r="D334">
        <v>7</v>
      </c>
      <c r="E334">
        <v>9</v>
      </c>
      <c r="F334" s="32">
        <f t="shared" si="46"/>
        <v>2</v>
      </c>
      <c r="G334">
        <v>8</v>
      </c>
      <c r="H334">
        <v>9</v>
      </c>
      <c r="I334" s="32">
        <f t="shared" si="47"/>
        <v>1</v>
      </c>
      <c r="J334">
        <v>9</v>
      </c>
      <c r="K334">
        <v>9</v>
      </c>
      <c r="L334" s="32">
        <f t="shared" si="48"/>
        <v>0</v>
      </c>
      <c r="M334">
        <v>7</v>
      </c>
      <c r="N334">
        <v>9</v>
      </c>
      <c r="O334" s="32">
        <f t="shared" si="49"/>
        <v>2</v>
      </c>
      <c r="P334">
        <v>8</v>
      </c>
      <c r="Q334">
        <v>9</v>
      </c>
      <c r="R334" s="32">
        <f t="shared" si="50"/>
        <v>1</v>
      </c>
      <c r="S334">
        <v>7</v>
      </c>
      <c r="T334">
        <v>8</v>
      </c>
      <c r="U334" s="32">
        <f t="shared" si="51"/>
        <v>1</v>
      </c>
      <c r="V334">
        <v>7</v>
      </c>
      <c r="W334">
        <v>8</v>
      </c>
      <c r="X334" s="32">
        <f t="shared" si="52"/>
        <v>1</v>
      </c>
      <c r="Y334">
        <v>8</v>
      </c>
      <c r="Z334">
        <v>9</v>
      </c>
      <c r="AA334" s="32">
        <f t="shared" si="53"/>
        <v>1</v>
      </c>
    </row>
    <row r="335" spans="1:27" x14ac:dyDescent="0.45">
      <c r="A335">
        <v>6</v>
      </c>
      <c r="B335">
        <v>9</v>
      </c>
      <c r="C335" s="32">
        <f t="shared" si="45"/>
        <v>3</v>
      </c>
      <c r="D335">
        <v>7</v>
      </c>
      <c r="E335">
        <v>9</v>
      </c>
      <c r="F335" s="32">
        <f t="shared" si="46"/>
        <v>2</v>
      </c>
      <c r="G335">
        <v>8</v>
      </c>
      <c r="H335">
        <v>9</v>
      </c>
      <c r="I335" s="32">
        <f t="shared" si="47"/>
        <v>1</v>
      </c>
      <c r="J335">
        <v>9</v>
      </c>
      <c r="K335">
        <v>9</v>
      </c>
      <c r="L335" s="32">
        <f t="shared" si="48"/>
        <v>0</v>
      </c>
      <c r="M335">
        <v>7</v>
      </c>
      <c r="N335">
        <v>9</v>
      </c>
      <c r="O335" s="32">
        <f t="shared" si="49"/>
        <v>2</v>
      </c>
      <c r="P335">
        <v>8</v>
      </c>
      <c r="Q335">
        <v>9</v>
      </c>
      <c r="R335" s="32">
        <f t="shared" si="50"/>
        <v>1</v>
      </c>
      <c r="S335">
        <v>7</v>
      </c>
      <c r="T335">
        <v>8</v>
      </c>
      <c r="U335" s="32">
        <f t="shared" si="51"/>
        <v>1</v>
      </c>
      <c r="V335">
        <v>7</v>
      </c>
      <c r="W335">
        <v>8</v>
      </c>
      <c r="X335" s="32">
        <f t="shared" si="52"/>
        <v>1</v>
      </c>
      <c r="Y335">
        <v>8</v>
      </c>
      <c r="Z335">
        <v>9</v>
      </c>
      <c r="AA335" s="32">
        <f t="shared" si="53"/>
        <v>1</v>
      </c>
    </row>
    <row r="336" spans="1:27" x14ac:dyDescent="0.45">
      <c r="A336">
        <v>6</v>
      </c>
      <c r="B336">
        <v>9</v>
      </c>
      <c r="C336" s="32">
        <f t="shared" si="45"/>
        <v>3</v>
      </c>
      <c r="D336">
        <v>7</v>
      </c>
      <c r="E336">
        <v>9</v>
      </c>
      <c r="F336" s="32">
        <f t="shared" si="46"/>
        <v>2</v>
      </c>
      <c r="G336">
        <v>8</v>
      </c>
      <c r="H336">
        <v>9</v>
      </c>
      <c r="I336" s="32">
        <f t="shared" si="47"/>
        <v>1</v>
      </c>
      <c r="J336">
        <v>9</v>
      </c>
      <c r="K336">
        <v>9</v>
      </c>
      <c r="L336" s="32">
        <f t="shared" si="48"/>
        <v>0</v>
      </c>
      <c r="M336">
        <v>7</v>
      </c>
      <c r="N336">
        <v>9</v>
      </c>
      <c r="O336" s="32">
        <f t="shared" si="49"/>
        <v>2</v>
      </c>
      <c r="P336">
        <v>8</v>
      </c>
      <c r="Q336">
        <v>9</v>
      </c>
      <c r="R336" s="32">
        <f t="shared" si="50"/>
        <v>1</v>
      </c>
      <c r="S336">
        <v>7</v>
      </c>
      <c r="T336">
        <v>8</v>
      </c>
      <c r="U336" s="32">
        <f t="shared" si="51"/>
        <v>1</v>
      </c>
      <c r="V336">
        <v>7</v>
      </c>
      <c r="W336">
        <v>8</v>
      </c>
      <c r="X336" s="32">
        <f t="shared" si="52"/>
        <v>1</v>
      </c>
      <c r="Y336">
        <v>8</v>
      </c>
      <c r="Z336">
        <v>9</v>
      </c>
      <c r="AA336" s="32">
        <f t="shared" si="53"/>
        <v>1</v>
      </c>
    </row>
    <row r="337" spans="1:27" x14ac:dyDescent="0.45">
      <c r="A337">
        <v>6</v>
      </c>
      <c r="B337">
        <v>9</v>
      </c>
      <c r="C337" s="32">
        <f t="shared" si="45"/>
        <v>3</v>
      </c>
      <c r="D337">
        <v>7</v>
      </c>
      <c r="E337">
        <v>9</v>
      </c>
      <c r="F337" s="32">
        <f t="shared" si="46"/>
        <v>2</v>
      </c>
      <c r="G337">
        <v>8</v>
      </c>
      <c r="H337">
        <v>9</v>
      </c>
      <c r="I337" s="32">
        <f t="shared" si="47"/>
        <v>1</v>
      </c>
      <c r="J337">
        <v>9</v>
      </c>
      <c r="K337">
        <v>9</v>
      </c>
      <c r="L337" s="32">
        <f t="shared" si="48"/>
        <v>0</v>
      </c>
      <c r="M337">
        <v>7</v>
      </c>
      <c r="N337">
        <v>9</v>
      </c>
      <c r="O337" s="32">
        <f t="shared" si="49"/>
        <v>2</v>
      </c>
      <c r="P337">
        <v>8</v>
      </c>
      <c r="Q337">
        <v>9</v>
      </c>
      <c r="R337" s="32">
        <f t="shared" si="50"/>
        <v>1</v>
      </c>
      <c r="S337">
        <v>7</v>
      </c>
      <c r="T337">
        <v>8</v>
      </c>
      <c r="U337" s="32">
        <f t="shared" si="51"/>
        <v>1</v>
      </c>
      <c r="V337">
        <v>7</v>
      </c>
      <c r="W337">
        <v>8</v>
      </c>
      <c r="X337" s="32">
        <f t="shared" si="52"/>
        <v>1</v>
      </c>
      <c r="Y337">
        <v>8</v>
      </c>
      <c r="Z337">
        <v>9</v>
      </c>
      <c r="AA337" s="32">
        <f t="shared" si="53"/>
        <v>1</v>
      </c>
    </row>
    <row r="338" spans="1:27" x14ac:dyDescent="0.45">
      <c r="A338">
        <v>6</v>
      </c>
      <c r="B338">
        <v>9</v>
      </c>
      <c r="C338" s="32">
        <f t="shared" si="45"/>
        <v>3</v>
      </c>
      <c r="D338">
        <v>7</v>
      </c>
      <c r="E338">
        <v>9</v>
      </c>
      <c r="F338" s="32">
        <f t="shared" si="46"/>
        <v>2</v>
      </c>
      <c r="G338">
        <v>8</v>
      </c>
      <c r="H338">
        <v>9</v>
      </c>
      <c r="I338" s="32">
        <f t="shared" si="47"/>
        <v>1</v>
      </c>
      <c r="J338">
        <v>9</v>
      </c>
      <c r="K338">
        <v>9</v>
      </c>
      <c r="L338" s="32">
        <f t="shared" si="48"/>
        <v>0</v>
      </c>
      <c r="M338">
        <v>7</v>
      </c>
      <c r="N338">
        <v>9</v>
      </c>
      <c r="O338" s="32">
        <f t="shared" si="49"/>
        <v>2</v>
      </c>
      <c r="P338">
        <v>8</v>
      </c>
      <c r="Q338">
        <v>9</v>
      </c>
      <c r="R338" s="32">
        <f t="shared" si="50"/>
        <v>1</v>
      </c>
      <c r="S338">
        <v>7</v>
      </c>
      <c r="T338">
        <v>8</v>
      </c>
      <c r="U338" s="32">
        <f t="shared" si="51"/>
        <v>1</v>
      </c>
      <c r="V338">
        <v>7</v>
      </c>
      <c r="W338">
        <v>8</v>
      </c>
      <c r="X338" s="32">
        <f t="shared" si="52"/>
        <v>1</v>
      </c>
      <c r="Y338">
        <v>8</v>
      </c>
      <c r="Z338">
        <v>9</v>
      </c>
      <c r="AA338" s="32">
        <f t="shared" si="53"/>
        <v>1</v>
      </c>
    </row>
    <row r="339" spans="1:27" x14ac:dyDescent="0.45">
      <c r="A339">
        <v>6</v>
      </c>
      <c r="B339">
        <v>9</v>
      </c>
      <c r="C339" s="32">
        <f t="shared" si="45"/>
        <v>3</v>
      </c>
      <c r="D339">
        <v>7</v>
      </c>
      <c r="E339">
        <v>9</v>
      </c>
      <c r="F339" s="32">
        <f t="shared" si="46"/>
        <v>2</v>
      </c>
      <c r="G339">
        <v>8</v>
      </c>
      <c r="H339">
        <v>9</v>
      </c>
      <c r="I339" s="32">
        <f t="shared" si="47"/>
        <v>1</v>
      </c>
      <c r="J339">
        <v>9</v>
      </c>
      <c r="K339">
        <v>9</v>
      </c>
      <c r="L339" s="32">
        <f t="shared" si="48"/>
        <v>0</v>
      </c>
      <c r="M339">
        <v>7</v>
      </c>
      <c r="N339">
        <v>9</v>
      </c>
      <c r="O339" s="32">
        <f t="shared" si="49"/>
        <v>2</v>
      </c>
      <c r="P339">
        <v>8</v>
      </c>
      <c r="Q339">
        <v>9</v>
      </c>
      <c r="R339" s="32">
        <f t="shared" si="50"/>
        <v>1</v>
      </c>
      <c r="S339">
        <v>7</v>
      </c>
      <c r="T339">
        <v>8</v>
      </c>
      <c r="U339" s="32">
        <f t="shared" si="51"/>
        <v>1</v>
      </c>
      <c r="V339">
        <v>7</v>
      </c>
      <c r="W339">
        <v>8</v>
      </c>
      <c r="X339" s="32">
        <f t="shared" si="52"/>
        <v>1</v>
      </c>
      <c r="Y339">
        <v>8</v>
      </c>
      <c r="Z339">
        <v>9</v>
      </c>
      <c r="AA339" s="32">
        <f t="shared" si="53"/>
        <v>1</v>
      </c>
    </row>
    <row r="340" spans="1:27" x14ac:dyDescent="0.45">
      <c r="A340">
        <v>6</v>
      </c>
      <c r="B340">
        <v>9</v>
      </c>
      <c r="C340" s="32">
        <f t="shared" si="45"/>
        <v>3</v>
      </c>
      <c r="D340">
        <v>7</v>
      </c>
      <c r="E340">
        <v>9</v>
      </c>
      <c r="F340" s="32">
        <f t="shared" si="46"/>
        <v>2</v>
      </c>
      <c r="G340">
        <v>8</v>
      </c>
      <c r="H340">
        <v>9</v>
      </c>
      <c r="I340" s="32">
        <f t="shared" si="47"/>
        <v>1</v>
      </c>
      <c r="J340">
        <v>9</v>
      </c>
      <c r="K340">
        <v>9</v>
      </c>
      <c r="L340" s="32">
        <f t="shared" si="48"/>
        <v>0</v>
      </c>
      <c r="M340">
        <v>7</v>
      </c>
      <c r="N340">
        <v>9</v>
      </c>
      <c r="O340" s="32">
        <f t="shared" si="49"/>
        <v>2</v>
      </c>
      <c r="P340">
        <v>8</v>
      </c>
      <c r="Q340">
        <v>9</v>
      </c>
      <c r="R340" s="32">
        <f t="shared" si="50"/>
        <v>1</v>
      </c>
      <c r="S340">
        <v>7</v>
      </c>
      <c r="T340">
        <v>8</v>
      </c>
      <c r="U340" s="32">
        <f t="shared" si="51"/>
        <v>1</v>
      </c>
      <c r="V340">
        <v>7</v>
      </c>
      <c r="W340">
        <v>8</v>
      </c>
      <c r="X340" s="32">
        <f t="shared" si="52"/>
        <v>1</v>
      </c>
      <c r="Y340">
        <v>8</v>
      </c>
      <c r="Z340">
        <v>9</v>
      </c>
      <c r="AA340" s="32">
        <f t="shared" si="53"/>
        <v>1</v>
      </c>
    </row>
    <row r="341" spans="1:27" x14ac:dyDescent="0.45">
      <c r="A341">
        <v>6</v>
      </c>
      <c r="B341">
        <v>9</v>
      </c>
      <c r="C341" s="32">
        <f t="shared" si="45"/>
        <v>3</v>
      </c>
      <c r="D341">
        <v>7</v>
      </c>
      <c r="E341">
        <v>9</v>
      </c>
      <c r="F341" s="32">
        <f t="shared" si="46"/>
        <v>2</v>
      </c>
      <c r="G341">
        <v>8</v>
      </c>
      <c r="H341">
        <v>9</v>
      </c>
      <c r="I341" s="32">
        <f t="shared" si="47"/>
        <v>1</v>
      </c>
      <c r="J341">
        <v>9</v>
      </c>
      <c r="K341">
        <v>9</v>
      </c>
      <c r="L341" s="32">
        <f t="shared" si="48"/>
        <v>0</v>
      </c>
      <c r="M341">
        <v>7</v>
      </c>
      <c r="N341">
        <v>9</v>
      </c>
      <c r="O341" s="32">
        <f t="shared" si="49"/>
        <v>2</v>
      </c>
      <c r="P341">
        <v>8</v>
      </c>
      <c r="Q341">
        <v>9</v>
      </c>
      <c r="R341" s="32">
        <f t="shared" si="50"/>
        <v>1</v>
      </c>
      <c r="S341">
        <v>7</v>
      </c>
      <c r="T341">
        <v>9</v>
      </c>
      <c r="U341" s="32">
        <f t="shared" si="51"/>
        <v>2</v>
      </c>
      <c r="V341">
        <v>7</v>
      </c>
      <c r="W341">
        <v>8</v>
      </c>
      <c r="X341" s="32">
        <f t="shared" si="52"/>
        <v>1</v>
      </c>
      <c r="Y341">
        <v>8</v>
      </c>
      <c r="Z341">
        <v>9</v>
      </c>
      <c r="AA341" s="32">
        <f t="shared" si="53"/>
        <v>1</v>
      </c>
    </row>
    <row r="342" spans="1:27" x14ac:dyDescent="0.45">
      <c r="A342">
        <v>7</v>
      </c>
      <c r="B342">
        <v>9</v>
      </c>
      <c r="C342" s="32">
        <f t="shared" si="45"/>
        <v>2</v>
      </c>
      <c r="D342">
        <v>7</v>
      </c>
      <c r="E342">
        <v>9</v>
      </c>
      <c r="F342" s="32">
        <f t="shared" si="46"/>
        <v>2</v>
      </c>
      <c r="G342">
        <v>8</v>
      </c>
      <c r="H342">
        <v>9</v>
      </c>
      <c r="I342" s="32">
        <f t="shared" si="47"/>
        <v>1</v>
      </c>
      <c r="J342">
        <v>9</v>
      </c>
      <c r="K342">
        <v>9</v>
      </c>
      <c r="L342" s="32">
        <f t="shared" si="48"/>
        <v>0</v>
      </c>
      <c r="M342">
        <v>7</v>
      </c>
      <c r="N342">
        <v>9</v>
      </c>
      <c r="O342" s="32">
        <f t="shared" si="49"/>
        <v>2</v>
      </c>
      <c r="P342">
        <v>8</v>
      </c>
      <c r="Q342">
        <v>9</v>
      </c>
      <c r="R342" s="32">
        <f t="shared" si="50"/>
        <v>1</v>
      </c>
      <c r="S342">
        <v>7</v>
      </c>
      <c r="T342">
        <v>9</v>
      </c>
      <c r="U342" s="32">
        <f t="shared" si="51"/>
        <v>2</v>
      </c>
      <c r="V342">
        <v>7</v>
      </c>
      <c r="W342">
        <v>8</v>
      </c>
      <c r="X342" s="32">
        <f t="shared" si="52"/>
        <v>1</v>
      </c>
      <c r="Y342">
        <v>8</v>
      </c>
      <c r="Z342">
        <v>9</v>
      </c>
      <c r="AA342" s="32">
        <f t="shared" si="53"/>
        <v>1</v>
      </c>
    </row>
    <row r="343" spans="1:27" x14ac:dyDescent="0.45">
      <c r="A343">
        <v>7</v>
      </c>
      <c r="B343">
        <v>9</v>
      </c>
      <c r="C343" s="32">
        <f t="shared" si="45"/>
        <v>2</v>
      </c>
      <c r="D343">
        <v>7</v>
      </c>
      <c r="E343">
        <v>9</v>
      </c>
      <c r="F343" s="32">
        <f t="shared" si="46"/>
        <v>2</v>
      </c>
      <c r="G343">
        <v>8</v>
      </c>
      <c r="H343">
        <v>9</v>
      </c>
      <c r="I343" s="32">
        <f t="shared" si="47"/>
        <v>1</v>
      </c>
      <c r="J343">
        <v>9</v>
      </c>
      <c r="K343">
        <v>9</v>
      </c>
      <c r="L343" s="32">
        <f t="shared" si="48"/>
        <v>0</v>
      </c>
      <c r="M343">
        <v>7</v>
      </c>
      <c r="N343">
        <v>9</v>
      </c>
      <c r="O343" s="32">
        <f t="shared" si="49"/>
        <v>2</v>
      </c>
      <c r="P343">
        <v>8</v>
      </c>
      <c r="Q343">
        <v>9</v>
      </c>
      <c r="R343" s="32">
        <f t="shared" si="50"/>
        <v>1</v>
      </c>
      <c r="S343">
        <v>7</v>
      </c>
      <c r="T343">
        <v>9</v>
      </c>
      <c r="U343" s="32">
        <f t="shared" si="51"/>
        <v>2</v>
      </c>
      <c r="V343">
        <v>7</v>
      </c>
      <c r="W343">
        <v>8</v>
      </c>
      <c r="X343" s="32">
        <f t="shared" si="52"/>
        <v>1</v>
      </c>
      <c r="Y343">
        <v>8</v>
      </c>
      <c r="Z343">
        <v>9</v>
      </c>
      <c r="AA343" s="32">
        <f t="shared" si="53"/>
        <v>1</v>
      </c>
    </row>
    <row r="344" spans="1:27" x14ac:dyDescent="0.45">
      <c r="A344">
        <v>7</v>
      </c>
      <c r="B344">
        <v>9</v>
      </c>
      <c r="C344" s="32">
        <f t="shared" si="45"/>
        <v>2</v>
      </c>
      <c r="D344">
        <v>7</v>
      </c>
      <c r="E344">
        <v>9</v>
      </c>
      <c r="F344" s="32">
        <f t="shared" si="46"/>
        <v>2</v>
      </c>
      <c r="G344">
        <v>8</v>
      </c>
      <c r="H344">
        <v>9</v>
      </c>
      <c r="I344" s="32">
        <f t="shared" si="47"/>
        <v>1</v>
      </c>
      <c r="J344">
        <v>9</v>
      </c>
      <c r="K344">
        <v>9</v>
      </c>
      <c r="L344" s="32">
        <f t="shared" si="48"/>
        <v>0</v>
      </c>
      <c r="M344">
        <v>7</v>
      </c>
      <c r="N344">
        <v>9</v>
      </c>
      <c r="O344" s="32">
        <f t="shared" si="49"/>
        <v>2</v>
      </c>
      <c r="P344">
        <v>8</v>
      </c>
      <c r="Q344">
        <v>9</v>
      </c>
      <c r="R344" s="32">
        <f t="shared" si="50"/>
        <v>1</v>
      </c>
      <c r="S344">
        <v>7</v>
      </c>
      <c r="T344">
        <v>9</v>
      </c>
      <c r="U344" s="32">
        <f t="shared" si="51"/>
        <v>2</v>
      </c>
      <c r="V344">
        <v>7</v>
      </c>
      <c r="W344">
        <v>8</v>
      </c>
      <c r="X344" s="32">
        <f t="shared" si="52"/>
        <v>1</v>
      </c>
      <c r="Y344">
        <v>8</v>
      </c>
      <c r="Z344">
        <v>9</v>
      </c>
      <c r="AA344" s="32">
        <f t="shared" si="53"/>
        <v>1</v>
      </c>
    </row>
    <row r="345" spans="1:27" x14ac:dyDescent="0.45">
      <c r="A345">
        <v>7</v>
      </c>
      <c r="B345">
        <v>9</v>
      </c>
      <c r="C345" s="32">
        <f t="shared" si="45"/>
        <v>2</v>
      </c>
      <c r="D345">
        <v>7</v>
      </c>
      <c r="E345">
        <v>9</v>
      </c>
      <c r="F345" s="32">
        <f t="shared" si="46"/>
        <v>2</v>
      </c>
      <c r="G345">
        <v>8</v>
      </c>
      <c r="H345">
        <v>9</v>
      </c>
      <c r="I345" s="32">
        <f t="shared" si="47"/>
        <v>1</v>
      </c>
      <c r="J345">
        <v>9</v>
      </c>
      <c r="K345">
        <v>9</v>
      </c>
      <c r="L345" s="32">
        <f t="shared" si="48"/>
        <v>0</v>
      </c>
      <c r="M345">
        <v>7</v>
      </c>
      <c r="N345">
        <v>9</v>
      </c>
      <c r="O345" s="32">
        <f t="shared" si="49"/>
        <v>2</v>
      </c>
      <c r="P345">
        <v>8</v>
      </c>
      <c r="Q345">
        <v>9</v>
      </c>
      <c r="R345" s="32">
        <f t="shared" si="50"/>
        <v>1</v>
      </c>
      <c r="S345">
        <v>7</v>
      </c>
      <c r="T345">
        <v>9</v>
      </c>
      <c r="U345" s="32">
        <f t="shared" si="51"/>
        <v>2</v>
      </c>
      <c r="V345">
        <v>7</v>
      </c>
      <c r="W345">
        <v>9</v>
      </c>
      <c r="X345" s="32">
        <f t="shared" si="52"/>
        <v>2</v>
      </c>
      <c r="Y345">
        <v>8</v>
      </c>
      <c r="Z345">
        <v>9</v>
      </c>
      <c r="AA345" s="32">
        <f t="shared" si="53"/>
        <v>1</v>
      </c>
    </row>
    <row r="346" spans="1:27" x14ac:dyDescent="0.45">
      <c r="A346">
        <v>7</v>
      </c>
      <c r="B346">
        <v>9</v>
      </c>
      <c r="C346" s="32">
        <f t="shared" si="45"/>
        <v>2</v>
      </c>
      <c r="D346">
        <v>7</v>
      </c>
      <c r="E346">
        <v>9</v>
      </c>
      <c r="F346" s="32">
        <f t="shared" si="46"/>
        <v>2</v>
      </c>
      <c r="G346">
        <v>8</v>
      </c>
      <c r="H346">
        <v>9</v>
      </c>
      <c r="I346" s="32">
        <f t="shared" si="47"/>
        <v>1</v>
      </c>
      <c r="J346">
        <v>9</v>
      </c>
      <c r="K346">
        <v>9</v>
      </c>
      <c r="L346" s="32">
        <f t="shared" si="48"/>
        <v>0</v>
      </c>
      <c r="M346">
        <v>7</v>
      </c>
      <c r="N346">
        <v>9</v>
      </c>
      <c r="O346" s="32">
        <f t="shared" si="49"/>
        <v>2</v>
      </c>
      <c r="P346">
        <v>8</v>
      </c>
      <c r="Q346">
        <v>9</v>
      </c>
      <c r="R346" s="32">
        <f t="shared" si="50"/>
        <v>1</v>
      </c>
      <c r="S346">
        <v>7</v>
      </c>
      <c r="T346">
        <v>9</v>
      </c>
      <c r="U346" s="32">
        <f t="shared" si="51"/>
        <v>2</v>
      </c>
      <c r="V346">
        <v>7</v>
      </c>
      <c r="W346">
        <v>9</v>
      </c>
      <c r="X346" s="32">
        <f t="shared" si="52"/>
        <v>2</v>
      </c>
      <c r="Y346">
        <v>8</v>
      </c>
      <c r="Z346">
        <v>10</v>
      </c>
      <c r="AA346" s="32">
        <f t="shared" si="53"/>
        <v>2</v>
      </c>
    </row>
    <row r="347" spans="1:27" x14ac:dyDescent="0.45">
      <c r="A347">
        <v>7</v>
      </c>
      <c r="B347">
        <v>9</v>
      </c>
      <c r="C347" s="32">
        <f t="shared" si="45"/>
        <v>2</v>
      </c>
      <c r="D347">
        <v>7</v>
      </c>
      <c r="E347">
        <v>9</v>
      </c>
      <c r="F347" s="32">
        <f t="shared" si="46"/>
        <v>2</v>
      </c>
      <c r="G347">
        <v>8</v>
      </c>
      <c r="H347">
        <v>9</v>
      </c>
      <c r="I347" s="32">
        <f t="shared" si="47"/>
        <v>1</v>
      </c>
      <c r="J347">
        <v>9</v>
      </c>
      <c r="K347">
        <v>9</v>
      </c>
      <c r="L347" s="32">
        <f t="shared" si="48"/>
        <v>0</v>
      </c>
      <c r="M347">
        <v>7</v>
      </c>
      <c r="N347">
        <v>9</v>
      </c>
      <c r="O347" s="32">
        <f t="shared" si="49"/>
        <v>2</v>
      </c>
      <c r="P347">
        <v>8</v>
      </c>
      <c r="Q347">
        <v>9</v>
      </c>
      <c r="R347" s="32">
        <f t="shared" si="50"/>
        <v>1</v>
      </c>
      <c r="S347">
        <v>7</v>
      </c>
      <c r="T347">
        <v>9</v>
      </c>
      <c r="U347" s="32">
        <f t="shared" si="51"/>
        <v>2</v>
      </c>
      <c r="V347">
        <v>7</v>
      </c>
      <c r="W347">
        <v>9</v>
      </c>
      <c r="X347" s="32">
        <f t="shared" si="52"/>
        <v>2</v>
      </c>
      <c r="Y347">
        <v>8</v>
      </c>
      <c r="Z347">
        <v>10</v>
      </c>
      <c r="AA347" s="32">
        <f t="shared" si="53"/>
        <v>2</v>
      </c>
    </row>
    <row r="348" spans="1:27" x14ac:dyDescent="0.45">
      <c r="A348">
        <v>7</v>
      </c>
      <c r="B348">
        <v>9</v>
      </c>
      <c r="C348" s="32">
        <f t="shared" si="45"/>
        <v>2</v>
      </c>
      <c r="D348">
        <v>7</v>
      </c>
      <c r="E348">
        <v>9</v>
      </c>
      <c r="F348" s="32">
        <f t="shared" si="46"/>
        <v>2</v>
      </c>
      <c r="G348">
        <v>8</v>
      </c>
      <c r="H348">
        <v>9</v>
      </c>
      <c r="I348" s="32">
        <f t="shared" si="47"/>
        <v>1</v>
      </c>
      <c r="J348">
        <v>9</v>
      </c>
      <c r="K348">
        <v>9</v>
      </c>
      <c r="L348" s="32">
        <f t="shared" si="48"/>
        <v>0</v>
      </c>
      <c r="M348">
        <v>7</v>
      </c>
      <c r="N348">
        <v>9</v>
      </c>
      <c r="O348" s="32">
        <f t="shared" si="49"/>
        <v>2</v>
      </c>
      <c r="P348">
        <v>8</v>
      </c>
      <c r="Q348">
        <v>9</v>
      </c>
      <c r="R348" s="32">
        <f t="shared" si="50"/>
        <v>1</v>
      </c>
      <c r="S348">
        <v>7</v>
      </c>
      <c r="T348">
        <v>9</v>
      </c>
      <c r="U348" s="32">
        <f t="shared" si="51"/>
        <v>2</v>
      </c>
      <c r="V348">
        <v>7</v>
      </c>
      <c r="W348">
        <v>9</v>
      </c>
      <c r="X348" s="32">
        <f t="shared" si="52"/>
        <v>2</v>
      </c>
      <c r="Y348">
        <v>8</v>
      </c>
      <c r="Z348">
        <v>10</v>
      </c>
      <c r="AA348" s="32">
        <f t="shared" si="53"/>
        <v>2</v>
      </c>
    </row>
    <row r="349" spans="1:27" x14ac:dyDescent="0.45">
      <c r="A349">
        <v>7</v>
      </c>
      <c r="B349">
        <v>10</v>
      </c>
      <c r="C349" s="32">
        <f t="shared" si="45"/>
        <v>3</v>
      </c>
      <c r="D349">
        <v>7</v>
      </c>
      <c r="E349">
        <v>9</v>
      </c>
      <c r="F349" s="32">
        <f t="shared" si="46"/>
        <v>2</v>
      </c>
      <c r="G349">
        <v>8</v>
      </c>
      <c r="H349">
        <v>9</v>
      </c>
      <c r="I349" s="32">
        <f t="shared" si="47"/>
        <v>1</v>
      </c>
      <c r="J349">
        <v>9</v>
      </c>
      <c r="K349">
        <v>9</v>
      </c>
      <c r="L349" s="32">
        <f t="shared" si="48"/>
        <v>0</v>
      </c>
      <c r="M349">
        <v>7</v>
      </c>
      <c r="N349">
        <v>9</v>
      </c>
      <c r="O349" s="32">
        <f t="shared" si="49"/>
        <v>2</v>
      </c>
      <c r="P349">
        <v>8</v>
      </c>
      <c r="Q349">
        <v>9</v>
      </c>
      <c r="R349" s="32">
        <f t="shared" si="50"/>
        <v>1</v>
      </c>
      <c r="S349">
        <v>7</v>
      </c>
      <c r="T349">
        <v>9</v>
      </c>
      <c r="U349" s="32">
        <f t="shared" si="51"/>
        <v>2</v>
      </c>
      <c r="V349">
        <v>7</v>
      </c>
      <c r="W349">
        <v>9</v>
      </c>
      <c r="X349" s="32">
        <f t="shared" si="52"/>
        <v>2</v>
      </c>
      <c r="Y349">
        <v>8</v>
      </c>
      <c r="Z349">
        <v>10</v>
      </c>
      <c r="AA349" s="32">
        <f t="shared" si="53"/>
        <v>2</v>
      </c>
    </row>
    <row r="350" spans="1:27" x14ac:dyDescent="0.45">
      <c r="A350">
        <v>7</v>
      </c>
      <c r="B350">
        <v>10</v>
      </c>
      <c r="C350" s="32">
        <f t="shared" si="45"/>
        <v>3</v>
      </c>
      <c r="D350">
        <v>7</v>
      </c>
      <c r="E350">
        <v>9</v>
      </c>
      <c r="F350" s="32">
        <f t="shared" si="46"/>
        <v>2</v>
      </c>
      <c r="G350">
        <v>8</v>
      </c>
      <c r="H350">
        <v>9</v>
      </c>
      <c r="I350" s="32">
        <f t="shared" si="47"/>
        <v>1</v>
      </c>
      <c r="J350">
        <v>9</v>
      </c>
      <c r="K350">
        <v>9</v>
      </c>
      <c r="L350" s="32">
        <f t="shared" si="48"/>
        <v>0</v>
      </c>
      <c r="M350">
        <v>7</v>
      </c>
      <c r="N350">
        <v>9</v>
      </c>
      <c r="O350" s="32">
        <f t="shared" si="49"/>
        <v>2</v>
      </c>
      <c r="P350">
        <v>8</v>
      </c>
      <c r="Q350">
        <v>9</v>
      </c>
      <c r="R350" s="32">
        <f t="shared" si="50"/>
        <v>1</v>
      </c>
      <c r="S350">
        <v>7</v>
      </c>
      <c r="T350">
        <v>9</v>
      </c>
      <c r="U350" s="32">
        <f t="shared" si="51"/>
        <v>2</v>
      </c>
      <c r="V350">
        <v>8</v>
      </c>
      <c r="W350">
        <v>9</v>
      </c>
      <c r="X350" s="32">
        <f t="shared" si="52"/>
        <v>1</v>
      </c>
      <c r="Y350">
        <v>8</v>
      </c>
      <c r="Z350">
        <v>10</v>
      </c>
      <c r="AA350" s="32">
        <f t="shared" si="53"/>
        <v>2</v>
      </c>
    </row>
    <row r="351" spans="1:27" x14ac:dyDescent="0.45">
      <c r="A351">
        <v>7</v>
      </c>
      <c r="B351">
        <v>10</v>
      </c>
      <c r="C351" s="32">
        <f t="shared" si="45"/>
        <v>3</v>
      </c>
      <c r="D351">
        <v>7</v>
      </c>
      <c r="E351">
        <v>9</v>
      </c>
      <c r="F351" s="32">
        <f t="shared" si="46"/>
        <v>2</v>
      </c>
      <c r="G351">
        <v>8</v>
      </c>
      <c r="H351">
        <v>9</v>
      </c>
      <c r="I351" s="32">
        <f t="shared" si="47"/>
        <v>1</v>
      </c>
      <c r="J351">
        <v>9</v>
      </c>
      <c r="K351">
        <v>9</v>
      </c>
      <c r="L351" s="32">
        <f t="shared" si="48"/>
        <v>0</v>
      </c>
      <c r="M351">
        <v>7</v>
      </c>
      <c r="N351">
        <v>9</v>
      </c>
      <c r="O351" s="32">
        <f t="shared" si="49"/>
        <v>2</v>
      </c>
      <c r="P351">
        <v>8</v>
      </c>
      <c r="Q351">
        <v>9</v>
      </c>
      <c r="R351" s="32">
        <f t="shared" si="50"/>
        <v>1</v>
      </c>
      <c r="S351">
        <v>7</v>
      </c>
      <c r="T351">
        <v>9</v>
      </c>
      <c r="U351" s="32">
        <f t="shared" si="51"/>
        <v>2</v>
      </c>
      <c r="V351">
        <v>8</v>
      </c>
      <c r="W351">
        <v>9</v>
      </c>
      <c r="X351" s="32">
        <f t="shared" si="52"/>
        <v>1</v>
      </c>
      <c r="Y351">
        <v>8</v>
      </c>
      <c r="Z351">
        <v>10</v>
      </c>
      <c r="AA351" s="32">
        <f t="shared" si="53"/>
        <v>2</v>
      </c>
    </row>
    <row r="352" spans="1:27" x14ac:dyDescent="0.45">
      <c r="A352">
        <v>7</v>
      </c>
      <c r="B352">
        <v>10</v>
      </c>
      <c r="C352" s="32">
        <f t="shared" si="45"/>
        <v>3</v>
      </c>
      <c r="D352">
        <v>7</v>
      </c>
      <c r="E352">
        <v>10</v>
      </c>
      <c r="F352" s="32">
        <f t="shared" si="46"/>
        <v>3</v>
      </c>
      <c r="G352">
        <v>8</v>
      </c>
      <c r="H352">
        <v>9</v>
      </c>
      <c r="I352" s="32">
        <f t="shared" si="47"/>
        <v>1</v>
      </c>
      <c r="J352">
        <v>9</v>
      </c>
      <c r="K352">
        <v>9</v>
      </c>
      <c r="L352" s="32">
        <f t="shared" si="48"/>
        <v>0</v>
      </c>
      <c r="M352">
        <v>7</v>
      </c>
      <c r="N352">
        <v>9</v>
      </c>
      <c r="O352" s="32">
        <f t="shared" si="49"/>
        <v>2</v>
      </c>
      <c r="P352">
        <v>8</v>
      </c>
      <c r="Q352">
        <v>9</v>
      </c>
      <c r="R352" s="32">
        <f t="shared" si="50"/>
        <v>1</v>
      </c>
      <c r="S352">
        <v>7</v>
      </c>
      <c r="T352">
        <v>9</v>
      </c>
      <c r="U352" s="32">
        <f t="shared" si="51"/>
        <v>2</v>
      </c>
      <c r="V352">
        <v>8</v>
      </c>
      <c r="W352">
        <v>9</v>
      </c>
      <c r="X352" s="32">
        <f t="shared" si="52"/>
        <v>1</v>
      </c>
      <c r="Y352">
        <v>8</v>
      </c>
      <c r="Z352">
        <v>10</v>
      </c>
      <c r="AA352" s="32">
        <f t="shared" si="53"/>
        <v>2</v>
      </c>
    </row>
    <row r="353" spans="1:27" x14ac:dyDescent="0.45">
      <c r="A353">
        <v>7</v>
      </c>
      <c r="B353">
        <v>10</v>
      </c>
      <c r="C353" s="32">
        <f t="shared" si="45"/>
        <v>3</v>
      </c>
      <c r="D353">
        <v>7</v>
      </c>
      <c r="E353">
        <v>10</v>
      </c>
      <c r="F353" s="32">
        <f t="shared" si="46"/>
        <v>3</v>
      </c>
      <c r="G353">
        <v>8</v>
      </c>
      <c r="H353">
        <v>9</v>
      </c>
      <c r="I353" s="32">
        <f t="shared" si="47"/>
        <v>1</v>
      </c>
      <c r="J353">
        <v>9</v>
      </c>
      <c r="K353">
        <v>9</v>
      </c>
      <c r="L353" s="32">
        <f t="shared" si="48"/>
        <v>0</v>
      </c>
      <c r="M353">
        <v>7</v>
      </c>
      <c r="N353">
        <v>9</v>
      </c>
      <c r="O353" s="32">
        <f t="shared" si="49"/>
        <v>2</v>
      </c>
      <c r="P353">
        <v>8</v>
      </c>
      <c r="Q353">
        <v>9</v>
      </c>
      <c r="R353" s="32">
        <f t="shared" si="50"/>
        <v>1</v>
      </c>
      <c r="S353">
        <v>7</v>
      </c>
      <c r="T353">
        <v>9</v>
      </c>
      <c r="U353" s="32">
        <f t="shared" si="51"/>
        <v>2</v>
      </c>
      <c r="V353">
        <v>8</v>
      </c>
      <c r="W353">
        <v>9</v>
      </c>
      <c r="X353" s="32">
        <f t="shared" si="52"/>
        <v>1</v>
      </c>
      <c r="Y353">
        <v>8</v>
      </c>
      <c r="Z353">
        <v>10</v>
      </c>
      <c r="AA353" s="32">
        <f t="shared" si="53"/>
        <v>2</v>
      </c>
    </row>
    <row r="354" spans="1:27" x14ac:dyDescent="0.45">
      <c r="A354">
        <v>7</v>
      </c>
      <c r="B354">
        <v>10</v>
      </c>
      <c r="C354" s="32">
        <f t="shared" si="45"/>
        <v>3</v>
      </c>
      <c r="D354">
        <v>7</v>
      </c>
      <c r="E354">
        <v>10</v>
      </c>
      <c r="F354" s="32">
        <f t="shared" si="46"/>
        <v>3</v>
      </c>
      <c r="G354">
        <v>8</v>
      </c>
      <c r="H354">
        <v>9</v>
      </c>
      <c r="I354" s="32">
        <f t="shared" si="47"/>
        <v>1</v>
      </c>
      <c r="J354">
        <v>9</v>
      </c>
      <c r="K354">
        <v>9</v>
      </c>
      <c r="L354" s="32">
        <f t="shared" si="48"/>
        <v>0</v>
      </c>
      <c r="M354">
        <v>7</v>
      </c>
      <c r="N354">
        <v>9</v>
      </c>
      <c r="O354" s="32">
        <f t="shared" si="49"/>
        <v>2</v>
      </c>
      <c r="P354">
        <v>8</v>
      </c>
      <c r="Q354">
        <v>9</v>
      </c>
      <c r="R354" s="32">
        <f t="shared" si="50"/>
        <v>1</v>
      </c>
      <c r="S354">
        <v>7</v>
      </c>
      <c r="T354">
        <v>9</v>
      </c>
      <c r="U354" s="32">
        <f t="shared" si="51"/>
        <v>2</v>
      </c>
      <c r="V354">
        <v>8</v>
      </c>
      <c r="W354">
        <v>9</v>
      </c>
      <c r="X354" s="32">
        <f t="shared" si="52"/>
        <v>1</v>
      </c>
      <c r="Y354">
        <v>8</v>
      </c>
      <c r="Z354">
        <v>10</v>
      </c>
      <c r="AA354" s="32">
        <f t="shared" si="53"/>
        <v>2</v>
      </c>
    </row>
    <row r="355" spans="1:27" x14ac:dyDescent="0.45">
      <c r="A355">
        <v>7</v>
      </c>
      <c r="B355">
        <v>10</v>
      </c>
      <c r="C355" s="32">
        <f t="shared" si="45"/>
        <v>3</v>
      </c>
      <c r="D355">
        <v>7</v>
      </c>
      <c r="E355">
        <v>10</v>
      </c>
      <c r="F355" s="32">
        <f t="shared" si="46"/>
        <v>3</v>
      </c>
      <c r="G355">
        <v>8</v>
      </c>
      <c r="H355">
        <v>9</v>
      </c>
      <c r="I355" s="32">
        <f t="shared" si="47"/>
        <v>1</v>
      </c>
      <c r="J355">
        <v>9</v>
      </c>
      <c r="K355">
        <v>9</v>
      </c>
      <c r="L355" s="32">
        <f t="shared" si="48"/>
        <v>0</v>
      </c>
      <c r="M355">
        <v>7</v>
      </c>
      <c r="N355">
        <v>9</v>
      </c>
      <c r="O355" s="32">
        <f t="shared" si="49"/>
        <v>2</v>
      </c>
      <c r="P355">
        <v>8</v>
      </c>
      <c r="Q355">
        <v>9</v>
      </c>
      <c r="R355" s="32">
        <f t="shared" si="50"/>
        <v>1</v>
      </c>
      <c r="S355">
        <v>7</v>
      </c>
      <c r="T355">
        <v>9</v>
      </c>
      <c r="U355" s="32">
        <f t="shared" si="51"/>
        <v>2</v>
      </c>
      <c r="V355">
        <v>8</v>
      </c>
      <c r="W355">
        <v>9</v>
      </c>
      <c r="X355" s="32">
        <f t="shared" si="52"/>
        <v>1</v>
      </c>
      <c r="Y355">
        <v>8</v>
      </c>
      <c r="Z355">
        <v>10</v>
      </c>
      <c r="AA355" s="32">
        <f t="shared" si="53"/>
        <v>2</v>
      </c>
    </row>
    <row r="356" spans="1:27" x14ac:dyDescent="0.45">
      <c r="A356">
        <v>7</v>
      </c>
      <c r="B356">
        <v>10</v>
      </c>
      <c r="C356" s="32">
        <f t="shared" si="45"/>
        <v>3</v>
      </c>
      <c r="D356">
        <v>7</v>
      </c>
      <c r="E356">
        <v>10</v>
      </c>
      <c r="F356" s="32">
        <f t="shared" si="46"/>
        <v>3</v>
      </c>
      <c r="G356">
        <v>8</v>
      </c>
      <c r="H356">
        <v>9</v>
      </c>
      <c r="I356" s="32">
        <f t="shared" si="47"/>
        <v>1</v>
      </c>
      <c r="J356">
        <v>9</v>
      </c>
      <c r="K356">
        <v>9</v>
      </c>
      <c r="L356" s="32">
        <f t="shared" si="48"/>
        <v>0</v>
      </c>
      <c r="M356">
        <v>7</v>
      </c>
      <c r="N356">
        <v>9</v>
      </c>
      <c r="O356" s="32">
        <f t="shared" si="49"/>
        <v>2</v>
      </c>
      <c r="P356">
        <v>8</v>
      </c>
      <c r="Q356">
        <v>9</v>
      </c>
      <c r="R356" s="32">
        <f t="shared" si="50"/>
        <v>1</v>
      </c>
      <c r="S356">
        <v>7</v>
      </c>
      <c r="T356">
        <v>9</v>
      </c>
      <c r="U356" s="32">
        <f t="shared" si="51"/>
        <v>2</v>
      </c>
      <c r="V356">
        <v>8</v>
      </c>
      <c r="W356">
        <v>9</v>
      </c>
      <c r="X356" s="32">
        <f t="shared" si="52"/>
        <v>1</v>
      </c>
      <c r="Y356">
        <v>8</v>
      </c>
      <c r="Z356">
        <v>10</v>
      </c>
      <c r="AA356" s="32">
        <f t="shared" si="53"/>
        <v>2</v>
      </c>
    </row>
    <row r="357" spans="1:27" x14ac:dyDescent="0.45">
      <c r="A357">
        <v>7</v>
      </c>
      <c r="B357">
        <v>10</v>
      </c>
      <c r="C357" s="32">
        <f t="shared" si="45"/>
        <v>3</v>
      </c>
      <c r="D357">
        <v>7</v>
      </c>
      <c r="E357">
        <v>10</v>
      </c>
      <c r="F357" s="32">
        <f t="shared" si="46"/>
        <v>3</v>
      </c>
      <c r="G357">
        <v>8</v>
      </c>
      <c r="H357">
        <v>9</v>
      </c>
      <c r="I357" s="32">
        <f t="shared" si="47"/>
        <v>1</v>
      </c>
      <c r="J357">
        <v>9</v>
      </c>
      <c r="K357">
        <v>9</v>
      </c>
      <c r="L357" s="32">
        <f t="shared" si="48"/>
        <v>0</v>
      </c>
      <c r="M357">
        <v>7</v>
      </c>
      <c r="N357">
        <v>9</v>
      </c>
      <c r="O357" s="32">
        <f t="shared" si="49"/>
        <v>2</v>
      </c>
      <c r="P357">
        <v>8</v>
      </c>
      <c r="Q357">
        <v>10</v>
      </c>
      <c r="R357" s="32">
        <f t="shared" si="50"/>
        <v>2</v>
      </c>
      <c r="S357">
        <v>7</v>
      </c>
      <c r="T357">
        <v>9</v>
      </c>
      <c r="U357" s="32">
        <f t="shared" si="51"/>
        <v>2</v>
      </c>
      <c r="V357">
        <v>8</v>
      </c>
      <c r="W357">
        <v>9</v>
      </c>
      <c r="X357" s="32">
        <f t="shared" si="52"/>
        <v>1</v>
      </c>
      <c r="Y357">
        <v>8</v>
      </c>
      <c r="Z357">
        <v>10</v>
      </c>
      <c r="AA357" s="32">
        <f t="shared" si="53"/>
        <v>2</v>
      </c>
    </row>
    <row r="358" spans="1:27" x14ac:dyDescent="0.45">
      <c r="A358">
        <v>7</v>
      </c>
      <c r="B358">
        <v>10</v>
      </c>
      <c r="C358" s="32">
        <f t="shared" si="45"/>
        <v>3</v>
      </c>
      <c r="D358">
        <v>7</v>
      </c>
      <c r="E358">
        <v>10</v>
      </c>
      <c r="F358" s="32">
        <f t="shared" si="46"/>
        <v>3</v>
      </c>
      <c r="G358">
        <v>8</v>
      </c>
      <c r="H358">
        <v>9</v>
      </c>
      <c r="I358" s="32">
        <f t="shared" si="47"/>
        <v>1</v>
      </c>
      <c r="J358">
        <v>9</v>
      </c>
      <c r="K358">
        <v>9</v>
      </c>
      <c r="L358" s="32">
        <f t="shared" si="48"/>
        <v>0</v>
      </c>
      <c r="M358">
        <v>7</v>
      </c>
      <c r="N358">
        <v>9</v>
      </c>
      <c r="O358" s="32">
        <f t="shared" si="49"/>
        <v>2</v>
      </c>
      <c r="P358">
        <v>8</v>
      </c>
      <c r="Q358">
        <v>10</v>
      </c>
      <c r="R358" s="32">
        <f t="shared" si="50"/>
        <v>2</v>
      </c>
      <c r="S358">
        <v>7</v>
      </c>
      <c r="T358">
        <v>9</v>
      </c>
      <c r="U358" s="32">
        <f t="shared" si="51"/>
        <v>2</v>
      </c>
      <c r="V358">
        <v>8</v>
      </c>
      <c r="W358">
        <v>9</v>
      </c>
      <c r="X358" s="32">
        <f t="shared" si="52"/>
        <v>1</v>
      </c>
      <c r="Y358">
        <v>8</v>
      </c>
      <c r="Z358">
        <v>10</v>
      </c>
      <c r="AA358" s="32">
        <f t="shared" si="53"/>
        <v>2</v>
      </c>
    </row>
    <row r="359" spans="1:27" x14ac:dyDescent="0.45">
      <c r="A359">
        <v>7</v>
      </c>
      <c r="B359">
        <v>10</v>
      </c>
      <c r="C359" s="32">
        <f t="shared" si="45"/>
        <v>3</v>
      </c>
      <c r="D359">
        <v>7</v>
      </c>
      <c r="E359">
        <v>10</v>
      </c>
      <c r="F359" s="32">
        <f t="shared" si="46"/>
        <v>3</v>
      </c>
      <c r="G359">
        <v>8</v>
      </c>
      <c r="H359">
        <v>9</v>
      </c>
      <c r="I359" s="32">
        <f t="shared" si="47"/>
        <v>1</v>
      </c>
      <c r="J359">
        <v>9</v>
      </c>
      <c r="K359">
        <v>9</v>
      </c>
      <c r="L359" s="32">
        <f t="shared" si="48"/>
        <v>0</v>
      </c>
      <c r="M359">
        <v>7</v>
      </c>
      <c r="N359">
        <v>9</v>
      </c>
      <c r="O359" s="32">
        <f t="shared" si="49"/>
        <v>2</v>
      </c>
      <c r="P359">
        <v>8</v>
      </c>
      <c r="Q359">
        <v>10</v>
      </c>
      <c r="R359" s="32">
        <f t="shared" si="50"/>
        <v>2</v>
      </c>
      <c r="S359">
        <v>7</v>
      </c>
      <c r="T359">
        <v>9</v>
      </c>
      <c r="U359" s="32">
        <f t="shared" si="51"/>
        <v>2</v>
      </c>
      <c r="V359">
        <v>8</v>
      </c>
      <c r="W359">
        <v>9</v>
      </c>
      <c r="X359" s="32">
        <f t="shared" si="52"/>
        <v>1</v>
      </c>
      <c r="Y359">
        <v>8</v>
      </c>
      <c r="Z359">
        <v>10</v>
      </c>
      <c r="AA359" s="32">
        <f t="shared" si="53"/>
        <v>2</v>
      </c>
    </row>
    <row r="360" spans="1:27" x14ac:dyDescent="0.45">
      <c r="A360">
        <v>7</v>
      </c>
      <c r="B360">
        <v>10</v>
      </c>
      <c r="C360" s="32">
        <f t="shared" si="45"/>
        <v>3</v>
      </c>
      <c r="D360">
        <v>7</v>
      </c>
      <c r="E360">
        <v>10</v>
      </c>
      <c r="F360" s="32">
        <f t="shared" si="46"/>
        <v>3</v>
      </c>
      <c r="G360">
        <v>8</v>
      </c>
      <c r="H360">
        <v>9</v>
      </c>
      <c r="I360" s="32">
        <f t="shared" si="47"/>
        <v>1</v>
      </c>
      <c r="J360">
        <v>9</v>
      </c>
      <c r="K360">
        <v>9</v>
      </c>
      <c r="L360" s="32">
        <f t="shared" si="48"/>
        <v>0</v>
      </c>
      <c r="M360">
        <v>7</v>
      </c>
      <c r="N360">
        <v>9</v>
      </c>
      <c r="O360" s="32">
        <f t="shared" si="49"/>
        <v>2</v>
      </c>
      <c r="P360">
        <v>8</v>
      </c>
      <c r="Q360">
        <v>10</v>
      </c>
      <c r="R360" s="32">
        <f t="shared" si="50"/>
        <v>2</v>
      </c>
      <c r="S360">
        <v>7</v>
      </c>
      <c r="T360">
        <v>9</v>
      </c>
      <c r="U360" s="32">
        <f t="shared" si="51"/>
        <v>2</v>
      </c>
      <c r="V360">
        <v>8</v>
      </c>
      <c r="W360">
        <v>9</v>
      </c>
      <c r="X360" s="32">
        <f t="shared" si="52"/>
        <v>1</v>
      </c>
      <c r="Y360">
        <v>8</v>
      </c>
      <c r="Z360">
        <v>10</v>
      </c>
      <c r="AA360" s="32">
        <f t="shared" si="53"/>
        <v>2</v>
      </c>
    </row>
    <row r="361" spans="1:27" x14ac:dyDescent="0.45">
      <c r="A361">
        <v>7</v>
      </c>
      <c r="B361">
        <v>10</v>
      </c>
      <c r="C361" s="32">
        <f t="shared" si="45"/>
        <v>3</v>
      </c>
      <c r="D361">
        <v>7</v>
      </c>
      <c r="E361">
        <v>10</v>
      </c>
      <c r="F361" s="32">
        <f t="shared" si="46"/>
        <v>3</v>
      </c>
      <c r="G361">
        <v>8</v>
      </c>
      <c r="H361">
        <v>9</v>
      </c>
      <c r="I361" s="32">
        <f t="shared" si="47"/>
        <v>1</v>
      </c>
      <c r="J361">
        <v>9</v>
      </c>
      <c r="K361">
        <v>9</v>
      </c>
      <c r="L361" s="32">
        <f t="shared" si="48"/>
        <v>0</v>
      </c>
      <c r="M361">
        <v>7</v>
      </c>
      <c r="N361">
        <v>9</v>
      </c>
      <c r="O361" s="32">
        <f t="shared" si="49"/>
        <v>2</v>
      </c>
      <c r="P361">
        <v>8</v>
      </c>
      <c r="Q361">
        <v>10</v>
      </c>
      <c r="R361" s="32">
        <f t="shared" si="50"/>
        <v>2</v>
      </c>
      <c r="S361">
        <v>7</v>
      </c>
      <c r="T361">
        <v>9</v>
      </c>
      <c r="U361" s="32">
        <f t="shared" si="51"/>
        <v>2</v>
      </c>
      <c r="V361">
        <v>8</v>
      </c>
      <c r="W361">
        <v>9</v>
      </c>
      <c r="X361" s="32">
        <f t="shared" si="52"/>
        <v>1</v>
      </c>
      <c r="Y361">
        <v>8</v>
      </c>
      <c r="Z361">
        <v>10</v>
      </c>
      <c r="AA361" s="32">
        <f t="shared" si="53"/>
        <v>2</v>
      </c>
    </row>
    <row r="362" spans="1:27" x14ac:dyDescent="0.45">
      <c r="A362">
        <v>7</v>
      </c>
      <c r="B362">
        <v>10</v>
      </c>
      <c r="C362" s="32">
        <f t="shared" si="45"/>
        <v>3</v>
      </c>
      <c r="D362">
        <v>7</v>
      </c>
      <c r="E362">
        <v>10</v>
      </c>
      <c r="F362" s="32">
        <f t="shared" si="46"/>
        <v>3</v>
      </c>
      <c r="G362">
        <v>8</v>
      </c>
      <c r="H362">
        <v>9</v>
      </c>
      <c r="I362" s="32">
        <f t="shared" si="47"/>
        <v>1</v>
      </c>
      <c r="J362">
        <v>9</v>
      </c>
      <c r="K362">
        <v>9</v>
      </c>
      <c r="L362" s="32">
        <f t="shared" si="48"/>
        <v>0</v>
      </c>
      <c r="M362">
        <v>7</v>
      </c>
      <c r="N362">
        <v>9</v>
      </c>
      <c r="O362" s="32">
        <f t="shared" si="49"/>
        <v>2</v>
      </c>
      <c r="P362">
        <v>8</v>
      </c>
      <c r="Q362">
        <v>10</v>
      </c>
      <c r="R362" s="32">
        <f t="shared" si="50"/>
        <v>2</v>
      </c>
      <c r="S362">
        <v>7</v>
      </c>
      <c r="T362">
        <v>9</v>
      </c>
      <c r="U362" s="32">
        <f t="shared" si="51"/>
        <v>2</v>
      </c>
      <c r="V362">
        <v>8</v>
      </c>
      <c r="W362">
        <v>9</v>
      </c>
      <c r="X362" s="32">
        <f t="shared" si="52"/>
        <v>1</v>
      </c>
      <c r="Y362">
        <v>8</v>
      </c>
      <c r="Z362">
        <v>10</v>
      </c>
      <c r="AA362" s="32">
        <f t="shared" si="53"/>
        <v>2</v>
      </c>
    </row>
    <row r="363" spans="1:27" x14ac:dyDescent="0.45">
      <c r="A363">
        <v>7</v>
      </c>
      <c r="B363">
        <v>10</v>
      </c>
      <c r="C363" s="32">
        <f t="shared" si="45"/>
        <v>3</v>
      </c>
      <c r="D363">
        <v>7</v>
      </c>
      <c r="E363">
        <v>10</v>
      </c>
      <c r="F363" s="32">
        <f t="shared" si="46"/>
        <v>3</v>
      </c>
      <c r="G363">
        <v>8</v>
      </c>
      <c r="H363">
        <v>9</v>
      </c>
      <c r="I363" s="32">
        <f t="shared" si="47"/>
        <v>1</v>
      </c>
      <c r="J363">
        <v>9</v>
      </c>
      <c r="K363">
        <v>9</v>
      </c>
      <c r="L363" s="32">
        <f t="shared" si="48"/>
        <v>0</v>
      </c>
      <c r="M363">
        <v>7</v>
      </c>
      <c r="N363">
        <v>9</v>
      </c>
      <c r="O363" s="32">
        <f t="shared" si="49"/>
        <v>2</v>
      </c>
      <c r="P363">
        <v>8</v>
      </c>
      <c r="Q363">
        <v>10</v>
      </c>
      <c r="R363" s="32">
        <f t="shared" si="50"/>
        <v>2</v>
      </c>
      <c r="S363">
        <v>7</v>
      </c>
      <c r="T363">
        <v>9</v>
      </c>
      <c r="U363" s="32">
        <f t="shared" si="51"/>
        <v>2</v>
      </c>
      <c r="V363">
        <v>8</v>
      </c>
      <c r="W363">
        <v>9</v>
      </c>
      <c r="X363" s="32">
        <f t="shared" si="52"/>
        <v>1</v>
      </c>
      <c r="Y363">
        <v>8</v>
      </c>
      <c r="Z363">
        <v>10</v>
      </c>
      <c r="AA363" s="32">
        <f t="shared" si="53"/>
        <v>2</v>
      </c>
    </row>
    <row r="364" spans="1:27" x14ac:dyDescent="0.45">
      <c r="A364">
        <v>7</v>
      </c>
      <c r="B364">
        <v>10</v>
      </c>
      <c r="C364" s="32">
        <f t="shared" si="45"/>
        <v>3</v>
      </c>
      <c r="D364">
        <v>7</v>
      </c>
      <c r="E364">
        <v>10</v>
      </c>
      <c r="F364" s="32">
        <f t="shared" si="46"/>
        <v>3</v>
      </c>
      <c r="G364">
        <v>8</v>
      </c>
      <c r="H364">
        <v>9</v>
      </c>
      <c r="I364" s="32">
        <f t="shared" si="47"/>
        <v>1</v>
      </c>
      <c r="J364">
        <v>9</v>
      </c>
      <c r="K364">
        <v>10</v>
      </c>
      <c r="L364" s="32">
        <f t="shared" si="48"/>
        <v>1</v>
      </c>
      <c r="M364">
        <v>7</v>
      </c>
      <c r="N364">
        <v>10</v>
      </c>
      <c r="O364" s="32">
        <f t="shared" si="49"/>
        <v>3</v>
      </c>
      <c r="P364">
        <v>8</v>
      </c>
      <c r="Q364">
        <v>10</v>
      </c>
      <c r="R364" s="32">
        <f t="shared" si="50"/>
        <v>2</v>
      </c>
      <c r="S364">
        <v>7</v>
      </c>
      <c r="T364">
        <v>9</v>
      </c>
      <c r="U364" s="32">
        <f t="shared" si="51"/>
        <v>2</v>
      </c>
      <c r="V364">
        <v>8</v>
      </c>
      <c r="W364">
        <v>9</v>
      </c>
      <c r="X364" s="32">
        <f t="shared" si="52"/>
        <v>1</v>
      </c>
      <c r="Y364">
        <v>8</v>
      </c>
      <c r="Z364">
        <v>10</v>
      </c>
      <c r="AA364" s="32">
        <f t="shared" si="53"/>
        <v>2</v>
      </c>
    </row>
    <row r="365" spans="1:27" x14ac:dyDescent="0.45">
      <c r="A365">
        <v>7</v>
      </c>
      <c r="B365">
        <v>10</v>
      </c>
      <c r="C365" s="32">
        <f t="shared" si="45"/>
        <v>3</v>
      </c>
      <c r="D365">
        <v>7</v>
      </c>
      <c r="E365">
        <v>10</v>
      </c>
      <c r="F365" s="32">
        <f t="shared" si="46"/>
        <v>3</v>
      </c>
      <c r="G365">
        <v>8</v>
      </c>
      <c r="H365">
        <v>9</v>
      </c>
      <c r="I365" s="32">
        <f t="shared" si="47"/>
        <v>1</v>
      </c>
      <c r="J365">
        <v>9</v>
      </c>
      <c r="K365">
        <v>10</v>
      </c>
      <c r="L365" s="32">
        <f t="shared" si="48"/>
        <v>1</v>
      </c>
      <c r="M365">
        <v>7</v>
      </c>
      <c r="N365">
        <v>10</v>
      </c>
      <c r="O365" s="32">
        <f t="shared" si="49"/>
        <v>3</v>
      </c>
      <c r="P365">
        <v>8</v>
      </c>
      <c r="Q365">
        <v>10</v>
      </c>
      <c r="R365" s="32">
        <f t="shared" si="50"/>
        <v>2</v>
      </c>
      <c r="S365">
        <v>7</v>
      </c>
      <c r="T365">
        <v>9</v>
      </c>
      <c r="U365" s="32">
        <f t="shared" si="51"/>
        <v>2</v>
      </c>
      <c r="V365">
        <v>8</v>
      </c>
      <c r="W365">
        <v>9</v>
      </c>
      <c r="X365" s="32">
        <f t="shared" si="52"/>
        <v>1</v>
      </c>
      <c r="Y365">
        <v>8</v>
      </c>
      <c r="Z365">
        <v>10</v>
      </c>
      <c r="AA365" s="32">
        <f t="shared" si="53"/>
        <v>2</v>
      </c>
    </row>
    <row r="366" spans="1:27" x14ac:dyDescent="0.45">
      <c r="A366">
        <v>7</v>
      </c>
      <c r="B366">
        <v>10</v>
      </c>
      <c r="C366" s="32">
        <f t="shared" si="45"/>
        <v>3</v>
      </c>
      <c r="D366">
        <v>7</v>
      </c>
      <c r="E366">
        <v>10</v>
      </c>
      <c r="F366" s="32">
        <f t="shared" si="46"/>
        <v>3</v>
      </c>
      <c r="G366">
        <v>8</v>
      </c>
      <c r="H366">
        <v>9</v>
      </c>
      <c r="I366" s="32">
        <f t="shared" si="47"/>
        <v>1</v>
      </c>
      <c r="J366">
        <v>9</v>
      </c>
      <c r="K366">
        <v>10</v>
      </c>
      <c r="L366" s="32">
        <f t="shared" si="48"/>
        <v>1</v>
      </c>
      <c r="M366">
        <v>7</v>
      </c>
      <c r="N366">
        <v>10</v>
      </c>
      <c r="O366" s="32">
        <f t="shared" si="49"/>
        <v>3</v>
      </c>
      <c r="P366">
        <v>8</v>
      </c>
      <c r="Q366">
        <v>10</v>
      </c>
      <c r="R366" s="32">
        <f t="shared" si="50"/>
        <v>2</v>
      </c>
      <c r="S366">
        <v>7</v>
      </c>
      <c r="T366">
        <v>9</v>
      </c>
      <c r="U366" s="32">
        <f t="shared" si="51"/>
        <v>2</v>
      </c>
      <c r="V366">
        <v>8</v>
      </c>
      <c r="W366">
        <v>9</v>
      </c>
      <c r="X366" s="32">
        <f t="shared" si="52"/>
        <v>1</v>
      </c>
      <c r="Y366">
        <v>8</v>
      </c>
      <c r="Z366">
        <v>10</v>
      </c>
      <c r="AA366" s="32">
        <f t="shared" si="53"/>
        <v>2</v>
      </c>
    </row>
    <row r="367" spans="1:27" x14ac:dyDescent="0.45">
      <c r="A367">
        <v>7</v>
      </c>
      <c r="B367">
        <v>10</v>
      </c>
      <c r="C367" s="32">
        <f t="shared" si="45"/>
        <v>3</v>
      </c>
      <c r="D367">
        <v>7</v>
      </c>
      <c r="E367">
        <v>10</v>
      </c>
      <c r="F367" s="32">
        <f t="shared" si="46"/>
        <v>3</v>
      </c>
      <c r="G367">
        <v>8</v>
      </c>
      <c r="H367">
        <v>9</v>
      </c>
      <c r="I367" s="32">
        <f t="shared" si="47"/>
        <v>1</v>
      </c>
      <c r="J367">
        <v>9</v>
      </c>
      <c r="K367">
        <v>10</v>
      </c>
      <c r="L367" s="32">
        <f t="shared" si="48"/>
        <v>1</v>
      </c>
      <c r="M367">
        <v>7</v>
      </c>
      <c r="N367">
        <v>10</v>
      </c>
      <c r="O367" s="32">
        <f t="shared" si="49"/>
        <v>3</v>
      </c>
      <c r="P367">
        <v>8</v>
      </c>
      <c r="Q367">
        <v>10</v>
      </c>
      <c r="R367" s="32">
        <f t="shared" si="50"/>
        <v>2</v>
      </c>
      <c r="S367">
        <v>7</v>
      </c>
      <c r="T367">
        <v>10</v>
      </c>
      <c r="U367" s="32">
        <f t="shared" si="51"/>
        <v>3</v>
      </c>
      <c r="V367">
        <v>8</v>
      </c>
      <c r="W367">
        <v>9</v>
      </c>
      <c r="X367" s="32">
        <f t="shared" si="52"/>
        <v>1</v>
      </c>
      <c r="Y367">
        <v>8</v>
      </c>
      <c r="Z367">
        <v>10</v>
      </c>
      <c r="AA367" s="32">
        <f t="shared" si="53"/>
        <v>2</v>
      </c>
    </row>
    <row r="368" spans="1:27" x14ac:dyDescent="0.45">
      <c r="A368">
        <v>7</v>
      </c>
      <c r="B368">
        <v>10</v>
      </c>
      <c r="C368" s="32">
        <f t="shared" si="45"/>
        <v>3</v>
      </c>
      <c r="D368">
        <v>7</v>
      </c>
      <c r="E368">
        <v>10</v>
      </c>
      <c r="F368" s="32">
        <f t="shared" si="46"/>
        <v>3</v>
      </c>
      <c r="G368">
        <v>8</v>
      </c>
      <c r="H368">
        <v>9</v>
      </c>
      <c r="I368" s="32">
        <f t="shared" si="47"/>
        <v>1</v>
      </c>
      <c r="J368">
        <v>9</v>
      </c>
      <c r="K368">
        <v>10</v>
      </c>
      <c r="L368" s="32">
        <f t="shared" si="48"/>
        <v>1</v>
      </c>
      <c r="M368">
        <v>7</v>
      </c>
      <c r="N368">
        <v>10</v>
      </c>
      <c r="O368" s="32">
        <f t="shared" si="49"/>
        <v>3</v>
      </c>
      <c r="P368">
        <v>8</v>
      </c>
      <c r="Q368">
        <v>10</v>
      </c>
      <c r="R368" s="32">
        <f t="shared" si="50"/>
        <v>2</v>
      </c>
      <c r="S368">
        <v>7</v>
      </c>
      <c r="T368">
        <v>10</v>
      </c>
      <c r="U368" s="32">
        <f t="shared" si="51"/>
        <v>3</v>
      </c>
      <c r="V368">
        <v>8</v>
      </c>
      <c r="W368">
        <v>9</v>
      </c>
      <c r="X368" s="32">
        <f t="shared" si="52"/>
        <v>1</v>
      </c>
      <c r="Y368">
        <v>8</v>
      </c>
      <c r="Z368">
        <v>10</v>
      </c>
      <c r="AA368" s="32">
        <f t="shared" si="53"/>
        <v>2</v>
      </c>
    </row>
    <row r="369" spans="1:27" x14ac:dyDescent="0.45">
      <c r="A369">
        <v>7</v>
      </c>
      <c r="B369">
        <v>10</v>
      </c>
      <c r="C369" s="32">
        <f t="shared" si="45"/>
        <v>3</v>
      </c>
      <c r="D369">
        <v>7</v>
      </c>
      <c r="E369">
        <v>10</v>
      </c>
      <c r="F369" s="32">
        <f t="shared" si="46"/>
        <v>3</v>
      </c>
      <c r="G369">
        <v>8</v>
      </c>
      <c r="H369">
        <v>10</v>
      </c>
      <c r="I369" s="32">
        <f t="shared" si="47"/>
        <v>2</v>
      </c>
      <c r="J369">
        <v>9</v>
      </c>
      <c r="K369">
        <v>10</v>
      </c>
      <c r="L369" s="32">
        <f t="shared" si="48"/>
        <v>1</v>
      </c>
      <c r="M369">
        <v>7</v>
      </c>
      <c r="N369">
        <v>10</v>
      </c>
      <c r="O369" s="32">
        <f t="shared" si="49"/>
        <v>3</v>
      </c>
      <c r="P369">
        <v>8</v>
      </c>
      <c r="Q369">
        <v>10</v>
      </c>
      <c r="R369" s="32">
        <f t="shared" si="50"/>
        <v>2</v>
      </c>
      <c r="S369">
        <v>7</v>
      </c>
      <c r="T369">
        <v>10</v>
      </c>
      <c r="U369" s="32">
        <f t="shared" si="51"/>
        <v>3</v>
      </c>
      <c r="V369">
        <v>8</v>
      </c>
      <c r="W369">
        <v>9</v>
      </c>
      <c r="X369" s="32">
        <f t="shared" si="52"/>
        <v>1</v>
      </c>
      <c r="Y369">
        <v>8</v>
      </c>
      <c r="Z369">
        <v>10</v>
      </c>
      <c r="AA369" s="32">
        <f t="shared" si="53"/>
        <v>2</v>
      </c>
    </row>
    <row r="370" spans="1:27" x14ac:dyDescent="0.45">
      <c r="A370">
        <v>7</v>
      </c>
      <c r="B370">
        <v>10</v>
      </c>
      <c r="C370" s="32">
        <f t="shared" si="45"/>
        <v>3</v>
      </c>
      <c r="D370">
        <v>7</v>
      </c>
      <c r="E370">
        <v>10</v>
      </c>
      <c r="F370" s="32">
        <f t="shared" si="46"/>
        <v>3</v>
      </c>
      <c r="G370">
        <v>8</v>
      </c>
      <c r="H370">
        <v>10</v>
      </c>
      <c r="I370" s="32">
        <f t="shared" si="47"/>
        <v>2</v>
      </c>
      <c r="J370">
        <v>9</v>
      </c>
      <c r="K370">
        <v>10</v>
      </c>
      <c r="L370" s="32">
        <f t="shared" si="48"/>
        <v>1</v>
      </c>
      <c r="M370">
        <v>7</v>
      </c>
      <c r="N370">
        <v>10</v>
      </c>
      <c r="O370" s="32">
        <f t="shared" si="49"/>
        <v>3</v>
      </c>
      <c r="P370">
        <v>8</v>
      </c>
      <c r="Q370">
        <v>10</v>
      </c>
      <c r="R370" s="32">
        <f t="shared" si="50"/>
        <v>2</v>
      </c>
      <c r="S370">
        <v>7</v>
      </c>
      <c r="T370">
        <v>10</v>
      </c>
      <c r="U370" s="32">
        <f t="shared" si="51"/>
        <v>3</v>
      </c>
      <c r="V370">
        <v>8</v>
      </c>
      <c r="W370">
        <v>10</v>
      </c>
      <c r="X370" s="32">
        <f t="shared" si="52"/>
        <v>2</v>
      </c>
      <c r="Y370">
        <v>8</v>
      </c>
      <c r="Z370">
        <v>10</v>
      </c>
      <c r="AA370" s="32">
        <f t="shared" si="53"/>
        <v>2</v>
      </c>
    </row>
    <row r="371" spans="1:27" x14ac:dyDescent="0.45">
      <c r="A371">
        <v>7</v>
      </c>
      <c r="B371">
        <v>10</v>
      </c>
      <c r="C371" s="32">
        <f t="shared" si="45"/>
        <v>3</v>
      </c>
      <c r="D371">
        <v>7</v>
      </c>
      <c r="E371">
        <v>10</v>
      </c>
      <c r="F371" s="32">
        <f t="shared" si="46"/>
        <v>3</v>
      </c>
      <c r="G371">
        <v>8</v>
      </c>
      <c r="H371">
        <v>10</v>
      </c>
      <c r="I371" s="32">
        <f t="shared" si="47"/>
        <v>2</v>
      </c>
      <c r="J371">
        <v>9</v>
      </c>
      <c r="K371">
        <v>10</v>
      </c>
      <c r="L371" s="32">
        <f t="shared" si="48"/>
        <v>1</v>
      </c>
      <c r="M371">
        <v>7</v>
      </c>
      <c r="N371">
        <v>10</v>
      </c>
      <c r="O371" s="32">
        <f t="shared" si="49"/>
        <v>3</v>
      </c>
      <c r="P371">
        <v>8</v>
      </c>
      <c r="Q371">
        <v>10</v>
      </c>
      <c r="R371" s="32">
        <f t="shared" si="50"/>
        <v>2</v>
      </c>
      <c r="S371">
        <v>7</v>
      </c>
      <c r="T371">
        <v>10</v>
      </c>
      <c r="U371" s="32">
        <f t="shared" si="51"/>
        <v>3</v>
      </c>
      <c r="V371">
        <v>8</v>
      </c>
      <c r="W371">
        <v>10</v>
      </c>
      <c r="X371" s="32">
        <f t="shared" si="52"/>
        <v>2</v>
      </c>
      <c r="Y371">
        <v>8</v>
      </c>
      <c r="Z371">
        <v>10</v>
      </c>
      <c r="AA371" s="32">
        <f t="shared" si="53"/>
        <v>2</v>
      </c>
    </row>
    <row r="372" spans="1:27" x14ac:dyDescent="0.45">
      <c r="A372">
        <v>7</v>
      </c>
      <c r="B372">
        <v>10</v>
      </c>
      <c r="C372" s="32">
        <f t="shared" si="45"/>
        <v>3</v>
      </c>
      <c r="D372">
        <v>7</v>
      </c>
      <c r="E372">
        <v>10</v>
      </c>
      <c r="F372" s="32">
        <f t="shared" si="46"/>
        <v>3</v>
      </c>
      <c r="G372">
        <v>8</v>
      </c>
      <c r="H372">
        <v>10</v>
      </c>
      <c r="I372" s="32">
        <f t="shared" si="47"/>
        <v>2</v>
      </c>
      <c r="J372">
        <v>9</v>
      </c>
      <c r="K372">
        <v>10</v>
      </c>
      <c r="L372" s="32">
        <f t="shared" si="48"/>
        <v>1</v>
      </c>
      <c r="M372">
        <v>7</v>
      </c>
      <c r="N372">
        <v>10</v>
      </c>
      <c r="O372" s="32">
        <f t="shared" si="49"/>
        <v>3</v>
      </c>
      <c r="P372">
        <v>8</v>
      </c>
      <c r="Q372">
        <v>10</v>
      </c>
      <c r="R372" s="32">
        <f t="shared" si="50"/>
        <v>2</v>
      </c>
      <c r="S372">
        <v>7</v>
      </c>
      <c r="T372">
        <v>10</v>
      </c>
      <c r="U372" s="32">
        <f t="shared" si="51"/>
        <v>3</v>
      </c>
      <c r="V372">
        <v>8</v>
      </c>
      <c r="W372">
        <v>10</v>
      </c>
      <c r="X372" s="32">
        <f t="shared" si="52"/>
        <v>2</v>
      </c>
      <c r="Y372">
        <v>8</v>
      </c>
      <c r="Z372">
        <v>10</v>
      </c>
      <c r="AA372" s="32">
        <f t="shared" si="53"/>
        <v>2</v>
      </c>
    </row>
    <row r="373" spans="1:27" x14ac:dyDescent="0.45">
      <c r="A373">
        <v>7</v>
      </c>
      <c r="B373">
        <v>10</v>
      </c>
      <c r="C373" s="32">
        <f t="shared" si="45"/>
        <v>3</v>
      </c>
      <c r="D373">
        <v>7</v>
      </c>
      <c r="E373">
        <v>10</v>
      </c>
      <c r="F373" s="32">
        <f t="shared" si="46"/>
        <v>3</v>
      </c>
      <c r="G373">
        <v>8</v>
      </c>
      <c r="H373">
        <v>10</v>
      </c>
      <c r="I373" s="32">
        <f t="shared" si="47"/>
        <v>2</v>
      </c>
      <c r="J373">
        <v>9</v>
      </c>
      <c r="K373">
        <v>10</v>
      </c>
      <c r="L373" s="32">
        <f t="shared" si="48"/>
        <v>1</v>
      </c>
      <c r="M373">
        <v>7</v>
      </c>
      <c r="N373">
        <v>10</v>
      </c>
      <c r="O373" s="32">
        <f t="shared" si="49"/>
        <v>3</v>
      </c>
      <c r="P373">
        <v>8</v>
      </c>
      <c r="Q373">
        <v>10</v>
      </c>
      <c r="R373" s="32">
        <f t="shared" si="50"/>
        <v>2</v>
      </c>
      <c r="S373">
        <v>7</v>
      </c>
      <c r="T373">
        <v>10</v>
      </c>
      <c r="U373" s="32">
        <f t="shared" si="51"/>
        <v>3</v>
      </c>
      <c r="V373">
        <v>8</v>
      </c>
      <c r="W373">
        <v>10</v>
      </c>
      <c r="X373" s="32">
        <f t="shared" si="52"/>
        <v>2</v>
      </c>
      <c r="Y373">
        <v>8</v>
      </c>
      <c r="Z373">
        <v>10</v>
      </c>
      <c r="AA373" s="32">
        <f t="shared" si="53"/>
        <v>2</v>
      </c>
    </row>
    <row r="374" spans="1:27" x14ac:dyDescent="0.45">
      <c r="A374">
        <v>7</v>
      </c>
      <c r="B374">
        <v>10</v>
      </c>
      <c r="C374" s="32">
        <f t="shared" si="45"/>
        <v>3</v>
      </c>
      <c r="D374">
        <v>7</v>
      </c>
      <c r="E374">
        <v>10</v>
      </c>
      <c r="F374" s="32">
        <f t="shared" si="46"/>
        <v>3</v>
      </c>
      <c r="G374">
        <v>8</v>
      </c>
      <c r="H374">
        <v>10</v>
      </c>
      <c r="I374" s="32">
        <f t="shared" si="47"/>
        <v>2</v>
      </c>
      <c r="J374">
        <v>9</v>
      </c>
      <c r="K374">
        <v>10</v>
      </c>
      <c r="L374" s="32">
        <f t="shared" si="48"/>
        <v>1</v>
      </c>
      <c r="M374">
        <v>7</v>
      </c>
      <c r="N374">
        <v>10</v>
      </c>
      <c r="O374" s="32">
        <f t="shared" si="49"/>
        <v>3</v>
      </c>
      <c r="P374">
        <v>8</v>
      </c>
      <c r="Q374">
        <v>10</v>
      </c>
      <c r="R374" s="32">
        <f t="shared" si="50"/>
        <v>2</v>
      </c>
      <c r="S374">
        <v>7</v>
      </c>
      <c r="T374">
        <v>10</v>
      </c>
      <c r="U374" s="32">
        <f t="shared" si="51"/>
        <v>3</v>
      </c>
      <c r="V374">
        <v>8</v>
      </c>
      <c r="W374">
        <v>10</v>
      </c>
      <c r="X374" s="32">
        <f t="shared" si="52"/>
        <v>2</v>
      </c>
      <c r="Y374">
        <v>8</v>
      </c>
      <c r="Z374">
        <v>10</v>
      </c>
      <c r="AA374" s="32">
        <f t="shared" si="53"/>
        <v>2</v>
      </c>
    </row>
    <row r="375" spans="1:27" x14ac:dyDescent="0.45">
      <c r="A375">
        <v>7</v>
      </c>
      <c r="B375">
        <v>10</v>
      </c>
      <c r="C375" s="32">
        <f t="shared" si="45"/>
        <v>3</v>
      </c>
      <c r="D375">
        <v>7</v>
      </c>
      <c r="E375">
        <v>10</v>
      </c>
      <c r="F375" s="32">
        <f t="shared" si="46"/>
        <v>3</v>
      </c>
      <c r="G375">
        <v>8</v>
      </c>
      <c r="H375">
        <v>10</v>
      </c>
      <c r="I375" s="32">
        <f t="shared" si="47"/>
        <v>2</v>
      </c>
      <c r="J375">
        <v>9</v>
      </c>
      <c r="K375">
        <v>10</v>
      </c>
      <c r="L375" s="32">
        <f t="shared" si="48"/>
        <v>1</v>
      </c>
      <c r="M375">
        <v>7</v>
      </c>
      <c r="N375">
        <v>10</v>
      </c>
      <c r="O375" s="32">
        <f t="shared" si="49"/>
        <v>3</v>
      </c>
      <c r="P375">
        <v>8</v>
      </c>
      <c r="Q375">
        <v>10</v>
      </c>
      <c r="R375" s="32">
        <f t="shared" si="50"/>
        <v>2</v>
      </c>
      <c r="S375">
        <v>7</v>
      </c>
      <c r="T375">
        <v>10</v>
      </c>
      <c r="U375" s="32">
        <f t="shared" si="51"/>
        <v>3</v>
      </c>
      <c r="V375">
        <v>8</v>
      </c>
      <c r="W375">
        <v>10</v>
      </c>
      <c r="X375" s="32">
        <f t="shared" si="52"/>
        <v>2</v>
      </c>
      <c r="Y375">
        <v>8</v>
      </c>
      <c r="Z375">
        <v>10</v>
      </c>
      <c r="AA375" s="32">
        <f t="shared" si="53"/>
        <v>2</v>
      </c>
    </row>
    <row r="376" spans="1:27" x14ac:dyDescent="0.45">
      <c r="A376">
        <v>7</v>
      </c>
      <c r="B376">
        <v>10</v>
      </c>
      <c r="C376" s="32">
        <f t="shared" si="45"/>
        <v>3</v>
      </c>
      <c r="D376">
        <v>7</v>
      </c>
      <c r="E376">
        <v>10</v>
      </c>
      <c r="F376" s="32">
        <f t="shared" si="46"/>
        <v>3</v>
      </c>
      <c r="G376">
        <v>8</v>
      </c>
      <c r="H376">
        <v>10</v>
      </c>
      <c r="I376" s="32">
        <f t="shared" si="47"/>
        <v>2</v>
      </c>
      <c r="J376">
        <v>9</v>
      </c>
      <c r="K376">
        <v>10</v>
      </c>
      <c r="L376" s="32">
        <f t="shared" si="48"/>
        <v>1</v>
      </c>
      <c r="M376">
        <v>8</v>
      </c>
      <c r="N376">
        <v>10</v>
      </c>
      <c r="O376" s="32">
        <f t="shared" si="49"/>
        <v>2</v>
      </c>
      <c r="P376">
        <v>8</v>
      </c>
      <c r="Q376">
        <v>10</v>
      </c>
      <c r="R376" s="32">
        <f t="shared" si="50"/>
        <v>2</v>
      </c>
      <c r="S376">
        <v>7</v>
      </c>
      <c r="T376">
        <v>10</v>
      </c>
      <c r="U376" s="32">
        <f t="shared" si="51"/>
        <v>3</v>
      </c>
      <c r="V376">
        <v>8</v>
      </c>
      <c r="W376">
        <v>10</v>
      </c>
      <c r="X376" s="32">
        <f t="shared" si="52"/>
        <v>2</v>
      </c>
      <c r="Y376">
        <v>8</v>
      </c>
      <c r="Z376">
        <v>10</v>
      </c>
      <c r="AA376" s="32">
        <f t="shared" si="53"/>
        <v>2</v>
      </c>
    </row>
    <row r="377" spans="1:27" x14ac:dyDescent="0.45">
      <c r="A377">
        <v>7</v>
      </c>
      <c r="B377">
        <v>10</v>
      </c>
      <c r="C377" s="32">
        <f t="shared" si="45"/>
        <v>3</v>
      </c>
      <c r="D377">
        <v>7</v>
      </c>
      <c r="E377">
        <v>10</v>
      </c>
      <c r="F377" s="32">
        <f t="shared" si="46"/>
        <v>3</v>
      </c>
      <c r="G377">
        <v>8</v>
      </c>
      <c r="H377">
        <v>10</v>
      </c>
      <c r="I377" s="32">
        <f t="shared" si="47"/>
        <v>2</v>
      </c>
      <c r="J377">
        <v>9</v>
      </c>
      <c r="K377">
        <v>10</v>
      </c>
      <c r="L377" s="32">
        <f t="shared" si="48"/>
        <v>1</v>
      </c>
      <c r="M377">
        <v>8</v>
      </c>
      <c r="N377">
        <v>10</v>
      </c>
      <c r="O377" s="32">
        <f t="shared" si="49"/>
        <v>2</v>
      </c>
      <c r="P377">
        <v>8</v>
      </c>
      <c r="Q377">
        <v>10</v>
      </c>
      <c r="R377" s="32">
        <f t="shared" si="50"/>
        <v>2</v>
      </c>
      <c r="S377">
        <v>7</v>
      </c>
      <c r="T377">
        <v>10</v>
      </c>
      <c r="U377" s="32">
        <f t="shared" si="51"/>
        <v>3</v>
      </c>
      <c r="V377">
        <v>8</v>
      </c>
      <c r="W377">
        <v>10</v>
      </c>
      <c r="X377" s="32">
        <f t="shared" si="52"/>
        <v>2</v>
      </c>
      <c r="Y377">
        <v>9</v>
      </c>
      <c r="Z377">
        <v>10</v>
      </c>
      <c r="AA377" s="32">
        <f t="shared" si="53"/>
        <v>1</v>
      </c>
    </row>
    <row r="378" spans="1:27" x14ac:dyDescent="0.45">
      <c r="A378">
        <v>7</v>
      </c>
      <c r="B378">
        <v>10</v>
      </c>
      <c r="C378" s="32">
        <f t="shared" si="45"/>
        <v>3</v>
      </c>
      <c r="D378">
        <v>7</v>
      </c>
      <c r="E378">
        <v>10</v>
      </c>
      <c r="F378" s="32">
        <f t="shared" si="46"/>
        <v>3</v>
      </c>
      <c r="G378">
        <v>8</v>
      </c>
      <c r="H378">
        <v>10</v>
      </c>
      <c r="I378" s="32">
        <f t="shared" si="47"/>
        <v>2</v>
      </c>
      <c r="J378">
        <v>9</v>
      </c>
      <c r="K378">
        <v>10</v>
      </c>
      <c r="L378" s="32">
        <f t="shared" si="48"/>
        <v>1</v>
      </c>
      <c r="M378">
        <v>8</v>
      </c>
      <c r="N378">
        <v>10</v>
      </c>
      <c r="O378" s="32">
        <f t="shared" si="49"/>
        <v>2</v>
      </c>
      <c r="P378">
        <v>8</v>
      </c>
      <c r="Q378">
        <v>10</v>
      </c>
      <c r="R378" s="32">
        <f t="shared" si="50"/>
        <v>2</v>
      </c>
      <c r="S378">
        <v>7</v>
      </c>
      <c r="T378">
        <v>10</v>
      </c>
      <c r="U378" s="32">
        <f t="shared" si="51"/>
        <v>3</v>
      </c>
      <c r="V378">
        <v>8</v>
      </c>
      <c r="W378">
        <v>10</v>
      </c>
      <c r="X378" s="32">
        <f t="shared" si="52"/>
        <v>2</v>
      </c>
      <c r="Y378">
        <v>9</v>
      </c>
      <c r="Z378">
        <v>10</v>
      </c>
      <c r="AA378" s="32">
        <f t="shared" si="53"/>
        <v>1</v>
      </c>
    </row>
    <row r="379" spans="1:27" x14ac:dyDescent="0.45">
      <c r="A379">
        <v>7</v>
      </c>
      <c r="B379">
        <v>10</v>
      </c>
      <c r="C379" s="32">
        <f t="shared" si="45"/>
        <v>3</v>
      </c>
      <c r="D379">
        <v>7</v>
      </c>
      <c r="E379">
        <v>10</v>
      </c>
      <c r="F379" s="32">
        <f t="shared" si="46"/>
        <v>3</v>
      </c>
      <c r="G379">
        <v>8</v>
      </c>
      <c r="H379">
        <v>10</v>
      </c>
      <c r="I379" s="32">
        <f t="shared" si="47"/>
        <v>2</v>
      </c>
      <c r="J379">
        <v>9</v>
      </c>
      <c r="K379">
        <v>10</v>
      </c>
      <c r="L379" s="32">
        <f t="shared" si="48"/>
        <v>1</v>
      </c>
      <c r="M379">
        <v>8</v>
      </c>
      <c r="N379">
        <v>10</v>
      </c>
      <c r="O379" s="32">
        <f t="shared" si="49"/>
        <v>2</v>
      </c>
      <c r="P379">
        <v>8</v>
      </c>
      <c r="Q379">
        <v>10</v>
      </c>
      <c r="R379" s="32">
        <f t="shared" si="50"/>
        <v>2</v>
      </c>
      <c r="S379">
        <v>7</v>
      </c>
      <c r="T379">
        <v>10</v>
      </c>
      <c r="U379" s="32">
        <f t="shared" si="51"/>
        <v>3</v>
      </c>
      <c r="V379">
        <v>8</v>
      </c>
      <c r="W379">
        <v>10</v>
      </c>
      <c r="X379" s="32">
        <f t="shared" si="52"/>
        <v>2</v>
      </c>
      <c r="Y379">
        <v>9</v>
      </c>
      <c r="Z379">
        <v>10</v>
      </c>
      <c r="AA379" s="32">
        <f t="shared" si="53"/>
        <v>1</v>
      </c>
    </row>
    <row r="380" spans="1:27" x14ac:dyDescent="0.45">
      <c r="A380">
        <v>7</v>
      </c>
      <c r="B380">
        <v>10</v>
      </c>
      <c r="C380" s="32">
        <f t="shared" si="45"/>
        <v>3</v>
      </c>
      <c r="D380">
        <v>7</v>
      </c>
      <c r="E380">
        <v>10</v>
      </c>
      <c r="F380" s="32">
        <f t="shared" si="46"/>
        <v>3</v>
      </c>
      <c r="G380">
        <v>8</v>
      </c>
      <c r="H380">
        <v>10</v>
      </c>
      <c r="I380" s="32">
        <f t="shared" si="47"/>
        <v>2</v>
      </c>
      <c r="J380">
        <v>9</v>
      </c>
      <c r="K380">
        <v>10</v>
      </c>
      <c r="L380" s="32">
        <f t="shared" si="48"/>
        <v>1</v>
      </c>
      <c r="M380">
        <v>8</v>
      </c>
      <c r="N380">
        <v>10</v>
      </c>
      <c r="O380" s="32">
        <f t="shared" si="49"/>
        <v>2</v>
      </c>
      <c r="P380">
        <v>8</v>
      </c>
      <c r="Q380">
        <v>10</v>
      </c>
      <c r="R380" s="32">
        <f t="shared" si="50"/>
        <v>2</v>
      </c>
      <c r="S380">
        <v>7</v>
      </c>
      <c r="T380">
        <v>10</v>
      </c>
      <c r="U380" s="32">
        <f t="shared" si="51"/>
        <v>3</v>
      </c>
      <c r="V380">
        <v>8</v>
      </c>
      <c r="W380">
        <v>10</v>
      </c>
      <c r="X380" s="32">
        <f t="shared" si="52"/>
        <v>2</v>
      </c>
      <c r="Y380">
        <v>9</v>
      </c>
      <c r="Z380">
        <v>10</v>
      </c>
      <c r="AA380" s="32">
        <f t="shared" si="53"/>
        <v>1</v>
      </c>
    </row>
    <row r="381" spans="1:27" x14ac:dyDescent="0.45">
      <c r="A381">
        <v>7</v>
      </c>
      <c r="B381">
        <v>10</v>
      </c>
      <c r="C381" s="32">
        <f t="shared" si="45"/>
        <v>3</v>
      </c>
      <c r="D381">
        <v>7</v>
      </c>
      <c r="E381">
        <v>10</v>
      </c>
      <c r="F381" s="32">
        <f t="shared" si="46"/>
        <v>3</v>
      </c>
      <c r="G381">
        <v>8</v>
      </c>
      <c r="H381">
        <v>10</v>
      </c>
      <c r="I381" s="32">
        <f t="shared" si="47"/>
        <v>2</v>
      </c>
      <c r="J381">
        <v>9</v>
      </c>
      <c r="K381">
        <v>10</v>
      </c>
      <c r="L381" s="32">
        <f t="shared" si="48"/>
        <v>1</v>
      </c>
      <c r="M381">
        <v>8</v>
      </c>
      <c r="N381">
        <v>10</v>
      </c>
      <c r="O381" s="32">
        <f t="shared" si="49"/>
        <v>2</v>
      </c>
      <c r="P381">
        <v>8</v>
      </c>
      <c r="Q381">
        <v>10</v>
      </c>
      <c r="R381" s="32">
        <f t="shared" si="50"/>
        <v>2</v>
      </c>
      <c r="S381">
        <v>7</v>
      </c>
      <c r="T381">
        <v>10</v>
      </c>
      <c r="U381" s="32">
        <f t="shared" si="51"/>
        <v>3</v>
      </c>
      <c r="V381">
        <v>8</v>
      </c>
      <c r="W381">
        <v>10</v>
      </c>
      <c r="X381" s="32">
        <f t="shared" si="52"/>
        <v>2</v>
      </c>
      <c r="Y381">
        <v>9</v>
      </c>
      <c r="Z381">
        <v>10</v>
      </c>
      <c r="AA381" s="32">
        <f t="shared" si="53"/>
        <v>1</v>
      </c>
    </row>
    <row r="382" spans="1:27" x14ac:dyDescent="0.45">
      <c r="A382">
        <v>7</v>
      </c>
      <c r="B382">
        <v>10</v>
      </c>
      <c r="C382" s="32">
        <f t="shared" si="45"/>
        <v>3</v>
      </c>
      <c r="D382">
        <v>7</v>
      </c>
      <c r="E382">
        <v>10</v>
      </c>
      <c r="F382" s="32">
        <f t="shared" si="46"/>
        <v>3</v>
      </c>
      <c r="G382">
        <v>8</v>
      </c>
      <c r="H382">
        <v>10</v>
      </c>
      <c r="I382" s="32">
        <f t="shared" si="47"/>
        <v>2</v>
      </c>
      <c r="J382">
        <v>9</v>
      </c>
      <c r="K382">
        <v>10</v>
      </c>
      <c r="L382" s="32">
        <f t="shared" si="48"/>
        <v>1</v>
      </c>
      <c r="M382">
        <v>8</v>
      </c>
      <c r="N382">
        <v>10</v>
      </c>
      <c r="O382" s="32">
        <f t="shared" si="49"/>
        <v>2</v>
      </c>
      <c r="P382">
        <v>8</v>
      </c>
      <c r="Q382">
        <v>10</v>
      </c>
      <c r="R382" s="32">
        <f t="shared" si="50"/>
        <v>2</v>
      </c>
      <c r="S382">
        <v>7</v>
      </c>
      <c r="T382">
        <v>10</v>
      </c>
      <c r="U382" s="32">
        <f t="shared" si="51"/>
        <v>3</v>
      </c>
      <c r="V382">
        <v>8</v>
      </c>
      <c r="W382">
        <v>10</v>
      </c>
      <c r="X382" s="32">
        <f t="shared" si="52"/>
        <v>2</v>
      </c>
      <c r="Y382">
        <v>9</v>
      </c>
      <c r="Z382">
        <v>10</v>
      </c>
      <c r="AA382" s="32">
        <f t="shared" si="53"/>
        <v>1</v>
      </c>
    </row>
    <row r="383" spans="1:27" x14ac:dyDescent="0.45">
      <c r="A383">
        <v>7</v>
      </c>
      <c r="B383">
        <v>10</v>
      </c>
      <c r="C383" s="32">
        <f t="shared" si="45"/>
        <v>3</v>
      </c>
      <c r="D383">
        <v>7</v>
      </c>
      <c r="E383">
        <v>10</v>
      </c>
      <c r="F383" s="32">
        <f t="shared" si="46"/>
        <v>3</v>
      </c>
      <c r="G383">
        <v>8</v>
      </c>
      <c r="H383">
        <v>10</v>
      </c>
      <c r="I383" s="32">
        <f t="shared" si="47"/>
        <v>2</v>
      </c>
      <c r="J383">
        <v>9</v>
      </c>
      <c r="K383">
        <v>10</v>
      </c>
      <c r="L383" s="32">
        <f t="shared" si="48"/>
        <v>1</v>
      </c>
      <c r="M383">
        <v>8</v>
      </c>
      <c r="N383">
        <v>10</v>
      </c>
      <c r="O383" s="32">
        <f t="shared" si="49"/>
        <v>2</v>
      </c>
      <c r="P383">
        <v>8</v>
      </c>
      <c r="Q383">
        <v>10</v>
      </c>
      <c r="R383" s="32">
        <f t="shared" si="50"/>
        <v>2</v>
      </c>
      <c r="S383">
        <v>7</v>
      </c>
      <c r="T383">
        <v>10</v>
      </c>
      <c r="U383" s="32">
        <f t="shared" si="51"/>
        <v>3</v>
      </c>
      <c r="V383">
        <v>8</v>
      </c>
      <c r="W383">
        <v>10</v>
      </c>
      <c r="X383" s="32">
        <f t="shared" si="52"/>
        <v>2</v>
      </c>
      <c r="Y383">
        <v>9</v>
      </c>
      <c r="Z383">
        <v>10</v>
      </c>
      <c r="AA383" s="32">
        <f t="shared" si="53"/>
        <v>1</v>
      </c>
    </row>
    <row r="384" spans="1:27" x14ac:dyDescent="0.45">
      <c r="A384">
        <v>7</v>
      </c>
      <c r="B384">
        <v>10</v>
      </c>
      <c r="C384" s="32">
        <f t="shared" si="45"/>
        <v>3</v>
      </c>
      <c r="D384">
        <v>7</v>
      </c>
      <c r="E384">
        <v>10</v>
      </c>
      <c r="F384" s="32">
        <f t="shared" si="46"/>
        <v>3</v>
      </c>
      <c r="G384">
        <v>8</v>
      </c>
      <c r="H384">
        <v>10</v>
      </c>
      <c r="I384" s="32">
        <f t="shared" si="47"/>
        <v>2</v>
      </c>
      <c r="J384">
        <v>9</v>
      </c>
      <c r="K384">
        <v>10</v>
      </c>
      <c r="L384" s="32">
        <f t="shared" si="48"/>
        <v>1</v>
      </c>
      <c r="M384">
        <v>8</v>
      </c>
      <c r="N384">
        <v>10</v>
      </c>
      <c r="O384" s="32">
        <f t="shared" si="49"/>
        <v>2</v>
      </c>
      <c r="P384">
        <v>8</v>
      </c>
      <c r="Q384">
        <v>10</v>
      </c>
      <c r="R384" s="32">
        <f t="shared" si="50"/>
        <v>2</v>
      </c>
      <c r="S384">
        <v>7</v>
      </c>
      <c r="T384">
        <v>10</v>
      </c>
      <c r="U384" s="32">
        <f t="shared" si="51"/>
        <v>3</v>
      </c>
      <c r="V384">
        <v>8</v>
      </c>
      <c r="W384">
        <v>10</v>
      </c>
      <c r="X384" s="32">
        <f t="shared" si="52"/>
        <v>2</v>
      </c>
      <c r="Y384">
        <v>9</v>
      </c>
      <c r="Z384">
        <v>10</v>
      </c>
      <c r="AA384" s="32">
        <f t="shared" si="53"/>
        <v>1</v>
      </c>
    </row>
    <row r="385" spans="1:27" x14ac:dyDescent="0.45">
      <c r="A385">
        <v>7</v>
      </c>
      <c r="B385">
        <v>10</v>
      </c>
      <c r="C385" s="32">
        <f t="shared" si="45"/>
        <v>3</v>
      </c>
      <c r="D385">
        <v>7</v>
      </c>
      <c r="E385">
        <v>10</v>
      </c>
      <c r="F385" s="32">
        <f t="shared" si="46"/>
        <v>3</v>
      </c>
      <c r="G385">
        <v>8</v>
      </c>
      <c r="H385">
        <v>10</v>
      </c>
      <c r="I385" s="32">
        <f t="shared" si="47"/>
        <v>2</v>
      </c>
      <c r="J385">
        <v>9</v>
      </c>
      <c r="K385">
        <v>10</v>
      </c>
      <c r="L385" s="32">
        <f t="shared" si="48"/>
        <v>1</v>
      </c>
      <c r="M385">
        <v>8</v>
      </c>
      <c r="N385">
        <v>10</v>
      </c>
      <c r="O385" s="32">
        <f t="shared" si="49"/>
        <v>2</v>
      </c>
      <c r="P385">
        <v>8</v>
      </c>
      <c r="Q385">
        <v>10</v>
      </c>
      <c r="R385" s="32">
        <f t="shared" si="50"/>
        <v>2</v>
      </c>
      <c r="S385">
        <v>7</v>
      </c>
      <c r="T385">
        <v>10</v>
      </c>
      <c r="U385" s="32">
        <f t="shared" si="51"/>
        <v>3</v>
      </c>
      <c r="V385">
        <v>8</v>
      </c>
      <c r="W385">
        <v>10</v>
      </c>
      <c r="X385" s="32">
        <f t="shared" si="52"/>
        <v>2</v>
      </c>
      <c r="Y385">
        <v>9</v>
      </c>
      <c r="Z385">
        <v>10</v>
      </c>
      <c r="AA385" s="32">
        <f t="shared" si="53"/>
        <v>1</v>
      </c>
    </row>
    <row r="386" spans="1:27" x14ac:dyDescent="0.45">
      <c r="A386">
        <v>7</v>
      </c>
      <c r="B386">
        <v>10</v>
      </c>
      <c r="C386" s="32">
        <f t="shared" si="45"/>
        <v>3</v>
      </c>
      <c r="D386">
        <v>7</v>
      </c>
      <c r="E386">
        <v>10</v>
      </c>
      <c r="F386" s="32">
        <f t="shared" si="46"/>
        <v>3</v>
      </c>
      <c r="G386">
        <v>8</v>
      </c>
      <c r="H386">
        <v>10</v>
      </c>
      <c r="I386" s="32">
        <f t="shared" si="47"/>
        <v>2</v>
      </c>
      <c r="J386">
        <v>9</v>
      </c>
      <c r="K386">
        <v>10</v>
      </c>
      <c r="L386" s="32">
        <f t="shared" si="48"/>
        <v>1</v>
      </c>
      <c r="M386">
        <v>8</v>
      </c>
      <c r="N386">
        <v>10</v>
      </c>
      <c r="O386" s="32">
        <f t="shared" si="49"/>
        <v>2</v>
      </c>
      <c r="P386">
        <v>8</v>
      </c>
      <c r="Q386">
        <v>10</v>
      </c>
      <c r="R386" s="32">
        <f t="shared" si="50"/>
        <v>2</v>
      </c>
      <c r="S386">
        <v>7</v>
      </c>
      <c r="T386">
        <v>10</v>
      </c>
      <c r="U386" s="32">
        <f t="shared" si="51"/>
        <v>3</v>
      </c>
      <c r="V386">
        <v>8</v>
      </c>
      <c r="W386">
        <v>10</v>
      </c>
      <c r="X386" s="32">
        <f t="shared" si="52"/>
        <v>2</v>
      </c>
      <c r="Y386">
        <v>9</v>
      </c>
      <c r="Z386">
        <v>10</v>
      </c>
      <c r="AA386" s="32">
        <f t="shared" si="53"/>
        <v>1</v>
      </c>
    </row>
    <row r="387" spans="1:27" x14ac:dyDescent="0.45">
      <c r="A387">
        <v>7</v>
      </c>
      <c r="B387">
        <v>10</v>
      </c>
      <c r="C387" s="32">
        <f t="shared" ref="C387:C404" si="54">ABS(B387-A387)</f>
        <v>3</v>
      </c>
      <c r="D387">
        <v>7</v>
      </c>
      <c r="E387">
        <v>10</v>
      </c>
      <c r="F387" s="32">
        <f t="shared" ref="F387:F404" si="55">ABS(E387-D387)</f>
        <v>3</v>
      </c>
      <c r="G387">
        <v>8</v>
      </c>
      <c r="H387">
        <v>10</v>
      </c>
      <c r="I387" s="32">
        <f t="shared" ref="I387:I404" si="56">ABS(H387-G387)</f>
        <v>2</v>
      </c>
      <c r="J387">
        <v>9</v>
      </c>
      <c r="K387">
        <v>10</v>
      </c>
      <c r="L387" s="32">
        <f t="shared" ref="L387:L404" si="57">ABS(K387-J387)</f>
        <v>1</v>
      </c>
      <c r="M387">
        <v>8</v>
      </c>
      <c r="N387">
        <v>10</v>
      </c>
      <c r="O387" s="32">
        <f t="shared" ref="O387:O404" si="58">ABS(N387-M387)</f>
        <v>2</v>
      </c>
      <c r="P387">
        <v>8</v>
      </c>
      <c r="Q387">
        <v>10</v>
      </c>
      <c r="R387" s="32">
        <f t="shared" ref="R387:R404" si="59">ABS(Q387-P387)</f>
        <v>2</v>
      </c>
      <c r="S387">
        <v>7</v>
      </c>
      <c r="T387">
        <v>10</v>
      </c>
      <c r="U387" s="32">
        <f t="shared" ref="U387:U404" si="60">ABS(T387-S387)</f>
        <v>3</v>
      </c>
      <c r="V387">
        <v>8</v>
      </c>
      <c r="W387">
        <v>10</v>
      </c>
      <c r="X387" s="32">
        <f t="shared" ref="X387:X404" si="61">ABS(W387-V387)</f>
        <v>2</v>
      </c>
      <c r="Y387">
        <v>9</v>
      </c>
      <c r="Z387">
        <v>10</v>
      </c>
      <c r="AA387" s="32">
        <f t="shared" ref="AA387:AA404" si="62">ABS(Z387-Y387)</f>
        <v>1</v>
      </c>
    </row>
    <row r="388" spans="1:27" x14ac:dyDescent="0.45">
      <c r="A388">
        <v>7</v>
      </c>
      <c r="B388">
        <v>10</v>
      </c>
      <c r="C388" s="32">
        <f t="shared" si="54"/>
        <v>3</v>
      </c>
      <c r="D388">
        <v>7</v>
      </c>
      <c r="E388">
        <v>10</v>
      </c>
      <c r="F388" s="32">
        <f t="shared" si="55"/>
        <v>3</v>
      </c>
      <c r="G388">
        <v>8</v>
      </c>
      <c r="H388">
        <v>10</v>
      </c>
      <c r="I388" s="32">
        <f t="shared" si="56"/>
        <v>2</v>
      </c>
      <c r="J388">
        <v>9</v>
      </c>
      <c r="K388">
        <v>10</v>
      </c>
      <c r="L388" s="32">
        <f t="shared" si="57"/>
        <v>1</v>
      </c>
      <c r="M388">
        <v>8</v>
      </c>
      <c r="N388">
        <v>10</v>
      </c>
      <c r="O388" s="32">
        <f t="shared" si="58"/>
        <v>2</v>
      </c>
      <c r="P388">
        <v>8</v>
      </c>
      <c r="Q388">
        <v>10</v>
      </c>
      <c r="R388" s="32">
        <f t="shared" si="59"/>
        <v>2</v>
      </c>
      <c r="S388">
        <v>7</v>
      </c>
      <c r="T388">
        <v>10</v>
      </c>
      <c r="U388" s="32">
        <f t="shared" si="60"/>
        <v>3</v>
      </c>
      <c r="V388">
        <v>8</v>
      </c>
      <c r="W388">
        <v>10</v>
      </c>
      <c r="X388" s="32">
        <f t="shared" si="61"/>
        <v>2</v>
      </c>
      <c r="Y388">
        <v>9</v>
      </c>
      <c r="Z388">
        <v>10</v>
      </c>
      <c r="AA388" s="32">
        <f t="shared" si="62"/>
        <v>1</v>
      </c>
    </row>
    <row r="389" spans="1:27" x14ac:dyDescent="0.45">
      <c r="A389">
        <v>7</v>
      </c>
      <c r="B389">
        <v>10</v>
      </c>
      <c r="C389" s="32">
        <f t="shared" si="54"/>
        <v>3</v>
      </c>
      <c r="D389">
        <v>7</v>
      </c>
      <c r="E389">
        <v>10</v>
      </c>
      <c r="F389" s="32">
        <f t="shared" si="55"/>
        <v>3</v>
      </c>
      <c r="G389">
        <v>9</v>
      </c>
      <c r="H389">
        <v>10</v>
      </c>
      <c r="I389" s="32">
        <f t="shared" si="56"/>
        <v>1</v>
      </c>
      <c r="J389">
        <v>9</v>
      </c>
      <c r="K389">
        <v>10</v>
      </c>
      <c r="L389" s="32">
        <f t="shared" si="57"/>
        <v>1</v>
      </c>
      <c r="M389">
        <v>8</v>
      </c>
      <c r="N389">
        <v>10</v>
      </c>
      <c r="O389" s="32">
        <f t="shared" si="58"/>
        <v>2</v>
      </c>
      <c r="P389">
        <v>8</v>
      </c>
      <c r="Q389">
        <v>10</v>
      </c>
      <c r="R389" s="32">
        <f t="shared" si="59"/>
        <v>2</v>
      </c>
      <c r="S389">
        <v>7</v>
      </c>
      <c r="T389">
        <v>10</v>
      </c>
      <c r="U389" s="32">
        <f t="shared" si="60"/>
        <v>3</v>
      </c>
      <c r="V389">
        <v>8</v>
      </c>
      <c r="W389">
        <v>10</v>
      </c>
      <c r="X389" s="32">
        <f t="shared" si="61"/>
        <v>2</v>
      </c>
      <c r="Y389">
        <v>9</v>
      </c>
      <c r="Z389">
        <v>10</v>
      </c>
      <c r="AA389" s="32">
        <f t="shared" si="62"/>
        <v>1</v>
      </c>
    </row>
    <row r="390" spans="1:27" x14ac:dyDescent="0.45">
      <c r="A390">
        <v>7</v>
      </c>
      <c r="B390">
        <v>10</v>
      </c>
      <c r="C390" s="32">
        <f t="shared" si="54"/>
        <v>3</v>
      </c>
      <c r="D390">
        <v>7</v>
      </c>
      <c r="E390">
        <v>10</v>
      </c>
      <c r="F390" s="32">
        <f t="shared" si="55"/>
        <v>3</v>
      </c>
      <c r="G390">
        <v>9</v>
      </c>
      <c r="H390">
        <v>10</v>
      </c>
      <c r="I390" s="32">
        <f t="shared" si="56"/>
        <v>1</v>
      </c>
      <c r="J390">
        <v>9</v>
      </c>
      <c r="K390">
        <v>10</v>
      </c>
      <c r="L390" s="32">
        <f t="shared" si="57"/>
        <v>1</v>
      </c>
      <c r="M390">
        <v>8</v>
      </c>
      <c r="N390">
        <v>10</v>
      </c>
      <c r="O390" s="32">
        <f t="shared" si="58"/>
        <v>2</v>
      </c>
      <c r="P390">
        <v>8</v>
      </c>
      <c r="Q390">
        <v>10</v>
      </c>
      <c r="R390" s="32">
        <f t="shared" si="59"/>
        <v>2</v>
      </c>
      <c r="S390">
        <v>7</v>
      </c>
      <c r="T390">
        <v>10</v>
      </c>
      <c r="U390" s="32">
        <f t="shared" si="60"/>
        <v>3</v>
      </c>
      <c r="V390">
        <v>8</v>
      </c>
      <c r="W390">
        <v>10</v>
      </c>
      <c r="X390" s="32">
        <f t="shared" si="61"/>
        <v>2</v>
      </c>
      <c r="Y390">
        <v>9</v>
      </c>
      <c r="Z390">
        <v>10</v>
      </c>
      <c r="AA390" s="32">
        <f t="shared" si="62"/>
        <v>1</v>
      </c>
    </row>
    <row r="391" spans="1:27" x14ac:dyDescent="0.45">
      <c r="A391">
        <v>7</v>
      </c>
      <c r="B391">
        <v>10</v>
      </c>
      <c r="C391" s="32">
        <f t="shared" si="54"/>
        <v>3</v>
      </c>
      <c r="D391">
        <v>7</v>
      </c>
      <c r="E391">
        <v>10</v>
      </c>
      <c r="F391" s="32">
        <f t="shared" si="55"/>
        <v>3</v>
      </c>
      <c r="G391">
        <v>9</v>
      </c>
      <c r="H391">
        <v>10</v>
      </c>
      <c r="I391" s="32">
        <f t="shared" si="56"/>
        <v>1</v>
      </c>
      <c r="J391">
        <v>9</v>
      </c>
      <c r="K391">
        <v>10</v>
      </c>
      <c r="L391" s="32">
        <f t="shared" si="57"/>
        <v>1</v>
      </c>
      <c r="M391">
        <v>8</v>
      </c>
      <c r="N391">
        <v>10</v>
      </c>
      <c r="O391" s="32">
        <f t="shared" si="58"/>
        <v>2</v>
      </c>
      <c r="P391">
        <v>8</v>
      </c>
      <c r="Q391">
        <v>10</v>
      </c>
      <c r="R391" s="32">
        <f t="shared" si="59"/>
        <v>2</v>
      </c>
      <c r="S391">
        <v>7</v>
      </c>
      <c r="T391">
        <v>10</v>
      </c>
      <c r="U391" s="32">
        <f t="shared" si="60"/>
        <v>3</v>
      </c>
      <c r="V391">
        <v>8</v>
      </c>
      <c r="W391">
        <v>10</v>
      </c>
      <c r="X391" s="32">
        <f t="shared" si="61"/>
        <v>2</v>
      </c>
      <c r="Y391">
        <v>9</v>
      </c>
      <c r="Z391">
        <v>10</v>
      </c>
      <c r="AA391" s="32">
        <f t="shared" si="62"/>
        <v>1</v>
      </c>
    </row>
    <row r="392" spans="1:27" x14ac:dyDescent="0.45">
      <c r="A392">
        <v>7</v>
      </c>
      <c r="B392">
        <v>10</v>
      </c>
      <c r="C392" s="32">
        <f t="shared" si="54"/>
        <v>3</v>
      </c>
      <c r="D392">
        <v>7</v>
      </c>
      <c r="E392">
        <v>10</v>
      </c>
      <c r="F392" s="32">
        <f t="shared" si="55"/>
        <v>3</v>
      </c>
      <c r="G392">
        <v>9</v>
      </c>
      <c r="H392">
        <v>10</v>
      </c>
      <c r="I392" s="32">
        <f t="shared" si="56"/>
        <v>1</v>
      </c>
      <c r="J392">
        <v>9</v>
      </c>
      <c r="K392">
        <v>10</v>
      </c>
      <c r="L392" s="32">
        <f t="shared" si="57"/>
        <v>1</v>
      </c>
      <c r="M392">
        <v>8</v>
      </c>
      <c r="N392">
        <v>10</v>
      </c>
      <c r="O392" s="32">
        <f t="shared" si="58"/>
        <v>2</v>
      </c>
      <c r="P392">
        <v>8</v>
      </c>
      <c r="Q392">
        <v>10</v>
      </c>
      <c r="R392" s="32">
        <f t="shared" si="59"/>
        <v>2</v>
      </c>
      <c r="S392">
        <v>7</v>
      </c>
      <c r="T392">
        <v>10</v>
      </c>
      <c r="U392" s="32">
        <f t="shared" si="60"/>
        <v>3</v>
      </c>
      <c r="V392">
        <v>8</v>
      </c>
      <c r="W392">
        <v>10</v>
      </c>
      <c r="X392" s="32">
        <f t="shared" si="61"/>
        <v>2</v>
      </c>
      <c r="Y392">
        <v>9</v>
      </c>
      <c r="Z392">
        <v>10</v>
      </c>
      <c r="AA392" s="32">
        <f t="shared" si="62"/>
        <v>1</v>
      </c>
    </row>
    <row r="393" spans="1:27" x14ac:dyDescent="0.45">
      <c r="A393">
        <v>7</v>
      </c>
      <c r="B393">
        <v>10</v>
      </c>
      <c r="C393" s="32">
        <f t="shared" si="54"/>
        <v>3</v>
      </c>
      <c r="D393">
        <v>7</v>
      </c>
      <c r="E393">
        <v>10</v>
      </c>
      <c r="F393" s="32">
        <f t="shared" si="55"/>
        <v>3</v>
      </c>
      <c r="G393">
        <v>9</v>
      </c>
      <c r="H393">
        <v>10</v>
      </c>
      <c r="I393" s="32">
        <f t="shared" si="56"/>
        <v>1</v>
      </c>
      <c r="J393">
        <v>9</v>
      </c>
      <c r="K393">
        <v>10</v>
      </c>
      <c r="L393" s="32">
        <f t="shared" si="57"/>
        <v>1</v>
      </c>
      <c r="M393">
        <v>8</v>
      </c>
      <c r="N393">
        <v>10</v>
      </c>
      <c r="O393" s="32">
        <f t="shared" si="58"/>
        <v>2</v>
      </c>
      <c r="P393">
        <v>8</v>
      </c>
      <c r="Q393">
        <v>10</v>
      </c>
      <c r="R393" s="32">
        <f t="shared" si="59"/>
        <v>2</v>
      </c>
      <c r="S393">
        <v>7</v>
      </c>
      <c r="T393">
        <v>10</v>
      </c>
      <c r="U393" s="32">
        <f t="shared" si="60"/>
        <v>3</v>
      </c>
      <c r="V393">
        <v>8</v>
      </c>
      <c r="W393">
        <v>10</v>
      </c>
      <c r="X393" s="32">
        <f t="shared" si="61"/>
        <v>2</v>
      </c>
      <c r="Y393">
        <v>9</v>
      </c>
      <c r="Z393">
        <v>10</v>
      </c>
      <c r="AA393" s="32">
        <f t="shared" si="62"/>
        <v>1</v>
      </c>
    </row>
    <row r="394" spans="1:27" x14ac:dyDescent="0.45">
      <c r="A394">
        <v>7</v>
      </c>
      <c r="B394">
        <v>10</v>
      </c>
      <c r="C394" s="32">
        <f t="shared" si="54"/>
        <v>3</v>
      </c>
      <c r="D394">
        <v>7</v>
      </c>
      <c r="E394">
        <v>10</v>
      </c>
      <c r="F394" s="32">
        <f t="shared" si="55"/>
        <v>3</v>
      </c>
      <c r="G394">
        <v>9</v>
      </c>
      <c r="H394">
        <v>10</v>
      </c>
      <c r="I394" s="32">
        <f t="shared" si="56"/>
        <v>1</v>
      </c>
      <c r="J394">
        <v>9</v>
      </c>
      <c r="K394">
        <v>10</v>
      </c>
      <c r="L394" s="32">
        <f t="shared" si="57"/>
        <v>1</v>
      </c>
      <c r="M394">
        <v>8</v>
      </c>
      <c r="N394">
        <v>10</v>
      </c>
      <c r="O394" s="32">
        <f t="shared" si="58"/>
        <v>2</v>
      </c>
      <c r="P394">
        <v>8</v>
      </c>
      <c r="Q394">
        <v>10</v>
      </c>
      <c r="R394" s="32">
        <f t="shared" si="59"/>
        <v>2</v>
      </c>
      <c r="S394">
        <v>7</v>
      </c>
      <c r="T394">
        <v>10</v>
      </c>
      <c r="U394" s="32">
        <f t="shared" si="60"/>
        <v>3</v>
      </c>
      <c r="V394">
        <v>8</v>
      </c>
      <c r="W394">
        <v>10</v>
      </c>
      <c r="X394" s="32">
        <f t="shared" si="61"/>
        <v>2</v>
      </c>
      <c r="Y394">
        <v>9</v>
      </c>
      <c r="Z394">
        <v>10</v>
      </c>
      <c r="AA394" s="32">
        <f t="shared" si="62"/>
        <v>1</v>
      </c>
    </row>
    <row r="395" spans="1:27" x14ac:dyDescent="0.45">
      <c r="A395">
        <v>7</v>
      </c>
      <c r="B395">
        <v>10</v>
      </c>
      <c r="C395" s="32">
        <f t="shared" si="54"/>
        <v>3</v>
      </c>
      <c r="D395">
        <v>7</v>
      </c>
      <c r="E395">
        <v>10</v>
      </c>
      <c r="F395" s="32">
        <f t="shared" si="55"/>
        <v>3</v>
      </c>
      <c r="G395">
        <v>9</v>
      </c>
      <c r="H395">
        <v>10</v>
      </c>
      <c r="I395" s="32">
        <f t="shared" si="56"/>
        <v>1</v>
      </c>
      <c r="J395">
        <v>9</v>
      </c>
      <c r="K395">
        <v>10</v>
      </c>
      <c r="L395" s="32">
        <f t="shared" si="57"/>
        <v>1</v>
      </c>
      <c r="M395">
        <v>8</v>
      </c>
      <c r="N395">
        <v>10</v>
      </c>
      <c r="O395" s="32">
        <f t="shared" si="58"/>
        <v>2</v>
      </c>
      <c r="P395">
        <v>8</v>
      </c>
      <c r="Q395">
        <v>10</v>
      </c>
      <c r="R395" s="32">
        <f t="shared" si="59"/>
        <v>2</v>
      </c>
      <c r="S395">
        <v>7</v>
      </c>
      <c r="T395">
        <v>10</v>
      </c>
      <c r="U395" s="32">
        <f t="shared" si="60"/>
        <v>3</v>
      </c>
      <c r="V395">
        <v>8</v>
      </c>
      <c r="W395">
        <v>10</v>
      </c>
      <c r="X395" s="32">
        <f t="shared" si="61"/>
        <v>2</v>
      </c>
      <c r="Y395">
        <v>9</v>
      </c>
      <c r="Z395">
        <v>10</v>
      </c>
      <c r="AA395" s="32">
        <f t="shared" si="62"/>
        <v>1</v>
      </c>
    </row>
    <row r="396" spans="1:27" x14ac:dyDescent="0.45">
      <c r="A396">
        <v>7</v>
      </c>
      <c r="B396">
        <v>10</v>
      </c>
      <c r="C396" s="32">
        <f t="shared" si="54"/>
        <v>3</v>
      </c>
      <c r="D396">
        <v>7</v>
      </c>
      <c r="E396">
        <v>10</v>
      </c>
      <c r="F396" s="32">
        <f t="shared" si="55"/>
        <v>3</v>
      </c>
      <c r="G396">
        <v>9</v>
      </c>
      <c r="H396">
        <v>10</v>
      </c>
      <c r="I396" s="32">
        <f t="shared" si="56"/>
        <v>1</v>
      </c>
      <c r="J396">
        <v>9</v>
      </c>
      <c r="K396">
        <v>10</v>
      </c>
      <c r="L396" s="32">
        <f t="shared" si="57"/>
        <v>1</v>
      </c>
      <c r="M396">
        <v>8</v>
      </c>
      <c r="N396">
        <v>10</v>
      </c>
      <c r="O396" s="32">
        <f t="shared" si="58"/>
        <v>2</v>
      </c>
      <c r="P396">
        <v>8</v>
      </c>
      <c r="Q396">
        <v>10</v>
      </c>
      <c r="R396" s="32">
        <f t="shared" si="59"/>
        <v>2</v>
      </c>
      <c r="S396">
        <v>7</v>
      </c>
      <c r="T396">
        <v>10</v>
      </c>
      <c r="U396" s="32">
        <f t="shared" si="60"/>
        <v>3</v>
      </c>
      <c r="V396">
        <v>8</v>
      </c>
      <c r="W396">
        <v>10</v>
      </c>
      <c r="X396" s="32">
        <f t="shared" si="61"/>
        <v>2</v>
      </c>
      <c r="Y396">
        <v>9</v>
      </c>
      <c r="Z396">
        <v>10</v>
      </c>
      <c r="AA396" s="32">
        <f t="shared" si="62"/>
        <v>1</v>
      </c>
    </row>
    <row r="397" spans="1:27" x14ac:dyDescent="0.45">
      <c r="A397">
        <v>7</v>
      </c>
      <c r="B397">
        <v>10</v>
      </c>
      <c r="C397" s="32">
        <f t="shared" si="54"/>
        <v>3</v>
      </c>
      <c r="D397">
        <v>7</v>
      </c>
      <c r="E397">
        <v>10</v>
      </c>
      <c r="F397" s="32">
        <f t="shared" si="55"/>
        <v>3</v>
      </c>
      <c r="G397">
        <v>9</v>
      </c>
      <c r="H397">
        <v>10</v>
      </c>
      <c r="I397" s="32">
        <f t="shared" si="56"/>
        <v>1</v>
      </c>
      <c r="J397">
        <v>9</v>
      </c>
      <c r="K397">
        <v>10</v>
      </c>
      <c r="L397" s="32">
        <f t="shared" si="57"/>
        <v>1</v>
      </c>
      <c r="M397">
        <v>8</v>
      </c>
      <c r="N397">
        <v>10</v>
      </c>
      <c r="O397" s="32">
        <f t="shared" si="58"/>
        <v>2</v>
      </c>
      <c r="P397">
        <v>9</v>
      </c>
      <c r="Q397">
        <v>10</v>
      </c>
      <c r="R397" s="32">
        <f t="shared" si="59"/>
        <v>1</v>
      </c>
      <c r="S397">
        <v>7</v>
      </c>
      <c r="T397">
        <v>10</v>
      </c>
      <c r="U397" s="32">
        <f t="shared" si="60"/>
        <v>3</v>
      </c>
      <c r="V397">
        <v>8</v>
      </c>
      <c r="W397">
        <v>10</v>
      </c>
      <c r="X397" s="32">
        <f t="shared" si="61"/>
        <v>2</v>
      </c>
      <c r="Y397">
        <v>9</v>
      </c>
      <c r="Z397">
        <v>10</v>
      </c>
      <c r="AA397" s="32">
        <f t="shared" si="62"/>
        <v>1</v>
      </c>
    </row>
    <row r="398" spans="1:27" x14ac:dyDescent="0.45">
      <c r="A398">
        <v>7</v>
      </c>
      <c r="B398">
        <v>10</v>
      </c>
      <c r="C398" s="32">
        <f t="shared" si="54"/>
        <v>3</v>
      </c>
      <c r="D398">
        <v>7</v>
      </c>
      <c r="E398">
        <v>10</v>
      </c>
      <c r="F398" s="32">
        <f t="shared" si="55"/>
        <v>3</v>
      </c>
      <c r="G398">
        <v>9</v>
      </c>
      <c r="H398">
        <v>10</v>
      </c>
      <c r="I398" s="32">
        <f t="shared" si="56"/>
        <v>1</v>
      </c>
      <c r="J398">
        <v>9</v>
      </c>
      <c r="K398">
        <v>10</v>
      </c>
      <c r="L398" s="32">
        <f t="shared" si="57"/>
        <v>1</v>
      </c>
      <c r="M398">
        <v>8</v>
      </c>
      <c r="N398">
        <v>10</v>
      </c>
      <c r="O398" s="32">
        <f t="shared" si="58"/>
        <v>2</v>
      </c>
      <c r="P398">
        <v>9</v>
      </c>
      <c r="Q398">
        <v>10</v>
      </c>
      <c r="R398" s="32">
        <f t="shared" si="59"/>
        <v>1</v>
      </c>
      <c r="S398">
        <v>7</v>
      </c>
      <c r="T398">
        <v>10</v>
      </c>
      <c r="U398" s="32">
        <f t="shared" si="60"/>
        <v>3</v>
      </c>
      <c r="V398">
        <v>8</v>
      </c>
      <c r="W398">
        <v>10</v>
      </c>
      <c r="X398" s="32">
        <f t="shared" si="61"/>
        <v>2</v>
      </c>
      <c r="Y398">
        <v>9</v>
      </c>
      <c r="Z398">
        <v>10</v>
      </c>
      <c r="AA398" s="32">
        <f t="shared" si="62"/>
        <v>1</v>
      </c>
    </row>
    <row r="399" spans="1:27" x14ac:dyDescent="0.45">
      <c r="A399">
        <v>7</v>
      </c>
      <c r="B399">
        <v>10</v>
      </c>
      <c r="C399" s="32">
        <f t="shared" si="54"/>
        <v>3</v>
      </c>
      <c r="D399">
        <v>7</v>
      </c>
      <c r="E399">
        <v>10</v>
      </c>
      <c r="F399" s="32">
        <f t="shared" si="55"/>
        <v>3</v>
      </c>
      <c r="G399">
        <v>9</v>
      </c>
      <c r="H399">
        <v>10</v>
      </c>
      <c r="I399" s="32">
        <f t="shared" si="56"/>
        <v>1</v>
      </c>
      <c r="J399">
        <v>9</v>
      </c>
      <c r="K399">
        <v>10</v>
      </c>
      <c r="L399" s="32">
        <f t="shared" si="57"/>
        <v>1</v>
      </c>
      <c r="M399">
        <v>9</v>
      </c>
      <c r="N399">
        <v>10</v>
      </c>
      <c r="O399" s="32">
        <f t="shared" si="58"/>
        <v>1</v>
      </c>
      <c r="P399">
        <v>9</v>
      </c>
      <c r="Q399">
        <v>10</v>
      </c>
      <c r="R399" s="32">
        <f t="shared" si="59"/>
        <v>1</v>
      </c>
      <c r="S399">
        <v>8</v>
      </c>
      <c r="T399">
        <v>10</v>
      </c>
      <c r="U399" s="32">
        <f t="shared" si="60"/>
        <v>2</v>
      </c>
      <c r="V399">
        <v>8</v>
      </c>
      <c r="W399">
        <v>10</v>
      </c>
      <c r="X399" s="32">
        <f t="shared" si="61"/>
        <v>2</v>
      </c>
      <c r="Y399">
        <v>9</v>
      </c>
      <c r="Z399">
        <v>10</v>
      </c>
      <c r="AA399" s="32">
        <f t="shared" si="62"/>
        <v>1</v>
      </c>
    </row>
    <row r="400" spans="1:27" x14ac:dyDescent="0.45">
      <c r="A400">
        <v>7</v>
      </c>
      <c r="B400">
        <v>10</v>
      </c>
      <c r="C400" s="32">
        <f t="shared" si="54"/>
        <v>3</v>
      </c>
      <c r="D400">
        <v>7</v>
      </c>
      <c r="E400">
        <v>10</v>
      </c>
      <c r="F400" s="32">
        <f t="shared" si="55"/>
        <v>3</v>
      </c>
      <c r="G400">
        <v>9</v>
      </c>
      <c r="H400">
        <v>10</v>
      </c>
      <c r="I400" s="32">
        <f t="shared" si="56"/>
        <v>1</v>
      </c>
      <c r="J400">
        <v>9</v>
      </c>
      <c r="K400">
        <v>10</v>
      </c>
      <c r="L400" s="32">
        <f t="shared" si="57"/>
        <v>1</v>
      </c>
      <c r="M400">
        <v>9</v>
      </c>
      <c r="N400">
        <v>10</v>
      </c>
      <c r="O400" s="32">
        <f t="shared" si="58"/>
        <v>1</v>
      </c>
      <c r="P400">
        <v>9</v>
      </c>
      <c r="Q400">
        <v>10</v>
      </c>
      <c r="R400" s="32">
        <f t="shared" si="59"/>
        <v>1</v>
      </c>
      <c r="S400">
        <v>8</v>
      </c>
      <c r="T400">
        <v>10</v>
      </c>
      <c r="U400" s="32">
        <f t="shared" si="60"/>
        <v>2</v>
      </c>
      <c r="V400">
        <v>9</v>
      </c>
      <c r="W400">
        <v>10</v>
      </c>
      <c r="X400" s="32">
        <f t="shared" si="61"/>
        <v>1</v>
      </c>
      <c r="Y400">
        <v>9</v>
      </c>
      <c r="Z400">
        <v>10</v>
      </c>
      <c r="AA400" s="32">
        <f t="shared" si="62"/>
        <v>1</v>
      </c>
    </row>
    <row r="401" spans="1:27" x14ac:dyDescent="0.45">
      <c r="A401">
        <v>7</v>
      </c>
      <c r="B401">
        <v>10</v>
      </c>
      <c r="C401" s="32">
        <f t="shared" si="54"/>
        <v>3</v>
      </c>
      <c r="D401">
        <v>7</v>
      </c>
      <c r="E401">
        <v>10</v>
      </c>
      <c r="F401" s="32">
        <f t="shared" si="55"/>
        <v>3</v>
      </c>
      <c r="G401">
        <v>9</v>
      </c>
      <c r="H401">
        <v>10</v>
      </c>
      <c r="I401" s="32">
        <f t="shared" si="56"/>
        <v>1</v>
      </c>
      <c r="J401">
        <v>9</v>
      </c>
      <c r="K401">
        <v>10</v>
      </c>
      <c r="L401" s="32">
        <f t="shared" si="57"/>
        <v>1</v>
      </c>
      <c r="M401">
        <v>9</v>
      </c>
      <c r="N401">
        <v>10</v>
      </c>
      <c r="O401" s="32">
        <f t="shared" si="58"/>
        <v>1</v>
      </c>
      <c r="P401">
        <v>9</v>
      </c>
      <c r="Q401">
        <v>10</v>
      </c>
      <c r="R401" s="32">
        <f t="shared" si="59"/>
        <v>1</v>
      </c>
      <c r="S401">
        <v>8</v>
      </c>
      <c r="T401">
        <v>10</v>
      </c>
      <c r="U401" s="32">
        <f t="shared" si="60"/>
        <v>2</v>
      </c>
      <c r="V401">
        <v>9</v>
      </c>
      <c r="W401">
        <v>10</v>
      </c>
      <c r="X401" s="32">
        <f t="shared" si="61"/>
        <v>1</v>
      </c>
      <c r="Y401">
        <v>9</v>
      </c>
      <c r="Z401">
        <v>10</v>
      </c>
      <c r="AA401" s="32">
        <f t="shared" si="62"/>
        <v>1</v>
      </c>
    </row>
    <row r="402" spans="1:27" x14ac:dyDescent="0.45">
      <c r="A402">
        <v>7</v>
      </c>
      <c r="B402">
        <v>10</v>
      </c>
      <c r="C402" s="32">
        <f t="shared" si="54"/>
        <v>3</v>
      </c>
      <c r="D402">
        <v>8</v>
      </c>
      <c r="E402">
        <v>10</v>
      </c>
      <c r="F402" s="32">
        <f t="shared" si="55"/>
        <v>2</v>
      </c>
      <c r="G402">
        <v>9</v>
      </c>
      <c r="H402">
        <v>10</v>
      </c>
      <c r="I402" s="32">
        <f t="shared" si="56"/>
        <v>1</v>
      </c>
      <c r="J402">
        <v>9</v>
      </c>
      <c r="K402">
        <v>10</v>
      </c>
      <c r="L402" s="32">
        <f t="shared" si="57"/>
        <v>1</v>
      </c>
      <c r="M402">
        <v>9</v>
      </c>
      <c r="N402">
        <v>10</v>
      </c>
      <c r="O402" s="32">
        <f t="shared" si="58"/>
        <v>1</v>
      </c>
      <c r="P402">
        <v>9</v>
      </c>
      <c r="Q402">
        <v>10</v>
      </c>
      <c r="R402" s="32">
        <f t="shared" si="59"/>
        <v>1</v>
      </c>
      <c r="S402">
        <v>8</v>
      </c>
      <c r="T402">
        <v>10</v>
      </c>
      <c r="U402" s="32">
        <f t="shared" si="60"/>
        <v>2</v>
      </c>
      <c r="V402">
        <v>9</v>
      </c>
      <c r="W402">
        <v>10</v>
      </c>
      <c r="X402" s="32">
        <f t="shared" si="61"/>
        <v>1</v>
      </c>
      <c r="Y402">
        <v>9</v>
      </c>
      <c r="Z402">
        <v>10</v>
      </c>
      <c r="AA402" s="32">
        <f t="shared" si="62"/>
        <v>1</v>
      </c>
    </row>
    <row r="403" spans="1:27" x14ac:dyDescent="0.45">
      <c r="A403">
        <v>8</v>
      </c>
      <c r="B403">
        <v>10</v>
      </c>
      <c r="C403" s="32">
        <f t="shared" si="54"/>
        <v>2</v>
      </c>
      <c r="D403">
        <v>8</v>
      </c>
      <c r="E403">
        <v>10</v>
      </c>
      <c r="F403" s="32">
        <f t="shared" si="55"/>
        <v>2</v>
      </c>
      <c r="G403">
        <v>9</v>
      </c>
      <c r="H403">
        <v>10</v>
      </c>
      <c r="I403" s="32">
        <f t="shared" si="56"/>
        <v>1</v>
      </c>
      <c r="J403">
        <v>9</v>
      </c>
      <c r="K403">
        <v>10</v>
      </c>
      <c r="L403" s="32">
        <f t="shared" si="57"/>
        <v>1</v>
      </c>
      <c r="M403">
        <v>9</v>
      </c>
      <c r="N403">
        <v>10</v>
      </c>
      <c r="O403" s="32">
        <f t="shared" si="58"/>
        <v>1</v>
      </c>
      <c r="P403">
        <v>9</v>
      </c>
      <c r="Q403">
        <v>10</v>
      </c>
      <c r="R403" s="32">
        <f t="shared" si="59"/>
        <v>1</v>
      </c>
      <c r="S403">
        <v>8</v>
      </c>
      <c r="T403">
        <v>10</v>
      </c>
      <c r="U403" s="32">
        <f t="shared" si="60"/>
        <v>2</v>
      </c>
      <c r="V403">
        <v>9</v>
      </c>
      <c r="W403">
        <v>10</v>
      </c>
      <c r="X403" s="32">
        <f t="shared" si="61"/>
        <v>1</v>
      </c>
      <c r="Y403">
        <v>9</v>
      </c>
      <c r="Z403">
        <v>10</v>
      </c>
      <c r="AA403" s="32">
        <f t="shared" si="62"/>
        <v>1</v>
      </c>
    </row>
    <row r="404" spans="1:27" x14ac:dyDescent="0.45">
      <c r="A404">
        <v>8</v>
      </c>
      <c r="B404" s="36">
        <v>10</v>
      </c>
      <c r="C404" s="32">
        <f t="shared" si="54"/>
        <v>2</v>
      </c>
      <c r="D404">
        <v>8</v>
      </c>
      <c r="E404">
        <v>10</v>
      </c>
      <c r="F404" s="32">
        <f t="shared" si="55"/>
        <v>2</v>
      </c>
      <c r="G404">
        <v>9</v>
      </c>
      <c r="H404">
        <v>10</v>
      </c>
      <c r="I404" s="32">
        <f t="shared" si="56"/>
        <v>1</v>
      </c>
      <c r="J404">
        <v>9</v>
      </c>
      <c r="K404">
        <v>10</v>
      </c>
      <c r="L404" s="32">
        <f t="shared" si="57"/>
        <v>1</v>
      </c>
      <c r="M404">
        <v>9</v>
      </c>
      <c r="N404">
        <v>10</v>
      </c>
      <c r="O404" s="32">
        <f t="shared" si="58"/>
        <v>1</v>
      </c>
      <c r="P404">
        <v>9</v>
      </c>
      <c r="Q404">
        <v>10</v>
      </c>
      <c r="R404" s="32">
        <f t="shared" si="59"/>
        <v>1</v>
      </c>
      <c r="S404">
        <v>8</v>
      </c>
      <c r="T404">
        <v>10</v>
      </c>
      <c r="U404" s="32">
        <f t="shared" si="60"/>
        <v>2</v>
      </c>
      <c r="V404">
        <v>9</v>
      </c>
      <c r="W404">
        <v>10</v>
      </c>
      <c r="X404" s="32">
        <f t="shared" si="61"/>
        <v>1</v>
      </c>
      <c r="Y404">
        <v>9</v>
      </c>
      <c r="Z404">
        <v>10</v>
      </c>
      <c r="AA404" s="32">
        <f t="shared" si="62"/>
        <v>1</v>
      </c>
    </row>
    <row r="405" spans="1:27" x14ac:dyDescent="0.45">
      <c r="C405">
        <f>AVERAGE(C2:C404)</f>
        <v>1.4143920595533499</v>
      </c>
      <c r="F405">
        <f>AVERAGE(F2:F404)</f>
        <v>1.6401985111662531</v>
      </c>
      <c r="I405">
        <f>AVERAGE(I2:I404)</f>
        <v>1.9255583126550868</v>
      </c>
      <c r="L405">
        <f>AVERAGE(L2:L404)</f>
        <v>0.75682382133995041</v>
      </c>
      <c r="O405">
        <f>AVERAGE(O2:O404)</f>
        <v>0.88089330024813894</v>
      </c>
      <c r="R405">
        <f>AVERAGE(R2:R404)</f>
        <v>1.1017369727047146</v>
      </c>
      <c r="U405">
        <f>AVERAGE(U2:U404)</f>
        <v>1.2382133995037221</v>
      </c>
      <c r="X405">
        <f>AVERAGE(X2:X404)</f>
        <v>0.794044665012407</v>
      </c>
      <c r="AA405">
        <f>AVERAGE(AA2:AA404)</f>
        <v>0.66253101736972708</v>
      </c>
    </row>
  </sheetData>
  <sortState xmlns:xlrd2="http://schemas.microsoft.com/office/spreadsheetml/2017/richdata2" ref="Y2:Y404">
    <sortCondition ref="Y2:Y40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F2" sqref="F2"/>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199</v>
      </c>
      <c r="F1" s="5" t="s">
        <v>198</v>
      </c>
      <c r="G1" s="1" t="s">
        <v>7</v>
      </c>
      <c r="H1" s="1" t="s">
        <v>8</v>
      </c>
      <c r="I1" s="1" t="s">
        <v>9</v>
      </c>
      <c r="J1" s="1" t="s">
        <v>10</v>
      </c>
      <c r="K1" s="1" t="s">
        <v>11</v>
      </c>
      <c r="L1" s="1" t="s">
        <v>12</v>
      </c>
    </row>
    <row r="2" spans="1:13" x14ac:dyDescent="0.45">
      <c r="A2" s="4" t="s">
        <v>13</v>
      </c>
      <c r="B2" s="33">
        <f>step3_combined_data!U405</f>
        <v>1.8039702233250621</v>
      </c>
      <c r="C2" s="15">
        <f>CM_REPORT!E7</f>
        <v>0.4813895781637717</v>
      </c>
      <c r="D2" s="24">
        <f>CM_REPORT!E8</f>
        <v>9.3010707753310592E-2</v>
      </c>
      <c r="E2" s="34">
        <f>(ABS(J2-G2)+ABS(K2-H2)+ABS(L2-I2))/2</f>
        <v>0.22332506203473948</v>
      </c>
      <c r="F2" s="37">
        <f>EMD!C405</f>
        <v>1.4143920595533499</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1.488833746898263E-2</v>
      </c>
      <c r="K2" s="15">
        <f>step3_combined_data!R407/step3_combined_data!R409</f>
        <v>0.66997518610421836</v>
      </c>
      <c r="L2" s="15">
        <f>step3_combined_data!R408/step3_combined_data!R409</f>
        <v>0.31513647642679898</v>
      </c>
      <c r="M2" s="25">
        <f>J2+K2+L2</f>
        <v>1</v>
      </c>
    </row>
    <row r="3" spans="1:13" x14ac:dyDescent="0.45">
      <c r="A3" s="4" t="s">
        <v>14</v>
      </c>
      <c r="B3" s="33">
        <f>step3_combined_data!Z405</f>
        <v>1.7890818858560793</v>
      </c>
      <c r="C3" s="15">
        <f>CM_REPORT!E16</f>
        <v>0.4838709677419355</v>
      </c>
      <c r="D3" s="24">
        <f>CM_REPORT!E17</f>
        <v>8.4198309291790174E-2</v>
      </c>
      <c r="E3" s="34">
        <f t="shared" ref="E3:E10" si="0">(ABS(J3-G3)+ABS(K3-H3)+ABS(L3-I3))/2</f>
        <v>0.15136476426799006</v>
      </c>
      <c r="F3" s="37">
        <f>EMD!F405</f>
        <v>1.6401985111662531</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4.9627791563275434E-3</v>
      </c>
      <c r="K3" s="15">
        <f>step3_combined_data!W407/step3_combined_data!W409</f>
        <v>0.56327543424317617</v>
      </c>
      <c r="L3" s="15">
        <f>step3_combined_data!W408/step3_combined_data!W409</f>
        <v>0.4317617866004963</v>
      </c>
      <c r="M3" s="25">
        <f t="shared" ref="M3:M10" si="1">J3+K3+L3</f>
        <v>1</v>
      </c>
    </row>
    <row r="4" spans="1:13" x14ac:dyDescent="0.45">
      <c r="A4" s="4" t="s">
        <v>15</v>
      </c>
      <c r="B4" s="33">
        <f>step3_combined_data!AE405</f>
        <v>2.3995037220843671</v>
      </c>
      <c r="C4" s="15">
        <f>CM_REPORT!E26</f>
        <v>0.40694789081885857</v>
      </c>
      <c r="D4" s="24">
        <f>CM_REPORT!E27</f>
        <v>4.0300135805705385E-2</v>
      </c>
      <c r="E4" s="34">
        <f t="shared" si="0"/>
        <v>0.27543424317617859</v>
      </c>
      <c r="F4" s="37">
        <f>EMD!I405</f>
        <v>1.9255583126550868</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4.9627791563275434E-3</v>
      </c>
      <c r="K4" s="15">
        <f>step3_combined_data!AB407/step3_combined_data!AB409</f>
        <v>0.36476426799007444</v>
      </c>
      <c r="L4" s="15">
        <f>step3_combined_data!AB408/step3_combined_data!AB409</f>
        <v>0.63027295285359797</v>
      </c>
      <c r="M4" s="25">
        <f t="shared" si="1"/>
        <v>1</v>
      </c>
    </row>
    <row r="5" spans="1:13" x14ac:dyDescent="0.45">
      <c r="A5" s="4" t="s">
        <v>16</v>
      </c>
      <c r="B5" s="33">
        <f>step3_combined_data!AJ405</f>
        <v>1.7270471464019852</v>
      </c>
      <c r="C5" s="15">
        <f>CM_REPORT!E36</f>
        <v>0.45905707196029777</v>
      </c>
      <c r="D5" s="24">
        <f>CM_REPORT!E37</f>
        <v>-2.8759161974201523E-2</v>
      </c>
      <c r="E5" s="34">
        <f t="shared" si="0"/>
        <v>0.19106699751861039</v>
      </c>
      <c r="F5" s="37">
        <f>EMD!L405</f>
        <v>0.75682382133995041</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1.488833746898263E-2</v>
      </c>
      <c r="K5" s="15">
        <f>step3_combined_data!AG407/step3_combined_data!AG409</f>
        <v>0.30521091811414391</v>
      </c>
      <c r="L5" s="15">
        <f>step3_combined_data!AG408/step3_combined_data!AG409</f>
        <v>0.67990074441687343</v>
      </c>
      <c r="M5" s="25">
        <f t="shared" si="1"/>
        <v>1</v>
      </c>
    </row>
    <row r="6" spans="1:13" x14ac:dyDescent="0.45">
      <c r="A6" s="4" t="s">
        <v>17</v>
      </c>
      <c r="B6" s="33">
        <f>step3_combined_data!AO405</f>
        <v>1.9379652605459057</v>
      </c>
      <c r="C6" s="15">
        <f>CM_REPORT!E46</f>
        <v>0.4665012406947891</v>
      </c>
      <c r="D6" s="24">
        <f>CM_REPORT!E47</f>
        <v>1.1589133719919483E-2</v>
      </c>
      <c r="E6" s="34">
        <f t="shared" si="0"/>
        <v>0.12406947890818855</v>
      </c>
      <c r="F6" s="37">
        <f>EMD!O405</f>
        <v>0.88089330024813894</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3.2258064516129031E-2</v>
      </c>
      <c r="K6" s="15">
        <f>step3_combined_data!AL407/step3_combined_data!AL409</f>
        <v>0.66501240694789077</v>
      </c>
      <c r="L6" s="15">
        <f>step3_combined_data!AL408/step3_combined_data!AL409</f>
        <v>0.30272952853598017</v>
      </c>
      <c r="M6" s="25">
        <f t="shared" si="1"/>
        <v>1</v>
      </c>
    </row>
    <row r="7" spans="1:13" x14ac:dyDescent="0.45">
      <c r="A7" s="4" t="s">
        <v>18</v>
      </c>
      <c r="B7" s="33">
        <f>step3_combined_data!AT405</f>
        <v>2.1116625310173696</v>
      </c>
      <c r="C7" s="15">
        <f>CM_REPORT!E56</f>
        <v>0.42431761786600497</v>
      </c>
      <c r="D7" s="24">
        <f>CM_REPORT!E57</f>
        <v>1.1552039036466398E-2</v>
      </c>
      <c r="E7" s="34">
        <f t="shared" si="0"/>
        <v>0.22828784119106701</v>
      </c>
      <c r="F7" s="37">
        <f>EMD!R405</f>
        <v>1.1017369727047146</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2.2332506203473945E-2</v>
      </c>
      <c r="K7" s="15">
        <f>step3_combined_data!AQ407/step3_combined_data!AQ409</f>
        <v>0.66997518610421836</v>
      </c>
      <c r="L7" s="15">
        <f>step3_combined_data!AQ408/step3_combined_data!AQ409</f>
        <v>0.30769230769230771</v>
      </c>
      <c r="M7" s="25">
        <f t="shared" si="1"/>
        <v>1</v>
      </c>
    </row>
    <row r="8" spans="1:13" x14ac:dyDescent="0.45">
      <c r="A8" s="4" t="s">
        <v>19</v>
      </c>
      <c r="B8" s="33">
        <f>step3_combined_data!AY405</f>
        <v>2.1339950372208438</v>
      </c>
      <c r="C8" s="15">
        <f>CM_REPORT!E66</f>
        <v>0.4665012406947891</v>
      </c>
      <c r="D8" s="24">
        <f>CM_REPORT!E67</f>
        <v>-2.1378733858990639E-2</v>
      </c>
      <c r="E8" s="34">
        <f t="shared" si="0"/>
        <v>0.23821339950372211</v>
      </c>
      <c r="F8" s="37">
        <f>EMD!U405</f>
        <v>1.2382133995037221</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4.7146401985111663E-2</v>
      </c>
      <c r="K8" s="15">
        <f>step3_combined_data!AV407/step3_combined_data!AV409</f>
        <v>0.77667493796526055</v>
      </c>
      <c r="L8" s="15">
        <f>step3_combined_data!AV408/step3_combined_data!AV409</f>
        <v>0.17617866004962779</v>
      </c>
      <c r="M8" s="25">
        <f t="shared" si="1"/>
        <v>1</v>
      </c>
    </row>
    <row r="9" spans="1:13" x14ac:dyDescent="0.45">
      <c r="A9" s="4" t="s">
        <v>20</v>
      </c>
      <c r="B9" s="33">
        <f>step3_combined_data!BD405</f>
        <v>1.8858560794044665</v>
      </c>
      <c r="C9" s="15">
        <f>CM_REPORT!E75</f>
        <v>0.55583126550868489</v>
      </c>
      <c r="D9" s="24">
        <f>CM_REPORT!E76</f>
        <v>6.9287350830782787E-2</v>
      </c>
      <c r="E9" s="34">
        <f t="shared" si="0"/>
        <v>0.27295285359801491</v>
      </c>
      <c r="F9" s="37">
        <f>EMD!X405</f>
        <v>0.794044665012407</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6.9478908188585611E-2</v>
      </c>
      <c r="K9" s="15">
        <f>step3_combined_data!BA407/step3_combined_data!BA409</f>
        <v>0.85607940446650121</v>
      </c>
      <c r="L9" s="15">
        <f>step3_combined_data!BA408/step3_combined_data!BA409</f>
        <v>7.4441687344913146E-2</v>
      </c>
      <c r="M9" s="25">
        <f t="shared" si="1"/>
        <v>1</v>
      </c>
    </row>
    <row r="10" spans="1:13" x14ac:dyDescent="0.45">
      <c r="A10" s="4" t="s">
        <v>21</v>
      </c>
      <c r="B10" s="33">
        <f>step3_combined_data!BI405</f>
        <v>1.8808933002481389</v>
      </c>
      <c r="C10" s="15">
        <f>CM_REPORT!E85</f>
        <v>0.44389027431421446</v>
      </c>
      <c r="D10" s="24">
        <f>CM_REPORT!E86</f>
        <v>-2.6324752504977733E-2</v>
      </c>
      <c r="E10" s="34">
        <f t="shared" si="0"/>
        <v>0.13706428717288666</v>
      </c>
      <c r="F10" s="37">
        <f>EMD!AA405</f>
        <v>0.66253101736972708</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1.7456359102244388E-2</v>
      </c>
      <c r="K10" s="15">
        <f>step3_combined_data!BF407/step3_combined_data!BF409</f>
        <v>0.61845386533665836</v>
      </c>
      <c r="L10" s="15">
        <f>step3_combined_data!BF408/step3_combined_data!BF409</f>
        <v>0.36408977556109728</v>
      </c>
      <c r="M10" s="25">
        <f t="shared" si="1"/>
        <v>1</v>
      </c>
    </row>
    <row r="13" spans="1:13" x14ac:dyDescent="0.45">
      <c r="C13" s="29"/>
      <c r="E13" s="27" t="s">
        <v>38</v>
      </c>
      <c r="F13" t="s">
        <v>167</v>
      </c>
      <c r="G13" s="29" t="s">
        <v>168</v>
      </c>
    </row>
    <row r="14" spans="1:13" x14ac:dyDescent="0.45">
      <c r="C14" s="25"/>
      <c r="E14" s="28" t="s">
        <v>165</v>
      </c>
      <c r="F14">
        <v>159</v>
      </c>
      <c r="G14" s="25">
        <f>GETPIVOTDATA("Giới tính của bạn:",$E$13,"Giới tính của bạn:","Male")/GETPIVOTDATA("Giới tính của bạn:",$E$13)</f>
        <v>0.39454094292803971</v>
      </c>
    </row>
    <row r="15" spans="1:13" x14ac:dyDescent="0.45">
      <c r="C15" s="25"/>
      <c r="E15" s="28" t="s">
        <v>166</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209</v>
      </c>
    </row>
    <row r="20" spans="3:7" x14ac:dyDescent="0.45">
      <c r="C20" s="25"/>
      <c r="E20" s="28" t="s">
        <v>188</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190</v>
      </c>
      <c r="F24">
        <v>31</v>
      </c>
      <c r="G24" s="38">
        <f>GETPIVOTDATA("Độ tuổi của bạn:",$E$19,"Độ tuổi của bạn:","50 - 54")/GETPIVOTDATA("Độ tuổi của bạn:",$E$19)</f>
        <v>7.6923076923076927E-2</v>
      </c>
    </row>
    <row r="25" spans="3:7" x14ac:dyDescent="0.45">
      <c r="C25" s="29"/>
      <c r="E25" s="28" t="s">
        <v>192</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210</v>
      </c>
      <c r="G29" s="29" t="s">
        <v>168</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211</v>
      </c>
    </row>
    <row r="36" spans="3:7" x14ac:dyDescent="0.45">
      <c r="C36" s="25"/>
      <c r="E36" s="28" t="s">
        <v>189</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191</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212</v>
      </c>
    </row>
    <row r="44" spans="3:7" x14ac:dyDescent="0.45">
      <c r="C44" s="25"/>
      <c r="E44" s="28" t="s">
        <v>196</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99</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102</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214</v>
      </c>
      <c r="F50" t="s">
        <v>213</v>
      </c>
    </row>
    <row r="51" spans="5:7" x14ac:dyDescent="0.45">
      <c r="E51" s="28" t="s">
        <v>193</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107</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103</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195</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100</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108</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110</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106</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215</v>
      </c>
    </row>
    <row r="63" spans="5:7" x14ac:dyDescent="0.45">
      <c r="E63" s="28" t="s">
        <v>109</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101</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104</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105</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194</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3" t="s">
        <v>22</v>
      </c>
      <c r="B1" s="43"/>
      <c r="C1" s="42" t="s">
        <v>23</v>
      </c>
      <c r="D1" s="42"/>
      <c r="E1" s="42"/>
      <c r="F1" s="1" t="s">
        <v>34</v>
      </c>
    </row>
    <row r="2" spans="1:11" x14ac:dyDescent="0.45">
      <c r="A2" s="43"/>
      <c r="B2" s="43"/>
      <c r="C2" s="1" t="s">
        <v>1</v>
      </c>
      <c r="D2" s="1" t="s">
        <v>2</v>
      </c>
      <c r="E2" s="1" t="s">
        <v>3</v>
      </c>
      <c r="F2" s="4"/>
    </row>
    <row r="3" spans="1:11" x14ac:dyDescent="0.45">
      <c r="A3" s="42" t="s">
        <v>24</v>
      </c>
      <c r="B3" s="1" t="s">
        <v>1</v>
      </c>
      <c r="C3" s="3">
        <f>CM_ENF1!B2</f>
        <v>1</v>
      </c>
      <c r="D3" s="4">
        <f>CM_ENF1!C2</f>
        <v>2</v>
      </c>
      <c r="E3" s="4">
        <f>CM_ENF1!D2</f>
        <v>3</v>
      </c>
      <c r="F3" s="6">
        <f>SUM(C3:E3)</f>
        <v>6</v>
      </c>
    </row>
    <row r="4" spans="1:11" x14ac:dyDescent="0.45">
      <c r="A4" s="42"/>
      <c r="B4" s="1" t="s">
        <v>2</v>
      </c>
      <c r="C4" s="4">
        <f>CM_ENF1!B3</f>
        <v>32</v>
      </c>
      <c r="D4" s="3">
        <f>CM_ENF1!C3</f>
        <v>133</v>
      </c>
      <c r="E4" s="4">
        <f>CM_ENF1!D3</f>
        <v>105</v>
      </c>
      <c r="F4" s="6">
        <f t="shared" ref="F4:F5" si="0">SUM(C4:E4)</f>
        <v>270</v>
      </c>
    </row>
    <row r="5" spans="1:11" x14ac:dyDescent="0.45">
      <c r="A5" s="42"/>
      <c r="B5" s="1" t="s">
        <v>3</v>
      </c>
      <c r="C5" s="4">
        <f>CM_ENF1!B4</f>
        <v>22</v>
      </c>
      <c r="D5" s="4">
        <f>CM_ENF1!C4</f>
        <v>45</v>
      </c>
      <c r="E5" s="3">
        <f>CM_ENF1!D4</f>
        <v>60</v>
      </c>
      <c r="F5" s="6">
        <f t="shared" si="0"/>
        <v>127</v>
      </c>
      <c r="G5" s="26" t="s">
        <v>36</v>
      </c>
      <c r="H5" s="26" t="s">
        <v>164</v>
      </c>
      <c r="I5" s="26" t="s">
        <v>162</v>
      </c>
      <c r="J5" s="26" t="s">
        <v>163</v>
      </c>
    </row>
    <row r="6" spans="1:11" x14ac:dyDescent="0.45">
      <c r="A6" s="2"/>
      <c r="B6" s="1" t="s">
        <v>34</v>
      </c>
      <c r="C6" s="6">
        <f>SUM(C3:C5)</f>
        <v>55</v>
      </c>
      <c r="D6" s="6">
        <f>SUM(D3:D5)</f>
        <v>180</v>
      </c>
      <c r="E6" s="6">
        <f>SUM(E3:E5)</f>
        <v>168</v>
      </c>
      <c r="F6" s="6">
        <f>SUM(C6:E6)</f>
        <v>403</v>
      </c>
      <c r="G6" s="8">
        <f>C3+D4+E5</f>
        <v>194</v>
      </c>
      <c r="H6" s="8">
        <f>(C6*F3)+(D6*F4)+(E6*F5)</f>
        <v>70266</v>
      </c>
      <c r="I6" s="8">
        <f>(C6^2)+(D6^2)+(E6^2)</f>
        <v>63649</v>
      </c>
      <c r="J6" s="8">
        <f>(F3^2)+(F4^2)+(F5^2)</f>
        <v>89065</v>
      </c>
      <c r="K6" s="10"/>
    </row>
    <row r="7" spans="1:11" x14ac:dyDescent="0.45">
      <c r="A7" s="4"/>
      <c r="B7" s="5" t="s">
        <v>25</v>
      </c>
      <c r="C7" s="6"/>
      <c r="D7" s="6"/>
      <c r="E7" s="16">
        <f>(C3+D4+E5)/F6</f>
        <v>0.4813895781637717</v>
      </c>
      <c r="F7" s="4"/>
    </row>
    <row r="8" spans="1:11" x14ac:dyDescent="0.45">
      <c r="A8" s="4"/>
      <c r="B8" s="5" t="s">
        <v>35</v>
      </c>
      <c r="C8" s="4"/>
      <c r="D8" s="4"/>
      <c r="E8" s="9">
        <f>(G6*F6-H6)/SQRT((F6^2-I6)*(F6^2-J6))</f>
        <v>9.3010707753310592E-2</v>
      </c>
      <c r="F8" s="4"/>
    </row>
    <row r="10" spans="1:11" x14ac:dyDescent="0.45">
      <c r="A10" s="43" t="s">
        <v>26</v>
      </c>
      <c r="B10" s="43"/>
      <c r="C10" s="42" t="s">
        <v>23</v>
      </c>
      <c r="D10" s="42"/>
      <c r="E10" s="42"/>
      <c r="F10" s="1" t="s">
        <v>34</v>
      </c>
    </row>
    <row r="11" spans="1:11" x14ac:dyDescent="0.45">
      <c r="A11" s="43"/>
      <c r="B11" s="43"/>
      <c r="C11" s="1" t="s">
        <v>1</v>
      </c>
      <c r="D11" s="1" t="s">
        <v>2</v>
      </c>
      <c r="E11" s="1" t="s">
        <v>3</v>
      </c>
      <c r="F11" s="4"/>
    </row>
    <row r="12" spans="1:11" x14ac:dyDescent="0.45">
      <c r="A12" s="42" t="s">
        <v>24</v>
      </c>
      <c r="B12" s="1" t="s">
        <v>1</v>
      </c>
      <c r="C12" s="3">
        <f>CM_ENF2!B2</f>
        <v>0</v>
      </c>
      <c r="D12" s="4">
        <f>CM_ENF2!C2</f>
        <v>1</v>
      </c>
      <c r="E12" s="4">
        <f>CM_ENF2!D2</f>
        <v>1</v>
      </c>
      <c r="F12" s="6">
        <f>SUM(C12:E12)</f>
        <v>2</v>
      </c>
    </row>
    <row r="13" spans="1:11" x14ac:dyDescent="0.45">
      <c r="A13" s="42"/>
      <c r="B13" s="1" t="s">
        <v>2</v>
      </c>
      <c r="C13" s="4">
        <f>CM_ENF2!B3</f>
        <v>29</v>
      </c>
      <c r="D13" s="3">
        <f>CM_ENF2!C3</f>
        <v>101</v>
      </c>
      <c r="E13" s="4">
        <f>CM_ENF2!D3</f>
        <v>97</v>
      </c>
      <c r="F13" s="6">
        <f t="shared" ref="F13:F14" si="1">SUM(C13:E13)</f>
        <v>227</v>
      </c>
    </row>
    <row r="14" spans="1:11" x14ac:dyDescent="0.45">
      <c r="A14" s="42"/>
      <c r="B14" s="1" t="s">
        <v>3</v>
      </c>
      <c r="C14" s="4">
        <f>CM_ENF2!B4</f>
        <v>16</v>
      </c>
      <c r="D14" s="4">
        <f>CM_ENF2!C4</f>
        <v>64</v>
      </c>
      <c r="E14" s="3">
        <f>CM_ENF2!D4</f>
        <v>94</v>
      </c>
      <c r="F14" s="6">
        <f t="shared" si="1"/>
        <v>174</v>
      </c>
      <c r="G14" s="26" t="s">
        <v>36</v>
      </c>
      <c r="H14" s="26" t="s">
        <v>164</v>
      </c>
      <c r="I14" s="26" t="s">
        <v>162</v>
      </c>
      <c r="J14" s="26" t="s">
        <v>163</v>
      </c>
    </row>
    <row r="15" spans="1:11" x14ac:dyDescent="0.45">
      <c r="A15" s="2"/>
      <c r="B15" s="1" t="s">
        <v>34</v>
      </c>
      <c r="C15" s="6">
        <f>SUM(C12:C14)</f>
        <v>45</v>
      </c>
      <c r="D15" s="6">
        <f>SUM(D12:D14)</f>
        <v>166</v>
      </c>
      <c r="E15" s="6">
        <f>SUM(E12:E14)</f>
        <v>192</v>
      </c>
      <c r="F15" s="6">
        <f>SUM(C15:E15)</f>
        <v>403</v>
      </c>
      <c r="G15" s="8">
        <f>C12+D13+E14</f>
        <v>195</v>
      </c>
      <c r="H15" s="8">
        <f>(C15*F12)+(D15*F13)+(E15*F14)</f>
        <v>71180</v>
      </c>
      <c r="I15" s="8">
        <f>(C15^2)+(D15^2)+(E15^2)</f>
        <v>66445</v>
      </c>
      <c r="J15" s="8">
        <f>(F12^2)+(F13^2)+(F14^2)</f>
        <v>81809</v>
      </c>
      <c r="K15" s="10"/>
    </row>
    <row r="16" spans="1:11" x14ac:dyDescent="0.45">
      <c r="A16" s="4"/>
      <c r="B16" s="5" t="s">
        <v>25</v>
      </c>
      <c r="C16" s="6"/>
      <c r="D16" s="6"/>
      <c r="E16" s="16">
        <f>(C12+D13+E14)/F15</f>
        <v>0.4838709677419355</v>
      </c>
      <c r="F16" s="4"/>
    </row>
    <row r="17" spans="1:11" x14ac:dyDescent="0.45">
      <c r="A17" s="4"/>
      <c r="B17" s="5" t="s">
        <v>35</v>
      </c>
      <c r="C17" s="4"/>
      <c r="D17" s="4"/>
      <c r="E17" s="9">
        <f>(G15*F15-H15)/SQRT((F15^2-I15)*(F15^2-J15))</f>
        <v>8.4198309291790174E-2</v>
      </c>
      <c r="F17" s="4"/>
    </row>
    <row r="20" spans="1:11" x14ac:dyDescent="0.45">
      <c r="A20" s="43" t="s">
        <v>27</v>
      </c>
      <c r="B20" s="43"/>
      <c r="C20" s="42" t="s">
        <v>23</v>
      </c>
      <c r="D20" s="42"/>
      <c r="E20" s="42"/>
      <c r="F20" s="1" t="s">
        <v>34</v>
      </c>
    </row>
    <row r="21" spans="1:11" x14ac:dyDescent="0.45">
      <c r="A21" s="43"/>
      <c r="B21" s="43"/>
      <c r="C21" s="1" t="s">
        <v>1</v>
      </c>
      <c r="D21" s="1" t="s">
        <v>2</v>
      </c>
      <c r="E21" s="1" t="s">
        <v>3</v>
      </c>
      <c r="F21" s="4"/>
    </row>
    <row r="22" spans="1:11" x14ac:dyDescent="0.45">
      <c r="A22" s="42" t="s">
        <v>24</v>
      </c>
      <c r="B22" s="1" t="s">
        <v>1</v>
      </c>
      <c r="C22" s="3">
        <f>CM_FAC1!B2</f>
        <v>0</v>
      </c>
      <c r="D22" s="4">
        <f>CM_FAC1!C2</f>
        <v>1</v>
      </c>
      <c r="E22" s="4">
        <f>CM_FAC1!D2</f>
        <v>1</v>
      </c>
      <c r="F22" s="6">
        <f>SUM(C22:E22)</f>
        <v>2</v>
      </c>
    </row>
    <row r="23" spans="1:11" x14ac:dyDescent="0.45">
      <c r="A23" s="42"/>
      <c r="B23" s="1" t="s">
        <v>2</v>
      </c>
      <c r="C23" s="4">
        <f>CM_FAC1!B3</f>
        <v>33</v>
      </c>
      <c r="D23" s="3">
        <f>CM_FAC1!C3</f>
        <v>68</v>
      </c>
      <c r="E23" s="4">
        <f>CM_FAC1!D3</f>
        <v>46</v>
      </c>
      <c r="F23" s="6">
        <f t="shared" ref="F23:F24" si="2">SUM(C23:E23)</f>
        <v>147</v>
      </c>
    </row>
    <row r="24" spans="1:11" x14ac:dyDescent="0.45">
      <c r="A24" s="42"/>
      <c r="B24" s="1" t="s">
        <v>3</v>
      </c>
      <c r="C24" s="4">
        <f>CM_FAC1!B4</f>
        <v>50</v>
      </c>
      <c r="D24" s="4">
        <f>CM_FAC1!C4</f>
        <v>108</v>
      </c>
      <c r="E24" s="3">
        <f>CM_FAC1!D4</f>
        <v>96</v>
      </c>
      <c r="F24" s="6">
        <f t="shared" si="2"/>
        <v>254</v>
      </c>
      <c r="G24" s="26" t="s">
        <v>36</v>
      </c>
      <c r="H24" s="26" t="s">
        <v>164</v>
      </c>
      <c r="I24" s="26" t="s">
        <v>162</v>
      </c>
      <c r="J24" s="26" t="s">
        <v>163</v>
      </c>
    </row>
    <row r="25" spans="1:11" x14ac:dyDescent="0.45">
      <c r="A25" s="2"/>
      <c r="B25" s="1" t="s">
        <v>34</v>
      </c>
      <c r="C25" s="6">
        <f>SUM(C22:C24)</f>
        <v>83</v>
      </c>
      <c r="D25" s="6">
        <f>SUM(D22:D24)</f>
        <v>177</v>
      </c>
      <c r="E25" s="6">
        <f>SUM(E22:E24)</f>
        <v>143</v>
      </c>
      <c r="F25" s="6">
        <f>SUM(C25:E25)</f>
        <v>403</v>
      </c>
      <c r="G25" s="8">
        <f>C22+D23+E24</f>
        <v>164</v>
      </c>
      <c r="H25" s="8">
        <f>(C25*F22)+(D25*F23)+(E25*F24)</f>
        <v>62507</v>
      </c>
      <c r="I25" s="8">
        <f>(C25^2)+(D25^2)+(E25^2)</f>
        <v>58667</v>
      </c>
      <c r="J25" s="8">
        <f>(F22^2)+(F23^2)+(F24^2)</f>
        <v>86129</v>
      </c>
      <c r="K25" s="10"/>
    </row>
    <row r="26" spans="1:11" x14ac:dyDescent="0.45">
      <c r="A26" s="4"/>
      <c r="B26" s="5" t="s">
        <v>25</v>
      </c>
      <c r="C26" s="6"/>
      <c r="D26" s="6"/>
      <c r="E26" s="16">
        <f>(C22+D23+E24)/F25</f>
        <v>0.40694789081885857</v>
      </c>
      <c r="F26" s="4"/>
    </row>
    <row r="27" spans="1:11" x14ac:dyDescent="0.45">
      <c r="A27" s="4"/>
      <c r="B27" s="5" t="s">
        <v>35</v>
      </c>
      <c r="C27" s="4"/>
      <c r="D27" s="4"/>
      <c r="E27" s="9">
        <f>(G25*F25-H25)/SQRT((F25^2-I25)*(F25^2-J25))</f>
        <v>4.0300135805705385E-2</v>
      </c>
      <c r="F27" s="4"/>
    </row>
    <row r="30" spans="1:11" x14ac:dyDescent="0.45">
      <c r="A30" s="43" t="s">
        <v>28</v>
      </c>
      <c r="B30" s="43"/>
      <c r="C30" s="42" t="s">
        <v>23</v>
      </c>
      <c r="D30" s="42"/>
      <c r="E30" s="42"/>
      <c r="F30" s="1" t="s">
        <v>34</v>
      </c>
    </row>
    <row r="31" spans="1:11" x14ac:dyDescent="0.45">
      <c r="A31" s="43"/>
      <c r="B31" s="43"/>
      <c r="C31" s="1" t="s">
        <v>1</v>
      </c>
      <c r="D31" s="1" t="s">
        <v>2</v>
      </c>
      <c r="E31" s="1" t="s">
        <v>3</v>
      </c>
      <c r="F31" s="4"/>
    </row>
    <row r="32" spans="1:11" x14ac:dyDescent="0.45">
      <c r="A32" s="42" t="s">
        <v>24</v>
      </c>
      <c r="B32" s="1" t="s">
        <v>1</v>
      </c>
      <c r="C32" s="3">
        <f>CM_FAC2!B2</f>
        <v>1</v>
      </c>
      <c r="D32" s="4">
        <f>CM_FAC2!C2</f>
        <v>2</v>
      </c>
      <c r="E32" s="4">
        <f>CM_FAC2!D2</f>
        <v>3</v>
      </c>
      <c r="F32" s="6">
        <f>SUM(C32:E32)</f>
        <v>6</v>
      </c>
    </row>
    <row r="33" spans="1:11" x14ac:dyDescent="0.45">
      <c r="A33" s="42"/>
      <c r="B33" s="1" t="s">
        <v>2</v>
      </c>
      <c r="C33" s="4">
        <f>CM_FAC2!B3</f>
        <v>7</v>
      </c>
      <c r="D33" s="3">
        <f>CM_FAC2!C3</f>
        <v>53</v>
      </c>
      <c r="E33" s="4">
        <f>CM_FAC2!D3</f>
        <v>63</v>
      </c>
      <c r="F33" s="6">
        <f t="shared" ref="F33:F34" si="3">SUM(C33:E33)</f>
        <v>123</v>
      </c>
    </row>
    <row r="34" spans="1:11" x14ac:dyDescent="0.45">
      <c r="A34" s="42"/>
      <c r="B34" s="1" t="s">
        <v>3</v>
      </c>
      <c r="C34" s="4">
        <f>CM_FAC2!B4</f>
        <v>13</v>
      </c>
      <c r="D34" s="4">
        <f>CM_FAC2!C4</f>
        <v>130</v>
      </c>
      <c r="E34" s="3">
        <f>CM_FAC2!D4</f>
        <v>131</v>
      </c>
      <c r="F34" s="6">
        <f t="shared" si="3"/>
        <v>274</v>
      </c>
      <c r="G34" s="26" t="s">
        <v>36</v>
      </c>
      <c r="H34" s="26" t="s">
        <v>164</v>
      </c>
      <c r="I34" s="26" t="s">
        <v>162</v>
      </c>
      <c r="J34" s="26" t="s">
        <v>163</v>
      </c>
    </row>
    <row r="35" spans="1:11" x14ac:dyDescent="0.45">
      <c r="A35" s="2"/>
      <c r="B35" s="1" t="s">
        <v>34</v>
      </c>
      <c r="C35" s="6">
        <f>SUM(C32:C34)</f>
        <v>21</v>
      </c>
      <c r="D35" s="6">
        <f>SUM(D32:D34)</f>
        <v>185</v>
      </c>
      <c r="E35" s="6">
        <f>SUM(E32:E34)</f>
        <v>197</v>
      </c>
      <c r="F35" s="6">
        <f>SUM(C35:E35)</f>
        <v>403</v>
      </c>
      <c r="G35" s="8">
        <f>C32+D33+E34</f>
        <v>185</v>
      </c>
      <c r="H35" s="8">
        <f>(C35*F32)+(D35*F33)+(E35*F34)</f>
        <v>76859</v>
      </c>
      <c r="I35" s="8">
        <f>(C35^2)+(D35^2)+(E35^2)</f>
        <v>73475</v>
      </c>
      <c r="J35" s="8">
        <f>(F32^2)+(F33^2)+(F34^2)</f>
        <v>90241</v>
      </c>
      <c r="K35" s="10"/>
    </row>
    <row r="36" spans="1:11" x14ac:dyDescent="0.45">
      <c r="A36" s="4"/>
      <c r="B36" s="5" t="s">
        <v>25</v>
      </c>
      <c r="C36" s="6"/>
      <c r="D36" s="6"/>
      <c r="E36" s="16">
        <f>(C32+D33+E34)/F35</f>
        <v>0.45905707196029777</v>
      </c>
      <c r="F36" s="4"/>
    </row>
    <row r="37" spans="1:11" x14ac:dyDescent="0.45">
      <c r="A37" s="4"/>
      <c r="B37" s="5" t="s">
        <v>35</v>
      </c>
      <c r="C37" s="4"/>
      <c r="D37" s="4"/>
      <c r="E37" s="9">
        <f>(G35*F35-H35)/SQRT((F35^2-I35)*(F35^2-J35))</f>
        <v>-2.8759161974201523E-2</v>
      </c>
      <c r="F37" s="4"/>
    </row>
    <row r="40" spans="1:11" x14ac:dyDescent="0.45">
      <c r="A40" s="43" t="s">
        <v>29</v>
      </c>
      <c r="B40" s="43"/>
      <c r="C40" s="42" t="s">
        <v>23</v>
      </c>
      <c r="D40" s="42"/>
      <c r="E40" s="42"/>
      <c r="F40" s="1" t="s">
        <v>34</v>
      </c>
    </row>
    <row r="41" spans="1:11" x14ac:dyDescent="0.45">
      <c r="A41" s="43"/>
      <c r="B41" s="43"/>
      <c r="C41" s="1" t="s">
        <v>1</v>
      </c>
      <c r="D41" s="1" t="s">
        <v>2</v>
      </c>
      <c r="E41" s="1" t="s">
        <v>3</v>
      </c>
      <c r="F41" s="4"/>
    </row>
    <row r="42" spans="1:11" x14ac:dyDescent="0.45">
      <c r="A42" s="42" t="s">
        <v>24</v>
      </c>
      <c r="B42" s="1" t="s">
        <v>1</v>
      </c>
      <c r="C42" s="3">
        <f>CM_TRU1!B2</f>
        <v>2</v>
      </c>
      <c r="D42" s="4">
        <f>CM_TRU1!C2</f>
        <v>9</v>
      </c>
      <c r="E42" s="4">
        <f>CM_TRU1!D2</f>
        <v>2</v>
      </c>
      <c r="F42" s="6">
        <f>SUM(C42:E42)</f>
        <v>13</v>
      </c>
    </row>
    <row r="43" spans="1:11" x14ac:dyDescent="0.45">
      <c r="A43" s="42"/>
      <c r="B43" s="1" t="s">
        <v>2</v>
      </c>
      <c r="C43" s="4">
        <f>CM_TRU1!B3</f>
        <v>42</v>
      </c>
      <c r="D43" s="3">
        <f>CM_TRU1!C3</f>
        <v>143</v>
      </c>
      <c r="E43" s="4">
        <f>CM_TRU1!D3</f>
        <v>83</v>
      </c>
      <c r="F43" s="6">
        <f t="shared" ref="F43:F44" si="4">SUM(C43:E43)</f>
        <v>268</v>
      </c>
    </row>
    <row r="44" spans="1:11" x14ac:dyDescent="0.45">
      <c r="A44" s="42"/>
      <c r="B44" s="1" t="s">
        <v>3</v>
      </c>
      <c r="C44" s="4">
        <f>CM_TRU1!B4</f>
        <v>13</v>
      </c>
      <c r="D44" s="4">
        <f>CM_TRU1!C4</f>
        <v>66</v>
      </c>
      <c r="E44" s="3">
        <f>CM_TRU1!D4</f>
        <v>43</v>
      </c>
      <c r="F44" s="6">
        <f t="shared" si="4"/>
        <v>122</v>
      </c>
      <c r="G44" s="26" t="s">
        <v>36</v>
      </c>
      <c r="H44" s="26" t="s">
        <v>164</v>
      </c>
      <c r="I44" s="26" t="s">
        <v>162</v>
      </c>
      <c r="J44" s="26" t="s">
        <v>163</v>
      </c>
    </row>
    <row r="45" spans="1:11" x14ac:dyDescent="0.45">
      <c r="A45" s="2"/>
      <c r="B45" s="1" t="s">
        <v>34</v>
      </c>
      <c r="C45" s="6">
        <f>SUM(C42:C44)</f>
        <v>57</v>
      </c>
      <c r="D45" s="6">
        <f>SUM(D42:D44)</f>
        <v>218</v>
      </c>
      <c r="E45" s="6">
        <f>SUM(E42:E44)</f>
        <v>128</v>
      </c>
      <c r="F45" s="6">
        <f>SUM(C45:E45)</f>
        <v>403</v>
      </c>
      <c r="G45" s="8">
        <f>C42+D43+E44</f>
        <v>188</v>
      </c>
      <c r="H45" s="8">
        <f>(C45*F42)+(D45*F43)+(E45*F44)</f>
        <v>74781</v>
      </c>
      <c r="I45" s="8">
        <f>(C45^2)+(D45^2)+(E45^2)</f>
        <v>67157</v>
      </c>
      <c r="J45" s="8">
        <f>(F42^2)+(F43^2)+(F44^2)</f>
        <v>86877</v>
      </c>
      <c r="K45" s="10"/>
    </row>
    <row r="46" spans="1:11" x14ac:dyDescent="0.45">
      <c r="A46" s="4"/>
      <c r="B46" s="5" t="s">
        <v>25</v>
      </c>
      <c r="C46" s="6"/>
      <c r="D46" s="6"/>
      <c r="E46" s="16">
        <f>(C42+D43+E44)/F45</f>
        <v>0.4665012406947891</v>
      </c>
      <c r="F46" s="4"/>
    </row>
    <row r="47" spans="1:11" x14ac:dyDescent="0.45">
      <c r="A47" s="4"/>
      <c r="B47" s="5" t="s">
        <v>35</v>
      </c>
      <c r="C47" s="4"/>
      <c r="D47" s="4"/>
      <c r="E47" s="9">
        <f>(G45*F45-H45)/SQRT((F45^2-I45)*(F45^2-J45))</f>
        <v>1.1589133719919483E-2</v>
      </c>
      <c r="F47" s="4"/>
    </row>
    <row r="50" spans="1:11" x14ac:dyDescent="0.45">
      <c r="A50" s="43" t="s">
        <v>30</v>
      </c>
      <c r="B50" s="43"/>
      <c r="C50" s="42" t="s">
        <v>23</v>
      </c>
      <c r="D50" s="42"/>
      <c r="E50" s="42"/>
      <c r="F50" s="1" t="s">
        <v>34</v>
      </c>
    </row>
    <row r="51" spans="1:11" x14ac:dyDescent="0.45">
      <c r="A51" s="43"/>
      <c r="B51" s="43"/>
      <c r="C51" s="1" t="s">
        <v>1</v>
      </c>
      <c r="D51" s="1" t="s">
        <v>2</v>
      </c>
      <c r="E51" s="1" t="s">
        <v>3</v>
      </c>
      <c r="F51" s="4"/>
    </row>
    <row r="52" spans="1:11" x14ac:dyDescent="0.45">
      <c r="A52" s="42" t="s">
        <v>24</v>
      </c>
      <c r="B52" s="1" t="s">
        <v>1</v>
      </c>
      <c r="C52" s="3">
        <f>CM_TRU2!B2</f>
        <v>4</v>
      </c>
      <c r="D52" s="4">
        <f>CM_TRU2!C2</f>
        <v>3</v>
      </c>
      <c r="E52" s="4">
        <f>CM_TRU2!D2</f>
        <v>2</v>
      </c>
      <c r="F52" s="6">
        <f>SUM(C52:E52)</f>
        <v>9</v>
      </c>
    </row>
    <row r="53" spans="1:11" x14ac:dyDescent="0.45">
      <c r="A53" s="42"/>
      <c r="B53" s="1" t="s">
        <v>2</v>
      </c>
      <c r="C53" s="4">
        <f>CM_TRU2!B3</f>
        <v>40</v>
      </c>
      <c r="D53" s="3">
        <f>CM_TRU2!C3</f>
        <v>122</v>
      </c>
      <c r="E53" s="4">
        <f>CM_TRU2!D3</f>
        <v>108</v>
      </c>
      <c r="F53" s="6">
        <f t="shared" ref="F53:F54" si="5">SUM(C53:E53)</f>
        <v>270</v>
      </c>
    </row>
    <row r="54" spans="1:11" x14ac:dyDescent="0.45">
      <c r="A54" s="42"/>
      <c r="B54" s="1" t="s">
        <v>3</v>
      </c>
      <c r="C54" s="4">
        <f>CM_TRU2!B4</f>
        <v>26</v>
      </c>
      <c r="D54" s="4">
        <f>CM_TRU2!C4</f>
        <v>53</v>
      </c>
      <c r="E54" s="3">
        <f>CM_TRU2!D4</f>
        <v>45</v>
      </c>
      <c r="F54" s="6">
        <f t="shared" si="5"/>
        <v>124</v>
      </c>
      <c r="G54" s="26" t="s">
        <v>36</v>
      </c>
      <c r="H54" s="26" t="s">
        <v>164</v>
      </c>
      <c r="I54" s="26" t="s">
        <v>162</v>
      </c>
      <c r="J54" s="26" t="s">
        <v>163</v>
      </c>
    </row>
    <row r="55" spans="1:11" x14ac:dyDescent="0.45">
      <c r="A55" s="2"/>
      <c r="B55" s="1" t="s">
        <v>34</v>
      </c>
      <c r="C55" s="6">
        <f>SUM(C52:C54)</f>
        <v>70</v>
      </c>
      <c r="D55" s="6">
        <f>SUM(D52:D54)</f>
        <v>178</v>
      </c>
      <c r="E55" s="6">
        <f>SUM(E52:E54)</f>
        <v>155</v>
      </c>
      <c r="F55" s="6">
        <f>SUM(C55:E55)</f>
        <v>403</v>
      </c>
      <c r="G55" s="8">
        <f>C52+D53+E54</f>
        <v>171</v>
      </c>
      <c r="H55" s="8">
        <f>(C55*F52)+(D55*F53)+(E55*F54)</f>
        <v>67910</v>
      </c>
      <c r="I55" s="8">
        <f>(C55^2)+(D55^2)+(E55^2)</f>
        <v>60609</v>
      </c>
      <c r="J55" s="8">
        <f>(F52^2)+(F53^2)+(F54^2)</f>
        <v>88357</v>
      </c>
      <c r="K55" s="10"/>
    </row>
    <row r="56" spans="1:11" x14ac:dyDescent="0.45">
      <c r="A56" s="4"/>
      <c r="B56" s="5" t="s">
        <v>25</v>
      </c>
      <c r="C56" s="6"/>
      <c r="D56" s="6"/>
      <c r="E56" s="16">
        <f>(C52+D53+E54)/F55</f>
        <v>0.42431761786600497</v>
      </c>
      <c r="F56" s="4"/>
    </row>
    <row r="57" spans="1:11" x14ac:dyDescent="0.45">
      <c r="A57" s="4"/>
      <c r="B57" s="5" t="s">
        <v>35</v>
      </c>
      <c r="C57" s="4"/>
      <c r="D57" s="4"/>
      <c r="E57" s="9">
        <f>(G55*F55-H55)/SQRT((F55^2-I55)*(F55^2-J55))</f>
        <v>1.1552039036466398E-2</v>
      </c>
      <c r="F57" s="4"/>
    </row>
    <row r="60" spans="1:11" x14ac:dyDescent="0.45">
      <c r="A60" s="43" t="s">
        <v>31</v>
      </c>
      <c r="B60" s="43"/>
      <c r="C60" s="42" t="s">
        <v>23</v>
      </c>
      <c r="D60" s="42"/>
      <c r="E60" s="42"/>
      <c r="F60" s="1" t="s">
        <v>34</v>
      </c>
    </row>
    <row r="61" spans="1:11" x14ac:dyDescent="0.45">
      <c r="A61" s="43"/>
      <c r="B61" s="43"/>
      <c r="C61" s="13" t="s">
        <v>1</v>
      </c>
      <c r="D61" s="1" t="s">
        <v>2</v>
      </c>
      <c r="E61" s="1" t="s">
        <v>3</v>
      </c>
      <c r="F61" s="4"/>
    </row>
    <row r="62" spans="1:11" x14ac:dyDescent="0.45">
      <c r="A62" s="42" t="s">
        <v>24</v>
      </c>
      <c r="B62" s="11" t="s">
        <v>1</v>
      </c>
      <c r="C62" s="3">
        <f>CM_TRU3!B2</f>
        <v>7</v>
      </c>
      <c r="D62">
        <f>CM_TRU3!C2</f>
        <v>8</v>
      </c>
      <c r="E62">
        <f>CM_TRU3!D2</f>
        <v>4</v>
      </c>
      <c r="F62" s="6">
        <f>SUM(C62:E62)</f>
        <v>19</v>
      </c>
    </row>
    <row r="63" spans="1:11" x14ac:dyDescent="0.45">
      <c r="A63" s="42"/>
      <c r="B63" s="1" t="s">
        <v>2</v>
      </c>
      <c r="C63">
        <f>CM_TRU3!B3</f>
        <v>56</v>
      </c>
      <c r="D63" s="3">
        <f>CM_TRU3!C3</f>
        <v>164</v>
      </c>
      <c r="E63">
        <f>CM_TRU3!D3</f>
        <v>93</v>
      </c>
      <c r="F63" s="6">
        <f t="shared" ref="F63:F64" si="6">SUM(C63:E63)</f>
        <v>313</v>
      </c>
    </row>
    <row r="64" spans="1:11" x14ac:dyDescent="0.45">
      <c r="A64" s="42"/>
      <c r="B64" s="1" t="s">
        <v>3</v>
      </c>
      <c r="C64">
        <f>CM_TRU3!B4</f>
        <v>9</v>
      </c>
      <c r="D64">
        <f>CM_TRU3!C4</f>
        <v>45</v>
      </c>
      <c r="E64" s="3">
        <f>CM_TRU3!D4</f>
        <v>17</v>
      </c>
      <c r="F64" s="12">
        <f t="shared" si="6"/>
        <v>71</v>
      </c>
      <c r="G64" s="26" t="s">
        <v>36</v>
      </c>
      <c r="H64" s="26" t="s">
        <v>164</v>
      </c>
      <c r="I64" s="26" t="s">
        <v>162</v>
      </c>
      <c r="J64" s="26" t="s">
        <v>163</v>
      </c>
    </row>
    <row r="65" spans="1:11" x14ac:dyDescent="0.45">
      <c r="A65" s="2"/>
      <c r="B65" s="1" t="s">
        <v>34</v>
      </c>
      <c r="C65" s="6">
        <f>SUM(C62:C64)</f>
        <v>72</v>
      </c>
      <c r="D65" s="6">
        <f>SUM(D62:D64)</f>
        <v>217</v>
      </c>
      <c r="E65" s="14">
        <f>SUM(E62:E64)</f>
        <v>114</v>
      </c>
      <c r="F65" s="6">
        <f>SUM(C65:E65)</f>
        <v>403</v>
      </c>
      <c r="G65" s="8">
        <f>C62+D63+E64</f>
        <v>188</v>
      </c>
      <c r="H65" s="8">
        <f>(C65*F62)+(D65*F63)+(E65*F64)</f>
        <v>77383</v>
      </c>
      <c r="I65" s="8">
        <f>(C65^2)+(D65^2)+(E65^2)</f>
        <v>65269</v>
      </c>
      <c r="J65" s="8">
        <f>(F62^2)+(F63^2)+(F64^2)</f>
        <v>103371</v>
      </c>
      <c r="K65" s="10"/>
    </row>
    <row r="66" spans="1:11" x14ac:dyDescent="0.45">
      <c r="A66" s="4"/>
      <c r="B66" s="5" t="s">
        <v>25</v>
      </c>
      <c r="C66" s="6"/>
      <c r="D66" s="6"/>
      <c r="E66" s="16">
        <f>(C62+D63+E64)/F65</f>
        <v>0.4665012406947891</v>
      </c>
      <c r="F66" s="4"/>
    </row>
    <row r="67" spans="1:11" x14ac:dyDescent="0.45">
      <c r="A67" s="4"/>
      <c r="B67" s="5" t="s">
        <v>35</v>
      </c>
      <c r="C67" s="4"/>
      <c r="D67" s="4"/>
      <c r="E67" s="9">
        <f>(G65*F65-H65)/SQRT((F65^2-I65)*(F65^2-J65))</f>
        <v>-2.1378733858990639E-2</v>
      </c>
      <c r="F67" s="4"/>
    </row>
    <row r="69" spans="1:11" x14ac:dyDescent="0.45">
      <c r="A69" s="43" t="s">
        <v>32</v>
      </c>
      <c r="B69" s="43"/>
      <c r="C69" s="42" t="s">
        <v>23</v>
      </c>
      <c r="D69" s="42"/>
      <c r="E69" s="42"/>
      <c r="F69" s="1" t="s">
        <v>34</v>
      </c>
    </row>
    <row r="70" spans="1:11" x14ac:dyDescent="0.45">
      <c r="A70" s="43"/>
      <c r="B70" s="43"/>
      <c r="C70" s="1" t="s">
        <v>1</v>
      </c>
      <c r="D70" s="1" t="s">
        <v>2</v>
      </c>
      <c r="E70" s="1" t="s">
        <v>3</v>
      </c>
      <c r="F70" s="4"/>
    </row>
    <row r="71" spans="1:11" x14ac:dyDescent="0.45">
      <c r="A71" s="42" t="s">
        <v>24</v>
      </c>
      <c r="B71" s="1" t="s">
        <v>1</v>
      </c>
      <c r="C71" s="3">
        <f>CM_TRU4!B2</f>
        <v>7</v>
      </c>
      <c r="D71" s="4">
        <f>CM_TRU4!C2</f>
        <v>34</v>
      </c>
      <c r="E71" s="4">
        <f>CM_TRU4!D2</f>
        <v>5</v>
      </c>
      <c r="F71" s="6">
        <f>SUM(C71:E71)</f>
        <v>46</v>
      </c>
    </row>
    <row r="72" spans="1:11" x14ac:dyDescent="0.45">
      <c r="A72" s="42"/>
      <c r="B72" s="1" t="s">
        <v>2</v>
      </c>
      <c r="C72" s="4">
        <f>CM_TRU4!B3</f>
        <v>13</v>
      </c>
      <c r="D72" s="3">
        <f>CM_TRU4!C3</f>
        <v>207</v>
      </c>
      <c r="E72" s="4">
        <f>CM_TRU4!D3</f>
        <v>15</v>
      </c>
      <c r="F72" s="6">
        <f t="shared" ref="F72:F73" si="7">SUM(C72:E72)</f>
        <v>235</v>
      </c>
    </row>
    <row r="73" spans="1:11" x14ac:dyDescent="0.45">
      <c r="A73" s="42"/>
      <c r="B73" s="1" t="s">
        <v>3</v>
      </c>
      <c r="C73" s="4">
        <f>CM_TRU4!B4</f>
        <v>8</v>
      </c>
      <c r="D73" s="4">
        <f>CM_TRU4!C4</f>
        <v>104</v>
      </c>
      <c r="E73" s="3">
        <f>CM_TRU4!D4</f>
        <v>10</v>
      </c>
      <c r="F73" s="6">
        <f t="shared" si="7"/>
        <v>122</v>
      </c>
      <c r="G73" s="26" t="s">
        <v>36</v>
      </c>
      <c r="H73" s="26" t="s">
        <v>164</v>
      </c>
      <c r="I73" s="26" t="s">
        <v>162</v>
      </c>
      <c r="J73" s="26" t="s">
        <v>163</v>
      </c>
    </row>
    <row r="74" spans="1:11" x14ac:dyDescent="0.45">
      <c r="A74" s="2"/>
      <c r="B74" s="1" t="s">
        <v>34</v>
      </c>
      <c r="C74" s="6">
        <f>SUM(C71:C73)</f>
        <v>28</v>
      </c>
      <c r="D74" s="6">
        <f>SUM(D71:D73)</f>
        <v>345</v>
      </c>
      <c r="E74" s="6">
        <f>SUM(E71:E73)</f>
        <v>30</v>
      </c>
      <c r="F74" s="6">
        <f>SUM(C74:E74)</f>
        <v>403</v>
      </c>
      <c r="G74" s="8">
        <f>C71+D72+E73</f>
        <v>224</v>
      </c>
      <c r="H74" s="8">
        <f>(C74*F71)+(D74*F72)+(E74*F73)</f>
        <v>86023</v>
      </c>
      <c r="I74" s="8">
        <f>(C74^2)+(D74^2)+(E74^2)</f>
        <v>120709</v>
      </c>
      <c r="J74" s="8">
        <f>(F71^2)+(F72^2)+(F73^2)</f>
        <v>72225</v>
      </c>
      <c r="K74" s="10"/>
    </row>
    <row r="75" spans="1:11" x14ac:dyDescent="0.45">
      <c r="A75" s="4"/>
      <c r="B75" s="5" t="s">
        <v>25</v>
      </c>
      <c r="C75" s="6"/>
      <c r="D75" s="6"/>
      <c r="E75" s="16">
        <f>(C71+D72+E73)/F74</f>
        <v>0.55583126550868489</v>
      </c>
      <c r="F75" s="4"/>
    </row>
    <row r="76" spans="1:11" x14ac:dyDescent="0.45">
      <c r="A76" s="4"/>
      <c r="B76" s="5" t="s">
        <v>35</v>
      </c>
      <c r="C76" s="4"/>
      <c r="D76" s="4"/>
      <c r="E76" s="9">
        <f>(G74*F74-H74)/SQRT((F74^2-I74)*(F74^2-J74))</f>
        <v>6.9287350830782787E-2</v>
      </c>
      <c r="F76" s="4"/>
    </row>
    <row r="79" spans="1:11" x14ac:dyDescent="0.45">
      <c r="A79" s="43" t="s">
        <v>33</v>
      </c>
      <c r="B79" s="43"/>
      <c r="C79" s="42" t="s">
        <v>23</v>
      </c>
      <c r="D79" s="42"/>
      <c r="E79" s="42"/>
      <c r="F79" s="1" t="s">
        <v>34</v>
      </c>
    </row>
    <row r="80" spans="1:11" x14ac:dyDescent="0.45">
      <c r="A80" s="43"/>
      <c r="B80" s="43"/>
      <c r="C80" s="1" t="s">
        <v>1</v>
      </c>
      <c r="D80" s="1" t="s">
        <v>2</v>
      </c>
      <c r="E80" s="1" t="s">
        <v>3</v>
      </c>
      <c r="F80" s="4"/>
    </row>
    <row r="81" spans="1:11" x14ac:dyDescent="0.45">
      <c r="A81" s="42" t="s">
        <v>24</v>
      </c>
      <c r="B81" s="1" t="s">
        <v>1</v>
      </c>
      <c r="C81" s="7">
        <f>CM_OUT1!B2</f>
        <v>0</v>
      </c>
      <c r="D81">
        <f>CM_OUT1!C2</f>
        <v>3</v>
      </c>
      <c r="E81">
        <f>CM_OUT1!D2</f>
        <v>4</v>
      </c>
      <c r="F81" s="6">
        <f>SUM(C81:E81)</f>
        <v>7</v>
      </c>
    </row>
    <row r="82" spans="1:11" x14ac:dyDescent="0.45">
      <c r="A82" s="42"/>
      <c r="B82" s="1" t="s">
        <v>2</v>
      </c>
      <c r="C82">
        <f>CM_OUT1!B3</f>
        <v>25</v>
      </c>
      <c r="D82" s="7">
        <f>CM_OUT1!C3</f>
        <v>116</v>
      </c>
      <c r="E82">
        <f>CM_OUT1!D3</f>
        <v>107</v>
      </c>
      <c r="F82" s="6">
        <f t="shared" ref="F82:F83" si="8">SUM(C82:E82)</f>
        <v>248</v>
      </c>
    </row>
    <row r="83" spans="1:11" x14ac:dyDescent="0.45">
      <c r="A83" s="42"/>
      <c r="B83" s="1" t="s">
        <v>3</v>
      </c>
      <c r="C83">
        <f>CM_OUT1!B4</f>
        <v>9</v>
      </c>
      <c r="D83">
        <f>CM_OUT1!C4</f>
        <v>75</v>
      </c>
      <c r="E83" s="7">
        <f>CM_OUT1!D4</f>
        <v>62</v>
      </c>
      <c r="F83" s="6">
        <f t="shared" si="8"/>
        <v>146</v>
      </c>
      <c r="G83" s="26" t="s">
        <v>36</v>
      </c>
      <c r="H83" s="26" t="s">
        <v>164</v>
      </c>
      <c r="I83" s="26" t="s">
        <v>162</v>
      </c>
      <c r="J83" s="26" t="s">
        <v>163</v>
      </c>
    </row>
    <row r="84" spans="1:11" x14ac:dyDescent="0.45">
      <c r="A84" s="2"/>
      <c r="B84" s="1" t="s">
        <v>34</v>
      </c>
      <c r="C84" s="6">
        <f>SUM(C81:C83)</f>
        <v>34</v>
      </c>
      <c r="D84" s="6">
        <f>SUM(D81:D83)</f>
        <v>194</v>
      </c>
      <c r="E84" s="6">
        <f>SUM(E81:E83)</f>
        <v>173</v>
      </c>
      <c r="F84" s="6">
        <f>SUM(C84:E84)</f>
        <v>401</v>
      </c>
      <c r="G84" s="8">
        <f>C81+D82+E83</f>
        <v>178</v>
      </c>
      <c r="H84" s="8">
        <f>(C84*F81)+(D84*F82)+(E84*F83)</f>
        <v>73608</v>
      </c>
      <c r="I84" s="8">
        <f>(C84^2)+(D84^2)+(E84^2)</f>
        <v>68721</v>
      </c>
      <c r="J84" s="8">
        <f>(F81^2)+(F82^2)+(F83^2)</f>
        <v>82869</v>
      </c>
      <c r="K84" s="10"/>
    </row>
    <row r="85" spans="1:11" x14ac:dyDescent="0.45">
      <c r="A85" s="4"/>
      <c r="B85" s="5" t="s">
        <v>25</v>
      </c>
      <c r="C85" s="6"/>
      <c r="D85" s="6"/>
      <c r="E85" s="16">
        <f>(C81+D82+E83)/F84</f>
        <v>0.44389027431421446</v>
      </c>
      <c r="F85" s="4"/>
    </row>
    <row r="86" spans="1:11" x14ac:dyDescent="0.45">
      <c r="A86" s="4"/>
      <c r="B86" s="5" t="s">
        <v>35</v>
      </c>
      <c r="C86" s="4"/>
      <c r="D86" s="4"/>
      <c r="E86" s="9">
        <f>(G84*F84-H84)/SQRT((F84^2-I84)*(F84^2-J84))</f>
        <v>-2.6324752504977733E-2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1</v>
      </c>
      <c r="C2" s="4">
        <f>COUNTIFS(step3_combined_data!$T$2:$T$404,"Neutral", step3_combined_data!$R$2:$R$404,"Oppose")</f>
        <v>2</v>
      </c>
      <c r="D2" s="4">
        <f>COUNTIFS(step3_combined_data!$T$2:$T$404,"Support", step3_combined_data!$R$2:$R$404,"Oppose")</f>
        <v>3</v>
      </c>
    </row>
    <row r="3" spans="1:4" x14ac:dyDescent="0.45">
      <c r="A3" s="1" t="s">
        <v>2</v>
      </c>
      <c r="B3" s="4">
        <f>COUNTIFS(step3_combined_data!$T$2:$T$404,"Oppose", step3_combined_data!$R$2:$R$404,"Neutral")</f>
        <v>32</v>
      </c>
      <c r="C3" s="4">
        <f>COUNTIFS(step3_combined_data!$T$2:$T$404,"Neutral", step3_combined_data!$R$2:$R$404,"Neutral")</f>
        <v>133</v>
      </c>
      <c r="D3" s="4">
        <f>COUNTIFS(step3_combined_data!$T$2:$T$404,"Support", step3_combined_data!$R$2:$R$404,"Neutral")</f>
        <v>105</v>
      </c>
    </row>
    <row r="4" spans="1:4" x14ac:dyDescent="0.45">
      <c r="A4" s="1" t="s">
        <v>3</v>
      </c>
      <c r="B4" s="4">
        <f>COUNTIFS(step3_combined_data!$T$2:$T$404,"Oppose", step3_combined_data!$R$2:$R$404,"Support")</f>
        <v>22</v>
      </c>
      <c r="C4" s="4">
        <f>COUNTIFS(step3_combined_data!$T$2:$T$404,"Neutral", step3_combined_data!$R$2:$R$404,"Support")</f>
        <v>45</v>
      </c>
      <c r="D4" s="4">
        <f>COUNTIFS(step3_combined_data!$T$2:$T$404,"Support", step3_combined_data!$R$2:$R$404,"Support")</f>
        <v>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1</v>
      </c>
      <c r="D2" s="4">
        <f>COUNTIFS(step3_combined_data!$Y$2:$Y$404,"Support", step3_combined_data!$W$2:$W$404,"Oppose")</f>
        <v>1</v>
      </c>
    </row>
    <row r="3" spans="1:4" x14ac:dyDescent="0.45">
      <c r="A3" s="1" t="s">
        <v>2</v>
      </c>
      <c r="B3" s="4">
        <f>COUNTIFS(step3_combined_data!$Y$2:$Y$404,"Oppose", step3_combined_data!$W$2:$W$404,"Neutral")</f>
        <v>29</v>
      </c>
      <c r="C3" s="4">
        <f>COUNTIFS(step3_combined_data!$Y$2:$Y$404,"Neutral", step3_combined_data!$W$2:$W$404,"Neutral")</f>
        <v>101</v>
      </c>
      <c r="D3" s="4">
        <f>COUNTIFS(step3_combined_data!$Y$2:$Y$404,"Support", step3_combined_data!$W$2:$W$404,"Neutral")</f>
        <v>97</v>
      </c>
    </row>
    <row r="4" spans="1:4" x14ac:dyDescent="0.45">
      <c r="A4" s="1" t="s">
        <v>3</v>
      </c>
      <c r="B4" s="4">
        <f>COUNTIFS(step3_combined_data!$Y$2:$Y$404,"Oppose", step3_combined_data!$W$2:$W$404,"Support")</f>
        <v>16</v>
      </c>
      <c r="C4" s="4">
        <f>COUNTIFS(step3_combined_data!$Y$2:$Y$404,"Neutral", step3_combined_data!$W$2:$W$404,"Support")</f>
        <v>64</v>
      </c>
      <c r="D4" s="4">
        <f>COUNTIFS(step3_combined_data!$Y$2:$Y$404,"Support", step3_combined_data!$W$2:$W$404,"Support")</f>
        <v>94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1</v>
      </c>
      <c r="D2" s="4">
        <f>COUNTIFS(step3_combined_data!$AD$2:$AD$404,"Support", step3_combined_data!$AB$2:$AB$404,"Oppose")</f>
        <v>1</v>
      </c>
    </row>
    <row r="3" spans="1:4" x14ac:dyDescent="0.45">
      <c r="A3" s="1" t="s">
        <v>2</v>
      </c>
      <c r="B3" s="4">
        <f>COUNTIFS(step3_combined_data!$AD$2:$AD$404,"Oppose", step3_combined_data!$AB$2:$AB$404,"Neutral")</f>
        <v>33</v>
      </c>
      <c r="C3" s="4">
        <f>COUNTIFS(step3_combined_data!$AD$2:$AD$404,"Neutral", step3_combined_data!$AB$2:$AB$404,"Neutral")</f>
        <v>68</v>
      </c>
      <c r="D3" s="4">
        <f>COUNTIFS(step3_combined_data!$AD$2:$AD$404,"Support", step3_combined_data!$AB$2:$AB$404,"Neutral")</f>
        <v>46</v>
      </c>
    </row>
    <row r="4" spans="1:4" x14ac:dyDescent="0.45">
      <c r="A4" s="1" t="s">
        <v>3</v>
      </c>
      <c r="B4" s="4">
        <f>COUNTIFS(step3_combined_data!$AD$2:$AD$404,"Oppose", step3_combined_data!$AB$2:$AB$404,"Support")</f>
        <v>50</v>
      </c>
      <c r="C4" s="4">
        <f>COUNTIFS(step3_combined_data!$AD$2:$AD$404,"Neutral", step3_combined_data!$AB$2:$AB$404,"Support")</f>
        <v>108</v>
      </c>
      <c r="D4" s="4">
        <f>COUNTIFS(step3_combined_data!$AD$2:$AD$404,"Support", step3_combined_data!$AB$2:$AB$404,"Support")</f>
        <v>96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1</v>
      </c>
      <c r="C2" s="4">
        <f>COUNTIFS(step3_combined_data!$AI$2:$AI$404,"Neutral", step3_combined_data!$AG$2:$AG$404,"Oppose")</f>
        <v>2</v>
      </c>
      <c r="D2" s="4">
        <f>COUNTIFS(step3_combined_data!$AI$2:$AI$404,"Support", step3_combined_data!$AG$2:$AG$404,"Oppose")</f>
        <v>3</v>
      </c>
    </row>
    <row r="3" spans="1:4" x14ac:dyDescent="0.45">
      <c r="A3" s="1" t="s">
        <v>2</v>
      </c>
      <c r="B3" s="4">
        <f>COUNTIFS(step3_combined_data!$AI$2:$AI$404,"Oppose", step3_combined_data!$AG$2:$AG$404,"Neutral")</f>
        <v>7</v>
      </c>
      <c r="C3" s="4">
        <f>COUNTIFS(step3_combined_data!$AI$2:$AI$404,"Neutral", step3_combined_data!$AG$2:$AG$404,"Neutral")</f>
        <v>53</v>
      </c>
      <c r="D3" s="4">
        <f>COUNTIFS(step3_combined_data!$AI$2:$AI$404,"Support", step3_combined_data!$AG$2:$AG$404,"Neutral")</f>
        <v>63</v>
      </c>
    </row>
    <row r="4" spans="1:4" x14ac:dyDescent="0.45">
      <c r="A4" s="1" t="s">
        <v>3</v>
      </c>
      <c r="B4" s="4">
        <f>COUNTIFS(step3_combined_data!$AI$2:$AI$404,"Oppose", step3_combined_data!$AG$2:$AG$404,"Support")</f>
        <v>13</v>
      </c>
      <c r="C4" s="4">
        <f>COUNTIFS(step3_combined_data!$AI$2:$AI$404,"Neutral", step3_combined_data!$AG$2:$AG$404,"Support")</f>
        <v>130</v>
      </c>
      <c r="D4" s="4">
        <f>COUNTIFS(step3_combined_data!$AI$2:$AI$404,"Support", step3_combined_data!$AG$2:$AG$404,"Support")</f>
        <v>131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2</v>
      </c>
      <c r="C2" s="4">
        <f>COUNTIFS(step3_combined_data!$AN$2:$AN$404,"Neutral", step3_combined_data!$AL$2:$AL$404,"Oppose")</f>
        <v>9</v>
      </c>
      <c r="D2" s="4">
        <f>COUNTIFS(step3_combined_data!$AN$2:$AN$404,"Support", step3_combined_data!$AL$2:$AL$404,"Oppose")</f>
        <v>2</v>
      </c>
    </row>
    <row r="3" spans="1:4" x14ac:dyDescent="0.45">
      <c r="A3" s="1" t="s">
        <v>2</v>
      </c>
      <c r="B3" s="4">
        <f>COUNTIFS(step3_combined_data!$AN$2:$AN$404,"Oppose", step3_combined_data!$AL$2:$AL$404,"Neutral")</f>
        <v>42</v>
      </c>
      <c r="C3" s="4">
        <f>COUNTIFS(step3_combined_data!$AN$2:$AN$404,"Neutral", step3_combined_data!$AL$2:$AL$404,"Neutral")</f>
        <v>143</v>
      </c>
      <c r="D3" s="4">
        <f>COUNTIFS(step3_combined_data!$AN$2:$AN$404,"Support", step3_combined_data!$AL$2:$AL$404,"Neutral")</f>
        <v>83</v>
      </c>
    </row>
    <row r="4" spans="1:4" x14ac:dyDescent="0.45">
      <c r="A4" s="1" t="s">
        <v>3</v>
      </c>
      <c r="B4" s="4">
        <f>COUNTIFS(step3_combined_data!$AN$2:$AN$404,"Oppose", step3_combined_data!$AL$2:$AL$404,"Support")</f>
        <v>13</v>
      </c>
      <c r="C4" s="4">
        <f>COUNTIFS(step3_combined_data!$AN$2:$AN$404,"Neutral", step3_combined_data!$AL$2:$AL$404,"Support")</f>
        <v>66</v>
      </c>
      <c r="D4" s="4">
        <f>COUNTIFS(step3_combined_data!$AN$2:$AN$404,"Support", step3_combined_data!$AL$2:$AL$404,"Support")</f>
        <v>43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4</v>
      </c>
      <c r="C2" s="4">
        <f>COUNTIFS(step3_combined_data!$AS$2:$AS$404,"Neutral", step3_combined_data!$AQ$2:$AQ$404,"Oppose")</f>
        <v>3</v>
      </c>
      <c r="D2" s="4">
        <f>COUNTIFS(step3_combined_data!$AS$2:$AS$404,"Support", step3_combined_data!$AQ$2:$AQ$404,"Oppose")</f>
        <v>2</v>
      </c>
    </row>
    <row r="3" spans="1:4" x14ac:dyDescent="0.45">
      <c r="A3" s="1" t="s">
        <v>2</v>
      </c>
      <c r="B3" s="4">
        <f>COUNTIFS(step3_combined_data!$AS$2:$AS$404,"Oppose", step3_combined_data!$AQ$2:$AQ$404,"Neutral")</f>
        <v>40</v>
      </c>
      <c r="C3" s="4">
        <f>COUNTIFS(step3_combined_data!$AS$2:$AS$404,"Neutral", step3_combined_data!$AQ$2:$AQ$404,"Neutral")</f>
        <v>122</v>
      </c>
      <c r="D3" s="4">
        <f>COUNTIFS(step3_combined_data!$AS$2:$AS$404,"Support", step3_combined_data!$AQ$2:$AQ$404,"Neutral")</f>
        <v>108</v>
      </c>
    </row>
    <row r="4" spans="1:4" x14ac:dyDescent="0.45">
      <c r="A4" s="1" t="s">
        <v>3</v>
      </c>
      <c r="B4" s="4">
        <f>COUNTIFS(step3_combined_data!$AS$2:$AS$404,"Oppose", step3_combined_data!$AQ$2:$AQ$404,"Support")</f>
        <v>26</v>
      </c>
      <c r="C4" s="4">
        <f>COUNTIFS(step3_combined_data!$AS$2:$AS$404,"Neutral", step3_combined_data!$AQ$2:$AQ$404,"Support")</f>
        <v>53</v>
      </c>
      <c r="D4" s="4">
        <f>COUNTIFS(step3_combined_data!$AS$2:$AS$404,"Support", step3_combined_data!$AQ$2:$AQ$404,"Support")</f>
        <v>45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7</v>
      </c>
      <c r="C2" s="4">
        <f>COUNTIFS(step3_combined_data!$AX$2:$AX$404,"Neutral", step3_combined_data!$AV$2:$AV$404,"Oppose")</f>
        <v>8</v>
      </c>
      <c r="D2" s="4">
        <f>COUNTIFS(step3_combined_data!$AX$2:$AX$404,"Support", step3_combined_data!$AV$2:$AV$404,"Oppose")</f>
        <v>4</v>
      </c>
    </row>
    <row r="3" spans="1:4" x14ac:dyDescent="0.45">
      <c r="A3" s="1" t="s">
        <v>2</v>
      </c>
      <c r="B3" s="4">
        <f>COUNTIFS(step3_combined_data!$AX$2:$AX$404,"Oppose", step3_combined_data!$AV$2:$AV$404,"Neutral")</f>
        <v>56</v>
      </c>
      <c r="C3" s="4">
        <f>COUNTIFS(step3_combined_data!$AX$2:$AX$404,"Neutral", step3_combined_data!$AV$2:$AV$404,"Neutral")</f>
        <v>164</v>
      </c>
      <c r="D3" s="4">
        <f>COUNTIFS(step3_combined_data!$AX$2:$AX$404,"Support", step3_combined_data!$AV$2:$AV$404,"Neutral")</f>
        <v>93</v>
      </c>
    </row>
    <row r="4" spans="1:4" x14ac:dyDescent="0.45">
      <c r="A4" s="1" t="s">
        <v>3</v>
      </c>
      <c r="B4" s="4">
        <f>COUNTIFS(step3_combined_data!$AX$2:$AX$404,"Oppose", step3_combined_data!$AV$2:$AV$404,"Support")</f>
        <v>9</v>
      </c>
      <c r="C4" s="4">
        <f>COUNTIFS(step3_combined_data!$AX$2:$AX$404,"Neutral", step3_combined_data!$AV$2:$AV$404,"Support")</f>
        <v>45</v>
      </c>
      <c r="D4" s="4">
        <f>COUNTIFS(step3_combined_data!$AX$2:$AX$404,"Support", step3_combined_data!$AV$2:$AV$404,"Support")</f>
        <v>17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7</v>
      </c>
      <c r="C2" s="4">
        <f>COUNTIFS(step3_combined_data!$BA$2:$BA$404,"Neutral", step3_combined_data!$BC$2:$BC$404,"Oppose")</f>
        <v>34</v>
      </c>
      <c r="D2" s="4">
        <f>COUNTIFS(step3_combined_data!$BA$2:$BA$404,"Support", step3_combined_data!$BC$2:$BC$404,"Oppose")</f>
        <v>5</v>
      </c>
    </row>
    <row r="3" spans="1:4" x14ac:dyDescent="0.45">
      <c r="A3" s="1" t="s">
        <v>2</v>
      </c>
      <c r="B3" s="4">
        <f>COUNTIFS(step3_combined_data!$BA$2:$BA$404,"Oppose", step3_combined_data!$BC$2:$BC$404,"Neutral")</f>
        <v>13</v>
      </c>
      <c r="C3" s="4">
        <f>COUNTIFS(step3_combined_data!$BA$2:$BA$404,"Neutral", step3_combined_data!$BC$2:$BC$404,"Neutral")</f>
        <v>207</v>
      </c>
      <c r="D3" s="4">
        <f>COUNTIFS(step3_combined_data!$BA$2:$BA$404,"Support", step3_combined_data!$BC$2:$BC$404,"Neutral")</f>
        <v>15</v>
      </c>
    </row>
    <row r="4" spans="1:4" x14ac:dyDescent="0.45">
      <c r="A4" s="1" t="s">
        <v>3</v>
      </c>
      <c r="B4" s="4">
        <f>COUNTIFS(step3_combined_data!$BA$2:$BA$404,"Oppose", step3_combined_data!$BC$2:$BC$404,"Support")</f>
        <v>8</v>
      </c>
      <c r="C4" s="4">
        <f>COUNTIFS(step3_combined_data!$BA$2:$BA$404,"Neutral", step3_combined_data!$BC$2:$BC$404,"Support")</f>
        <v>104</v>
      </c>
      <c r="D4" s="4">
        <f>COUNTIFS(step3_combined_data!$BA$2:$BA$404,"Support", step3_combined_data!$BC$2:$BC$404,"Support")</f>
        <v>10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3</v>
      </c>
      <c r="D2" s="4">
        <f>COUNTIFS(step3_combined_data!$BH$2:$BH$404,"Support", step3_combined_data!$BF$2:$BF$404,"Oppose")</f>
        <v>4</v>
      </c>
    </row>
    <row r="3" spans="1:4" x14ac:dyDescent="0.45">
      <c r="A3" s="1" t="s">
        <v>2</v>
      </c>
      <c r="B3" s="4">
        <f>COUNTIFS(step3_combined_data!$BH$2:$BH$404,"Oppose", step3_combined_data!$BF$2:$BF$404,"Neutral")</f>
        <v>25</v>
      </c>
      <c r="C3" s="4">
        <f>COUNTIFS(step3_combined_data!$BH$2:$BH$404,"Neutral", step3_combined_data!$BF$2:$BF$404,"Neutral")</f>
        <v>116</v>
      </c>
      <c r="D3" s="4">
        <f>COUNTIFS(step3_combined_data!$BH$2:$BH$404,"Support", step3_combined_data!$BF$2:$BF$404,"Neutral")</f>
        <v>107</v>
      </c>
    </row>
    <row r="4" spans="1:4" x14ac:dyDescent="0.45">
      <c r="A4" s="1" t="s">
        <v>3</v>
      </c>
      <c r="B4" s="4">
        <f>COUNTIFS(step3_combined_data!$BH$2:$BH$404,"Oppose", step3_combined_data!$BF$2:$BF$404,"Support")</f>
        <v>9</v>
      </c>
      <c r="C4" s="4">
        <f>COUNTIFS(step3_combined_data!$BH$2:$BH$404,"Neutral", step3_combined_data!$BF$2:$BF$404,"Support")</f>
        <v>75</v>
      </c>
      <c r="D4" s="4">
        <f>COUNTIFS(step3_combined_data!$BH$2:$BH$404,"Support", step3_combined_data!$BF$2:$BF$404,"Support")</f>
        <v>62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step3_calibration</vt:lpstr>
      <vt:lpstr>survey_responses</vt:lpstr>
      <vt:lpstr>step3_combined_data</vt:lpstr>
      <vt:lpstr>Insights</vt:lpstr>
      <vt:lpstr>AIx</vt:lpstr>
      <vt:lpstr>AIx Validation</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2026-02-14T14:13:16Z</dcterms:modified>
</cp:coreProperties>
</file>